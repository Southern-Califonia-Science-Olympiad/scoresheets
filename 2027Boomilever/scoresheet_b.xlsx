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hidden" r:id="rId9"/>
    <sheet name="ExportRaw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<sst xmlns="http://schemas.openxmlformats.org/spreadsheetml/2006/main" count="134" uniqueCount="94">
  <si>
    <t xml:space="preserve">Check In</t>
  </si>
  <si>
    <t xml:space="preserve">Testing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</si>
  <si>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</si>
  <si>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</si>
  <si>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</si>
  <si>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</si>
  <si>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</si>
  <si>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</si>
  <si>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</si>
  <si>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</si>
  <si>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</si>
  <si>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</si>
  <si>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1. Team's Estimated Load Supported (g)</t>
  </si>
  <si>
    <t xml:space="preserve">2. Mass of Structure (g)</t>
  </si>
  <si>
    <t xml:space="preserve">3. Eye protection is worn (T/F)</t>
  </si>
  <si>
    <t xml:space="preserve">4. All const and comp params met (T/F)</t>
  </si>
  <si>
    <t xml:space="preserve">5. Option Met</t>
  </si>
  <si>
    <t xml:space="preserve">6. Load Supported (g)</t>
  </si>
  <si>
    <t xml:space="preserve">7. Disqualify (T/F)</t>
  </si>
  <si>
    <t xml:space="preserve">Load Scored</t>
  </si>
  <si>
    <t xml:space="preserve">Structure Mass (g)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</si>
  <si>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</si>
  <si>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</si>
  <si>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</si>
  <si>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</si>
  <si>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</si>
  <si>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</si>
  <si>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</si>
  <si>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</si>
  <si>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Required</t>
  </si>
  <si>
    <t xml:space="preserve">Box 2 Error Check</t>
  </si>
  <si>
    <t xml:space="preserve">Tiebreakers</t>
  </si>
  <si>
    <t xml:space="preserve">5/6 Discrepancy</t>
  </si>
  <si>
    <t xml:space="preserve">Status</t>
  </si>
  <si>
    <t xml:space="preserve">Efficiency</t>
  </si>
  <si>
    <t xml:space="preserve">Score (T1)</t>
  </si>
  <si>
    <t xml:space="preserve">T1 Rank</t>
  </si>
  <si>
    <t xml:space="preserve">Score (T2)</t>
  </si>
  <si>
    <t xml:space="preserve">T2 Rank</t>
  </si>
  <si>
    <t xml:space="preserve">Structure Mass (TB1)</t>
  </si>
  <si>
    <t xml:space="preserve">TB1 Rank</t>
  </si>
  <si>
    <t xml:space="preserve">Estimated Load Difference (TB2)</t>
  </si>
  <si>
    <t xml:space="preserve">TB2 Rank</t>
  </si>
  <si>
    <t xml:space="preserve">Rank w/ TB</t>
  </si>
  <si>
    <t xml:space="preserve">Rank Diff</t>
  </si>
  <si>
    <t xml:space="preserve">Name Desc</t>
  </si>
  <si>
    <t xml:space="preserve">Value</t>
  </si>
  <si>
    <t xml:space="preserve">No Option Fulfilled</t>
  </si>
  <si>
    <t xml:space="preserve">None</t>
  </si>
  <si>
    <t xml:space="preserve">Base Option</t>
  </si>
  <si>
    <t xml:space="preserve">Base</t>
  </si>
  <si>
    <t xml:space="preserve">Bonus Option</t>
  </si>
  <si>
    <t xml:space="preserve">Bonus</t>
  </si>
  <si>
    <t xml:space="preserve">Load Score Bonus</t>
  </si>
  <si>
    <t xml:space="preserve">Max Load</t>
  </si>
  <si>
    <t xml:space="preserve">Tier 1</t>
  </si>
  <si>
    <t xml:space="preserve">Tier 2</t>
  </si>
  <si>
    <t xml:space="preserve">T</t>
  </si>
  <si>
    <t xml:space="preserve">F</t>
  </si>
  <si>
    <t xml:space="preserve">Disqualified</t>
  </si>
  <si>
    <t xml:space="preserve">DQ</t>
  </si>
  <si>
    <t xml:space="preserve">No-Show</t>
  </si>
  <si>
    <t xml:space="preserve">NS</t>
  </si>
  <si>
    <t xml:space="preserve">Participated</t>
  </si>
  <si>
    <t xml:space="preserve">P</t>
  </si>
  <si>
    <t xml:space="preserve">Competed</t>
  </si>
  <si>
    <t xml:space="preserve">C</t>
  </si>
  <si>
    <t xml:space="preserve">Input Error</t>
  </si>
  <si>
    <t xml:space="preserve">ERR</t>
  </si>
  <si>
    <t xml:space="preserve">Date</t>
  </si>
  <si>
    <t xml:space="preserve">Version #</t>
  </si>
  <si>
    <t xml:space="preserve">Change</t>
  </si>
  <si>
    <t xml:space="preserve">0.1.0</t>
  </si>
  <si>
    <t xml:space="preserve">First draft of scoresheet completed</t>
  </si>
  <si>
    <t xml:space="preserve">Event</t>
  </si>
  <si>
    <t xml:space="preserve">Boomilever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</si>
  <si>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</si>
  <si>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</si>
  <si>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</si>
  <si>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</si>
  <si>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</si>
  <si>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</si>
  <si>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</si>
  <si>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Division</t>
  </si>
  <si>
    <t xml:space="preserve">B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</si>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</sst>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0"/>
    <numFmt numFmtId="167" formatCode="0.00"/>
    <numFmt numFmtId="168" formatCode="#,##0"/>
    <numFmt numFmtId="169" formatCode="&quot;TRUE&quot;;&quot;TRUE&quot;;&quot;FALSE&quot;"/>
    <numFmt numFmtId="170" formatCode="m/d/yyyy"/>
    <numFmt numFmtId="171" formatCode="mm/dd/yyyy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b val="true"/>
      <sz val="11"/>
      <name val="Overpass"/>
      <family val="0"/>
      <charset val="1"/>
    </font>
    <font>
      <sz val="11"/>
      <name val="Cambria"/>
      <family val="0"/>
      <charset val="1"/>
    </font>
    <font>
      <sz val="11"/>
      <color theme="1"/>
      <name val="Arial"/>
      <family val="0"/>
      <charset val="1"/>
    </font>
    <font>
      <sz val="11"/>
      <color rgb="FF181A1B"/>
      <name val="Overpass"/>
      <family val="0"/>
      <charset val="1"/>
    </font>
    <font>
      <sz val="11"/>
      <color rgb="FF000000"/>
      <name val="Arial"/>
      <family val="0"/>
      <charset val="1"/>
    </font>
    <font>
      <sz val="13"/>
      <color theme="1"/>
      <name val="Overpass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B7E1CD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B7E1CD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10" fillId="2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6" fontId="5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11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8" fontId="5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7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7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8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0000"/>
      </font>
      <fill>
        <patternFill>
          <bgColor rgb="FFFFB3B3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ont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B7E1CD"/>
      <rgbColor rgb="FFFFB3B3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J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8" activeCellId="0" sqref="C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8" min="5" style="1" width="7.5"/>
    <col collapsed="false" customWidth="true" hidden="false" outlineLevel="0" max="9" min="9" style="1" width="8.13"/>
    <col collapsed="false" customWidth="true" hidden="false" outlineLevel="0" max="10" min="10" style="1" width="7.5"/>
    <col collapsed="false" customWidth="true" hidden="false" outlineLevel="0" max="11" min="11" style="1" width="4"/>
    <col collapsed="false" customWidth="true" hidden="true" outlineLevel="0" max="12" min="12" style="1" width="10.99"/>
    <col collapsed="false" customWidth="true" hidden="true" outlineLevel="0" max="13" min="13" style="1" width="11.96"/>
    <col collapsed="false" customWidth="true" hidden="true" outlineLevel="0" max="14" min="14" style="1" width="7.5"/>
    <col collapsed="false" customWidth="true" hidden="true" outlineLevel="0" max="15" min="15" style="1" width="10.85"/>
    <col collapsed="false" customWidth="true" hidden="true" outlineLevel="0" max="16" min="16" style="1" width="7.65"/>
    <col collapsed="false" customWidth="true" hidden="true" outlineLevel="0" max="17" min="17" style="1" width="9.74"/>
    <col collapsed="false" customWidth="true" hidden="true" outlineLevel="0" max="20" min="18" style="1" width="8.49"/>
    <col collapsed="false" customWidth="true" hidden="true" outlineLevel="0" max="21" min="21" style="1" width="17.8"/>
    <col collapsed="false" customWidth="true" hidden="true" outlineLevel="0" max="22" min="22" style="1" width="12.25"/>
    <col collapsed="false" customWidth="true" hidden="true" outlineLevel="0" max="23" min="23" style="1" width="6.12"/>
    <col collapsed="false" customWidth="true" hidden="true" outlineLevel="0" max="24" min="24" style="1" width="13.63"/>
    <col collapsed="false" customWidth="true" hidden="true" outlineLevel="0" max="25" min="25" style="1" width="10.71"/>
    <col collapsed="false" customWidth="true" hidden="true" outlineLevel="0" max="29" min="26" style="1" width="11.12"/>
    <col collapsed="false" customWidth="true" hidden="true" outlineLevel="0" max="30" min="30" style="1" width="10.01"/>
    <col collapsed="false" customWidth="true" hidden="true" outlineLevel="0" max="31" min="31" style="1" width="33.67"/>
    <col collapsed="false" customWidth="true" hidden="true" outlineLevel="0" max="32" min="32" style="1" width="11.82"/>
    <col collapsed="false" customWidth="true" hidden="true" outlineLevel="0" max="33" min="33" style="1" width="22.81"/>
    <col collapsed="false" customWidth="true" hidden="true" outlineLevel="0" max="34" min="34" style="1" width="10.99"/>
    <col collapsed="false" customWidth="true" hidden="true" outlineLevel="0" max="35" min="35" style="1" width="13.22"/>
    <col collapsed="false" customWidth="true" hidden="true" outlineLevel="0" max="36" min="36" style="1" width="11.82"/>
    <col collapsed="false" customWidth="true" hidden="true" outlineLevel="0" max="37" min="37" style="1" width="4.63"/>
    <col collapsed="false" customWidth="true" hidden="false" outlineLevel="0" max="39" min="38" style="1" width="8.68"/>
    <col collapsed="false" customWidth="true" hidden="false" outlineLevel="0" max="40" min="40" style="1" width="8.63"/>
    <col collapsed="false" customWidth="true" hidden="false" outlineLevel="0" max="44" min="41" style="1" width="4"/>
    <col collapsed="false" customWidth="true" hidden="false" outlineLevel="0" max="45" min="45" style="1" width="2"/>
    <col collapsed="false" customWidth="true" hidden="true" outlineLevel="0" max="55" min="46" style="1" width="4.63"/>
    <col collapsed="false" customWidth="true" hidden="false" outlineLevel="0" max="56" min="56" style="1" width="4.63"/>
    <col collapsed="false" customWidth="true" hidden="false" outlineLevel="0" max="57" min="57" style="1" width="6.88"/>
    <col collapsed="false" customWidth="true" hidden="false" outlineLevel="0" max="58" min="58" style="1" width="30.75"/>
    <col collapsed="false" customWidth="true" hidden="false" outlineLevel="0" max="59" min="59" style="1" width="15.63"/>
    <col collapsed="false" customWidth="true" hidden="false" outlineLevel="0" max="60" min="60" style="1" width="4.63"/>
    <col collapsed="false" customWidth="true" hidden="false" outlineLevel="0" max="61" min="61" style="1" width="8.63"/>
    <col collapsed="false" customWidth="true" hidden="true" outlineLevel="0" max="62" min="62" style="1" width="6.63"/>
    <col collapsed="false" customWidth="true" hidden="false" outlineLevel="0" max="16384" min="16378" style="1" width="11.5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5.75" hidden="false" customHeight="false" outlineLevel="0" collapsed="false">
      <c r="A2" s="3"/>
      <c r="B2" s="4" t="str">
        <f aca="false">'Info.'!B1&amp;" "&amp;'Info.'!B4</f>
        <v>Boomilever B</v>
      </c>
      <c r="C2" s="4"/>
      <c r="D2" s="4"/>
      <c r="E2" s="5" t="s">
        <v>0</v>
      </c>
      <c r="F2" s="5"/>
      <c r="G2" s="5"/>
      <c r="H2" s="5"/>
      <c r="I2" s="6" t="s">
        <v>1</v>
      </c>
      <c r="J2" s="6"/>
      <c r="K2" s="7"/>
      <c r="L2" s="8"/>
      <c r="M2" s="8"/>
      <c r="N2" s="8"/>
      <c r="O2" s="8"/>
      <c r="P2" s="8"/>
      <c r="Q2" s="8"/>
      <c r="R2" s="8"/>
      <c r="S2" s="8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0"/>
      <c r="AL2" s="11" t="s">
        <v>2</v>
      </c>
      <c r="AM2" s="11"/>
      <c r="AN2" s="12"/>
      <c r="AO2" s="13"/>
      <c r="AP2" s="13"/>
      <c r="AQ2" s="13"/>
      <c r="AR2" s="14"/>
      <c r="AS2" s="15"/>
      <c r="AT2" s="9"/>
      <c r="AU2" s="9"/>
      <c r="AV2" s="16" t="s">
        <v>3</v>
      </c>
      <c r="AW2" s="17" t="s">
        <v>4</v>
      </c>
      <c r="AX2" s="17" t="s">
        <v>5</v>
      </c>
      <c r="AY2" s="17" t="s">
        <v>6</v>
      </c>
      <c r="AZ2" s="17" t="s">
        <v>7</v>
      </c>
      <c r="BA2" s="17" t="s">
        <v>8</v>
      </c>
      <c r="BB2" s="17" t="s">
        <v>9</v>
      </c>
      <c r="BC2" s="18" t="s">
        <v>10</v>
      </c>
      <c r="BD2" s="19" t="s">
        <v>11</v>
      </c>
      <c r="BE2" s="19"/>
      <c r="BF2" s="19"/>
      <c r="BG2" s="19"/>
      <c r="BH2" s="19"/>
      <c r="BI2" s="19"/>
      <c r="BJ2" s="9"/>
    </row>
    <row r="3" customFormat="false" ht="15.75" hidden="false" customHeight="true" outlineLevel="0" collapsed="false">
      <c r="A3" s="3"/>
      <c r="B3" s="4"/>
      <c r="C3" s="4"/>
      <c r="D3" s="4"/>
      <c r="E3" s="20" t="s">
        <v>12</v>
      </c>
      <c r="F3" s="21" t="s">
        <v>13</v>
      </c>
      <c r="G3" s="20" t="s">
        <v>14</v>
      </c>
      <c r="H3" s="22" t="s">
        <v>15</v>
      </c>
      <c r="I3" s="23" t="s">
        <v>16</v>
      </c>
      <c r="J3" s="24" t="s">
        <v>17</v>
      </c>
      <c r="K3" s="25" t="s">
        <v>18</v>
      </c>
      <c r="L3" s="8"/>
      <c r="M3" s="26"/>
      <c r="N3" s="26"/>
      <c r="O3" s="26"/>
      <c r="P3" s="26"/>
      <c r="Q3" s="26"/>
      <c r="R3" s="26"/>
      <c r="S3" s="26"/>
      <c r="T3" s="26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0"/>
      <c r="AL3" s="27" t="s">
        <v>19</v>
      </c>
      <c r="AM3" s="28" t="s">
        <v>20</v>
      </c>
      <c r="AN3" s="29" t="s">
        <v>21</v>
      </c>
      <c r="AO3" s="28" t="s">
        <v>22</v>
      </c>
      <c r="AP3" s="30" t="s">
        <v>23</v>
      </c>
      <c r="AQ3" s="31" t="s">
        <v>24</v>
      </c>
      <c r="AR3" s="32" t="s">
        <v>25</v>
      </c>
      <c r="AS3" s="33"/>
      <c r="AT3" s="9"/>
      <c r="AU3" s="9"/>
      <c r="AV3" s="16"/>
      <c r="AW3" s="17"/>
      <c r="AX3" s="17"/>
      <c r="AY3" s="17"/>
      <c r="AZ3" s="17"/>
      <c r="BA3" s="17"/>
      <c r="BB3" s="17"/>
      <c r="BC3" s="18"/>
      <c r="BD3" s="34" t="s">
        <v>24</v>
      </c>
      <c r="BE3" s="35" t="s">
        <v>26</v>
      </c>
      <c r="BF3" s="35" t="s">
        <v>27</v>
      </c>
      <c r="BG3" s="35" t="s">
        <v>28</v>
      </c>
      <c r="BH3" s="35" t="s">
        <v>22</v>
      </c>
      <c r="BI3" s="36" t="s">
        <v>21</v>
      </c>
      <c r="BJ3" s="9"/>
    </row>
    <row r="4" customFormat="false" ht="18.65" hidden="false" customHeight="false" outlineLevel="0" collapsed="false">
      <c r="A4" s="3"/>
      <c r="B4" s="37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37"/>
      <c r="D4" s="37"/>
      <c r="E4" s="20"/>
      <c r="F4" s="20"/>
      <c r="G4" s="20"/>
      <c r="H4" s="22"/>
      <c r="I4" s="23"/>
      <c r="J4" s="24"/>
      <c r="K4" s="25"/>
      <c r="L4" s="8"/>
      <c r="M4" s="26"/>
      <c r="N4" s="38" t="s">
        <v>29</v>
      </c>
      <c r="O4" s="38"/>
      <c r="P4" s="26"/>
      <c r="Q4" s="26"/>
      <c r="R4" s="26"/>
      <c r="S4" s="26"/>
      <c r="T4" s="26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  <c r="AL4" s="27"/>
      <c r="AM4" s="28"/>
      <c r="AN4" s="29"/>
      <c r="AO4" s="28"/>
      <c r="AP4" s="28"/>
      <c r="AQ4" s="28"/>
      <c r="AR4" s="32"/>
      <c r="AS4" s="33"/>
      <c r="AT4" s="9"/>
      <c r="AU4" s="9"/>
      <c r="AV4" s="16"/>
      <c r="AW4" s="17"/>
      <c r="AX4" s="17"/>
      <c r="AY4" s="17"/>
      <c r="AZ4" s="17"/>
      <c r="BA4" s="17"/>
      <c r="BB4" s="17"/>
      <c r="BC4" s="18"/>
      <c r="BD4" s="34"/>
      <c r="BE4" s="35"/>
      <c r="BF4" s="35"/>
      <c r="BG4" s="35"/>
      <c r="BH4" s="35"/>
      <c r="BI4" s="36"/>
      <c r="BJ4" s="9"/>
    </row>
    <row r="5" customFormat="false" ht="118.5" hidden="true" customHeight="true" outlineLevel="0" collapsed="false">
      <c r="A5" s="3"/>
      <c r="B5" s="39"/>
      <c r="C5" s="39"/>
      <c r="D5" s="39"/>
      <c r="E5" s="20"/>
      <c r="F5" s="20"/>
      <c r="G5" s="20"/>
      <c r="H5" s="22"/>
      <c r="I5" s="23"/>
      <c r="J5" s="24"/>
      <c r="K5" s="25"/>
      <c r="L5" s="8"/>
      <c r="M5" s="26"/>
      <c r="N5" s="26"/>
      <c r="O5" s="26"/>
      <c r="P5" s="26"/>
      <c r="Q5" s="26"/>
      <c r="R5" s="26"/>
      <c r="S5" s="26"/>
      <c r="T5" s="26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27"/>
      <c r="AM5" s="28"/>
      <c r="AN5" s="29"/>
      <c r="AO5" s="28"/>
      <c r="AP5" s="28"/>
      <c r="AQ5" s="28"/>
      <c r="AR5" s="32"/>
      <c r="AS5" s="33"/>
      <c r="AT5" s="9"/>
      <c r="AU5" s="9"/>
      <c r="AV5" s="16"/>
      <c r="AW5" s="17"/>
      <c r="AX5" s="17"/>
      <c r="AY5" s="17"/>
      <c r="AZ5" s="17"/>
      <c r="BA5" s="17"/>
      <c r="BB5" s="17"/>
      <c r="BC5" s="18"/>
      <c r="BD5" s="34"/>
      <c r="BE5" s="35"/>
      <c r="BF5" s="35"/>
      <c r="BG5" s="35"/>
      <c r="BH5" s="35"/>
      <c r="BI5" s="36"/>
      <c r="BJ5" s="9"/>
    </row>
    <row r="6" customFormat="false" ht="79.85" hidden="false" customHeight="true" outlineLevel="0" collapsed="false">
      <c r="A6" s="3"/>
      <c r="B6" s="40" t="str">
        <f aca="false">"Last Updated: "&amp;TEXT('Info.'!B2, "mm/dd/yyyy")&amp;" (v"&amp;'Info.'!B3&amp;")
Direct all questions to scoresheets@soinc.org."</f>
        <v>Last Updated: 09/20/2026 (v0.1.0)
Direct all questions to scoresheets@soinc.org.</v>
      </c>
      <c r="C6" s="40"/>
      <c r="D6" s="40"/>
      <c r="E6" s="20"/>
      <c r="F6" s="20"/>
      <c r="G6" s="20"/>
      <c r="H6" s="22"/>
      <c r="I6" s="23"/>
      <c r="J6" s="24"/>
      <c r="K6" s="25"/>
      <c r="L6" s="8"/>
      <c r="M6" s="41" t="str">
        <f aca="false">E3</f>
        <v>1. Team's Estimated Load Supported (g)</v>
      </c>
      <c r="N6" s="41" t="str">
        <f aca="false">F3</f>
        <v>2. Mass of Structure (g)</v>
      </c>
      <c r="O6" s="41" t="s">
        <v>30</v>
      </c>
      <c r="P6" s="41" t="str">
        <f aca="false">G3</f>
        <v>3. Eye protection is worn (T/F)</v>
      </c>
      <c r="Q6" s="41" t="str">
        <f aca="false">H3</f>
        <v>4. All const and comp params met (T/F)</v>
      </c>
      <c r="R6" s="41" t="str">
        <f aca="false">I3</f>
        <v>5. Option Met</v>
      </c>
      <c r="S6" s="41" t="str">
        <f aca="false">J3</f>
        <v>6. Load Supported (g)</v>
      </c>
      <c r="T6" s="41" t="str">
        <f aca="false">K3</f>
        <v>7. Disqualify (T/F)</v>
      </c>
      <c r="U6" s="9"/>
      <c r="V6" s="9"/>
      <c r="W6" s="42"/>
      <c r="X6" s="9"/>
      <c r="Y6" s="9"/>
      <c r="Z6" s="9"/>
      <c r="AA6" s="9"/>
      <c r="AB6" s="9"/>
      <c r="AC6" s="9"/>
      <c r="AD6" s="9"/>
      <c r="AE6" s="35" t="s">
        <v>31</v>
      </c>
      <c r="AF6" s="35"/>
      <c r="AG6" s="35"/>
      <c r="AH6" s="35"/>
      <c r="AI6" s="9"/>
      <c r="AJ6" s="9"/>
      <c r="AK6" s="10"/>
      <c r="AL6" s="27"/>
      <c r="AM6" s="28"/>
      <c r="AN6" s="29"/>
      <c r="AO6" s="28"/>
      <c r="AP6" s="28"/>
      <c r="AQ6" s="28"/>
      <c r="AR6" s="32"/>
      <c r="AS6" s="33"/>
      <c r="AT6" s="9"/>
      <c r="AU6" s="9"/>
      <c r="AV6" s="16"/>
      <c r="AW6" s="17"/>
      <c r="AX6" s="17"/>
      <c r="AY6" s="17"/>
      <c r="AZ6" s="17"/>
      <c r="BA6" s="17"/>
      <c r="BB6" s="17"/>
      <c r="BC6" s="18"/>
      <c r="BD6" s="34"/>
      <c r="BE6" s="35"/>
      <c r="BF6" s="35"/>
      <c r="BG6" s="35"/>
      <c r="BH6" s="35"/>
      <c r="BI6" s="36"/>
      <c r="BJ6" s="9"/>
    </row>
    <row r="7" customFormat="false" ht="15.85" hidden="false" customHeight="true" outlineLevel="0" collapsed="false">
      <c r="A7" s="3"/>
      <c r="B7" s="43" t="s">
        <v>26</v>
      </c>
      <c r="C7" s="44" t="s">
        <v>27</v>
      </c>
      <c r="D7" s="45" t="s">
        <v>28</v>
      </c>
      <c r="E7" s="20"/>
      <c r="F7" s="20"/>
      <c r="G7" s="20"/>
      <c r="H7" s="22"/>
      <c r="I7" s="23"/>
      <c r="J7" s="24"/>
      <c r="K7" s="25"/>
      <c r="L7" s="46"/>
      <c r="M7" s="41"/>
      <c r="N7" s="41"/>
      <c r="O7" s="41"/>
      <c r="P7" s="41"/>
      <c r="Q7" s="41"/>
      <c r="R7" s="41"/>
      <c r="S7" s="41"/>
      <c r="T7" s="41"/>
      <c r="U7" s="42" t="s">
        <v>32</v>
      </c>
      <c r="V7" s="42" t="s">
        <v>33</v>
      </c>
      <c r="W7" s="42" t="s">
        <v>22</v>
      </c>
      <c r="X7" s="42" t="s">
        <v>19</v>
      </c>
      <c r="Y7" s="42" t="s">
        <v>34</v>
      </c>
      <c r="Z7" s="42" t="s">
        <v>35</v>
      </c>
      <c r="AA7" s="42" t="s">
        <v>36</v>
      </c>
      <c r="AB7" s="42" t="s">
        <v>37</v>
      </c>
      <c r="AC7" s="42" t="s">
        <v>38</v>
      </c>
      <c r="AD7" s="42" t="s">
        <v>24</v>
      </c>
      <c r="AE7" s="42" t="s">
        <v>39</v>
      </c>
      <c r="AF7" s="42" t="s">
        <v>40</v>
      </c>
      <c r="AG7" s="42" t="s">
        <v>41</v>
      </c>
      <c r="AH7" s="42" t="s">
        <v>42</v>
      </c>
      <c r="AI7" s="42" t="s">
        <v>43</v>
      </c>
      <c r="AJ7" s="42" t="s">
        <v>44</v>
      </c>
      <c r="AK7" s="46"/>
      <c r="AL7" s="27"/>
      <c r="AM7" s="28"/>
      <c r="AN7" s="29"/>
      <c r="AO7" s="28"/>
      <c r="AP7" s="28"/>
      <c r="AQ7" s="28"/>
      <c r="AR7" s="32"/>
      <c r="AS7" s="33"/>
      <c r="AT7" s="9" t="n">
        <f aca="false">SUM(AT8:AT507)</f>
        <v>0</v>
      </c>
      <c r="AU7" s="9"/>
      <c r="AV7" s="16"/>
      <c r="AW7" s="17"/>
      <c r="AX7" s="17"/>
      <c r="AY7" s="17"/>
      <c r="AZ7" s="17"/>
      <c r="BA7" s="17"/>
      <c r="BB7" s="17"/>
      <c r="BC7" s="18"/>
      <c r="BD7" s="34"/>
      <c r="BE7" s="35"/>
      <c r="BF7" s="35"/>
      <c r="BG7" s="35"/>
      <c r="BH7" s="35"/>
      <c r="BI7" s="36"/>
      <c r="BJ7" s="9"/>
    </row>
    <row r="8" customFormat="false" ht="15.75" hidden="false" customHeight="false" outlineLevel="0" collapsed="false">
      <c r="A8" s="3"/>
      <c r="B8" s="47"/>
      <c r="C8" s="48"/>
      <c r="D8" s="49"/>
      <c r="E8" s="50"/>
      <c r="F8" s="51"/>
      <c r="G8" s="50"/>
      <c r="H8" s="52"/>
      <c r="I8" s="53"/>
      <c r="J8" s="52"/>
      <c r="K8" s="54"/>
      <c r="L8" s="55"/>
      <c r="M8" s="56" t="str">
        <f aca="false">IF(ISBLANK($C8),"",IF(ISBLANK(E8),0,E8))</f>
        <v/>
      </c>
      <c r="N8" s="57" t="str">
        <f aca="false">IF(ISBLANK($C8),"",IF(ISBLANK(F8),0,F8))</f>
        <v/>
      </c>
      <c r="O8" s="58" t="e">
        <f aca="false">IF(AND(NOT(ISBLANK($C8)),NOT($T8),COUNTA($E8:$K8)&gt;0),ISBLANK($F8),FALSE())</f>
        <v>#VALUE!</v>
      </c>
      <c r="P8" s="55" t="str">
        <f aca="false">IF(ISBLANK($C8),"",IF(G8=Constants!$B$9, TRUE(), IF(G8=Constants!$B$10, FALSE(), TRUE())))</f>
        <v/>
      </c>
      <c r="Q8" s="55" t="str">
        <f aca="false">IF(ISBLANK($C8),"",IF(H8=Constants!$B$9, TRUE(), IF(H8=Constants!$B$10, FALSE(), TRUE())))</f>
        <v/>
      </c>
      <c r="R8" s="55" t="str">
        <f aca="false">IF(ISBLANK($C8),"",IF(ISBLANK(I8),Constants!$B$3,I8))</f>
        <v/>
      </c>
      <c r="S8" s="56" t="str">
        <f aca="false">IF(ISBLANK($C8),"",IF(ISBLANK(J8),0,MIN(J8,Constants!$B$6)))</f>
        <v/>
      </c>
      <c r="T8" s="55" t="str">
        <f aca="false">IF(ISBLANK($C8),"",IF(K8=Constants!$B$9, TRUE(), IF(K8=Constants!$B$10, FALSE(),  FALSE())))</f>
        <v/>
      </c>
      <c r="U8" s="55" t="str">
        <f aca="false">IF(ISBLANK($C8),"",AND(R8=Constants!$B$4, S8&lt;Constants!$B$6))</f>
        <v/>
      </c>
      <c r="V8" s="55" t="str">
        <f aca="false">IF(ISBLANK(C8), "", IF(T8, Constants!$B$11, IF(COUNTA(E8:K8)=0, Constants!$B$12, IF(NOT(AND(P8,S8&lt;&gt;0)), Constants!$B$13, IF(O8, Constants!$B$15, Constants!$B$14)))))</f>
        <v/>
      </c>
      <c r="W8" s="55" t="str">
        <f aca="false">IF(OR(ISBLANK($C8), SUMPRODUCT(--(P8:T8&lt;&gt;""))=0), "", IF(V8&lt;&gt;Constants!$B$14, V8, IF(AND(NOT(ISBLANK(J8)),P8,Q8,R8&lt;&gt;Constants!$B$2), Constants!$B$7, IF(AND(P8,OR(NOT(Q8),R8=Constants!$B$2)), Constants!$B$8, "Error"))))</f>
        <v/>
      </c>
      <c r="X8" s="55" t="str">
        <f aca="false">IF(OR(W8=Constants!$B$7,W8=Constants!$B$8), MAX(0, MIN(Constants!$B$6, S8))+IF(AND(R8=Constants!$B$4, NOT(U8)), Constants!$B$5, 0), "")</f>
        <v/>
      </c>
      <c r="Y8" s="55" t="str">
        <f aca="false">IF(ISBLANK($C8),"",IF(AND(ISNUMBER(X8),N8&gt;0),X8/N8, "") )</f>
        <v/>
      </c>
      <c r="Z8" s="55" t="str">
        <f aca="false">IF(AND(NOT(ISBLANK($C8)), W8=Constants!$B$7), Y8, "")</f>
        <v/>
      </c>
      <c r="AA8" s="55" t="str">
        <f aca="false">IF(ISNUMBER(Z8), RANK(Z8,Z$8:Z$507), "")</f>
        <v/>
      </c>
      <c r="AB8" s="55" t="str">
        <f aca="false">IF(AND(NOT(ISBLANK($C8)), W8=Constants!$B$8), Y8, "")</f>
        <v/>
      </c>
      <c r="AC8" s="55" t="str">
        <f aca="false">IF(ISNUMBER(AB8), RANK(AB8,AB$8:AB$507), "")</f>
        <v/>
      </c>
      <c r="AD8" s="55" t="str">
        <f aca="false">IF(ISBLANK($C8),"",IF(V8&lt;&gt;Constants!$B$14, V8, IF(W8=Constants!$B$7, AA8, IF(W8=Constants!$B$8, COUNT($AA$8:$AA$507) + AC8, ""))))</f>
        <v/>
      </c>
      <c r="AE8" s="55" t="str">
        <f aca="false">N8</f>
        <v/>
      </c>
      <c r="AF8" s="55" t="str">
        <f aca="false">IF(ISNUMBER(AE8), RANK(AE8,AE$8:AE$507,1), "")</f>
        <v/>
      </c>
      <c r="AG8" s="57" t="str">
        <f aca="false">IF(ISBLANK(C8), "", ABS(M8-S8))</f>
        <v/>
      </c>
      <c r="AH8" s="55" t="str">
        <f aca="false">IF(ISNUMBER(AG8), RANK(AG8,AG$8:AG$507,1), "")</f>
        <v/>
      </c>
      <c r="AI8" s="55" t="str">
        <f aca="false">IF(ISBLANK(C8),"",IF(V8&lt;&gt;Constants!$B$14, V8, RANK(AD8, AD$8:AD$507, 1)+ SUMPRODUCT(--(AD$8:AD$507=AD8),--(AF8&gt;AF$8:AF$507)) + SUMPRODUCT(--(AD$8:AD$507=AD8),--(AF8=AF$8:AF$507),--(AH8&gt;AH$8:AH$507))))</f>
        <v/>
      </c>
      <c r="AJ8" s="55" t="str">
        <f aca="false">IF(ISBLANK(C8),"",IF(V8&lt;&gt;Constants!$B$14, V8, AD8-AI8))</f>
        <v/>
      </c>
      <c r="AK8" s="59"/>
      <c r="AL8" s="60" t="str">
        <f aca="false">IF(ISBLANK($C8),"",IF($V8&lt;&gt;Constants!$B$14,$V8,X8))</f>
        <v/>
      </c>
      <c r="AM8" s="61" t="str">
        <f aca="false">IF(ISBLANK($C8),"",IF($V8&lt;&gt;Constants!$B$14,$V8,N8))</f>
        <v/>
      </c>
      <c r="AN8" s="62" t="str">
        <f aca="false">IF(ISBLANK(C8),"",IF(V8&lt;&gt;Constants!$B$14, V8, IF(W8=Constants!$B$7,Z8,IF(W8=Constants!$B$8,AB8,""))))</f>
        <v/>
      </c>
      <c r="AO8" s="63" t="str">
        <f aca="false">IF(ISBLANK(C8),"",W8)</f>
        <v/>
      </c>
      <c r="AP8" s="63" t="str">
        <f aca="false">IF(ISBLANK(C8),"",AJ8)</f>
        <v/>
      </c>
      <c r="AQ8" s="63" t="str">
        <f aca="false">IF(ISBLANK(C8),"",AI8)</f>
        <v/>
      </c>
      <c r="AR8" s="64" t="str">
        <f aca="false">IF(ISBLANK(C8),
  "",
IF(AQ8=Constants!$B$11,COUNTA($C$8:$C$507)+2,IF(AQ8=Constants!$B$12,COUNTA($C$8:$C$507)+1,IF(AQ8=Constants!$B$13,COUNTA($C$8:$C$507),AQ8))))</f>
        <v/>
      </c>
      <c r="AS8" s="3"/>
      <c r="AT8" s="65" t="n">
        <f aca="false">IF(OR(ISNUMBER(AQ8),AQ8="DQ",AQ8="P",AQ8="NS"),
    1,
    0
)</f>
        <v>0</v>
      </c>
      <c r="AU8" s="65" t="n">
        <v>1</v>
      </c>
      <c r="AV8" s="65" t="str">
        <f aca="false">IF(ISBLANK($C8),
    "",
   IF(ISNUMBER(AR8),AR8+ROW($B8)/1000,"")
)</f>
        <v/>
      </c>
      <c r="AW8" s="65" t="str">
        <f aca="false">IF(ISNUMBER(AV8), RANK(AV8,AV$8:AV$507,1), "")</f>
        <v/>
      </c>
      <c r="AX8" s="65" t="str">
        <f aca="false">IF(ISBLANK($C8),
    "",
    $B8
)</f>
        <v/>
      </c>
      <c r="AY8" s="65" t="str">
        <f aca="false">IF(ISBLANK($C8),
    "",
    $C8
)</f>
        <v/>
      </c>
      <c r="AZ8" s="65" t="str">
        <f aca="false">IF(ISBLANK($C8),
    "",
    $D8
)</f>
        <v/>
      </c>
      <c r="BA8" s="65" t="str">
        <f aca="false">AO8</f>
        <v/>
      </c>
      <c r="BB8" s="66" t="str">
        <f aca="false">AN8</f>
        <v/>
      </c>
      <c r="BC8" s="65" t="str">
        <f aca="false">IF(ISBLANK($C8),
    "",
    AQ8
)</f>
        <v/>
      </c>
      <c r="BD8" s="67" t="str">
        <f aca="false">IF(AU8&gt;AT$7,
    "",
    VLOOKUP(AU8,AW$8:BC$507,7,FALSE())
)</f>
        <v/>
      </c>
      <c r="BE8" s="68" t="str">
        <f aca="false">IF(AU8&gt;AT$7,
    "",
    VLOOKUP(AU8,AW$8:BC$507,2,FALSE())
)</f>
        <v/>
      </c>
      <c r="BF8" s="68" t="str">
        <f aca="false">IF(AU8&gt;AT$7,
    "",
    VLOOKUP(AU8,AW$8:BC$507,3,FALSE())
)</f>
        <v/>
      </c>
      <c r="BG8" s="68" t="str">
        <f aca="false">IF(AU8&gt;AT$7,
    "",
    VLOOKUP(AU8,AW$8:BC$507,4,FALSE())
)</f>
        <v/>
      </c>
      <c r="BH8" s="68" t="str">
        <f aca="false">IF(AU8&gt;AT$7,
    "",
    VLOOKUP(AU8,AW$8:BC$507,5,FALSE())
)</f>
        <v/>
      </c>
      <c r="BI8" s="69" t="str">
        <f aca="false">IF(AU8&gt;AT$7,
    "",
    VLOOKUP(AU8,AW$8:BC$507,6,FALSE())
)</f>
        <v/>
      </c>
      <c r="BJ8" s="46"/>
    </row>
    <row r="9" customFormat="false" ht="15.75" hidden="false" customHeight="false" outlineLevel="0" collapsed="false">
      <c r="A9" s="3"/>
      <c r="B9" s="47"/>
      <c r="C9" s="70"/>
      <c r="D9" s="49"/>
      <c r="E9" s="71"/>
      <c r="F9" s="72"/>
      <c r="G9" s="50"/>
      <c r="H9" s="52"/>
      <c r="I9" s="53"/>
      <c r="J9" s="73"/>
      <c r="K9" s="74"/>
      <c r="L9" s="55"/>
      <c r="M9" s="55" t="str">
        <f aca="false">IF(ISBLANK($C9),"",IF(ISBLANK(E9),0,E9))</f>
        <v/>
      </c>
      <c r="N9" s="55" t="str">
        <f aca="false">IF(ISBLANK($C9),"",IF(ISBLANK(F9),0,F9))</f>
        <v/>
      </c>
      <c r="O9" s="55" t="e">
        <f aca="false">IF(AND(NOT(ISBLANK($C9)),NOT($T9),COUNTA($E9:$K9)&gt;0),ISBLANK($F9),FALSE())</f>
        <v>#VALUE!</v>
      </c>
      <c r="P9" s="55" t="str">
        <f aca="false">IF(ISBLANK($C9),"",IF(G9=Constants!$B$9, TRUE(), IF(G9=Constants!$B$10, FALSE(), TRUE())))</f>
        <v/>
      </c>
      <c r="Q9" s="55" t="str">
        <f aca="false">IF(ISBLANK($C9),"",IF(H9=Constants!$B$9, TRUE(), IF(H9=Constants!$B$10, FALSE(), TRUE())))</f>
        <v/>
      </c>
      <c r="R9" s="55" t="str">
        <f aca="false">IF(ISBLANK($C9),"",IF(ISBLANK(I9),Constants!$B$3,I9))</f>
        <v/>
      </c>
      <c r="S9" s="55" t="str">
        <f aca="false">IF(ISBLANK($C9),"",IF(ISBLANK(J9),0,MIN(J9,Constants!$B$6)))</f>
        <v/>
      </c>
      <c r="T9" s="55" t="str">
        <f aca="false">IF(ISBLANK($C9),"",IF(K9=Constants!$B$9, TRUE(), IF(K9=Constants!$B$10, FALSE(),  FALSE())))</f>
        <v/>
      </c>
      <c r="U9" s="55" t="str">
        <f aca="false">IF(ISBLANK($C9),"",AND(R9=Constants!$B$4, S9&lt;Constants!$B$6))</f>
        <v/>
      </c>
      <c r="V9" s="55" t="str">
        <f aca="false">IF(ISBLANK(C9), "", IF(T9, Constants!$B$11, IF(COUNTA(E9:K9)=0, Constants!$B$12, IF(NOT(AND(P9,S9&lt;&gt;0)), Constants!$B$13, IF(O9, Constants!$B$15, Constants!$B$14)))))</f>
        <v/>
      </c>
      <c r="W9" s="55" t="str">
        <f aca="false">IF(OR(ISBLANK($C9), SUMPRODUCT(--(P9:T9&lt;&gt;""))=0), "", IF(V9&lt;&gt;Constants!$B$14, V9, IF(AND(NOT(ISBLANK(J9)),P9,Q9,R9&lt;&gt;Constants!$B$2), Constants!$B$7, IF(AND(P9,OR(NOT(Q9),R9=Constants!$B$2)), Constants!$B$8, "Error"))))</f>
        <v/>
      </c>
      <c r="X9" s="56" t="str">
        <f aca="false">IF(OR(W9=Constants!$B$7,W9=Constants!$B$8), MAX(0, MIN(Constants!$B$6, S9))+IF(AND(R9=Constants!$B$4, NOT(U9)), Constants!$B$5, 0), "")</f>
        <v/>
      </c>
      <c r="Y9" s="55" t="str">
        <f aca="false">IF(ISBLANK($C9),"",IF(AND(ISNUMBER(X9),N9&gt;0),X9/N9, "") )</f>
        <v/>
      </c>
      <c r="Z9" s="55" t="str">
        <f aca="false">IF(AND(NOT(ISBLANK($C9)), W9=Constants!$B$7), Y9, "")</f>
        <v/>
      </c>
      <c r="AA9" s="55" t="str">
        <f aca="false">IF(ISNUMBER(Z9), RANK(Z9,Z$8:Z$507), "")</f>
        <v/>
      </c>
      <c r="AB9" s="55" t="str">
        <f aca="false">IF(AND(NOT(ISBLANK($C9)), W9=Constants!$B$8), Y9, "")</f>
        <v/>
      </c>
      <c r="AC9" s="55" t="str">
        <f aca="false">IF(ISNUMBER(AB9), RANK(AB9,AB$8:AB$507), "")</f>
        <v/>
      </c>
      <c r="AD9" s="55" t="str">
        <f aca="false">IF(ISBLANK($C9),"",IF(V9&lt;&gt;Constants!$B$14, V9, IF(W9=Constants!$B$7, AA9, IF(W9=Constants!$B$8, COUNT($AA$8:$AA$507) + AC9, ""))))</f>
        <v/>
      </c>
      <c r="AE9" s="75" t="str">
        <f aca="false">N9</f>
        <v/>
      </c>
      <c r="AF9" s="55" t="str">
        <f aca="false">IF(ISNUMBER(AE9), RANK(AE9,AE$8:AE$507,1), "")</f>
        <v/>
      </c>
      <c r="AG9" s="57" t="str">
        <f aca="false">IF(ISBLANK(C9), "", ABS(M9-S9))</f>
        <v/>
      </c>
      <c r="AH9" s="55" t="str">
        <f aca="false">IF(ISNUMBER(AG9), RANK(AG9,AG$8:AG$507,1), "")</f>
        <v/>
      </c>
      <c r="AI9" s="55" t="str">
        <f aca="false">IF(ISBLANK(C9),"",IF(V9&lt;&gt;Constants!$B$14, V9, RANK(AD9, AD$8:AD$507, 1)+ SUMPRODUCT(--(AD$8:AD$507=AD9),--(AF9&gt;AF$8:AF$507)) + SUMPRODUCT(--(AD$8:AD$507=AD9),--(AF9=AF$8:AF$507),--(AH9&gt;AH$8:AH$507))))</f>
        <v/>
      </c>
      <c r="AJ9" s="55" t="str">
        <f aca="false">IF(ISBLANK(C9),"",IF(V9&lt;&gt;Constants!$B$14, V9, AD9-AI9))</f>
        <v/>
      </c>
      <c r="AK9" s="59"/>
      <c r="AL9" s="60" t="str">
        <f aca="false">IF(ISBLANK($C9),"",IF($V9&lt;&gt;Constants!$B$14,$V9,X9))</f>
        <v/>
      </c>
      <c r="AM9" s="60" t="str">
        <f aca="false">IF(ISBLANK($C9),"",IF($V9&lt;&gt;Constants!$B$14,$V9,N9))</f>
        <v/>
      </c>
      <c r="AN9" s="62" t="str">
        <f aca="false">IF(ISBLANK(C9),"",IF(V9&lt;&gt;Constants!$B$14, V9, IF(W9=Constants!$B$7,Z9,IF(W9=Constants!$B$8,AB9,""))))</f>
        <v/>
      </c>
      <c r="AO9" s="63" t="str">
        <f aca="false">IF(ISBLANK(C9),"",W9)</f>
        <v/>
      </c>
      <c r="AP9" s="63" t="str">
        <f aca="false">IF(ISBLANK(C9),"",AJ9)</f>
        <v/>
      </c>
      <c r="AQ9" s="63" t="str">
        <f aca="false">IF(ISBLANK(C9),"",AI9)</f>
        <v/>
      </c>
      <c r="AR9" s="64" t="str">
        <f aca="false">IF(ISBLANK(C9),
  "",
IF(AQ9=Constants!$B$11,COUNTA($C$8:$C$507)+2,IF(AQ9=Constants!$B$12,COUNTA($C$8:$C$507)+1,IF(AQ9=Constants!$B$13,COUNTA($C$8:$C$507),AQ9))))</f>
        <v/>
      </c>
      <c r="AS9" s="3"/>
      <c r="AT9" s="65" t="n">
        <f aca="false">IF(OR(ISNUMBER(AQ9),AQ9="DQ",AQ9="P",AQ9="NS"),
    1,
    0
)</f>
        <v>0</v>
      </c>
      <c r="AU9" s="65" t="n">
        <v>2</v>
      </c>
      <c r="AV9" s="65" t="str">
        <f aca="false">IF(ISBLANK($C9),
    "",
   IF(ISNUMBER(AR9),AR9+ROW($B9)/1000,"")
)</f>
        <v/>
      </c>
      <c r="AW9" s="65" t="str">
        <f aca="false">IF(ISNUMBER(AV9), RANK(AV9,AV$8:AV$507,1), "")</f>
        <v/>
      </c>
      <c r="AX9" s="65" t="str">
        <f aca="false">IF(ISBLANK($C9),
    "",
    $B9
)</f>
        <v/>
      </c>
      <c r="AY9" s="65" t="str">
        <f aca="false">IF(ISBLANK($C9),
    "",
    $C9
)</f>
        <v/>
      </c>
      <c r="AZ9" s="65" t="str">
        <f aca="false">IF(ISBLANK($C9),
    "",
    $D9
)</f>
        <v/>
      </c>
      <c r="BA9" s="65" t="str">
        <f aca="false">AO9</f>
        <v/>
      </c>
      <c r="BB9" s="66" t="str">
        <f aca="false">AN9</f>
        <v/>
      </c>
      <c r="BC9" s="65" t="str">
        <f aca="false">IF(ISBLANK($C9),
    "",
    AQ9
)</f>
        <v/>
      </c>
      <c r="BD9" s="67" t="str">
        <f aca="false">IF(AU9&gt;AT$7,
    "",
    VLOOKUP(AU9,AW$8:BC$507,7,FALSE())
)</f>
        <v/>
      </c>
      <c r="BE9" s="68" t="str">
        <f aca="false">IF(AU9&gt;AT$7,
    "",
    VLOOKUP(AU9,AW$8:BC$507,2,FALSE())
)</f>
        <v/>
      </c>
      <c r="BF9" s="68" t="str">
        <f aca="false">IF(AU9&gt;AT$7,
    "",
    VLOOKUP(AU9,AW$8:BC$507,3,FALSE())
)</f>
        <v/>
      </c>
      <c r="BG9" s="68" t="str">
        <f aca="false">IF(AU9&gt;AT$7,
    "",
    VLOOKUP(AU9,AW$8:BC$507,4,FALSE())
)</f>
        <v/>
      </c>
      <c r="BH9" s="68" t="str">
        <f aca="false">IF(AU9&gt;AT$7,
    "",
    VLOOKUP(AU9,AW$8:BC$507,5,FALSE())
)</f>
        <v/>
      </c>
      <c r="BI9" s="69" t="str">
        <f aca="false">IF(AU9&gt;AT$7,
    "",
    VLOOKUP(AU9,AW$8:BC$507,6,FALSE())
)</f>
        <v/>
      </c>
      <c r="BJ9" s="46"/>
    </row>
    <row r="10" customFormat="false" ht="15.75" hidden="false" customHeight="false" outlineLevel="0" collapsed="false">
      <c r="A10" s="3"/>
      <c r="B10" s="47"/>
      <c r="C10" s="48"/>
      <c r="D10" s="76"/>
      <c r="E10" s="50"/>
      <c r="F10" s="51"/>
      <c r="G10" s="50"/>
      <c r="H10" s="52"/>
      <c r="I10" s="53"/>
      <c r="J10" s="52"/>
      <c r="K10" s="54"/>
      <c r="L10" s="55"/>
      <c r="M10" s="55" t="str">
        <f aca="false">IF(ISBLANK($C10),"",IF(ISBLANK(E10),0,E10))</f>
        <v/>
      </c>
      <c r="N10" s="55" t="str">
        <f aca="false">IF(ISBLANK($C10),"",IF(ISBLANK(F10),0,F10))</f>
        <v/>
      </c>
      <c r="O10" s="55" t="e">
        <f aca="false">IF(AND(NOT(ISBLANK($C10)),NOT($T10),COUNTA($E10:$K10)&gt;0),ISBLANK($F10),FALSE())</f>
        <v>#VALUE!</v>
      </c>
      <c r="P10" s="55" t="str">
        <f aca="false">IF(ISBLANK($C10),"",IF(G10=Constants!$B$9, TRUE(), IF(G10=Constants!$B$10, FALSE(), TRUE())))</f>
        <v/>
      </c>
      <c r="Q10" s="55" t="str">
        <f aca="false">IF(ISBLANK($C10),"",IF(H10=Constants!$B$9, TRUE(), IF(H10=Constants!$B$10, FALSE(), TRUE())))</f>
        <v/>
      </c>
      <c r="R10" s="55" t="str">
        <f aca="false">IF(ISBLANK($C10),"",IF(ISBLANK(I10),Constants!$B$3,I10))</f>
        <v/>
      </c>
      <c r="S10" s="55" t="str">
        <f aca="false">IF(ISBLANK($C10),"",IF(ISBLANK(J10),0,MIN(J10,Constants!$B$6)))</f>
        <v/>
      </c>
      <c r="T10" s="55" t="str">
        <f aca="false">IF(ISBLANK($C10),"",IF(K10=Constants!$B$9, TRUE(), IF(K10=Constants!$B$10, FALSE(),  FALSE())))</f>
        <v/>
      </c>
      <c r="U10" s="55" t="str">
        <f aca="false">IF(ISBLANK($C10),"",AND(R10=Constants!$B$4, S10&lt;Constants!$B$6))</f>
        <v/>
      </c>
      <c r="V10" s="55" t="str">
        <f aca="false">IF(ISBLANK(C10), "", IF(T10, Constants!$B$11, IF(COUNTA(E10:K10)=0, Constants!$B$12, IF(NOT(AND(P10,S10&lt;&gt;0)), Constants!$B$13, IF(O10, Constants!$B$15, Constants!$B$14)))))</f>
        <v/>
      </c>
      <c r="W10" s="55" t="str">
        <f aca="false">IF(OR(ISBLANK($C10), SUMPRODUCT(--(P10:T10&lt;&gt;""))=0), "", IF(V10&lt;&gt;Constants!$B$14, V10, IF(AND(NOT(ISBLANK(J10)),P10,Q10,R10&lt;&gt;Constants!$B$2), Constants!$B$7, IF(AND(P10,OR(NOT(Q10),R10=Constants!$B$2)), Constants!$B$8, "Error"))))</f>
        <v/>
      </c>
      <c r="X10" s="56" t="str">
        <f aca="false">IF(OR(W10=Constants!$B$7,W10=Constants!$B$8), MAX(0, MIN(Constants!$B$6, S10))+IF(AND(R10=Constants!$B$4, NOT(U10)), Constants!$B$5, 0), "")</f>
        <v/>
      </c>
      <c r="Y10" s="55" t="str">
        <f aca="false">IF(ISBLANK($C10),"",IF(AND(ISNUMBER(X10),N10&gt;0),X10/N10, "") )</f>
        <v/>
      </c>
      <c r="Z10" s="55" t="str">
        <f aca="false">IF(AND(NOT(ISBLANK($C10)), W10=Constants!$B$7), Y10, "")</f>
        <v/>
      </c>
      <c r="AA10" s="55" t="str">
        <f aca="false">IF(ISNUMBER(Z10), RANK(Z10,Z$8:Z$507), "")</f>
        <v/>
      </c>
      <c r="AB10" s="55" t="str">
        <f aca="false">IF(AND(NOT(ISBLANK($C10)), W10=Constants!$B$8), Y10, "")</f>
        <v/>
      </c>
      <c r="AC10" s="55" t="str">
        <f aca="false">IF(ISNUMBER(AB10), RANK(AB10,AB$8:AB$507), "")</f>
        <v/>
      </c>
      <c r="AD10" s="55" t="str">
        <f aca="false">IF(ISBLANK($C10),"",IF(V10&lt;&gt;Constants!$B$14, V10, IF(W10=Constants!$B$7, AA10, IF(W10=Constants!$B$8, COUNT($AA$8:$AA$507) + AC10, ""))))</f>
        <v/>
      </c>
      <c r="AE10" s="75" t="str">
        <f aca="false">N10</f>
        <v/>
      </c>
      <c r="AF10" s="55" t="str">
        <f aca="false">IF(ISNUMBER(AE10), RANK(AE10,AE$8:AE$507,1), "")</f>
        <v/>
      </c>
      <c r="AG10" s="57" t="str">
        <f aca="false">IF(ISBLANK(C10), "", ABS(M10-S10))</f>
        <v/>
      </c>
      <c r="AH10" s="55" t="str">
        <f aca="false">IF(ISNUMBER(AG10), RANK(AG10,AG$8:AG$507,1), "")</f>
        <v/>
      </c>
      <c r="AI10" s="55" t="str">
        <f aca="false">IF(ISBLANK(C10),"",IF(V10&lt;&gt;Constants!$B$14, V10, RANK(AD10, AD$8:AD$507, 1)+ SUMPRODUCT(--(AD$8:AD$507=AD10),--(AF10&gt;AF$8:AF$507)) + SUMPRODUCT(--(AD$8:AD$507=AD10),--(AF10=AF$8:AF$507),--(AH10&gt;AH$8:AH$507))))</f>
        <v/>
      </c>
      <c r="AJ10" s="55" t="str">
        <f aca="false">IF(ISBLANK(C10),"",IF(V10&lt;&gt;Constants!$B$14, V10, AD10-AI10))</f>
        <v/>
      </c>
      <c r="AK10" s="59"/>
      <c r="AL10" s="60" t="str">
        <f aca="false">IF(ISBLANK($C10),"",IF($V10&lt;&gt;Constants!$B$14,$V10,X10))</f>
        <v/>
      </c>
      <c r="AM10" s="60" t="str">
        <f aca="false">IF(ISBLANK($C10),"",IF($V10&lt;&gt;Constants!$B$14,$V10,N10))</f>
        <v/>
      </c>
      <c r="AN10" s="62" t="str">
        <f aca="false">IF(ISBLANK(C10),"",IF(V10&lt;&gt;Constants!$B$14, V10, IF(W10=Constants!$B$7,Z10,IF(W10=Constants!$B$8,AB10,""))))</f>
        <v/>
      </c>
      <c r="AO10" s="63" t="str">
        <f aca="false">IF(ISBLANK(C10),"",W10)</f>
        <v/>
      </c>
      <c r="AP10" s="63" t="str">
        <f aca="false">IF(ISBLANK(C10),"",AJ10)</f>
        <v/>
      </c>
      <c r="AQ10" s="63" t="str">
        <f aca="false">IF(ISBLANK(C10),"",AI10)</f>
        <v/>
      </c>
      <c r="AR10" s="64" t="str">
        <f aca="false">IF(ISBLANK(C10),
  "",
IF(AQ10=Constants!$B$11,COUNTA($C$8:$C$507)+2,IF(AQ10=Constants!$B$12,COUNTA($C$8:$C$507)+1,IF(AQ10=Constants!$B$13,COUNTA($C$8:$C$507),AQ10))))</f>
        <v/>
      </c>
      <c r="AS10" s="3"/>
      <c r="AT10" s="65" t="n">
        <f aca="false">IF(OR(ISNUMBER(AQ10),AQ10="DQ",AQ10="P",AQ10="NS"),
    1,
    0
)</f>
        <v>0</v>
      </c>
      <c r="AU10" s="65" t="n">
        <v>3</v>
      </c>
      <c r="AV10" s="65" t="str">
        <f aca="false">IF(ISBLANK($C10),
    "",
   IF(ISNUMBER(AR10),AR10+ROW($B10)/1000,"")
)</f>
        <v/>
      </c>
      <c r="AW10" s="65" t="str">
        <f aca="false">IF(ISNUMBER(AV10), RANK(AV10,AV$8:AV$507,1), "")</f>
        <v/>
      </c>
      <c r="AX10" s="65" t="str">
        <f aca="false">IF(ISBLANK($C10),
    "",
    $B10
)</f>
        <v/>
      </c>
      <c r="AY10" s="65" t="str">
        <f aca="false">IF(ISBLANK($C10),
    "",
    $C10
)</f>
        <v/>
      </c>
      <c r="AZ10" s="65" t="str">
        <f aca="false">IF(ISBLANK($C10),
    "",
    $D10
)</f>
        <v/>
      </c>
      <c r="BA10" s="65" t="str">
        <f aca="false">AO10</f>
        <v/>
      </c>
      <c r="BB10" s="66" t="str">
        <f aca="false">AN10</f>
        <v/>
      </c>
      <c r="BC10" s="65" t="str">
        <f aca="false">IF(ISBLANK($C10),
    "",
    AQ10
)</f>
        <v/>
      </c>
      <c r="BD10" s="67" t="str">
        <f aca="false">IF(AU10&gt;AT$7,
    "",
    VLOOKUP(AU10,AW$8:BC$507,7,FALSE())
)</f>
        <v/>
      </c>
      <c r="BE10" s="68" t="str">
        <f aca="false">IF(AU10&gt;AT$7,
    "",
    VLOOKUP(AU10,AW$8:BC$507,2,FALSE())
)</f>
        <v/>
      </c>
      <c r="BF10" s="68" t="str">
        <f aca="false">IF(AU10&gt;AT$7,
    "",
    VLOOKUP(AU10,AW$8:BC$507,3,FALSE())
)</f>
        <v/>
      </c>
      <c r="BG10" s="68" t="str">
        <f aca="false">IF(AU10&gt;AT$7,
    "",
    VLOOKUP(AU10,AW$8:BC$507,4,FALSE())
)</f>
        <v/>
      </c>
      <c r="BH10" s="68" t="str">
        <f aca="false">IF(AU10&gt;AT$7,
    "",
    VLOOKUP(AU10,AW$8:BC$507,5,FALSE())
)</f>
        <v/>
      </c>
      <c r="BI10" s="69" t="str">
        <f aca="false">IF(AU10&gt;AT$7,
    "",
    VLOOKUP(AU10,AW$8:BC$507,6,FALSE())
)</f>
        <v/>
      </c>
      <c r="BJ10" s="46"/>
    </row>
    <row r="11" customFormat="false" ht="15.75" hidden="false" customHeight="false" outlineLevel="0" collapsed="false">
      <c r="A11" s="3"/>
      <c r="B11" s="77"/>
      <c r="C11" s="78"/>
      <c r="D11" s="79"/>
      <c r="E11" s="80"/>
      <c r="F11" s="81"/>
      <c r="G11" s="80"/>
      <c r="H11" s="82"/>
      <c r="I11" s="83"/>
      <c r="J11" s="82"/>
      <c r="K11" s="84"/>
      <c r="L11" s="85"/>
      <c r="M11" s="85" t="str">
        <f aca="false">IF(ISBLANK($C11),"",IF(ISBLANK(E11),0,E11))</f>
        <v/>
      </c>
      <c r="N11" s="85" t="str">
        <f aca="false">IF(ISBLANK($C11),"",IF(ISBLANK(F11),0,F11))</f>
        <v/>
      </c>
      <c r="O11" s="86" t="e">
        <f aca="false">IF(AND(NOT(ISBLANK($C11)),NOT($T11),COUNTA($E11:$K11)&gt;0),ISBLANK($F11),FALSE())</f>
        <v>#VALUE!</v>
      </c>
      <c r="P11" s="85" t="str">
        <f aca="false">IF(ISBLANK($C11),"",IF(G11=Constants!$B$9, TRUE(), IF(G11=Constants!$B$10, FALSE(), TRUE())))</f>
        <v/>
      </c>
      <c r="Q11" s="85" t="str">
        <f aca="false">IF(ISBLANK($C11),"",IF(H11=Constants!$B$9, TRUE(), IF(H11=Constants!$B$10, FALSE(), TRUE())))</f>
        <v/>
      </c>
      <c r="R11" s="85" t="str">
        <f aca="false">IF(ISBLANK($C11),"",IF(ISBLANK(I11),Constants!$B$3,I11))</f>
        <v/>
      </c>
      <c r="S11" s="85" t="str">
        <f aca="false">IF(ISBLANK($C11),"",IF(ISBLANK(J11),0,MIN(J11,Constants!$B$6)))</f>
        <v/>
      </c>
      <c r="T11" s="85" t="str">
        <f aca="false">IF(ISBLANK($C11),"",IF(K11=Constants!$B$9, TRUE(), IF(K11=Constants!$B$10, FALSE(),  FALSE())))</f>
        <v/>
      </c>
      <c r="U11" s="85" t="str">
        <f aca="false">IF(ISBLANK($C11),"",AND(R11=Constants!$B$4, S11&lt;Constants!$B$6))</f>
        <v/>
      </c>
      <c r="V11" s="85" t="str">
        <f aca="false">IF(ISBLANK(C11), "", IF(T11, Constants!$B$11, IF(COUNTA(E11:K11)=0, Constants!$B$12, IF(NOT(AND(P11,S11&lt;&gt;0)), Constants!$B$13, IF(O11, Constants!$B$15, Constants!$B$14)))))</f>
        <v/>
      </c>
      <c r="W11" s="85" t="str">
        <f aca="false">IF(OR(ISBLANK($C11), SUMPRODUCT(--(P11:T11&lt;&gt;""))=0), "", IF(V11&lt;&gt;Constants!$B$14, V11, IF(AND(NOT(ISBLANK(J11)),P11,Q11,R11&lt;&gt;Constants!$B$2), Constants!$B$7, IF(AND(P11,OR(NOT(Q11),R11=Constants!$B$2)), Constants!$B$8, "Error"))))</f>
        <v/>
      </c>
      <c r="X11" s="87" t="str">
        <f aca="false">IF(OR(W11=Constants!$B$7,W11=Constants!$B$8), MAX(0, MIN(Constants!$B$6, S11))+IF(AND(R11=Constants!$B$4, NOT(U11)), Constants!$B$5, 0), "")</f>
        <v/>
      </c>
      <c r="Y11" s="85" t="str">
        <f aca="false">IF(ISBLANK($C11),"",IF(AND(ISNUMBER(X11),N11&gt;0),X11/N11, "") )</f>
        <v/>
      </c>
      <c r="Z11" s="85" t="str">
        <f aca="false">IF(AND(NOT(ISBLANK($C11)), W11=Constants!$B$7), Y11, "")</f>
        <v/>
      </c>
      <c r="AA11" s="85" t="str">
        <f aca="false">IF(ISNUMBER(Z11), RANK(Z11,Z$8:Z$507), "")</f>
        <v/>
      </c>
      <c r="AB11" s="85" t="str">
        <f aca="false">IF(AND(NOT(ISBLANK($C11)), W11=Constants!$B$8), Y11, "")</f>
        <v/>
      </c>
      <c r="AC11" s="85" t="str">
        <f aca="false">IF(ISNUMBER(AB11), RANK(AB11,AB$8:AB$507), "")</f>
        <v/>
      </c>
      <c r="AD11" s="85" t="str">
        <f aca="false">IF(ISBLANK($C11),"",IF(V11&lt;&gt;Constants!$B$14, V11, IF(W11=Constants!$B$7, AA11, IF(W11=Constants!$B$8, COUNT($AA$8:$AA$507) + AC11, ""))))</f>
        <v/>
      </c>
      <c r="AE11" s="85" t="str">
        <f aca="false">N11</f>
        <v/>
      </c>
      <c r="AF11" s="85" t="str">
        <f aca="false">IF(ISNUMBER(AE11), RANK(AE11,AE$8:AE$507,1), "")</f>
        <v/>
      </c>
      <c r="AG11" s="88" t="str">
        <f aca="false">IF(ISBLANK(C11), "", ABS(M11-S11))</f>
        <v/>
      </c>
      <c r="AH11" s="85" t="str">
        <f aca="false">IF(ISNUMBER(AG11), RANK(AG11,AG$8:AG$507,1), "")</f>
        <v/>
      </c>
      <c r="AI11" s="85" t="str">
        <f aca="false">IF(ISBLANK(C11),"",IF(V11&lt;&gt;Constants!$B$14, V11, RANK(AD11, AD$8:AD$507, 1)+ SUMPRODUCT(--(AD$8:AD$507=AD11),--(AF11&gt;AF$8:AF$507)) + SUMPRODUCT(--(AD$8:AD$507=AD11),--(AF11=AF$8:AF$507),--(AH11&gt;AH$8:AH$507))))</f>
        <v/>
      </c>
      <c r="AJ11" s="85" t="str">
        <f aca="false">IF(ISBLANK(C11),"",IF(V11&lt;&gt;Constants!$B$14, V11, AD11-AI11))</f>
        <v/>
      </c>
      <c r="AK11" s="89"/>
      <c r="AL11" s="90" t="str">
        <f aca="false">IF(ISBLANK($C11),"",IF($V11&lt;&gt;Constants!$B$14,$V11,X11))</f>
        <v/>
      </c>
      <c r="AM11" s="90" t="str">
        <f aca="false">IF(ISBLANK($C11),"",IF($V11&lt;&gt;Constants!$B$14,$V11,N11))</f>
        <v/>
      </c>
      <c r="AN11" s="91" t="str">
        <f aca="false">IF(ISBLANK(C11),"",IF(V11&lt;&gt;Constants!$B$14, V11, IF(W11=Constants!$B$7,Z11,IF(W11=Constants!$B$8,AB11,""))))</f>
        <v/>
      </c>
      <c r="AO11" s="92" t="str">
        <f aca="false">IF(ISBLANK(C11),"",W11)</f>
        <v/>
      </c>
      <c r="AP11" s="92" t="str">
        <f aca="false">IF(ISBLANK(C11),"",AJ11)</f>
        <v/>
      </c>
      <c r="AQ11" s="92" t="str">
        <f aca="false">IF(ISBLANK(C11),"",AI11)</f>
        <v/>
      </c>
      <c r="AR11" s="93" t="str">
        <f aca="false">IF(ISBLANK(C11),
  "",
IF(AQ11=Constants!$B$11,COUNTA($C$8:$C$507)+2,IF(AQ11=Constants!$B$12,COUNTA($C$8:$C$507)+1,IF(AQ11=Constants!$B$13,COUNTA($C$8:$C$507),AQ11))))</f>
        <v/>
      </c>
      <c r="AS11" s="3"/>
      <c r="AT11" s="94" t="n">
        <f aca="false">IF(OR(ISNUMBER(AQ11),AQ11="DQ",AQ11="P",AQ11="NS"),
    1,
    0
)</f>
        <v>0</v>
      </c>
      <c r="AU11" s="94" t="n">
        <v>4</v>
      </c>
      <c r="AV11" s="94" t="str">
        <f aca="false">IF(ISBLANK($C11),
    "",
   IF(ISNUMBER(AR11),AR11+ROW($B11)/1000,"")
)</f>
        <v/>
      </c>
      <c r="AW11" s="94" t="str">
        <f aca="false">IF(ISNUMBER(AV11), RANK(AV11,AV$8:AV$507,1), "")</f>
        <v/>
      </c>
      <c r="AX11" s="94" t="str">
        <f aca="false">IF(ISBLANK($C11),
    "",
    $B11
)</f>
        <v/>
      </c>
      <c r="AY11" s="94" t="str">
        <f aca="false">IF(ISBLANK($C11),
    "",
    $C11
)</f>
        <v/>
      </c>
      <c r="AZ11" s="94" t="str">
        <f aca="false">IF(ISBLANK($C11),
    "",
    $D11
)</f>
        <v/>
      </c>
      <c r="BA11" s="94" t="str">
        <f aca="false">AO11</f>
        <v/>
      </c>
      <c r="BB11" s="95" t="str">
        <f aca="false">AN11</f>
        <v/>
      </c>
      <c r="BC11" s="94" t="str">
        <f aca="false">IF(ISBLANK($C11),
    "",
    AQ11
)</f>
        <v/>
      </c>
      <c r="BD11" s="96" t="str">
        <f aca="false">IF(AU11&gt;AT$7,
    "",
    VLOOKUP(AU11,AW$8:BC$507,7,FALSE())
)</f>
        <v/>
      </c>
      <c r="BE11" s="97" t="str">
        <f aca="false">IF(AU11&gt;AT$7,
    "",
    VLOOKUP(AU11,AW$8:BC$507,2,FALSE())
)</f>
        <v/>
      </c>
      <c r="BF11" s="97" t="str">
        <f aca="false">IF(AU11&gt;AT$7,
    "",
    VLOOKUP(AU11,AW$8:BC$507,3,FALSE())
)</f>
        <v/>
      </c>
      <c r="BG11" s="97" t="str">
        <f aca="false">IF(AU11&gt;AT$7,
    "",
    VLOOKUP(AU11,AW$8:BC$507,4,FALSE())
)</f>
        <v/>
      </c>
      <c r="BH11" s="97" t="str">
        <f aca="false">IF(AU11&gt;AT$7,
    "",
    VLOOKUP(AU11,AW$8:BC$507,5,FALSE())
)</f>
        <v/>
      </c>
      <c r="BI11" s="98" t="str">
        <f aca="false">IF(AU11&gt;AT$7,
    "",
    VLOOKUP(AU11,AW$8:BC$507,6,FALSE())
)</f>
        <v/>
      </c>
      <c r="BJ11" s="46"/>
    </row>
    <row r="12" customFormat="false" ht="15.75" hidden="false" customHeight="false" outlineLevel="0" collapsed="false">
      <c r="A12" s="3"/>
      <c r="B12" s="77"/>
      <c r="C12" s="78"/>
      <c r="D12" s="99"/>
      <c r="E12" s="80"/>
      <c r="F12" s="81"/>
      <c r="G12" s="80"/>
      <c r="H12" s="82"/>
      <c r="I12" s="83"/>
      <c r="J12" s="82"/>
      <c r="K12" s="84"/>
      <c r="L12" s="85"/>
      <c r="M12" s="85" t="str">
        <f aca="false">IF(ISBLANK($C12),"",IF(ISBLANK(E12),0,E12))</f>
        <v/>
      </c>
      <c r="N12" s="85" t="str">
        <f aca="false">IF(ISBLANK($C12),"",IF(ISBLANK(F12),0,F12))</f>
        <v/>
      </c>
      <c r="O12" s="86" t="e">
        <f aca="false">IF(AND(NOT(ISBLANK($C12)),NOT($T12),COUNTA($E12:$K12)&gt;0),ISBLANK($F12),FALSE())</f>
        <v>#VALUE!</v>
      </c>
      <c r="P12" s="85" t="str">
        <f aca="false">IF(ISBLANK($C12),"",IF(G12=Constants!$B$9, TRUE(), IF(G12=Constants!$B$10, FALSE(), TRUE())))</f>
        <v/>
      </c>
      <c r="Q12" s="85" t="str">
        <f aca="false">IF(ISBLANK($C12),"",IF(H12=Constants!$B$9, TRUE(), IF(H12=Constants!$B$10, FALSE(), TRUE())))</f>
        <v/>
      </c>
      <c r="R12" s="85" t="str">
        <f aca="false">IF(ISBLANK($C12),"",IF(ISBLANK(I12),Constants!$B$3,I12))</f>
        <v/>
      </c>
      <c r="S12" s="85" t="str">
        <f aca="false">IF(ISBLANK($C12),"",IF(ISBLANK(J12),0,MIN(J12,Constants!$B$6)))</f>
        <v/>
      </c>
      <c r="T12" s="85" t="str">
        <f aca="false">IF(ISBLANK($C12),"",IF(K12=Constants!$B$9, TRUE(), IF(K12=Constants!$B$10, FALSE(),  FALSE())))</f>
        <v/>
      </c>
      <c r="U12" s="85" t="str">
        <f aca="false">IF(ISBLANK($C12),"",AND(R12=Constants!$B$4, S12&lt;Constants!$B$6))</f>
        <v/>
      </c>
      <c r="V12" s="85" t="str">
        <f aca="false">IF(ISBLANK(C12), "", IF(T12, Constants!$B$11, IF(COUNTA(E12:K12)=0, Constants!$B$12, IF(NOT(AND(P12,S12&lt;&gt;0)), Constants!$B$13, IF(O12, Constants!$B$15, Constants!$B$14)))))</f>
        <v/>
      </c>
      <c r="W12" s="85" t="str">
        <f aca="false">IF(OR(ISBLANK($C12), SUMPRODUCT(--(P12:T12&lt;&gt;""))=0), "", IF(V12&lt;&gt;Constants!$B$14, V12, IF(AND(NOT(ISBLANK(J12)),P12,Q12,R12&lt;&gt;Constants!$B$2), Constants!$B$7, IF(AND(P12,OR(NOT(Q12),R12=Constants!$B$2)), Constants!$B$8, "Error"))))</f>
        <v/>
      </c>
      <c r="X12" s="87" t="str">
        <f aca="false">IF(OR(W12=Constants!$B$7,W12=Constants!$B$8), MAX(0, MIN(Constants!$B$6, S12))+IF(AND(R12=Constants!$B$4, NOT(U12)), Constants!$B$5, 0), "")</f>
        <v/>
      </c>
      <c r="Y12" s="85" t="str">
        <f aca="false">IF(ISBLANK($C12),"",IF(AND(ISNUMBER(X12),N12&gt;0),X12/N12, "") )</f>
        <v/>
      </c>
      <c r="Z12" s="85" t="str">
        <f aca="false">IF(AND(NOT(ISBLANK($C12)), W12=Constants!$B$7), Y12, "")</f>
        <v/>
      </c>
      <c r="AA12" s="85" t="str">
        <f aca="false">IF(ISNUMBER(Z12), RANK(Z12,Z$8:Z$507), "")</f>
        <v/>
      </c>
      <c r="AB12" s="85" t="str">
        <f aca="false">IF(AND(NOT(ISBLANK($C12)), W12=Constants!$B$8), Y12, "")</f>
        <v/>
      </c>
      <c r="AC12" s="85" t="str">
        <f aca="false">IF(ISNUMBER(AB12), RANK(AB12,AB$8:AB$507), "")</f>
        <v/>
      </c>
      <c r="AD12" s="85" t="str">
        <f aca="false">IF(ISBLANK($C12),"",IF(V12&lt;&gt;Constants!$B$14, V12, IF(W12=Constants!$B$7, AA12, IF(W12=Constants!$B$8, COUNT($AA$8:$AA$507) + AC12, ""))))</f>
        <v/>
      </c>
      <c r="AE12" s="85" t="str">
        <f aca="false">N12</f>
        <v/>
      </c>
      <c r="AF12" s="85" t="str">
        <f aca="false">IF(ISNUMBER(AE12), RANK(AE12,AE$8:AE$507,1), "")</f>
        <v/>
      </c>
      <c r="AG12" s="88" t="str">
        <f aca="false">IF(ISBLANK(C12), "", ABS(M12-S12))</f>
        <v/>
      </c>
      <c r="AH12" s="85" t="str">
        <f aca="false">IF(ISNUMBER(AG12), RANK(AG12,AG$8:AG$507,1), "")</f>
        <v/>
      </c>
      <c r="AI12" s="85" t="str">
        <f aca="false">IF(ISBLANK(C12),"",IF(V12&lt;&gt;Constants!$B$14, V12, RANK(AD12, AD$8:AD$507, 1)+ SUMPRODUCT(--(AD$8:AD$507=AD12),--(AF12&gt;AF$8:AF$507)) + SUMPRODUCT(--(AD$8:AD$507=AD12),--(AF12=AF$8:AF$507),--(AH12&gt;AH$8:AH$507))))</f>
        <v/>
      </c>
      <c r="AJ12" s="85" t="str">
        <f aca="false">IF(ISBLANK(C12),"",IF(V12&lt;&gt;Constants!$B$14, V12, AD12-AI12))</f>
        <v/>
      </c>
      <c r="AK12" s="89"/>
      <c r="AL12" s="90" t="str">
        <f aca="false">IF(ISBLANK($C12),"",IF($V12&lt;&gt;Constants!$B$14,$V12,X12))</f>
        <v/>
      </c>
      <c r="AM12" s="90" t="str">
        <f aca="false">IF(ISBLANK($C12),"",IF($V12&lt;&gt;Constants!$B$14,$V12,N12))</f>
        <v/>
      </c>
      <c r="AN12" s="91" t="str">
        <f aca="false">IF(ISBLANK(C12),"",IF(V12&lt;&gt;Constants!$B$14, V12, IF(W12=Constants!$B$7,Z12,IF(W12=Constants!$B$8,AB12,""))))</f>
        <v/>
      </c>
      <c r="AO12" s="92" t="str">
        <f aca="false">IF(ISBLANK(C12),"",W12)</f>
        <v/>
      </c>
      <c r="AP12" s="92" t="str">
        <f aca="false">IF(ISBLANK(C12),"",AJ12)</f>
        <v/>
      </c>
      <c r="AQ12" s="92" t="str">
        <f aca="false">IF(ISBLANK(C12),"",AI12)</f>
        <v/>
      </c>
      <c r="AR12" s="93" t="str">
        <f aca="false">IF(ISBLANK(C12),
  "",
IF(AQ12=Constants!$B$11,COUNTA($C$8:$C$507)+2,IF(AQ12=Constants!$B$12,COUNTA($C$8:$C$507)+1,IF(AQ12=Constants!$B$13,COUNTA($C$8:$C$507),AQ12))))</f>
        <v/>
      </c>
      <c r="AS12" s="3"/>
      <c r="AT12" s="94" t="n">
        <f aca="false">IF(OR(ISNUMBER(AQ12),AQ12="DQ",AQ12="P",AQ12="NS"),
    1,
    0
)</f>
        <v>0</v>
      </c>
      <c r="AU12" s="94" t="n">
        <v>5</v>
      </c>
      <c r="AV12" s="94" t="str">
        <f aca="false">IF(ISBLANK($C12),
    "",
   IF(ISNUMBER(AR12),AR12+ROW($B12)/1000,"")
)</f>
        <v/>
      </c>
      <c r="AW12" s="94" t="str">
        <f aca="false">IF(ISNUMBER(AV12), RANK(AV12,AV$8:AV$507,1), "")</f>
        <v/>
      </c>
      <c r="AX12" s="94" t="str">
        <f aca="false">IF(ISBLANK($C12),
    "",
    $B12
)</f>
        <v/>
      </c>
      <c r="AY12" s="94" t="str">
        <f aca="false">IF(ISBLANK($C12),
    "",
    $C12
)</f>
        <v/>
      </c>
      <c r="AZ12" s="94" t="str">
        <f aca="false">IF(ISBLANK($C12),
    "",
    $D12
)</f>
        <v/>
      </c>
      <c r="BA12" s="94" t="str">
        <f aca="false">AO12</f>
        <v/>
      </c>
      <c r="BB12" s="95" t="str">
        <f aca="false">AN12</f>
        <v/>
      </c>
      <c r="BC12" s="94" t="str">
        <f aca="false">IF(ISBLANK($C12),
    "",
    AQ12
)</f>
        <v/>
      </c>
      <c r="BD12" s="96" t="str">
        <f aca="false">IF(AU12&gt;AT$7,
    "",
    VLOOKUP(AU12,AW$8:BC$507,7,FALSE())
)</f>
        <v/>
      </c>
      <c r="BE12" s="97" t="str">
        <f aca="false">IF(AU12&gt;AT$7,
    "",
    VLOOKUP(AU12,AW$8:BC$507,2,FALSE())
)</f>
        <v/>
      </c>
      <c r="BF12" s="97" t="str">
        <f aca="false">IF(AU12&gt;AT$7,
    "",
    VLOOKUP(AU12,AW$8:BC$507,3,FALSE())
)</f>
        <v/>
      </c>
      <c r="BG12" s="97" t="str">
        <f aca="false">IF(AU12&gt;AT$7,
    "",
    VLOOKUP(AU12,AW$8:BC$507,4,FALSE())
)</f>
        <v/>
      </c>
      <c r="BH12" s="97" t="str">
        <f aca="false">IF(AU12&gt;AT$7,
    "",
    VLOOKUP(AU12,AW$8:BC$507,5,FALSE())
)</f>
        <v/>
      </c>
      <c r="BI12" s="98" t="str">
        <f aca="false">IF(AU12&gt;AT$7,
    "",
    VLOOKUP(AU12,AW$8:BC$507,6,FALSE())
)</f>
        <v/>
      </c>
      <c r="BJ12" s="46"/>
    </row>
    <row r="13" customFormat="false" ht="15.75" hidden="false" customHeight="false" outlineLevel="0" collapsed="false">
      <c r="A13" s="3"/>
      <c r="B13" s="77"/>
      <c r="C13" s="78"/>
      <c r="D13" s="79"/>
      <c r="E13" s="100"/>
      <c r="F13" s="81"/>
      <c r="G13" s="80"/>
      <c r="H13" s="101"/>
      <c r="I13" s="102"/>
      <c r="J13" s="101"/>
      <c r="K13" s="103"/>
      <c r="L13" s="85"/>
      <c r="M13" s="85" t="str">
        <f aca="false">IF(ISBLANK($C13),"",IF(ISBLANK(E13),0,E13))</f>
        <v/>
      </c>
      <c r="N13" s="85" t="str">
        <f aca="false">IF(ISBLANK($C13),"",IF(ISBLANK(F13),0,F13))</f>
        <v/>
      </c>
      <c r="O13" s="86" t="e">
        <f aca="false">IF(AND(NOT(ISBLANK($C13)),NOT($T13),COUNTA($E13:$K13)&gt;0),ISBLANK($F13),FALSE())</f>
        <v>#VALUE!</v>
      </c>
      <c r="P13" s="85" t="str">
        <f aca="false">IF(ISBLANK($C13),"",IF(G13=Constants!$B$9, TRUE(), IF(G13=Constants!$B$10, FALSE(), TRUE())))</f>
        <v/>
      </c>
      <c r="Q13" s="85" t="str">
        <f aca="false">IF(ISBLANK($C13),"",IF(H13=Constants!$B$9, TRUE(), IF(H13=Constants!$B$10, FALSE(), TRUE())))</f>
        <v/>
      </c>
      <c r="R13" s="85" t="str">
        <f aca="false">IF(ISBLANK($C13),"",IF(ISBLANK(I13),Constants!$B$3,I13))</f>
        <v/>
      </c>
      <c r="S13" s="85" t="str">
        <f aca="false">IF(ISBLANK($C13),"",IF(ISBLANK(J13),0,MIN(J13,Constants!$B$6)))</f>
        <v/>
      </c>
      <c r="T13" s="85" t="str">
        <f aca="false">IF(ISBLANK($C13),"",IF(K13=Constants!$B$9, TRUE(), IF(K13=Constants!$B$10, FALSE(),  FALSE())))</f>
        <v/>
      </c>
      <c r="U13" s="85" t="str">
        <f aca="false">IF(ISBLANK($C13),"",AND(R13=Constants!$B$4, S13&lt;Constants!$B$6))</f>
        <v/>
      </c>
      <c r="V13" s="85" t="str">
        <f aca="false">IF(ISBLANK(C13), "", IF(T13, Constants!$B$11, IF(COUNTA(E13:K13)=0, Constants!$B$12, IF(NOT(AND(P13,S13&lt;&gt;0)), Constants!$B$13, IF(O13, Constants!$B$15, Constants!$B$14)))))</f>
        <v/>
      </c>
      <c r="W13" s="85" t="str">
        <f aca="false">IF(OR(ISBLANK($C13), SUMPRODUCT(--(P13:T13&lt;&gt;""))=0), "", IF(V13&lt;&gt;Constants!$B$14, V13, IF(AND(NOT(ISBLANK(J13)),P13,Q13,R13&lt;&gt;Constants!$B$2), Constants!$B$7, IF(AND(P13,OR(NOT(Q13),R13=Constants!$B$2)), Constants!$B$8, "Error"))))</f>
        <v/>
      </c>
      <c r="X13" s="87" t="str">
        <f aca="false">IF(OR(W13=Constants!$B$7,W13=Constants!$B$8), MAX(0, MIN(Constants!$B$6, S13))+IF(AND(R13=Constants!$B$4, NOT(U13)), Constants!$B$5, 0), "")</f>
        <v/>
      </c>
      <c r="Y13" s="85" t="str">
        <f aca="false">IF(ISBLANK($C13),"",IF(AND(ISNUMBER(X13),N13&gt;0),X13/N13, "") )</f>
        <v/>
      </c>
      <c r="Z13" s="85" t="str">
        <f aca="false">IF(AND(NOT(ISBLANK($C13)), W13=Constants!$B$7), Y13, "")</f>
        <v/>
      </c>
      <c r="AA13" s="85" t="str">
        <f aca="false">IF(ISNUMBER(Z13), RANK(Z13,Z$8:Z$507), "")</f>
        <v/>
      </c>
      <c r="AB13" s="85" t="str">
        <f aca="false">IF(AND(NOT(ISBLANK($C13)), W13=Constants!$B$8), Y13, "")</f>
        <v/>
      </c>
      <c r="AC13" s="85" t="str">
        <f aca="false">IF(ISNUMBER(AB13), RANK(AB13,AB$8:AB$507), "")</f>
        <v/>
      </c>
      <c r="AD13" s="85" t="str">
        <f aca="false">IF(ISBLANK($C13),"",IF(V13&lt;&gt;Constants!$B$14, V13, IF(W13=Constants!$B$7, AA13, IF(W13=Constants!$B$8, COUNT($AA$8:$AA$507) + AC13, ""))))</f>
        <v/>
      </c>
      <c r="AE13" s="85" t="str">
        <f aca="false">N13</f>
        <v/>
      </c>
      <c r="AF13" s="85" t="str">
        <f aca="false">IF(ISNUMBER(AE13), RANK(AE13,AE$8:AE$507,1), "")</f>
        <v/>
      </c>
      <c r="AG13" s="88" t="str">
        <f aca="false">IF(ISBLANK(C13), "", ABS(M13-S13))</f>
        <v/>
      </c>
      <c r="AH13" s="85" t="str">
        <f aca="false">IF(ISNUMBER(AG13), RANK(AG13,AG$8:AG$507,1), "")</f>
        <v/>
      </c>
      <c r="AI13" s="85" t="str">
        <f aca="false">IF(ISBLANK(C13),"",IF(V13&lt;&gt;Constants!$B$14, V13, RANK(AD13, AD$8:AD$507, 1)+ SUMPRODUCT(--(AD$8:AD$507=AD13),--(AF13&gt;AF$8:AF$507)) + SUMPRODUCT(--(AD$8:AD$507=AD13),--(AF13=AF$8:AF$507),--(AH13&gt;AH$8:AH$507))))</f>
        <v/>
      </c>
      <c r="AJ13" s="85" t="str">
        <f aca="false">IF(ISBLANK(C13),"",IF(V13&lt;&gt;Constants!$B$14, V13, AD13-AI13))</f>
        <v/>
      </c>
      <c r="AK13" s="89"/>
      <c r="AL13" s="90" t="str">
        <f aca="false">IF(ISBLANK($C13),"",IF($V13&lt;&gt;Constants!$B$14,$V13,X13))</f>
        <v/>
      </c>
      <c r="AM13" s="90" t="str">
        <f aca="false">IF(ISBLANK($C13),"",IF($V13&lt;&gt;Constants!$B$14,$V13,N13))</f>
        <v/>
      </c>
      <c r="AN13" s="91" t="str">
        <f aca="false">IF(ISBLANK(C13),"",IF(V13&lt;&gt;Constants!$B$14, V13, IF(W13=Constants!$B$7,Z13,IF(W13=Constants!$B$8,AB13,""))))</f>
        <v/>
      </c>
      <c r="AO13" s="92" t="str">
        <f aca="false">IF(ISBLANK(C13),"",W13)</f>
        <v/>
      </c>
      <c r="AP13" s="92" t="str">
        <f aca="false">IF(ISBLANK(C13),"",AJ13)</f>
        <v/>
      </c>
      <c r="AQ13" s="92" t="str">
        <f aca="false">IF(ISBLANK(C13),"",AI13)</f>
        <v/>
      </c>
      <c r="AR13" s="93" t="str">
        <f aca="false">IF(ISBLANK(C13),
  "",
IF(AQ13=Constants!$B$11,COUNTA($C$8:$C$507)+2,IF(AQ13=Constants!$B$12,COUNTA($C$8:$C$507)+1,IF(AQ13=Constants!$B$13,COUNTA($C$8:$C$507),AQ13))))</f>
        <v/>
      </c>
      <c r="AS13" s="3"/>
      <c r="AT13" s="94" t="n">
        <f aca="false">IF(OR(ISNUMBER(AQ13),AQ13="DQ",AQ13="P",AQ13="NS"),
    1,
    0
)</f>
        <v>0</v>
      </c>
      <c r="AU13" s="94" t="n">
        <v>6</v>
      </c>
      <c r="AV13" s="94" t="str">
        <f aca="false">IF(ISBLANK($C13),
    "",
   IF(ISNUMBER(AR13),AR13+ROW($B13)/1000,"")
)</f>
        <v/>
      </c>
      <c r="AW13" s="94" t="str">
        <f aca="false">IF(ISNUMBER(AV13), RANK(AV13,AV$8:AV$507,1), "")</f>
        <v/>
      </c>
      <c r="AX13" s="94" t="str">
        <f aca="false">IF(ISBLANK($C13),
    "",
    $B13
)</f>
        <v/>
      </c>
      <c r="AY13" s="94" t="str">
        <f aca="false">IF(ISBLANK($C13),
    "",
    $C13
)</f>
        <v/>
      </c>
      <c r="AZ13" s="94" t="str">
        <f aca="false">IF(ISBLANK($C13),
    "",
    $D13
)</f>
        <v/>
      </c>
      <c r="BA13" s="94" t="str">
        <f aca="false">AO13</f>
        <v/>
      </c>
      <c r="BB13" s="95" t="str">
        <f aca="false">AN13</f>
        <v/>
      </c>
      <c r="BC13" s="94" t="str">
        <f aca="false">IF(ISBLANK($C13),
    "",
    AQ13
)</f>
        <v/>
      </c>
      <c r="BD13" s="96" t="str">
        <f aca="false">IF(AU13&gt;AT$7,
    "",
    VLOOKUP(AU13,AW$8:BC$507,7,FALSE())
)</f>
        <v/>
      </c>
      <c r="BE13" s="97" t="str">
        <f aca="false">IF(AU13&gt;AT$7,
    "",
    VLOOKUP(AU13,AW$8:BC$507,2,FALSE())
)</f>
        <v/>
      </c>
      <c r="BF13" s="97" t="str">
        <f aca="false">IF(AU13&gt;AT$7,
    "",
    VLOOKUP(AU13,AW$8:BC$507,3,FALSE())
)</f>
        <v/>
      </c>
      <c r="BG13" s="97" t="str">
        <f aca="false">IF(AU13&gt;AT$7,
    "",
    VLOOKUP(AU13,AW$8:BC$507,4,FALSE())
)</f>
        <v/>
      </c>
      <c r="BH13" s="97" t="str">
        <f aca="false">IF(AU13&gt;AT$7,
    "",
    VLOOKUP(AU13,AW$8:BC$507,5,FALSE())
)</f>
        <v/>
      </c>
      <c r="BI13" s="98" t="str">
        <f aca="false">IF(AU13&gt;AT$7,
    "",
    VLOOKUP(AU13,AW$8:BC$507,6,FALSE())
)</f>
        <v/>
      </c>
      <c r="BJ13" s="46"/>
    </row>
    <row r="14" customFormat="false" ht="15.75" hidden="false" customHeight="false" outlineLevel="0" collapsed="false">
      <c r="A14" s="3"/>
      <c r="B14" s="47"/>
      <c r="C14" s="48"/>
      <c r="D14" s="76"/>
      <c r="E14" s="50"/>
      <c r="F14" s="51"/>
      <c r="G14" s="50"/>
      <c r="H14" s="52"/>
      <c r="I14" s="53"/>
      <c r="J14" s="52"/>
      <c r="K14" s="54"/>
      <c r="L14" s="55"/>
      <c r="M14" s="55" t="str">
        <f aca="false">IF(ISBLANK($C14),"",IF(ISBLANK(E14),0,E14))</f>
        <v/>
      </c>
      <c r="N14" s="55" t="str">
        <f aca="false">IF(ISBLANK($C14),"",IF(ISBLANK(F14),0,F14))</f>
        <v/>
      </c>
      <c r="O14" s="55" t="e">
        <f aca="false">IF(AND(NOT(ISBLANK($C14)),NOT($T14),COUNTA($E14:$K14)&gt;0),ISBLANK($F14),FALSE())</f>
        <v>#VALUE!</v>
      </c>
      <c r="P14" s="55" t="str">
        <f aca="false">IF(ISBLANK($C14),"",IF(G14=Constants!$B$9, TRUE(), IF(G14=Constants!$B$10, FALSE(), TRUE())))</f>
        <v/>
      </c>
      <c r="Q14" s="55" t="str">
        <f aca="false">IF(ISBLANK($C14),"",IF(H14=Constants!$B$9, TRUE(), IF(H14=Constants!$B$10, FALSE(), TRUE())))</f>
        <v/>
      </c>
      <c r="R14" s="55" t="str">
        <f aca="false">IF(ISBLANK($C14),"",IF(ISBLANK(I14),Constants!$B$3,I14))</f>
        <v/>
      </c>
      <c r="S14" s="55" t="str">
        <f aca="false">IF(ISBLANK($C14),"",IF(ISBLANK(J14),0,MIN(J14,Constants!$B$6)))</f>
        <v/>
      </c>
      <c r="T14" s="55" t="str">
        <f aca="false">IF(ISBLANK($C14),"",IF(K14=Constants!$B$9, TRUE(), IF(K14=Constants!$B$10, FALSE(),  FALSE())))</f>
        <v/>
      </c>
      <c r="U14" s="55" t="str">
        <f aca="false">IF(ISBLANK($C14),"",AND(R14=Constants!$B$4, S14&lt;Constants!$B$6))</f>
        <v/>
      </c>
      <c r="V14" s="55" t="str">
        <f aca="false">IF(ISBLANK(C14), "", IF(T14, Constants!$B$11, IF(COUNTA(E14:K14)=0, Constants!$B$12, IF(NOT(AND(P14,S14&lt;&gt;0)), Constants!$B$13, IF(O14, Constants!$B$15, Constants!$B$14)))))</f>
        <v/>
      </c>
      <c r="W14" s="55" t="str">
        <f aca="false">IF(OR(ISBLANK($C14), SUMPRODUCT(--(P14:T14&lt;&gt;""))=0), "", IF(V14&lt;&gt;Constants!$B$14, V14, IF(AND(NOT(ISBLANK(J14)),P14,Q14,R14&lt;&gt;Constants!$B$2), Constants!$B$7, IF(AND(P14,OR(NOT(Q14),R14=Constants!$B$2)), Constants!$B$8, "Error"))))</f>
        <v/>
      </c>
      <c r="X14" s="56" t="str">
        <f aca="false">IF(OR(W14=Constants!$B$7,W14=Constants!$B$8), MAX(0, MIN(Constants!$B$6, S14))+IF(AND(R14=Constants!$B$4, NOT(U14)), Constants!$B$5, 0), "")</f>
        <v/>
      </c>
      <c r="Y14" s="55" t="str">
        <f aca="false">IF(ISBLANK($C14),"",IF(AND(ISNUMBER(X14),N14&gt;0),X14/N14, "") )</f>
        <v/>
      </c>
      <c r="Z14" s="55" t="str">
        <f aca="false">IF(AND(NOT(ISBLANK($C14)), W14=Constants!$B$7), Y14, "")</f>
        <v/>
      </c>
      <c r="AA14" s="55" t="str">
        <f aca="false">IF(ISNUMBER(Z14), RANK(Z14,Z$8:Z$507), "")</f>
        <v/>
      </c>
      <c r="AB14" s="55" t="str">
        <f aca="false">IF(AND(NOT(ISBLANK($C14)), W14=Constants!$B$8), Y14, "")</f>
        <v/>
      </c>
      <c r="AC14" s="55" t="str">
        <f aca="false">IF(ISNUMBER(AB14), RANK(AB14,AB$8:AB$507), "")</f>
        <v/>
      </c>
      <c r="AD14" s="55" t="str">
        <f aca="false">IF(ISBLANK($C14),"",IF(V14&lt;&gt;Constants!$B$14, V14, IF(W14=Constants!$B$7, AA14, IF(W14=Constants!$B$8, COUNT($AA$8:$AA$507) + AC14, ""))))</f>
        <v/>
      </c>
      <c r="AE14" s="55" t="str">
        <f aca="false">N14</f>
        <v/>
      </c>
      <c r="AF14" s="55" t="str">
        <f aca="false">IF(ISNUMBER(AE14), RANK(AE14,AE$8:AE$507,1), "")</f>
        <v/>
      </c>
      <c r="AG14" s="57" t="str">
        <f aca="false">IF(ISBLANK(C14), "", ABS(M14-S14))</f>
        <v/>
      </c>
      <c r="AH14" s="55" t="str">
        <f aca="false">IF(ISNUMBER(AG14), RANK(AG14,AG$8:AG$507,1), "")</f>
        <v/>
      </c>
      <c r="AI14" s="55" t="str">
        <f aca="false">IF(ISBLANK(C14),"",IF(V14&lt;&gt;Constants!$B$14, V14, RANK(AD14, AD$8:AD$507, 1)+ SUMPRODUCT(--(AD$8:AD$507=AD14),--(AF14&gt;AF$8:AF$507)) + SUMPRODUCT(--(AD$8:AD$507=AD14),--(AF14=AF$8:AF$507),--(AH14&gt;AH$8:AH$507))))</f>
        <v/>
      </c>
      <c r="AJ14" s="55" t="str">
        <f aca="false">IF(ISBLANK(C14),"",IF(V14&lt;&gt;Constants!$B$14, V14, AD14-AI14))</f>
        <v/>
      </c>
      <c r="AK14" s="59"/>
      <c r="AL14" s="60" t="str">
        <f aca="false">IF(ISBLANK($C14),"",IF($V14&lt;&gt;Constants!$B$14,$V14,X14))</f>
        <v/>
      </c>
      <c r="AM14" s="60" t="str">
        <f aca="false">IF(ISBLANK($C14),"",IF($V14&lt;&gt;Constants!$B$14,$V14,N14))</f>
        <v/>
      </c>
      <c r="AN14" s="62" t="str">
        <f aca="false">IF(ISBLANK(C14),"",IF(V14&lt;&gt;Constants!$B$14, V14, IF(W14=Constants!$B$7,Z14,IF(W14=Constants!$B$8,AB14,""))))</f>
        <v/>
      </c>
      <c r="AO14" s="63" t="str">
        <f aca="false">IF(ISBLANK(C14),"",W14)</f>
        <v/>
      </c>
      <c r="AP14" s="63" t="str">
        <f aca="false">IF(ISBLANK(C14),"",AJ14)</f>
        <v/>
      </c>
      <c r="AQ14" s="63" t="str">
        <f aca="false">IF(ISBLANK(C14),"",AI14)</f>
        <v/>
      </c>
      <c r="AR14" s="64" t="str">
        <f aca="false">IF(ISBLANK(C14),
  "",
IF(AQ14=Constants!$B$11,COUNTA($C$8:$C$507)+2,IF(AQ14=Constants!$B$12,COUNTA($C$8:$C$507)+1,IF(AQ14=Constants!$B$13,COUNTA($C$8:$C$507),AQ14))))</f>
        <v/>
      </c>
      <c r="AS14" s="3"/>
      <c r="AT14" s="65" t="n">
        <f aca="false">IF(OR(ISNUMBER(AQ14),AQ14="DQ",AQ14="P",AQ14="NS"),
    1,
    0
)</f>
        <v>0</v>
      </c>
      <c r="AU14" s="65" t="n">
        <v>7</v>
      </c>
      <c r="AV14" s="65" t="str">
        <f aca="false">IF(ISBLANK($C14),
    "",
   IF(ISNUMBER(AR14),AR14+ROW($B14)/1000,"")
)</f>
        <v/>
      </c>
      <c r="AW14" s="65" t="str">
        <f aca="false">IF(ISNUMBER(AV14), RANK(AV14,AV$8:AV$507,1), "")</f>
        <v/>
      </c>
      <c r="AX14" s="65" t="str">
        <f aca="false">IF(ISBLANK($C14),
    "",
    $B14
)</f>
        <v/>
      </c>
      <c r="AY14" s="65" t="str">
        <f aca="false">IF(ISBLANK($C14),
    "",
    $C14
)</f>
        <v/>
      </c>
      <c r="AZ14" s="65" t="str">
        <f aca="false">IF(ISBLANK($C14),
    "",
    $D14
)</f>
        <v/>
      </c>
      <c r="BA14" s="65" t="str">
        <f aca="false">AO14</f>
        <v/>
      </c>
      <c r="BB14" s="66" t="str">
        <f aca="false">AN14</f>
        <v/>
      </c>
      <c r="BC14" s="65" t="str">
        <f aca="false">IF(ISBLANK($C14),
    "",
    AQ14
)</f>
        <v/>
      </c>
      <c r="BD14" s="67" t="str">
        <f aca="false">IF(AU14&gt;AT$7,
    "",
    VLOOKUP(AU14,AW$8:BC$507,7,FALSE())
)</f>
        <v/>
      </c>
      <c r="BE14" s="68" t="str">
        <f aca="false">IF(AU14&gt;AT$7,
    "",
    VLOOKUP(AU14,AW$8:BC$507,2,FALSE())
)</f>
        <v/>
      </c>
      <c r="BF14" s="68" t="str">
        <f aca="false">IF(AU14&gt;AT$7,
    "",
    VLOOKUP(AU14,AW$8:BC$507,3,FALSE())
)</f>
        <v/>
      </c>
      <c r="BG14" s="68" t="str">
        <f aca="false">IF(AU14&gt;AT$7,
    "",
    VLOOKUP(AU14,AW$8:BC$507,4,FALSE())
)</f>
        <v/>
      </c>
      <c r="BH14" s="68" t="str">
        <f aca="false">IF(AU14&gt;AT$7,
    "",
    VLOOKUP(AU14,AW$8:BC$507,5,FALSE())
)</f>
        <v/>
      </c>
      <c r="BI14" s="69" t="str">
        <f aca="false">IF(AU14&gt;AT$7,
    "",
    VLOOKUP(AU14,AW$8:BC$507,6,FALSE())
)</f>
        <v/>
      </c>
      <c r="BJ14" s="46"/>
    </row>
    <row r="15" customFormat="false" ht="15.75" hidden="false" customHeight="false" outlineLevel="0" collapsed="false">
      <c r="A15" s="3"/>
      <c r="B15" s="47"/>
      <c r="C15" s="48"/>
      <c r="D15" s="49"/>
      <c r="E15" s="71"/>
      <c r="F15" s="72"/>
      <c r="G15" s="71"/>
      <c r="H15" s="73"/>
      <c r="I15" s="104"/>
      <c r="J15" s="73"/>
      <c r="K15" s="54"/>
      <c r="L15" s="55"/>
      <c r="M15" s="55" t="str">
        <f aca="false">IF(ISBLANK($C15),"",IF(ISBLANK(E15),0,E15))</f>
        <v/>
      </c>
      <c r="N15" s="55" t="str">
        <f aca="false">IF(ISBLANK($C15),"",IF(ISBLANK(F15),0,F15))</f>
        <v/>
      </c>
      <c r="O15" s="55" t="e">
        <f aca="false">IF(AND(NOT(ISBLANK($C15)),NOT($T15),COUNTA($E15:$K15)&gt;0),ISBLANK($F15),FALSE())</f>
        <v>#VALUE!</v>
      </c>
      <c r="P15" s="55" t="str">
        <f aca="false">IF(ISBLANK($C15),"",IF(G15=Constants!$B$9, TRUE(), IF(G15=Constants!$B$10, FALSE(), TRUE())))</f>
        <v/>
      </c>
      <c r="Q15" s="55" t="str">
        <f aca="false">IF(ISBLANK($C15),"",IF(H15=Constants!$B$9, TRUE(), IF(H15=Constants!$B$10, FALSE(), TRUE())))</f>
        <v/>
      </c>
      <c r="R15" s="55" t="str">
        <f aca="false">IF(ISBLANK($C15),"",IF(ISBLANK(I15),Constants!$B$3,I15))</f>
        <v/>
      </c>
      <c r="S15" s="55" t="str">
        <f aca="false">IF(ISBLANK($C15),"",IF(ISBLANK(J15),0,MIN(J15,Constants!$B$6)))</f>
        <v/>
      </c>
      <c r="T15" s="55" t="str">
        <f aca="false">IF(ISBLANK($C15),"",IF(K15=Constants!$B$9, TRUE(), IF(K15=Constants!$B$10, FALSE(),  FALSE())))</f>
        <v/>
      </c>
      <c r="U15" s="55" t="str">
        <f aca="false">IF(ISBLANK($C15),"",AND(R15=Constants!$B$4, S15&lt;Constants!$B$6))</f>
        <v/>
      </c>
      <c r="V15" s="55" t="str">
        <f aca="false">IF(ISBLANK(C15), "", IF(T15, Constants!$B$11, IF(COUNTA(E15:K15)=0, Constants!$B$12, IF(NOT(AND(P15,S15&lt;&gt;0)), Constants!$B$13, IF(O15, Constants!$B$15, Constants!$B$14)))))</f>
        <v/>
      </c>
      <c r="W15" s="55" t="str">
        <f aca="false">IF(OR(ISBLANK($C15), SUMPRODUCT(--(P15:T15&lt;&gt;""))=0), "", IF(V15&lt;&gt;Constants!$B$14, V15, IF(AND(NOT(ISBLANK(J15)),P15,Q15,R15&lt;&gt;Constants!$B$2), Constants!$B$7, IF(AND(P15,OR(NOT(Q15),R15=Constants!$B$2)), Constants!$B$8, "Error"))))</f>
        <v/>
      </c>
      <c r="X15" s="56" t="str">
        <f aca="false">IF(OR(W15=Constants!$B$7,W15=Constants!$B$8), MAX(0, MIN(Constants!$B$6, S15))+IF(AND(R15=Constants!$B$4, NOT(U15)), Constants!$B$5, 0), "")</f>
        <v/>
      </c>
      <c r="Y15" s="55" t="str">
        <f aca="false">IF(ISBLANK($C15),"",IF(AND(ISNUMBER(X15),N15&gt;0),X15/N15, "") )</f>
        <v/>
      </c>
      <c r="Z15" s="55" t="str">
        <f aca="false">IF(AND(NOT(ISBLANK($C15)), W15=Constants!$B$7), Y15, "")</f>
        <v/>
      </c>
      <c r="AA15" s="55" t="str">
        <f aca="false">IF(ISNUMBER(Z15), RANK(Z15,Z$8:Z$507), "")</f>
        <v/>
      </c>
      <c r="AB15" s="55" t="str">
        <f aca="false">IF(AND(NOT(ISBLANK($C15)), W15=Constants!$B$8), Y15, "")</f>
        <v/>
      </c>
      <c r="AC15" s="55" t="str">
        <f aca="false">IF(ISNUMBER(AB15), RANK(AB15,AB$8:AB$507), "")</f>
        <v/>
      </c>
      <c r="AD15" s="55" t="str">
        <f aca="false">IF(ISBLANK($C15),"",IF(V15&lt;&gt;Constants!$B$14, V15, IF(W15=Constants!$B$7, AA15, IF(W15=Constants!$B$8, COUNT($AA$8:$AA$507) + AC15, ""))))</f>
        <v/>
      </c>
      <c r="AE15" s="55" t="str">
        <f aca="false">N15</f>
        <v/>
      </c>
      <c r="AF15" s="55" t="str">
        <f aca="false">IF(ISNUMBER(AE15), RANK(AE15,AE$8:AE$507,1), "")</f>
        <v/>
      </c>
      <c r="AG15" s="57" t="str">
        <f aca="false">IF(ISBLANK(C15), "", ABS(M15-S15))</f>
        <v/>
      </c>
      <c r="AH15" s="55" t="str">
        <f aca="false">IF(ISNUMBER(AG15), RANK(AG15,AG$8:AG$507,1), "")</f>
        <v/>
      </c>
      <c r="AI15" s="55" t="str">
        <f aca="false">IF(ISBLANK(C15),"",IF(V15&lt;&gt;Constants!$B$14, V15, RANK(AD15, AD$8:AD$507, 1)+ SUMPRODUCT(--(AD$8:AD$507=AD15),--(AF15&gt;AF$8:AF$507)) + SUMPRODUCT(--(AD$8:AD$507=AD15),--(AF15=AF$8:AF$507),--(AH15&gt;AH$8:AH$507))))</f>
        <v/>
      </c>
      <c r="AJ15" s="55" t="str">
        <f aca="false">IF(ISBLANK(C15),"",IF(V15&lt;&gt;Constants!$B$14, V15, AD15-AI15))</f>
        <v/>
      </c>
      <c r="AK15" s="59"/>
      <c r="AL15" s="60" t="str">
        <f aca="false">IF(ISBLANK($C15),"",IF($V15&lt;&gt;Constants!$B$14,$V15,X15))</f>
        <v/>
      </c>
      <c r="AM15" s="60" t="str">
        <f aca="false">IF(ISBLANK($C15),"",IF($V15&lt;&gt;Constants!$B$14,$V15,N15))</f>
        <v/>
      </c>
      <c r="AN15" s="62" t="str">
        <f aca="false">IF(ISBLANK(C15),"",IF(V15&lt;&gt;Constants!$B$14, V15, IF(W15=Constants!$B$7,Z15,IF(W15=Constants!$B$8,AB15,""))))</f>
        <v/>
      </c>
      <c r="AO15" s="63" t="str">
        <f aca="false">IF(ISBLANK(C15),"",W15)</f>
        <v/>
      </c>
      <c r="AP15" s="63" t="str">
        <f aca="false">IF(ISBLANK(C15),"",AJ15)</f>
        <v/>
      </c>
      <c r="AQ15" s="63" t="str">
        <f aca="false">IF(ISBLANK(C15),"",AI15)</f>
        <v/>
      </c>
      <c r="AR15" s="64" t="str">
        <f aca="false">IF(ISBLANK(C15),
  "",
IF(AQ15=Constants!$B$11,COUNTA($C$8:$C$507)+2,IF(AQ15=Constants!$B$12,COUNTA($C$8:$C$507)+1,IF(AQ15=Constants!$B$13,COUNTA($C$8:$C$507),AQ15))))</f>
        <v/>
      </c>
      <c r="AS15" s="3"/>
      <c r="AT15" s="65" t="n">
        <f aca="false">IF(OR(ISNUMBER(AQ15),AQ15="DQ",AQ15="P",AQ15="NS"),
    1,
    0
)</f>
        <v>0</v>
      </c>
      <c r="AU15" s="65" t="n">
        <v>8</v>
      </c>
      <c r="AV15" s="65" t="str">
        <f aca="false">IF(ISBLANK($C15),
    "",
   IF(ISNUMBER(AR15),AR15+ROW($B15)/1000,"")
)</f>
        <v/>
      </c>
      <c r="AW15" s="65" t="str">
        <f aca="false">IF(ISNUMBER(AV15), RANK(AV15,AV$8:AV$507,1), "")</f>
        <v/>
      </c>
      <c r="AX15" s="65" t="str">
        <f aca="false">IF(ISBLANK($C15),
    "",
    $B15
)</f>
        <v/>
      </c>
      <c r="AY15" s="65" t="str">
        <f aca="false">IF(ISBLANK($C15),
    "",
    $C15
)</f>
        <v/>
      </c>
      <c r="AZ15" s="65" t="str">
        <f aca="false">IF(ISBLANK($C15),
    "",
    $D15
)</f>
        <v/>
      </c>
      <c r="BA15" s="65" t="str">
        <f aca="false">AO15</f>
        <v/>
      </c>
      <c r="BB15" s="66" t="str">
        <f aca="false">AN15</f>
        <v/>
      </c>
      <c r="BC15" s="65" t="str">
        <f aca="false">IF(ISBLANK($C15),
    "",
    AQ15
)</f>
        <v/>
      </c>
      <c r="BD15" s="67" t="str">
        <f aca="false">IF(AU15&gt;AT$7,
    "",
    VLOOKUP(AU15,AW$8:BC$507,7,FALSE())
)</f>
        <v/>
      </c>
      <c r="BE15" s="68" t="str">
        <f aca="false">IF(AU15&gt;AT$7,
    "",
    VLOOKUP(AU15,AW$8:BC$507,2,FALSE())
)</f>
        <v/>
      </c>
      <c r="BF15" s="68" t="str">
        <f aca="false">IF(AU15&gt;AT$7,
    "",
    VLOOKUP(AU15,AW$8:BC$507,3,FALSE())
)</f>
        <v/>
      </c>
      <c r="BG15" s="68" t="str">
        <f aca="false">IF(AU15&gt;AT$7,
    "",
    VLOOKUP(AU15,AW$8:BC$507,4,FALSE())
)</f>
        <v/>
      </c>
      <c r="BH15" s="68" t="str">
        <f aca="false">IF(AU15&gt;AT$7,
    "",
    VLOOKUP(AU15,AW$8:BC$507,5,FALSE())
)</f>
        <v/>
      </c>
      <c r="BI15" s="69" t="str">
        <f aca="false">IF(AU15&gt;AT$7,
    "",
    VLOOKUP(AU15,AW$8:BC$507,6,FALSE())
)</f>
        <v/>
      </c>
      <c r="BJ15" s="46"/>
    </row>
    <row r="16" customFormat="false" ht="15.75" hidden="false" customHeight="false" outlineLevel="0" collapsed="false">
      <c r="A16" s="3"/>
      <c r="B16" s="47"/>
      <c r="C16" s="48"/>
      <c r="D16" s="49"/>
      <c r="E16" s="50"/>
      <c r="F16" s="51"/>
      <c r="G16" s="50"/>
      <c r="H16" s="52"/>
      <c r="I16" s="53"/>
      <c r="J16" s="52"/>
      <c r="K16" s="54"/>
      <c r="L16" s="55"/>
      <c r="M16" s="55" t="str">
        <f aca="false">IF(ISBLANK($C16),"",IF(ISBLANK(E16),0,E16))</f>
        <v/>
      </c>
      <c r="N16" s="55" t="str">
        <f aca="false">IF(ISBLANK($C16),"",IF(ISBLANK(F16),0,F16))</f>
        <v/>
      </c>
      <c r="O16" s="55" t="e">
        <f aca="false">IF(AND(NOT(ISBLANK($C16)),NOT($T16),COUNTA($E16:$K16)&gt;0),ISBLANK($F16),FALSE())</f>
        <v>#VALUE!</v>
      </c>
      <c r="P16" s="55" t="str">
        <f aca="false">IF(ISBLANK($C16),"",IF(G16=Constants!$B$9, TRUE(), IF(G16=Constants!$B$10, FALSE(), TRUE())))</f>
        <v/>
      </c>
      <c r="Q16" s="55" t="str">
        <f aca="false">IF(ISBLANK($C16),"",IF(H16=Constants!$B$9, TRUE(), IF(H16=Constants!$B$10, FALSE(), TRUE())))</f>
        <v/>
      </c>
      <c r="R16" s="55" t="str">
        <f aca="false">IF(ISBLANK($C16),"",IF(ISBLANK(I16),Constants!$B$3,I16))</f>
        <v/>
      </c>
      <c r="S16" s="55" t="str">
        <f aca="false">IF(ISBLANK($C16),"",IF(ISBLANK(J16),0,MIN(J16,Constants!$B$6)))</f>
        <v/>
      </c>
      <c r="T16" s="55" t="str">
        <f aca="false">IF(ISBLANK($C16),"",IF(K16=Constants!$B$9, TRUE(), IF(K16=Constants!$B$10, FALSE(),  FALSE())))</f>
        <v/>
      </c>
      <c r="U16" s="55" t="str">
        <f aca="false">IF(ISBLANK($C16),"",AND(R16=Constants!$B$4, S16&lt;Constants!$B$6))</f>
        <v/>
      </c>
      <c r="V16" s="55" t="str">
        <f aca="false">IF(ISBLANK(C16), "", IF(T16, Constants!$B$11, IF(COUNTA(E16:K16)=0, Constants!$B$12, IF(NOT(AND(P16,S16&lt;&gt;0)), Constants!$B$13, IF(O16, Constants!$B$15, Constants!$B$14)))))</f>
        <v/>
      </c>
      <c r="W16" s="55" t="str">
        <f aca="false">IF(OR(ISBLANK($C16), SUMPRODUCT(--(P16:T16&lt;&gt;""))=0), "", IF(V16&lt;&gt;Constants!$B$14, V16, IF(AND(NOT(ISBLANK(J16)),P16,Q16,R16&lt;&gt;Constants!$B$2), Constants!$B$7, IF(AND(P16,OR(NOT(Q16),R16=Constants!$B$2)), Constants!$B$8, "Error"))))</f>
        <v/>
      </c>
      <c r="X16" s="56" t="str">
        <f aca="false">IF(OR(W16=Constants!$B$7,W16=Constants!$B$8), MAX(0, MIN(Constants!$B$6, S16))+IF(AND(R16=Constants!$B$4, NOT(U16)), Constants!$B$5, 0), "")</f>
        <v/>
      </c>
      <c r="Y16" s="55" t="str">
        <f aca="false">IF(ISBLANK($C16),"",IF(AND(ISNUMBER(X16),N16&gt;0),X16/N16, "") )</f>
        <v/>
      </c>
      <c r="Z16" s="55" t="str">
        <f aca="false">IF(AND(NOT(ISBLANK($C16)), W16=Constants!$B$7), Y16, "")</f>
        <v/>
      </c>
      <c r="AA16" s="55" t="str">
        <f aca="false">IF(ISNUMBER(Z16), RANK(Z16,Z$8:Z$507), "")</f>
        <v/>
      </c>
      <c r="AB16" s="55" t="str">
        <f aca="false">IF(AND(NOT(ISBLANK($C16)), W16=Constants!$B$8), Y16, "")</f>
        <v/>
      </c>
      <c r="AC16" s="55" t="str">
        <f aca="false">IF(ISNUMBER(AB16), RANK(AB16,AB$8:AB$507), "")</f>
        <v/>
      </c>
      <c r="AD16" s="55" t="str">
        <f aca="false">IF(ISBLANK($C16),"",IF(V16&lt;&gt;Constants!$B$14, V16, IF(W16=Constants!$B$7, AA16, IF(W16=Constants!$B$8, COUNT($AA$8:$AA$507) + AC16, ""))))</f>
        <v/>
      </c>
      <c r="AE16" s="55" t="str">
        <f aca="false">N16</f>
        <v/>
      </c>
      <c r="AF16" s="55" t="str">
        <f aca="false">IF(ISNUMBER(AE16), RANK(AE16,AE$8:AE$507,1), "")</f>
        <v/>
      </c>
      <c r="AG16" s="57" t="str">
        <f aca="false">IF(ISBLANK(C16), "", ABS(M16-S16))</f>
        <v/>
      </c>
      <c r="AH16" s="55" t="str">
        <f aca="false">IF(ISNUMBER(AG16), RANK(AG16,AG$8:AG$507,1), "")</f>
        <v/>
      </c>
      <c r="AI16" s="55" t="str">
        <f aca="false">IF(ISBLANK(C16),"",IF(V16&lt;&gt;Constants!$B$14, V16, RANK(AD16, AD$8:AD$507, 1)+ SUMPRODUCT(--(AD$8:AD$507=AD16),--(AF16&gt;AF$8:AF$507)) + SUMPRODUCT(--(AD$8:AD$507=AD16),--(AF16=AF$8:AF$507),--(AH16&gt;AH$8:AH$507))))</f>
        <v/>
      </c>
      <c r="AJ16" s="55" t="str">
        <f aca="false">IF(ISBLANK(C16),"",IF(V16&lt;&gt;Constants!$B$14, V16, AD16-AI16))</f>
        <v/>
      </c>
      <c r="AK16" s="59"/>
      <c r="AL16" s="60" t="str">
        <f aca="false">IF(ISBLANK($C16),"",IF($V16&lt;&gt;Constants!$B$14,$V16,X16))</f>
        <v/>
      </c>
      <c r="AM16" s="60" t="str">
        <f aca="false">IF(ISBLANK($C16),"",IF($V16&lt;&gt;Constants!$B$14,$V16,N16))</f>
        <v/>
      </c>
      <c r="AN16" s="62" t="str">
        <f aca="false">IF(ISBLANK(C16),"",IF(V16&lt;&gt;Constants!$B$14, V16, IF(W16=Constants!$B$7,Z16,IF(W16=Constants!$B$8,AB16,""))))</f>
        <v/>
      </c>
      <c r="AO16" s="63" t="str">
        <f aca="false">IF(ISBLANK(C16),"",W16)</f>
        <v/>
      </c>
      <c r="AP16" s="63" t="str">
        <f aca="false">IF(ISBLANK(C16),"",AJ16)</f>
        <v/>
      </c>
      <c r="AQ16" s="63" t="str">
        <f aca="false">IF(ISBLANK(C16),"",AI16)</f>
        <v/>
      </c>
      <c r="AR16" s="64" t="str">
        <f aca="false">IF(ISBLANK(C16),
  "",
IF(AQ16=Constants!$B$11,COUNTA($C$8:$C$507)+2,IF(AQ16=Constants!$B$12,COUNTA($C$8:$C$507)+1,IF(AQ16=Constants!$B$13,COUNTA($C$8:$C$507),AQ16))))</f>
        <v/>
      </c>
      <c r="AS16" s="3"/>
      <c r="AT16" s="65" t="n">
        <f aca="false">IF(OR(ISNUMBER(AQ16),AQ16="DQ",AQ16="P",AQ16="NS"),
    1,
    0
)</f>
        <v>0</v>
      </c>
      <c r="AU16" s="65" t="n">
        <v>9</v>
      </c>
      <c r="AV16" s="65" t="str">
        <f aca="false">IF(ISBLANK($C16),
    "",
   IF(ISNUMBER(AR16),AR16+ROW($B16)/1000,"")
)</f>
        <v/>
      </c>
      <c r="AW16" s="65" t="str">
        <f aca="false">IF(ISNUMBER(AV16), RANK(AV16,AV$8:AV$507,1), "")</f>
        <v/>
      </c>
      <c r="AX16" s="65" t="str">
        <f aca="false">IF(ISBLANK($C16),
    "",
    $B16
)</f>
        <v/>
      </c>
      <c r="AY16" s="65" t="str">
        <f aca="false">IF(ISBLANK($C16),
    "",
    $C16
)</f>
        <v/>
      </c>
      <c r="AZ16" s="65" t="str">
        <f aca="false">IF(ISBLANK($C16),
    "",
    $D16
)</f>
        <v/>
      </c>
      <c r="BA16" s="65" t="str">
        <f aca="false">AO16</f>
        <v/>
      </c>
      <c r="BB16" s="66" t="str">
        <f aca="false">AN16</f>
        <v/>
      </c>
      <c r="BC16" s="65" t="str">
        <f aca="false">IF(ISBLANK($C16),
    "",
    AQ16
)</f>
        <v/>
      </c>
      <c r="BD16" s="67" t="str">
        <f aca="false">IF(AU16&gt;AT$7,
    "",
    VLOOKUP(AU16,AW$8:BC$507,7,FALSE())
)</f>
        <v/>
      </c>
      <c r="BE16" s="68" t="str">
        <f aca="false">IF(AU16&gt;AT$7,
    "",
    VLOOKUP(AU16,AW$8:BC$507,2,FALSE())
)</f>
        <v/>
      </c>
      <c r="BF16" s="68" t="str">
        <f aca="false">IF(AU16&gt;AT$7,
    "",
    VLOOKUP(AU16,AW$8:BC$507,3,FALSE())
)</f>
        <v/>
      </c>
      <c r="BG16" s="68" t="str">
        <f aca="false">IF(AU16&gt;AT$7,
    "",
    VLOOKUP(AU16,AW$8:BC$507,4,FALSE())
)</f>
        <v/>
      </c>
      <c r="BH16" s="68" t="str">
        <f aca="false">IF(AU16&gt;AT$7,
    "",
    VLOOKUP(AU16,AW$8:BC$507,5,FALSE())
)</f>
        <v/>
      </c>
      <c r="BI16" s="69" t="str">
        <f aca="false">IF(AU16&gt;AT$7,
    "",
    VLOOKUP(AU16,AW$8:BC$507,6,FALSE())
)</f>
        <v/>
      </c>
      <c r="BJ16" s="46"/>
    </row>
    <row r="17" customFormat="false" ht="15.75" hidden="false" customHeight="false" outlineLevel="0" collapsed="false">
      <c r="A17" s="3"/>
      <c r="B17" s="105"/>
      <c r="C17" s="106"/>
      <c r="D17" s="99"/>
      <c r="E17" s="100"/>
      <c r="F17" s="107"/>
      <c r="G17" s="100"/>
      <c r="H17" s="101"/>
      <c r="I17" s="102"/>
      <c r="J17" s="101"/>
      <c r="K17" s="103"/>
      <c r="L17" s="85"/>
      <c r="M17" s="85" t="str">
        <f aca="false">IF(ISBLANK($C17),"",IF(ISBLANK(E17),0,E17))</f>
        <v/>
      </c>
      <c r="N17" s="85" t="str">
        <f aca="false">IF(ISBLANK($C17),"",IF(ISBLANK(F17),0,F17))</f>
        <v/>
      </c>
      <c r="O17" s="86" t="e">
        <f aca="false">IF(AND(NOT(ISBLANK($C17)),NOT($T17),COUNTA($E17:$K17)&gt;0),ISBLANK($F17),FALSE())</f>
        <v>#VALUE!</v>
      </c>
      <c r="P17" s="85" t="str">
        <f aca="false">IF(ISBLANK($C17),"",IF(G17=Constants!$B$9, TRUE(), IF(G17=Constants!$B$10, FALSE(), TRUE())))</f>
        <v/>
      </c>
      <c r="Q17" s="85" t="str">
        <f aca="false">IF(ISBLANK($C17),"",IF(H17=Constants!$B$9, TRUE(), IF(H17=Constants!$B$10, FALSE(), TRUE())))</f>
        <v/>
      </c>
      <c r="R17" s="85" t="str">
        <f aca="false">IF(ISBLANK($C17),"",IF(ISBLANK(I17),Constants!$B$3,I17))</f>
        <v/>
      </c>
      <c r="S17" s="85" t="str">
        <f aca="false">IF(ISBLANK($C17),"",IF(ISBLANK(J17),0,MIN(J17,Constants!$B$6)))</f>
        <v/>
      </c>
      <c r="T17" s="85" t="str">
        <f aca="false">IF(ISBLANK($C17),"",IF(K17=Constants!$B$9, TRUE(), IF(K17=Constants!$B$10, FALSE(),  FALSE())))</f>
        <v/>
      </c>
      <c r="U17" s="85" t="str">
        <f aca="false">IF(ISBLANK($C17),"",AND(R17=Constants!$B$4, S17&lt;Constants!$B$6))</f>
        <v/>
      </c>
      <c r="V17" s="85" t="str">
        <f aca="false">IF(ISBLANK(C17), "", IF(T17, Constants!$B$11, IF(COUNTA(E17:K17)=0, Constants!$B$12, IF(NOT(AND(P17,S17&lt;&gt;0)), Constants!$B$13, IF(O17, Constants!$B$15, Constants!$B$14)))))</f>
        <v/>
      </c>
      <c r="W17" s="85" t="str">
        <f aca="false">IF(OR(ISBLANK($C17), SUMPRODUCT(--(P17:T17&lt;&gt;""))=0), "", IF(V17&lt;&gt;Constants!$B$14, V17, IF(AND(NOT(ISBLANK(J17)),P17,Q17,R17&lt;&gt;Constants!$B$2), Constants!$B$7, IF(AND(P17,OR(NOT(Q17),R17=Constants!$B$2)), Constants!$B$8, "Error"))))</f>
        <v/>
      </c>
      <c r="X17" s="87" t="str">
        <f aca="false">IF(OR(W17=Constants!$B$7,W17=Constants!$B$8), MAX(0, MIN(Constants!$B$6, S17))+IF(AND(R17=Constants!$B$4, NOT(U17)), Constants!$B$5, 0), "")</f>
        <v/>
      </c>
      <c r="Y17" s="85" t="str">
        <f aca="false">IF(ISBLANK($C17),"",IF(AND(ISNUMBER(X17),N17&gt;0),X17/N17, "") )</f>
        <v/>
      </c>
      <c r="Z17" s="85" t="str">
        <f aca="false">IF(AND(NOT(ISBLANK($C17)), W17=Constants!$B$7), Y17, "")</f>
        <v/>
      </c>
      <c r="AA17" s="85" t="str">
        <f aca="false">IF(ISNUMBER(Z17), RANK(Z17,Z$8:Z$507), "")</f>
        <v/>
      </c>
      <c r="AB17" s="85" t="str">
        <f aca="false">IF(AND(NOT(ISBLANK($C17)), W17=Constants!$B$8), Y17, "")</f>
        <v/>
      </c>
      <c r="AC17" s="85" t="str">
        <f aca="false">IF(ISNUMBER(AB17), RANK(AB17,AB$8:AB$507), "")</f>
        <v/>
      </c>
      <c r="AD17" s="85" t="str">
        <f aca="false">IF(ISBLANK($C17),"",IF(V17&lt;&gt;Constants!$B$14, V17, IF(W17=Constants!$B$7, AA17, IF(W17=Constants!$B$8, COUNT($AA$8:$AA$507) + AC17, ""))))</f>
        <v/>
      </c>
      <c r="AE17" s="85" t="str">
        <f aca="false">N17</f>
        <v/>
      </c>
      <c r="AF17" s="85" t="str">
        <f aca="false">IF(ISNUMBER(AE17), RANK(AE17,AE$8:AE$507,1), "")</f>
        <v/>
      </c>
      <c r="AG17" s="88" t="str">
        <f aca="false">IF(ISBLANK(C17), "", ABS(M17-S17))</f>
        <v/>
      </c>
      <c r="AH17" s="85" t="str">
        <f aca="false">IF(ISNUMBER(AG17), RANK(AG17,AG$8:AG$507,1), "")</f>
        <v/>
      </c>
      <c r="AI17" s="85" t="str">
        <f aca="false">IF(ISBLANK(C17),"",IF(V17&lt;&gt;Constants!$B$14, V17, RANK(AD17, AD$8:AD$507, 1)+ SUMPRODUCT(--(AD$8:AD$507=AD17),--(AF17&gt;AF$8:AF$507)) + SUMPRODUCT(--(AD$8:AD$507=AD17),--(AF17=AF$8:AF$507),--(AH17&gt;AH$8:AH$507))))</f>
        <v/>
      </c>
      <c r="AJ17" s="85" t="str">
        <f aca="false">IF(ISBLANK(C17),"",IF(V17&lt;&gt;Constants!$B$14, V17, AD17-AI17))</f>
        <v/>
      </c>
      <c r="AK17" s="89"/>
      <c r="AL17" s="90" t="str">
        <f aca="false">IF(ISBLANK($C17),"",IF($V17&lt;&gt;Constants!$B$14,$V17,X17))</f>
        <v/>
      </c>
      <c r="AM17" s="90" t="str">
        <f aca="false">IF(ISBLANK($C17),"",IF($V17&lt;&gt;Constants!$B$14,$V17,N17))</f>
        <v/>
      </c>
      <c r="AN17" s="91" t="str">
        <f aca="false">IF(ISBLANK(C17),"",IF(V17&lt;&gt;Constants!$B$14, V17, IF(W17=Constants!$B$7,Z17,IF(W17=Constants!$B$8,AB17,""))))</f>
        <v/>
      </c>
      <c r="AO17" s="92" t="str">
        <f aca="false">IF(ISBLANK(C17),"",W17)</f>
        <v/>
      </c>
      <c r="AP17" s="92" t="str">
        <f aca="false">IF(ISBLANK(C17),"",AJ17)</f>
        <v/>
      </c>
      <c r="AQ17" s="92" t="str">
        <f aca="false">IF(ISBLANK(C17),"",AI17)</f>
        <v/>
      </c>
      <c r="AR17" s="93" t="str">
        <f aca="false">IF(ISBLANK(C17),
  "",
IF(AQ17=Constants!$B$11,COUNTA($C$8:$C$507)+2,IF(AQ17=Constants!$B$12,COUNTA($C$8:$C$507)+1,IF(AQ17=Constants!$B$13,COUNTA($C$8:$C$507),AQ17))))</f>
        <v/>
      </c>
      <c r="AS17" s="3"/>
      <c r="AT17" s="94" t="n">
        <f aca="false">IF(OR(ISNUMBER(AQ17),AQ17="DQ",AQ17="P",AQ17="NS"),
    1,
    0
)</f>
        <v>0</v>
      </c>
      <c r="AU17" s="94" t="n">
        <v>10</v>
      </c>
      <c r="AV17" s="94" t="str">
        <f aca="false">IF(ISBLANK($C17),
    "",
   IF(ISNUMBER(AR17),AR17+ROW($B17)/1000,"")
)</f>
        <v/>
      </c>
      <c r="AW17" s="94" t="str">
        <f aca="false">IF(ISNUMBER(AV17), RANK(AV17,AV$8:AV$507,1), "")</f>
        <v/>
      </c>
      <c r="AX17" s="94" t="str">
        <f aca="false">IF(ISBLANK($C17),
    "",
    $B17
)</f>
        <v/>
      </c>
      <c r="AY17" s="94" t="str">
        <f aca="false">IF(ISBLANK($C17),
    "",
    $C17
)</f>
        <v/>
      </c>
      <c r="AZ17" s="94" t="str">
        <f aca="false">IF(ISBLANK($C17),
    "",
    $D17
)</f>
        <v/>
      </c>
      <c r="BA17" s="94" t="str">
        <f aca="false">AO17</f>
        <v/>
      </c>
      <c r="BB17" s="95" t="str">
        <f aca="false">AN17</f>
        <v/>
      </c>
      <c r="BC17" s="94" t="str">
        <f aca="false">IF(ISBLANK($C17),
    "",
    AQ17
)</f>
        <v/>
      </c>
      <c r="BD17" s="96" t="str">
        <f aca="false">IF(AU17&gt;AT$7,
    "",
    VLOOKUP(AU17,AW$8:BC$507,7,FALSE())
)</f>
        <v/>
      </c>
      <c r="BE17" s="97" t="str">
        <f aca="false">IF(AU17&gt;AT$7,
    "",
    VLOOKUP(AU17,AW$8:BC$507,2,FALSE())
)</f>
        <v/>
      </c>
      <c r="BF17" s="97" t="str">
        <f aca="false">IF(AU17&gt;AT$7,
    "",
    VLOOKUP(AU17,AW$8:BC$507,3,FALSE())
)</f>
        <v/>
      </c>
      <c r="BG17" s="97" t="str">
        <f aca="false">IF(AU17&gt;AT$7,
    "",
    VLOOKUP(AU17,AW$8:BC$507,4,FALSE())
)</f>
        <v/>
      </c>
      <c r="BH17" s="97" t="str">
        <f aca="false">IF(AU17&gt;AT$7,
    "",
    VLOOKUP(AU17,AW$8:BC$507,5,FALSE())
)</f>
        <v/>
      </c>
      <c r="BI17" s="98" t="str">
        <f aca="false">IF(AU17&gt;AT$7,
    "",
    VLOOKUP(AU17,AW$8:BC$507,6,FALSE())
)</f>
        <v/>
      </c>
      <c r="BJ17" s="46"/>
    </row>
    <row r="18" customFormat="false" ht="15.75" hidden="false" customHeight="false" outlineLevel="0" collapsed="false">
      <c r="A18" s="3"/>
      <c r="B18" s="105"/>
      <c r="C18" s="106"/>
      <c r="D18" s="99"/>
      <c r="E18" s="100"/>
      <c r="F18" s="107"/>
      <c r="G18" s="100"/>
      <c r="H18" s="101"/>
      <c r="I18" s="102"/>
      <c r="J18" s="101"/>
      <c r="K18" s="103"/>
      <c r="L18" s="85"/>
      <c r="M18" s="85" t="str">
        <f aca="false">IF(ISBLANK($C18),"",IF(ISBLANK(E18),0,E18))</f>
        <v/>
      </c>
      <c r="N18" s="85" t="str">
        <f aca="false">IF(ISBLANK($C18),"",IF(ISBLANK(F18),0,F18))</f>
        <v/>
      </c>
      <c r="O18" s="86" t="e">
        <f aca="false">IF(AND(NOT(ISBLANK($C18)),NOT($T18),COUNTA($E18:$K18)&gt;0),ISBLANK($F18),FALSE())</f>
        <v>#VALUE!</v>
      </c>
      <c r="P18" s="85" t="str">
        <f aca="false">IF(ISBLANK($C18),"",IF(G18=Constants!$B$9, TRUE(), IF(G18=Constants!$B$10, FALSE(), TRUE())))</f>
        <v/>
      </c>
      <c r="Q18" s="85" t="str">
        <f aca="false">IF(ISBLANK($C18),"",IF(H18=Constants!$B$9, TRUE(), IF(H18=Constants!$B$10, FALSE(), TRUE())))</f>
        <v/>
      </c>
      <c r="R18" s="85" t="str">
        <f aca="false">IF(ISBLANK($C18),"",IF(ISBLANK(I18),Constants!$B$3,I18))</f>
        <v/>
      </c>
      <c r="S18" s="85" t="str">
        <f aca="false">IF(ISBLANK($C18),"",IF(ISBLANK(J18),0,MIN(J18,Constants!$B$6)))</f>
        <v/>
      </c>
      <c r="T18" s="85" t="str">
        <f aca="false">IF(ISBLANK($C18),"",IF(K18=Constants!$B$9, TRUE(), IF(K18=Constants!$B$10, FALSE(),  FALSE())))</f>
        <v/>
      </c>
      <c r="U18" s="85" t="str">
        <f aca="false">IF(ISBLANK($C18),"",AND(R18=Constants!$B$4, S18&lt;Constants!$B$6))</f>
        <v/>
      </c>
      <c r="V18" s="85" t="str">
        <f aca="false">IF(ISBLANK(C18), "", IF(T18, Constants!$B$11, IF(COUNTA(E18:K18)=0, Constants!$B$12, IF(NOT(AND(P18,S18&lt;&gt;0)), Constants!$B$13, IF(O18, Constants!$B$15, Constants!$B$14)))))</f>
        <v/>
      </c>
      <c r="W18" s="85" t="str">
        <f aca="false">IF(OR(ISBLANK($C18), SUMPRODUCT(--(P18:T18&lt;&gt;""))=0), "", IF(V18&lt;&gt;Constants!$B$14, V18, IF(AND(NOT(ISBLANK(J18)),P18,Q18,R18&lt;&gt;Constants!$B$2), Constants!$B$7, IF(AND(P18,OR(NOT(Q18),R18=Constants!$B$2)), Constants!$B$8, "Error"))))</f>
        <v/>
      </c>
      <c r="X18" s="87" t="str">
        <f aca="false">IF(OR(W18=Constants!$B$7,W18=Constants!$B$8), MAX(0, MIN(Constants!$B$6, S18))+IF(AND(R18=Constants!$B$4, NOT(U18)), Constants!$B$5, 0), "")</f>
        <v/>
      </c>
      <c r="Y18" s="85" t="str">
        <f aca="false">IF(ISBLANK($C18),"",IF(AND(ISNUMBER(X18),N18&gt;0),X18/N18, "") )</f>
        <v/>
      </c>
      <c r="Z18" s="85" t="str">
        <f aca="false">IF(AND(NOT(ISBLANK($C18)), W18=Constants!$B$7), Y18, "")</f>
        <v/>
      </c>
      <c r="AA18" s="85" t="str">
        <f aca="false">IF(ISNUMBER(Z18), RANK(Z18,Z$8:Z$507), "")</f>
        <v/>
      </c>
      <c r="AB18" s="85" t="str">
        <f aca="false">IF(AND(NOT(ISBLANK($C18)), W18=Constants!$B$8), Y18, "")</f>
        <v/>
      </c>
      <c r="AC18" s="85" t="str">
        <f aca="false">IF(ISNUMBER(AB18), RANK(AB18,AB$8:AB$507), "")</f>
        <v/>
      </c>
      <c r="AD18" s="85" t="str">
        <f aca="false">IF(ISBLANK($C18),"",IF(V18&lt;&gt;Constants!$B$14, V18, IF(W18=Constants!$B$7, AA18, IF(W18=Constants!$B$8, COUNT($AA$8:$AA$507) + AC18, ""))))</f>
        <v/>
      </c>
      <c r="AE18" s="85" t="str">
        <f aca="false">N18</f>
        <v/>
      </c>
      <c r="AF18" s="85" t="str">
        <f aca="false">IF(ISNUMBER(AE18), RANK(AE18,AE$8:AE$507,1), "")</f>
        <v/>
      </c>
      <c r="AG18" s="88" t="str">
        <f aca="false">IF(ISBLANK(C18), "", ABS(M18-S18))</f>
        <v/>
      </c>
      <c r="AH18" s="85" t="str">
        <f aca="false">IF(ISNUMBER(AG18), RANK(AG18,AG$8:AG$507,1), "")</f>
        <v/>
      </c>
      <c r="AI18" s="85" t="str">
        <f aca="false">IF(ISBLANK(C18),"",IF(V18&lt;&gt;Constants!$B$14, V18, RANK(AD18, AD$8:AD$507, 1)+ SUMPRODUCT(--(AD$8:AD$507=AD18),--(AF18&gt;AF$8:AF$507)) + SUMPRODUCT(--(AD$8:AD$507=AD18),--(AF18=AF$8:AF$507),--(AH18&gt;AH$8:AH$507))))</f>
        <v/>
      </c>
      <c r="AJ18" s="85" t="str">
        <f aca="false">IF(ISBLANK(C18),"",IF(V18&lt;&gt;Constants!$B$14, V18, AD18-AI18))</f>
        <v/>
      </c>
      <c r="AK18" s="89"/>
      <c r="AL18" s="90" t="str">
        <f aca="false">IF(ISBLANK($C18),"",IF($V18&lt;&gt;Constants!$B$14,$V18,X18))</f>
        <v/>
      </c>
      <c r="AM18" s="90" t="str">
        <f aca="false">IF(ISBLANK($C18),"",IF($V18&lt;&gt;Constants!$B$14,$V18,N18))</f>
        <v/>
      </c>
      <c r="AN18" s="91" t="str">
        <f aca="false">IF(ISBLANK(C18),"",IF(V18&lt;&gt;Constants!$B$14, V18, IF(W18=Constants!$B$7,Z18,IF(W18=Constants!$B$8,AB18,""))))</f>
        <v/>
      </c>
      <c r="AO18" s="92" t="str">
        <f aca="false">IF(ISBLANK(C18),"",W18)</f>
        <v/>
      </c>
      <c r="AP18" s="92" t="str">
        <f aca="false">IF(ISBLANK(C18),"",AJ18)</f>
        <v/>
      </c>
      <c r="AQ18" s="92" t="str">
        <f aca="false">IF(ISBLANK(C18),"",AI18)</f>
        <v/>
      </c>
      <c r="AR18" s="93" t="str">
        <f aca="false">IF(ISBLANK(C18),
  "",
IF(AQ18=Constants!$B$11,COUNTA($C$8:$C$507)+2,IF(AQ18=Constants!$B$12,COUNTA($C$8:$C$507)+1,IF(AQ18=Constants!$B$13,COUNTA($C$8:$C$507),AQ18))))</f>
        <v/>
      </c>
      <c r="AS18" s="3"/>
      <c r="AT18" s="94" t="n">
        <f aca="false">IF(OR(ISNUMBER(AQ18),AQ18="DQ",AQ18="P",AQ18="NS"),
    1,
    0
)</f>
        <v>0</v>
      </c>
      <c r="AU18" s="94" t="n">
        <v>11</v>
      </c>
      <c r="AV18" s="94" t="str">
        <f aca="false">IF(ISBLANK($C18),
    "",
   IF(ISNUMBER(AR18),AR18+ROW($B18)/1000,"")
)</f>
        <v/>
      </c>
      <c r="AW18" s="94" t="str">
        <f aca="false">IF(ISNUMBER(AV18), RANK(AV18,AV$8:AV$507,1), "")</f>
        <v/>
      </c>
      <c r="AX18" s="94" t="str">
        <f aca="false">IF(ISBLANK($C18),
    "",
    $B18
)</f>
        <v/>
      </c>
      <c r="AY18" s="94" t="str">
        <f aca="false">IF(ISBLANK($C18),
    "",
    $C18
)</f>
        <v/>
      </c>
      <c r="AZ18" s="94" t="str">
        <f aca="false">IF(ISBLANK($C18),
    "",
    $D18
)</f>
        <v/>
      </c>
      <c r="BA18" s="94" t="str">
        <f aca="false">AO18</f>
        <v/>
      </c>
      <c r="BB18" s="95" t="str">
        <f aca="false">AN18</f>
        <v/>
      </c>
      <c r="BC18" s="94" t="str">
        <f aca="false">IF(ISBLANK($C18),
    "",
    AQ18
)</f>
        <v/>
      </c>
      <c r="BD18" s="96" t="str">
        <f aca="false">IF(AU18&gt;AT$7,
    "",
    VLOOKUP(AU18,AW$8:BC$507,7,FALSE())
)</f>
        <v/>
      </c>
      <c r="BE18" s="97" t="str">
        <f aca="false">IF(AU18&gt;AT$7,
    "",
    VLOOKUP(AU18,AW$8:BC$507,2,FALSE())
)</f>
        <v/>
      </c>
      <c r="BF18" s="97" t="str">
        <f aca="false">IF(AU18&gt;AT$7,
    "",
    VLOOKUP(AU18,AW$8:BC$507,3,FALSE())
)</f>
        <v/>
      </c>
      <c r="BG18" s="97" t="str">
        <f aca="false">IF(AU18&gt;AT$7,
    "",
    VLOOKUP(AU18,AW$8:BC$507,4,FALSE())
)</f>
        <v/>
      </c>
      <c r="BH18" s="97" t="str">
        <f aca="false">IF(AU18&gt;AT$7,
    "",
    VLOOKUP(AU18,AW$8:BC$507,5,FALSE())
)</f>
        <v/>
      </c>
      <c r="BI18" s="98" t="str">
        <f aca="false">IF(AU18&gt;AT$7,
    "",
    VLOOKUP(AU18,AW$8:BC$507,6,FALSE())
)</f>
        <v/>
      </c>
      <c r="BJ18" s="46"/>
    </row>
    <row r="19" customFormat="false" ht="15.75" hidden="false" customHeight="false" outlineLevel="0" collapsed="false">
      <c r="A19" s="3"/>
      <c r="B19" s="105"/>
      <c r="C19" s="106"/>
      <c r="D19" s="99"/>
      <c r="E19" s="100"/>
      <c r="F19" s="107"/>
      <c r="G19" s="100"/>
      <c r="H19" s="101"/>
      <c r="I19" s="102"/>
      <c r="J19" s="101"/>
      <c r="K19" s="103"/>
      <c r="L19" s="85"/>
      <c r="M19" s="85" t="str">
        <f aca="false">IF(ISBLANK($C19),"",IF(ISBLANK(E19),0,E19))</f>
        <v/>
      </c>
      <c r="N19" s="85" t="str">
        <f aca="false">IF(ISBLANK($C19),"",IF(ISBLANK(F19),0,F19))</f>
        <v/>
      </c>
      <c r="O19" s="86" t="e">
        <f aca="false">IF(AND(NOT(ISBLANK($C19)),NOT($T19),COUNTA($E19:$K19)&gt;0),ISBLANK($F19),FALSE())</f>
        <v>#VALUE!</v>
      </c>
      <c r="P19" s="85" t="str">
        <f aca="false">IF(ISBLANK($C19),"",IF(G19=Constants!$B$9, TRUE(), IF(G19=Constants!$B$10, FALSE(), TRUE())))</f>
        <v/>
      </c>
      <c r="Q19" s="85" t="str">
        <f aca="false">IF(ISBLANK($C19),"",IF(H19=Constants!$B$9, TRUE(), IF(H19=Constants!$B$10, FALSE(), TRUE())))</f>
        <v/>
      </c>
      <c r="R19" s="85" t="str">
        <f aca="false">IF(ISBLANK($C19),"",IF(ISBLANK(I19),Constants!$B$3,I19))</f>
        <v/>
      </c>
      <c r="S19" s="85" t="str">
        <f aca="false">IF(ISBLANK($C19),"",IF(ISBLANK(J19),0,MIN(J19,Constants!$B$6)))</f>
        <v/>
      </c>
      <c r="T19" s="85" t="str">
        <f aca="false">IF(ISBLANK($C19),"",IF(K19=Constants!$B$9, TRUE(), IF(K19=Constants!$B$10, FALSE(),  FALSE())))</f>
        <v/>
      </c>
      <c r="U19" s="85" t="str">
        <f aca="false">IF(ISBLANK($C19),"",AND(R19=Constants!$B$4, S19&lt;Constants!$B$6))</f>
        <v/>
      </c>
      <c r="V19" s="85" t="str">
        <f aca="false">IF(ISBLANK(C19), "", IF(T19, Constants!$B$11, IF(COUNTA(E19:K19)=0, Constants!$B$12, IF(NOT(AND(P19,S19&lt;&gt;0)), Constants!$B$13, IF(O19, Constants!$B$15, Constants!$B$14)))))</f>
        <v/>
      </c>
      <c r="W19" s="85" t="str">
        <f aca="false">IF(OR(ISBLANK($C19), SUMPRODUCT(--(P19:T19&lt;&gt;""))=0), "", IF(V19&lt;&gt;Constants!$B$14, V19, IF(AND(NOT(ISBLANK(J19)),P19,Q19,R19&lt;&gt;Constants!$B$2), Constants!$B$7, IF(AND(P19,OR(NOT(Q19),R19=Constants!$B$2)), Constants!$B$8, "Error"))))</f>
        <v/>
      </c>
      <c r="X19" s="87" t="str">
        <f aca="false">IF(OR(W19=Constants!$B$7,W19=Constants!$B$8), MAX(0, MIN(Constants!$B$6, S19))+IF(AND(R19=Constants!$B$4, NOT(U19)), Constants!$B$5, 0), "")</f>
        <v/>
      </c>
      <c r="Y19" s="85" t="str">
        <f aca="false">IF(ISBLANK($C19),"",IF(AND(ISNUMBER(X19),N19&gt;0),X19/N19, "") )</f>
        <v/>
      </c>
      <c r="Z19" s="85" t="str">
        <f aca="false">IF(AND(NOT(ISBLANK($C19)), W19=Constants!$B$7), Y19, "")</f>
        <v/>
      </c>
      <c r="AA19" s="85" t="str">
        <f aca="false">IF(ISNUMBER(Z19), RANK(Z19,Z$8:Z$507), "")</f>
        <v/>
      </c>
      <c r="AB19" s="85" t="str">
        <f aca="false">IF(AND(NOT(ISBLANK($C19)), W19=Constants!$B$8), Y19, "")</f>
        <v/>
      </c>
      <c r="AC19" s="85" t="str">
        <f aca="false">IF(ISNUMBER(AB19), RANK(AB19,AB$8:AB$507), "")</f>
        <v/>
      </c>
      <c r="AD19" s="85" t="str">
        <f aca="false">IF(ISBLANK($C19),"",IF(V19&lt;&gt;Constants!$B$14, V19, IF(W19=Constants!$B$7, AA19, IF(W19=Constants!$B$8, COUNT($AA$8:$AA$507) + AC19, ""))))</f>
        <v/>
      </c>
      <c r="AE19" s="85" t="str">
        <f aca="false">N19</f>
        <v/>
      </c>
      <c r="AF19" s="85" t="str">
        <f aca="false">IF(ISNUMBER(AE19), RANK(AE19,AE$8:AE$507,1), "")</f>
        <v/>
      </c>
      <c r="AG19" s="88" t="str">
        <f aca="false">IF(ISBLANK(C19), "", ABS(M19-S19))</f>
        <v/>
      </c>
      <c r="AH19" s="85" t="str">
        <f aca="false">IF(ISNUMBER(AG19), RANK(AG19,AG$8:AG$507,1), "")</f>
        <v/>
      </c>
      <c r="AI19" s="85" t="str">
        <f aca="false">IF(ISBLANK(C19),"",IF(V19&lt;&gt;Constants!$B$14, V19, RANK(AD19, AD$8:AD$507, 1)+ SUMPRODUCT(--(AD$8:AD$507=AD19),--(AF19&gt;AF$8:AF$507)) + SUMPRODUCT(--(AD$8:AD$507=AD19),--(AF19=AF$8:AF$507),--(AH19&gt;AH$8:AH$507))))</f>
        <v/>
      </c>
      <c r="AJ19" s="85" t="str">
        <f aca="false">IF(ISBLANK(C19),"",IF(V19&lt;&gt;Constants!$B$14, V19, AD19-AI19))</f>
        <v/>
      </c>
      <c r="AK19" s="89"/>
      <c r="AL19" s="90" t="str">
        <f aca="false">IF(ISBLANK($C19),"",IF($V19&lt;&gt;Constants!$B$14,$V19,X19))</f>
        <v/>
      </c>
      <c r="AM19" s="90" t="str">
        <f aca="false">IF(ISBLANK($C19),"",IF($V19&lt;&gt;Constants!$B$14,$V19,N19))</f>
        <v/>
      </c>
      <c r="AN19" s="91" t="str">
        <f aca="false">IF(ISBLANK(C19),"",IF(V19&lt;&gt;Constants!$B$14, V19, IF(W19=Constants!$B$7,Z19,IF(W19=Constants!$B$8,AB19,""))))</f>
        <v/>
      </c>
      <c r="AO19" s="92" t="str">
        <f aca="false">IF(ISBLANK(C19),"",W19)</f>
        <v/>
      </c>
      <c r="AP19" s="92" t="str">
        <f aca="false">IF(ISBLANK(C19),"",AJ19)</f>
        <v/>
      </c>
      <c r="AQ19" s="92" t="str">
        <f aca="false">IF(ISBLANK(C19),"",AI19)</f>
        <v/>
      </c>
      <c r="AR19" s="93" t="str">
        <f aca="false">IF(ISBLANK(C19),
  "",
IF(AQ19=Constants!$B$11,COUNTA($C$8:$C$507)+2,IF(AQ19=Constants!$B$12,COUNTA($C$8:$C$507)+1,IF(AQ19=Constants!$B$13,COUNTA($C$8:$C$507),AQ19))))</f>
        <v/>
      </c>
      <c r="AS19" s="3"/>
      <c r="AT19" s="94" t="n">
        <f aca="false">IF(OR(ISNUMBER(AQ19),AQ19="DQ",AQ19="P",AQ19="NS"),
    1,
    0
)</f>
        <v>0</v>
      </c>
      <c r="AU19" s="94" t="n">
        <v>12</v>
      </c>
      <c r="AV19" s="94" t="str">
        <f aca="false">IF(ISBLANK($C19),
    "",
   IF(ISNUMBER(AR19),AR19+ROW($B19)/1000,"")
)</f>
        <v/>
      </c>
      <c r="AW19" s="94" t="str">
        <f aca="false">IF(ISNUMBER(AV19), RANK(AV19,AV$8:AV$507,1), "")</f>
        <v/>
      </c>
      <c r="AX19" s="94" t="str">
        <f aca="false">IF(ISBLANK($C19),
    "",
    $B19
)</f>
        <v/>
      </c>
      <c r="AY19" s="94" t="str">
        <f aca="false">IF(ISBLANK($C19),
    "",
    $C19
)</f>
        <v/>
      </c>
      <c r="AZ19" s="94" t="str">
        <f aca="false">IF(ISBLANK($C19),
    "",
    $D19
)</f>
        <v/>
      </c>
      <c r="BA19" s="94" t="str">
        <f aca="false">AO19</f>
        <v/>
      </c>
      <c r="BB19" s="95" t="str">
        <f aca="false">AN19</f>
        <v/>
      </c>
      <c r="BC19" s="94" t="str">
        <f aca="false">IF(ISBLANK($C19),
    "",
    AQ19
)</f>
        <v/>
      </c>
      <c r="BD19" s="96" t="str">
        <f aca="false">IF(AU19&gt;AT$7,
    "",
    VLOOKUP(AU19,AW$8:BC$507,7,FALSE())
)</f>
        <v/>
      </c>
      <c r="BE19" s="97" t="str">
        <f aca="false">IF(AU19&gt;AT$7,
    "",
    VLOOKUP(AU19,AW$8:BC$507,2,FALSE())
)</f>
        <v/>
      </c>
      <c r="BF19" s="97" t="str">
        <f aca="false">IF(AU19&gt;AT$7,
    "",
    VLOOKUP(AU19,AW$8:BC$507,3,FALSE())
)</f>
        <v/>
      </c>
      <c r="BG19" s="97" t="str">
        <f aca="false">IF(AU19&gt;AT$7,
    "",
    VLOOKUP(AU19,AW$8:BC$507,4,FALSE())
)</f>
        <v/>
      </c>
      <c r="BH19" s="97" t="str">
        <f aca="false">IF(AU19&gt;AT$7,
    "",
    VLOOKUP(AU19,AW$8:BC$507,5,FALSE())
)</f>
        <v/>
      </c>
      <c r="BI19" s="98" t="str">
        <f aca="false">IF(AU19&gt;AT$7,
    "",
    VLOOKUP(AU19,AW$8:BC$507,6,FALSE())
)</f>
        <v/>
      </c>
      <c r="BJ19" s="46"/>
    </row>
    <row r="20" customFormat="false" ht="15.75" hidden="false" customHeight="false" outlineLevel="0" collapsed="false">
      <c r="A20" s="3"/>
      <c r="B20" s="108"/>
      <c r="C20" s="70"/>
      <c r="D20" s="49"/>
      <c r="E20" s="71"/>
      <c r="F20" s="72"/>
      <c r="G20" s="71"/>
      <c r="H20" s="73"/>
      <c r="I20" s="104"/>
      <c r="J20" s="73"/>
      <c r="K20" s="74"/>
      <c r="L20" s="55"/>
      <c r="M20" s="55" t="str">
        <f aca="false">IF(ISBLANK($C20),"",IF(ISBLANK(E20),0,E20))</f>
        <v/>
      </c>
      <c r="N20" s="55" t="str">
        <f aca="false">IF(ISBLANK($C20),"",IF(ISBLANK(F20),0,F20))</f>
        <v/>
      </c>
      <c r="O20" s="55" t="e">
        <f aca="false">IF(AND(NOT(ISBLANK($C20)),NOT($T20),COUNTA($E20:$K20)&gt;0),ISBLANK($F20),FALSE())</f>
        <v>#VALUE!</v>
      </c>
      <c r="P20" s="55" t="str">
        <f aca="false">IF(ISBLANK($C20),"",IF(G20=Constants!$B$9, TRUE(), IF(G20=Constants!$B$10, FALSE(), TRUE())))</f>
        <v/>
      </c>
      <c r="Q20" s="55" t="str">
        <f aca="false">IF(ISBLANK($C20),"",IF(H20=Constants!$B$9, TRUE(), IF(H20=Constants!$B$10, FALSE(), TRUE())))</f>
        <v/>
      </c>
      <c r="R20" s="55" t="str">
        <f aca="false">IF(ISBLANK($C20),"",IF(ISBLANK(I20),Constants!$B$3,I20))</f>
        <v/>
      </c>
      <c r="S20" s="55" t="str">
        <f aca="false">IF(ISBLANK($C20),"",IF(ISBLANK(J20),0,MIN(J20,Constants!$B$6)))</f>
        <v/>
      </c>
      <c r="T20" s="55" t="str">
        <f aca="false">IF(ISBLANK($C20),"",IF(K20=Constants!$B$9, TRUE(), IF(K20=Constants!$B$10, FALSE(),  FALSE())))</f>
        <v/>
      </c>
      <c r="U20" s="55" t="str">
        <f aca="false">IF(ISBLANK($C20),"",AND(R20=Constants!$B$4, S20&lt;Constants!$B$6))</f>
        <v/>
      </c>
      <c r="V20" s="55" t="str">
        <f aca="false">IF(ISBLANK(C20), "", IF(T20, Constants!$B$11, IF(COUNTA(E20:K20)=0, Constants!$B$12, IF(NOT(AND(P20,S20&lt;&gt;0)), Constants!$B$13, IF(O20, Constants!$B$15, Constants!$B$14)))))</f>
        <v/>
      </c>
      <c r="W20" s="55" t="str">
        <f aca="false">IF(OR(ISBLANK($C20), SUMPRODUCT(--(P20:T20&lt;&gt;""))=0), "", IF(V20&lt;&gt;Constants!$B$14, V20, IF(AND(NOT(ISBLANK(J20)),P20,Q20,R20&lt;&gt;Constants!$B$2), Constants!$B$7, IF(AND(P20,OR(NOT(Q20),R20=Constants!$B$2)), Constants!$B$8, "Error"))))</f>
        <v/>
      </c>
      <c r="X20" s="56" t="str">
        <f aca="false">IF(OR(W20=Constants!$B$7,W20=Constants!$B$8), MAX(0, MIN(Constants!$B$6, S20))+IF(AND(R20=Constants!$B$4, NOT(U20)), Constants!$B$5, 0), "")</f>
        <v/>
      </c>
      <c r="Y20" s="55" t="str">
        <f aca="false">IF(ISBLANK($C20),"",IF(AND(ISNUMBER(X20),N20&gt;0),X20/N20, "") )</f>
        <v/>
      </c>
      <c r="Z20" s="55" t="str">
        <f aca="false">IF(AND(NOT(ISBLANK($C20)), W20=Constants!$B$7), Y20, "")</f>
        <v/>
      </c>
      <c r="AA20" s="55" t="str">
        <f aca="false">IF(ISNUMBER(Z20), RANK(Z20,Z$8:Z$507), "")</f>
        <v/>
      </c>
      <c r="AB20" s="55" t="str">
        <f aca="false">IF(AND(NOT(ISBLANK($C20)), W20=Constants!$B$8), Y20, "")</f>
        <v/>
      </c>
      <c r="AC20" s="55" t="str">
        <f aca="false">IF(ISNUMBER(AB20), RANK(AB20,AB$8:AB$507), "")</f>
        <v/>
      </c>
      <c r="AD20" s="55" t="str">
        <f aca="false">IF(ISBLANK($C20),"",IF(V20&lt;&gt;Constants!$B$14, V20, IF(W20=Constants!$B$7, AA20, IF(W20=Constants!$B$8, COUNT($AA$8:$AA$507) + AC20, ""))))</f>
        <v/>
      </c>
      <c r="AE20" s="55" t="str">
        <f aca="false">N20</f>
        <v/>
      </c>
      <c r="AF20" s="55" t="str">
        <f aca="false">IF(ISNUMBER(AE20), RANK(AE20,AE$8:AE$507,1), "")</f>
        <v/>
      </c>
      <c r="AG20" s="57" t="str">
        <f aca="false">IF(ISBLANK(C20), "", ABS(M20-S20))</f>
        <v/>
      </c>
      <c r="AH20" s="55" t="str">
        <f aca="false">IF(ISNUMBER(AG20), RANK(AG20,AG$8:AG$507,1), "")</f>
        <v/>
      </c>
      <c r="AI20" s="55" t="str">
        <f aca="false">IF(ISBLANK(C20),"",IF(V20&lt;&gt;Constants!$B$14, V20, RANK(AD20, AD$8:AD$507, 1)+ SUMPRODUCT(--(AD$8:AD$507=AD20),--(AF20&gt;AF$8:AF$507)) + SUMPRODUCT(--(AD$8:AD$507=AD20),--(AF20=AF$8:AF$507),--(AH20&gt;AH$8:AH$507))))</f>
        <v/>
      </c>
      <c r="AJ20" s="55" t="str">
        <f aca="false">IF(ISBLANK(C20),"",IF(V20&lt;&gt;Constants!$B$14, V20, AD20-AI20))</f>
        <v/>
      </c>
      <c r="AK20" s="59"/>
      <c r="AL20" s="60" t="str">
        <f aca="false">IF(ISBLANK($C20),"",IF($V20&lt;&gt;Constants!$B$14,$V20,X20))</f>
        <v/>
      </c>
      <c r="AM20" s="60" t="str">
        <f aca="false">IF(ISBLANK($C20),"",IF($V20&lt;&gt;Constants!$B$14,$V20,N20))</f>
        <v/>
      </c>
      <c r="AN20" s="62" t="str">
        <f aca="false">IF(ISBLANK(C20),"",IF(V20&lt;&gt;Constants!$B$14, V20, IF(W20=Constants!$B$7,Z20,IF(W20=Constants!$B$8,AB20,""))))</f>
        <v/>
      </c>
      <c r="AO20" s="63" t="str">
        <f aca="false">IF(ISBLANK(C20),"",W20)</f>
        <v/>
      </c>
      <c r="AP20" s="63" t="str">
        <f aca="false">IF(ISBLANK(C20),"",AJ20)</f>
        <v/>
      </c>
      <c r="AQ20" s="63" t="str">
        <f aca="false">IF(ISBLANK(C20),"",AI20)</f>
        <v/>
      </c>
      <c r="AR20" s="64" t="str">
        <f aca="false">IF(ISBLANK(C20),
  "",
IF(AQ20=Constants!$B$11,COUNTA($C$8:$C$507)+2,IF(AQ20=Constants!$B$12,COUNTA($C$8:$C$507)+1,IF(AQ20=Constants!$B$13,COUNTA($C$8:$C$507),AQ20))))</f>
        <v/>
      </c>
      <c r="AS20" s="3"/>
      <c r="AT20" s="65" t="n">
        <f aca="false">IF(OR(ISNUMBER(AQ20),AQ20="DQ",AQ20="P",AQ20="NS"),
    1,
    0
)</f>
        <v>0</v>
      </c>
      <c r="AU20" s="65" t="n">
        <v>13</v>
      </c>
      <c r="AV20" s="65" t="str">
        <f aca="false">IF(ISBLANK($C20),
    "",
   IF(ISNUMBER(AR20),AR20+ROW($B20)/1000,"")
)</f>
        <v/>
      </c>
      <c r="AW20" s="65" t="str">
        <f aca="false">IF(ISNUMBER(AV20), RANK(AV20,AV$8:AV$507,1), "")</f>
        <v/>
      </c>
      <c r="AX20" s="65" t="str">
        <f aca="false">IF(ISBLANK($C20),
    "",
    $B20
)</f>
        <v/>
      </c>
      <c r="AY20" s="65" t="str">
        <f aca="false">IF(ISBLANK($C20),
    "",
    $C20
)</f>
        <v/>
      </c>
      <c r="AZ20" s="65" t="str">
        <f aca="false">IF(ISBLANK($C20),
    "",
    $D20
)</f>
        <v/>
      </c>
      <c r="BA20" s="65" t="str">
        <f aca="false">AO20</f>
        <v/>
      </c>
      <c r="BB20" s="66" t="str">
        <f aca="false">AN20</f>
        <v/>
      </c>
      <c r="BC20" s="65" t="str">
        <f aca="false">IF(ISBLANK($C20),
    "",
    AQ20
)</f>
        <v/>
      </c>
      <c r="BD20" s="67" t="str">
        <f aca="false">IF(AU20&gt;AT$7,
    "",
    VLOOKUP(AU20,AW$8:BC$507,7,FALSE())
)</f>
        <v/>
      </c>
      <c r="BE20" s="68" t="str">
        <f aca="false">IF(AU20&gt;AT$7,
    "",
    VLOOKUP(AU20,AW$8:BC$507,2,FALSE())
)</f>
        <v/>
      </c>
      <c r="BF20" s="68" t="str">
        <f aca="false">IF(AU20&gt;AT$7,
    "",
    VLOOKUP(AU20,AW$8:BC$507,3,FALSE())
)</f>
        <v/>
      </c>
      <c r="BG20" s="68" t="str">
        <f aca="false">IF(AU20&gt;AT$7,
    "",
    VLOOKUP(AU20,AW$8:BC$507,4,FALSE())
)</f>
        <v/>
      </c>
      <c r="BH20" s="68" t="str">
        <f aca="false">IF(AU20&gt;AT$7,
    "",
    VLOOKUP(AU20,AW$8:BC$507,5,FALSE())
)</f>
        <v/>
      </c>
      <c r="BI20" s="69" t="str">
        <f aca="false">IF(AU20&gt;AT$7,
    "",
    VLOOKUP(AU20,AW$8:BC$507,6,FALSE())
)</f>
        <v/>
      </c>
      <c r="BJ20" s="46"/>
    </row>
    <row r="21" customFormat="false" ht="15.75" hidden="false" customHeight="false" outlineLevel="0" collapsed="false">
      <c r="A21" s="3"/>
      <c r="B21" s="108"/>
      <c r="C21" s="70"/>
      <c r="D21" s="49"/>
      <c r="E21" s="71"/>
      <c r="F21" s="72"/>
      <c r="G21" s="71"/>
      <c r="H21" s="73"/>
      <c r="I21" s="104"/>
      <c r="J21" s="73"/>
      <c r="K21" s="74"/>
      <c r="L21" s="55"/>
      <c r="M21" s="55" t="str">
        <f aca="false">IF(ISBLANK($C21),"",IF(ISBLANK(E21),0,E21))</f>
        <v/>
      </c>
      <c r="N21" s="55" t="str">
        <f aca="false">IF(ISBLANK($C21),"",IF(ISBLANK(F21),0,F21))</f>
        <v/>
      </c>
      <c r="O21" s="55" t="e">
        <f aca="false">IF(AND(NOT(ISBLANK($C21)),NOT($T21),COUNTA($E21:$K21)&gt;0),ISBLANK($F21),FALSE())</f>
        <v>#VALUE!</v>
      </c>
      <c r="P21" s="55" t="str">
        <f aca="false">IF(ISBLANK($C21),"",IF(G21=Constants!$B$9, TRUE(), IF(G21=Constants!$B$10, FALSE(), TRUE())))</f>
        <v/>
      </c>
      <c r="Q21" s="55" t="str">
        <f aca="false">IF(ISBLANK($C21),"",IF(H21=Constants!$B$9, TRUE(), IF(H21=Constants!$B$10, FALSE(), TRUE())))</f>
        <v/>
      </c>
      <c r="R21" s="55" t="str">
        <f aca="false">IF(ISBLANK($C21),"",IF(ISBLANK(I21),Constants!$B$3,I21))</f>
        <v/>
      </c>
      <c r="S21" s="55" t="str">
        <f aca="false">IF(ISBLANK($C21),"",IF(ISBLANK(J21),0,MIN(J21,Constants!$B$6)))</f>
        <v/>
      </c>
      <c r="T21" s="55" t="str">
        <f aca="false">IF(ISBLANK($C21),"",IF(K21=Constants!$B$9, TRUE(), IF(K21=Constants!$B$10, FALSE(),  FALSE())))</f>
        <v/>
      </c>
      <c r="U21" s="55" t="str">
        <f aca="false">IF(ISBLANK($C21),"",AND(R21=Constants!$B$4, S21&lt;Constants!$B$6))</f>
        <v/>
      </c>
      <c r="V21" s="55" t="str">
        <f aca="false">IF(ISBLANK(C21), "", IF(T21, Constants!$B$11, IF(COUNTA(E21:K21)=0, Constants!$B$12, IF(NOT(AND(P21,S21&lt;&gt;0)), Constants!$B$13, IF(O21, Constants!$B$15, Constants!$B$14)))))</f>
        <v/>
      </c>
      <c r="W21" s="55" t="str">
        <f aca="false">IF(OR(ISBLANK($C21), SUMPRODUCT(--(P21:T21&lt;&gt;""))=0), "", IF(V21&lt;&gt;Constants!$B$14, V21, IF(AND(NOT(ISBLANK(J21)),P21,Q21,R21&lt;&gt;Constants!$B$2), Constants!$B$7, IF(AND(P21,OR(NOT(Q21),R21=Constants!$B$2)), Constants!$B$8, "Error"))))</f>
        <v/>
      </c>
      <c r="X21" s="56" t="str">
        <f aca="false">IF(OR(W21=Constants!$B$7,W21=Constants!$B$8), MAX(0, MIN(Constants!$B$6, S21))+IF(AND(R21=Constants!$B$4, NOT(U21)), Constants!$B$5, 0), "")</f>
        <v/>
      </c>
      <c r="Y21" s="55" t="str">
        <f aca="false">IF(ISBLANK($C21),"",IF(AND(ISNUMBER(X21),N21&gt;0),X21/N21, "") )</f>
        <v/>
      </c>
      <c r="Z21" s="55" t="str">
        <f aca="false">IF(AND(NOT(ISBLANK($C21)), W21=Constants!$B$7), Y21, "")</f>
        <v/>
      </c>
      <c r="AA21" s="55" t="str">
        <f aca="false">IF(ISNUMBER(Z21), RANK(Z21,Z$8:Z$507), "")</f>
        <v/>
      </c>
      <c r="AB21" s="55" t="str">
        <f aca="false">IF(AND(NOT(ISBLANK($C21)), W21=Constants!$B$8), Y21, "")</f>
        <v/>
      </c>
      <c r="AC21" s="55" t="str">
        <f aca="false">IF(ISNUMBER(AB21), RANK(AB21,AB$8:AB$507), "")</f>
        <v/>
      </c>
      <c r="AD21" s="55" t="str">
        <f aca="false">IF(ISBLANK($C21),"",IF(V21&lt;&gt;Constants!$B$14, V21, IF(W21=Constants!$B$7, AA21, IF(W21=Constants!$B$8, COUNT($AA$8:$AA$507) + AC21, ""))))</f>
        <v/>
      </c>
      <c r="AE21" s="55" t="str">
        <f aca="false">N21</f>
        <v/>
      </c>
      <c r="AF21" s="55" t="str">
        <f aca="false">IF(ISNUMBER(AE21), RANK(AE21,AE$8:AE$507,1), "")</f>
        <v/>
      </c>
      <c r="AG21" s="57" t="str">
        <f aca="false">IF(ISBLANK(C21), "", ABS(M21-S21))</f>
        <v/>
      </c>
      <c r="AH21" s="55" t="str">
        <f aca="false">IF(ISNUMBER(AG21), RANK(AG21,AG$8:AG$507,1), "")</f>
        <v/>
      </c>
      <c r="AI21" s="55" t="str">
        <f aca="false">IF(ISBLANK(C21),"",IF(V21&lt;&gt;Constants!$B$14, V21, RANK(AD21, AD$8:AD$507, 1)+ SUMPRODUCT(--(AD$8:AD$507=AD21),--(AF21&gt;AF$8:AF$507)) + SUMPRODUCT(--(AD$8:AD$507=AD21),--(AF21=AF$8:AF$507),--(AH21&gt;AH$8:AH$507))))</f>
        <v/>
      </c>
      <c r="AJ21" s="55" t="str">
        <f aca="false">IF(ISBLANK(C21),"",IF(V21&lt;&gt;Constants!$B$14, V21, AD21-AI21))</f>
        <v/>
      </c>
      <c r="AK21" s="59"/>
      <c r="AL21" s="60" t="str">
        <f aca="false">IF(ISBLANK($C21),"",IF($V21&lt;&gt;Constants!$B$14,$V21,X21))</f>
        <v/>
      </c>
      <c r="AM21" s="60" t="str">
        <f aca="false">IF(ISBLANK($C21),"",IF($V21&lt;&gt;Constants!$B$14,$V21,N21))</f>
        <v/>
      </c>
      <c r="AN21" s="62" t="str">
        <f aca="false">IF(ISBLANK(C21),"",IF(V21&lt;&gt;Constants!$B$14, V21, IF(W21=Constants!$B$7,Z21,IF(W21=Constants!$B$8,AB21,""))))</f>
        <v/>
      </c>
      <c r="AO21" s="63" t="str">
        <f aca="false">IF(ISBLANK(C21),"",W21)</f>
        <v/>
      </c>
      <c r="AP21" s="63" t="str">
        <f aca="false">IF(ISBLANK(C21),"",AJ21)</f>
        <v/>
      </c>
      <c r="AQ21" s="63" t="str">
        <f aca="false">IF(ISBLANK(C21),"",AI21)</f>
        <v/>
      </c>
      <c r="AR21" s="64" t="str">
        <f aca="false">IF(ISBLANK(C21),
  "",
IF(AQ21=Constants!$B$11,COUNTA($C$8:$C$507)+2,IF(AQ21=Constants!$B$12,COUNTA($C$8:$C$507)+1,IF(AQ21=Constants!$B$13,COUNTA($C$8:$C$507),AQ21))))</f>
        <v/>
      </c>
      <c r="AS21" s="3"/>
      <c r="AT21" s="65" t="n">
        <f aca="false">IF(OR(ISNUMBER(AQ21),AQ21="DQ",AQ21="P",AQ21="NS"),
    1,
    0
)</f>
        <v>0</v>
      </c>
      <c r="AU21" s="65" t="n">
        <v>14</v>
      </c>
      <c r="AV21" s="65" t="str">
        <f aca="false">IF(ISBLANK($C21),
    "",
   IF(ISNUMBER(AR21),AR21+ROW($B21)/1000,"")
)</f>
        <v/>
      </c>
      <c r="AW21" s="65" t="str">
        <f aca="false">IF(ISNUMBER(AV21), RANK(AV21,AV$8:AV$507,1), "")</f>
        <v/>
      </c>
      <c r="AX21" s="65" t="str">
        <f aca="false">IF(ISBLANK($C21),
    "",
    $B21
)</f>
        <v/>
      </c>
      <c r="AY21" s="65" t="str">
        <f aca="false">IF(ISBLANK($C21),
    "",
    $C21
)</f>
        <v/>
      </c>
      <c r="AZ21" s="65" t="str">
        <f aca="false">IF(ISBLANK($C21),
    "",
    $D21
)</f>
        <v/>
      </c>
      <c r="BA21" s="65" t="str">
        <f aca="false">AO21</f>
        <v/>
      </c>
      <c r="BB21" s="66" t="str">
        <f aca="false">AN21</f>
        <v/>
      </c>
      <c r="BC21" s="65" t="str">
        <f aca="false">IF(ISBLANK($C21),
    "",
    AQ21
)</f>
        <v/>
      </c>
      <c r="BD21" s="67" t="str">
        <f aca="false">IF(AU21&gt;AT$7,
    "",
    VLOOKUP(AU21,AW$8:BC$507,7,FALSE())
)</f>
        <v/>
      </c>
      <c r="BE21" s="68" t="str">
        <f aca="false">IF(AU21&gt;AT$7,
    "",
    VLOOKUP(AU21,AW$8:BC$507,2,FALSE())
)</f>
        <v/>
      </c>
      <c r="BF21" s="68" t="str">
        <f aca="false">IF(AU21&gt;AT$7,
    "",
    VLOOKUP(AU21,AW$8:BC$507,3,FALSE())
)</f>
        <v/>
      </c>
      <c r="BG21" s="68" t="str">
        <f aca="false">IF(AU21&gt;AT$7,
    "",
    VLOOKUP(AU21,AW$8:BC$507,4,FALSE())
)</f>
        <v/>
      </c>
      <c r="BH21" s="68" t="str">
        <f aca="false">IF(AU21&gt;AT$7,
    "",
    VLOOKUP(AU21,AW$8:BC$507,5,FALSE())
)</f>
        <v/>
      </c>
      <c r="BI21" s="69" t="str">
        <f aca="false">IF(AU21&gt;AT$7,
    "",
    VLOOKUP(AU21,AW$8:BC$507,6,FALSE())
)</f>
        <v/>
      </c>
      <c r="BJ21" s="46"/>
    </row>
    <row r="22" customFormat="false" ht="15.75" hidden="false" customHeight="false" outlineLevel="0" collapsed="false">
      <c r="A22" s="3"/>
      <c r="B22" s="108"/>
      <c r="C22" s="70"/>
      <c r="D22" s="49"/>
      <c r="E22" s="71"/>
      <c r="F22" s="72"/>
      <c r="G22" s="71"/>
      <c r="H22" s="73"/>
      <c r="I22" s="104"/>
      <c r="J22" s="73"/>
      <c r="K22" s="74"/>
      <c r="L22" s="55"/>
      <c r="M22" s="55" t="str">
        <f aca="false">IF(ISBLANK($C22),"",IF(ISBLANK(E22),0,E22))</f>
        <v/>
      </c>
      <c r="N22" s="55" t="str">
        <f aca="false">IF(ISBLANK($C22),"",IF(ISBLANK(F22),0,F22))</f>
        <v/>
      </c>
      <c r="O22" s="55" t="e">
        <f aca="false">IF(AND(NOT(ISBLANK($C22)),NOT($T22),COUNTA($E22:$K22)&gt;0),ISBLANK($F22),FALSE())</f>
        <v>#VALUE!</v>
      </c>
      <c r="P22" s="55" t="str">
        <f aca="false">IF(ISBLANK($C22),"",IF(G22=Constants!$B$9, TRUE(), IF(G22=Constants!$B$10, FALSE(), TRUE())))</f>
        <v/>
      </c>
      <c r="Q22" s="55" t="str">
        <f aca="false">IF(ISBLANK($C22),"",IF(H22=Constants!$B$9, TRUE(), IF(H22=Constants!$B$10, FALSE(), TRUE())))</f>
        <v/>
      </c>
      <c r="R22" s="55" t="str">
        <f aca="false">IF(ISBLANK($C22),"",IF(ISBLANK(I22),Constants!$B$3,I22))</f>
        <v/>
      </c>
      <c r="S22" s="55" t="str">
        <f aca="false">IF(ISBLANK($C22),"",IF(ISBLANK(J22),0,MIN(J22,Constants!$B$6)))</f>
        <v/>
      </c>
      <c r="T22" s="55" t="str">
        <f aca="false">IF(ISBLANK($C22),"",IF(K22=Constants!$B$9, TRUE(), IF(K22=Constants!$B$10, FALSE(),  FALSE())))</f>
        <v/>
      </c>
      <c r="U22" s="55" t="str">
        <f aca="false">IF(ISBLANK($C22),"",AND(R22=Constants!$B$4, S22&lt;Constants!$B$6))</f>
        <v/>
      </c>
      <c r="V22" s="55" t="str">
        <f aca="false">IF(ISBLANK(C22), "", IF(T22, Constants!$B$11, IF(COUNTA(E22:K22)=0, Constants!$B$12, IF(NOT(AND(P22,S22&lt;&gt;0)), Constants!$B$13, IF(O22, Constants!$B$15, Constants!$B$14)))))</f>
        <v/>
      </c>
      <c r="W22" s="55" t="str">
        <f aca="false">IF(OR(ISBLANK($C22), SUMPRODUCT(--(P22:T22&lt;&gt;""))=0), "", IF(V22&lt;&gt;Constants!$B$14, V22, IF(AND(NOT(ISBLANK(J22)),P22,Q22,R22&lt;&gt;Constants!$B$2), Constants!$B$7, IF(AND(P22,OR(NOT(Q22),R22=Constants!$B$2)), Constants!$B$8, "Error"))))</f>
        <v/>
      </c>
      <c r="X22" s="56" t="str">
        <f aca="false">IF(OR(W22=Constants!$B$7,W22=Constants!$B$8), MAX(0, MIN(Constants!$B$6, S22))+IF(AND(R22=Constants!$B$4, NOT(U22)), Constants!$B$5, 0), "")</f>
        <v/>
      </c>
      <c r="Y22" s="55" t="str">
        <f aca="false">IF(ISBLANK($C22),"",IF(AND(ISNUMBER(X22),N22&gt;0),X22/N22, "") )</f>
        <v/>
      </c>
      <c r="Z22" s="55" t="str">
        <f aca="false">IF(AND(NOT(ISBLANK($C22)), W22=Constants!$B$7), Y22, "")</f>
        <v/>
      </c>
      <c r="AA22" s="55" t="str">
        <f aca="false">IF(ISNUMBER(Z22), RANK(Z22,Z$8:Z$507), "")</f>
        <v/>
      </c>
      <c r="AB22" s="55" t="str">
        <f aca="false">IF(AND(NOT(ISBLANK($C22)), W22=Constants!$B$8), Y22, "")</f>
        <v/>
      </c>
      <c r="AC22" s="55" t="str">
        <f aca="false">IF(ISNUMBER(AB22), RANK(AB22,AB$8:AB$507), "")</f>
        <v/>
      </c>
      <c r="AD22" s="55" t="str">
        <f aca="false">IF(ISBLANK($C22),"",IF(V22&lt;&gt;Constants!$B$14, V22, IF(W22=Constants!$B$7, AA22, IF(W22=Constants!$B$8, COUNT($AA$8:$AA$507) + AC22, ""))))</f>
        <v/>
      </c>
      <c r="AE22" s="55" t="str">
        <f aca="false">N22</f>
        <v/>
      </c>
      <c r="AF22" s="55" t="str">
        <f aca="false">IF(ISNUMBER(AE22), RANK(AE22,AE$8:AE$507,1), "")</f>
        <v/>
      </c>
      <c r="AG22" s="57" t="str">
        <f aca="false">IF(ISBLANK(C22), "", ABS(M22-S22))</f>
        <v/>
      </c>
      <c r="AH22" s="55" t="str">
        <f aca="false">IF(ISNUMBER(AG22), RANK(AG22,AG$8:AG$507,1), "")</f>
        <v/>
      </c>
      <c r="AI22" s="55" t="str">
        <f aca="false">IF(ISBLANK(C22),"",IF(V22&lt;&gt;Constants!$B$14, V22, RANK(AD22, AD$8:AD$507, 1)+ SUMPRODUCT(--(AD$8:AD$507=AD22),--(AF22&gt;AF$8:AF$507)) + SUMPRODUCT(--(AD$8:AD$507=AD22),--(AF22=AF$8:AF$507),--(AH22&gt;AH$8:AH$507))))</f>
        <v/>
      </c>
      <c r="AJ22" s="55" t="str">
        <f aca="false">IF(ISBLANK(C22),"",IF(V22&lt;&gt;Constants!$B$14, V22, AD22-AI22))</f>
        <v/>
      </c>
      <c r="AK22" s="59"/>
      <c r="AL22" s="60" t="str">
        <f aca="false">IF(ISBLANK($C22),"",IF($V22&lt;&gt;Constants!$B$14,$V22,X22))</f>
        <v/>
      </c>
      <c r="AM22" s="60" t="str">
        <f aca="false">IF(ISBLANK($C22),"",IF($V22&lt;&gt;Constants!$B$14,$V22,N22))</f>
        <v/>
      </c>
      <c r="AN22" s="62" t="str">
        <f aca="false">IF(ISBLANK(C22),"",IF(V22&lt;&gt;Constants!$B$14, V22, IF(W22=Constants!$B$7,Z22,IF(W22=Constants!$B$8,AB22,""))))</f>
        <v/>
      </c>
      <c r="AO22" s="63" t="str">
        <f aca="false">IF(ISBLANK(C22),"",W22)</f>
        <v/>
      </c>
      <c r="AP22" s="63" t="str">
        <f aca="false">IF(ISBLANK(C22),"",AJ22)</f>
        <v/>
      </c>
      <c r="AQ22" s="63" t="str">
        <f aca="false">IF(ISBLANK(C22),"",AI22)</f>
        <v/>
      </c>
      <c r="AR22" s="64" t="str">
        <f aca="false">IF(ISBLANK(C22),
  "",
IF(AQ22=Constants!$B$11,COUNTA($C$8:$C$507)+2,IF(AQ22=Constants!$B$12,COUNTA($C$8:$C$507)+1,IF(AQ22=Constants!$B$13,COUNTA($C$8:$C$507),AQ22))))</f>
        <v/>
      </c>
      <c r="AS22" s="3"/>
      <c r="AT22" s="65" t="n">
        <f aca="false">IF(OR(ISNUMBER(AQ22),AQ22="DQ",AQ22="P",AQ22="NS"),
    1,
    0
)</f>
        <v>0</v>
      </c>
      <c r="AU22" s="65" t="n">
        <v>15</v>
      </c>
      <c r="AV22" s="65" t="str">
        <f aca="false">IF(ISBLANK($C22),
    "",
   IF(ISNUMBER(AR22),AR22+ROW($B22)/1000,"")
)</f>
        <v/>
      </c>
      <c r="AW22" s="65" t="str">
        <f aca="false">IF(ISNUMBER(AV22), RANK(AV22,AV$8:AV$507,1), "")</f>
        <v/>
      </c>
      <c r="AX22" s="65" t="str">
        <f aca="false">IF(ISBLANK($C22),
    "",
    $B22
)</f>
        <v/>
      </c>
      <c r="AY22" s="65" t="str">
        <f aca="false">IF(ISBLANK($C22),
    "",
    $C22
)</f>
        <v/>
      </c>
      <c r="AZ22" s="65" t="str">
        <f aca="false">IF(ISBLANK($C22),
    "",
    $D22
)</f>
        <v/>
      </c>
      <c r="BA22" s="65" t="str">
        <f aca="false">AO22</f>
        <v/>
      </c>
      <c r="BB22" s="66" t="str">
        <f aca="false">AN22</f>
        <v/>
      </c>
      <c r="BC22" s="65" t="str">
        <f aca="false">IF(ISBLANK($C22),
    "",
    AQ22
)</f>
        <v/>
      </c>
      <c r="BD22" s="67" t="str">
        <f aca="false">IF(AU22&gt;AT$7,
    "",
    VLOOKUP(AU22,AW$8:BC$507,7,FALSE())
)</f>
        <v/>
      </c>
      <c r="BE22" s="68" t="str">
        <f aca="false">IF(AU22&gt;AT$7,
    "",
    VLOOKUP(AU22,AW$8:BC$507,2,FALSE())
)</f>
        <v/>
      </c>
      <c r="BF22" s="68" t="str">
        <f aca="false">IF(AU22&gt;AT$7,
    "",
    VLOOKUP(AU22,AW$8:BC$507,3,FALSE())
)</f>
        <v/>
      </c>
      <c r="BG22" s="68" t="str">
        <f aca="false">IF(AU22&gt;AT$7,
    "",
    VLOOKUP(AU22,AW$8:BC$507,4,FALSE())
)</f>
        <v/>
      </c>
      <c r="BH22" s="68" t="str">
        <f aca="false">IF(AU22&gt;AT$7,
    "",
    VLOOKUP(AU22,AW$8:BC$507,5,FALSE())
)</f>
        <v/>
      </c>
      <c r="BI22" s="69" t="str">
        <f aca="false">IF(AU22&gt;AT$7,
    "",
    VLOOKUP(AU22,AW$8:BC$507,6,FALSE())
)</f>
        <v/>
      </c>
      <c r="BJ22" s="46"/>
    </row>
    <row r="23" customFormat="false" ht="15.75" hidden="false" customHeight="false" outlineLevel="0" collapsed="false">
      <c r="A23" s="3"/>
      <c r="B23" s="105"/>
      <c r="C23" s="106"/>
      <c r="D23" s="99"/>
      <c r="E23" s="100"/>
      <c r="F23" s="107"/>
      <c r="G23" s="100"/>
      <c r="H23" s="101"/>
      <c r="I23" s="102"/>
      <c r="J23" s="101"/>
      <c r="K23" s="103"/>
      <c r="L23" s="85"/>
      <c r="M23" s="85" t="str">
        <f aca="false">IF(ISBLANK($C23),"",IF(ISBLANK(E23),0,E23))</f>
        <v/>
      </c>
      <c r="N23" s="85" t="str">
        <f aca="false">IF(ISBLANK($C23),"",IF(ISBLANK(F23),0,F23))</f>
        <v/>
      </c>
      <c r="O23" s="86" t="e">
        <f aca="false">IF(AND(NOT(ISBLANK($C23)),NOT($T23),COUNTA($E23:$K23)&gt;0),ISBLANK($F23),FALSE())</f>
        <v>#VALUE!</v>
      </c>
      <c r="P23" s="85" t="str">
        <f aca="false">IF(ISBLANK($C23),"",IF(G23=Constants!$B$9, TRUE(), IF(G23=Constants!$B$10, FALSE(), TRUE())))</f>
        <v/>
      </c>
      <c r="Q23" s="85" t="str">
        <f aca="false">IF(ISBLANK($C23),"",IF(H23=Constants!$B$9, TRUE(), IF(H23=Constants!$B$10, FALSE(), TRUE())))</f>
        <v/>
      </c>
      <c r="R23" s="85" t="str">
        <f aca="false">IF(ISBLANK($C23),"",IF(ISBLANK(I23),Constants!$B$3,I23))</f>
        <v/>
      </c>
      <c r="S23" s="85" t="str">
        <f aca="false">IF(ISBLANK($C23),"",IF(ISBLANK(J23),0,MIN(J23,Constants!$B$6)))</f>
        <v/>
      </c>
      <c r="T23" s="85" t="str">
        <f aca="false">IF(ISBLANK($C23),"",IF(K23=Constants!$B$9, TRUE(), IF(K23=Constants!$B$10, FALSE(),  FALSE())))</f>
        <v/>
      </c>
      <c r="U23" s="85" t="str">
        <f aca="false">IF(ISBLANK($C23),"",AND(R23=Constants!$B$4, S23&lt;Constants!$B$6))</f>
        <v/>
      </c>
      <c r="V23" s="85" t="str">
        <f aca="false">IF(ISBLANK(C23), "", IF(T23, Constants!$B$11, IF(COUNTA(E23:K23)=0, Constants!$B$12, IF(NOT(AND(P23,S23&lt;&gt;0)), Constants!$B$13, IF(O23, Constants!$B$15, Constants!$B$14)))))</f>
        <v/>
      </c>
      <c r="W23" s="85" t="str">
        <f aca="false">IF(OR(ISBLANK($C23), SUMPRODUCT(--(P23:T23&lt;&gt;""))=0), "", IF(V23&lt;&gt;Constants!$B$14, V23, IF(AND(NOT(ISBLANK(J23)),P23,Q23,R23&lt;&gt;Constants!$B$2), Constants!$B$7, IF(AND(P23,OR(NOT(Q23),R23=Constants!$B$2)), Constants!$B$8, "Error"))))</f>
        <v/>
      </c>
      <c r="X23" s="87" t="str">
        <f aca="false">IF(OR(W23=Constants!$B$7,W23=Constants!$B$8), MAX(0, MIN(Constants!$B$6, S23))+IF(AND(R23=Constants!$B$4, NOT(U23)), Constants!$B$5, 0), "")</f>
        <v/>
      </c>
      <c r="Y23" s="85" t="str">
        <f aca="false">IF(ISBLANK($C23),"",IF(AND(ISNUMBER(X23),N23&gt;0),X23/N23, "") )</f>
        <v/>
      </c>
      <c r="Z23" s="85" t="str">
        <f aca="false">IF(AND(NOT(ISBLANK($C23)), W23=Constants!$B$7), Y23, "")</f>
        <v/>
      </c>
      <c r="AA23" s="85" t="str">
        <f aca="false">IF(ISNUMBER(Z23), RANK(Z23,Z$8:Z$507), "")</f>
        <v/>
      </c>
      <c r="AB23" s="85" t="str">
        <f aca="false">IF(AND(NOT(ISBLANK($C23)), W23=Constants!$B$8), Y23, "")</f>
        <v/>
      </c>
      <c r="AC23" s="85" t="str">
        <f aca="false">IF(ISNUMBER(AB23), RANK(AB23,AB$8:AB$507), "")</f>
        <v/>
      </c>
      <c r="AD23" s="85" t="str">
        <f aca="false">IF(ISBLANK($C23),"",IF(V23&lt;&gt;Constants!$B$14, V23, IF(W23=Constants!$B$7, AA23, IF(W23=Constants!$B$8, COUNT($AA$8:$AA$507) + AC23, ""))))</f>
        <v/>
      </c>
      <c r="AE23" s="85" t="str">
        <f aca="false">N23</f>
        <v/>
      </c>
      <c r="AF23" s="85" t="str">
        <f aca="false">IF(ISNUMBER(AE23), RANK(AE23,AE$8:AE$507,1), "")</f>
        <v/>
      </c>
      <c r="AG23" s="88" t="str">
        <f aca="false">IF(ISBLANK(C23), "", ABS(M23-S23))</f>
        <v/>
      </c>
      <c r="AH23" s="85" t="str">
        <f aca="false">IF(ISNUMBER(AG23), RANK(AG23,AG$8:AG$507,1), "")</f>
        <v/>
      </c>
      <c r="AI23" s="85" t="str">
        <f aca="false">IF(ISBLANK(C23),"",IF(V23&lt;&gt;Constants!$B$14, V23, RANK(AD23, AD$8:AD$507, 1)+ SUMPRODUCT(--(AD$8:AD$507=AD23),--(AF23&gt;AF$8:AF$507)) + SUMPRODUCT(--(AD$8:AD$507=AD23),--(AF23=AF$8:AF$507),--(AH23&gt;AH$8:AH$507))))</f>
        <v/>
      </c>
      <c r="AJ23" s="85" t="str">
        <f aca="false">IF(ISBLANK(C23),"",IF(V23&lt;&gt;Constants!$B$14, V23, AD23-AI23))</f>
        <v/>
      </c>
      <c r="AK23" s="89"/>
      <c r="AL23" s="90" t="str">
        <f aca="false">IF(ISBLANK($C23),"",IF($V23&lt;&gt;Constants!$B$14,$V23,X23))</f>
        <v/>
      </c>
      <c r="AM23" s="90" t="str">
        <f aca="false">IF(ISBLANK($C23),"",IF($V23&lt;&gt;Constants!$B$14,$V23,N23))</f>
        <v/>
      </c>
      <c r="AN23" s="91" t="str">
        <f aca="false">IF(ISBLANK(C23),"",IF(V23&lt;&gt;Constants!$B$14, V23, IF(W23=Constants!$B$7,Z23,IF(W23=Constants!$B$8,AB23,""))))</f>
        <v/>
      </c>
      <c r="AO23" s="92" t="str">
        <f aca="false">IF(ISBLANK(C23),"",W23)</f>
        <v/>
      </c>
      <c r="AP23" s="92" t="str">
        <f aca="false">IF(ISBLANK(C23),"",AJ23)</f>
        <v/>
      </c>
      <c r="AQ23" s="92" t="str">
        <f aca="false">IF(ISBLANK(C23),"",AI23)</f>
        <v/>
      </c>
      <c r="AR23" s="93" t="str">
        <f aca="false">IF(ISBLANK(C23),
  "",
IF(AQ23=Constants!$B$11,COUNTA($C$8:$C$507)+2,IF(AQ23=Constants!$B$12,COUNTA($C$8:$C$507)+1,IF(AQ23=Constants!$B$13,COUNTA($C$8:$C$507),AQ23))))</f>
        <v/>
      </c>
      <c r="AS23" s="3"/>
      <c r="AT23" s="94" t="n">
        <f aca="false">IF(OR(ISNUMBER(AQ23),AQ23="DQ",AQ23="P",AQ23="NS"),
    1,
    0
)</f>
        <v>0</v>
      </c>
      <c r="AU23" s="94" t="n">
        <v>16</v>
      </c>
      <c r="AV23" s="94" t="str">
        <f aca="false">IF(ISBLANK($C23),
    "",
   IF(ISNUMBER(AR23),AR23+ROW($B23)/1000,"")
)</f>
        <v/>
      </c>
      <c r="AW23" s="94" t="str">
        <f aca="false">IF(ISNUMBER(AV23), RANK(AV23,AV$8:AV$507,1), "")</f>
        <v/>
      </c>
      <c r="AX23" s="94" t="str">
        <f aca="false">IF(ISBLANK($C23),
    "",
    $B23
)</f>
        <v/>
      </c>
      <c r="AY23" s="94" t="str">
        <f aca="false">IF(ISBLANK($C23),
    "",
    $C23
)</f>
        <v/>
      </c>
      <c r="AZ23" s="94" t="str">
        <f aca="false">IF(ISBLANK($C23),
    "",
    $D23
)</f>
        <v/>
      </c>
      <c r="BA23" s="94" t="str">
        <f aca="false">AO23</f>
        <v/>
      </c>
      <c r="BB23" s="95" t="str">
        <f aca="false">AN23</f>
        <v/>
      </c>
      <c r="BC23" s="94" t="str">
        <f aca="false">IF(ISBLANK($C23),
    "",
    AQ23
)</f>
        <v/>
      </c>
      <c r="BD23" s="96" t="str">
        <f aca="false">IF(AU23&gt;AT$7,
    "",
    VLOOKUP(AU23,AW$8:BC$507,7,FALSE())
)</f>
        <v/>
      </c>
      <c r="BE23" s="97" t="str">
        <f aca="false">IF(AU23&gt;AT$7,
    "",
    VLOOKUP(AU23,AW$8:BC$507,2,FALSE())
)</f>
        <v/>
      </c>
      <c r="BF23" s="97" t="str">
        <f aca="false">IF(AU23&gt;AT$7,
    "",
    VLOOKUP(AU23,AW$8:BC$507,3,FALSE())
)</f>
        <v/>
      </c>
      <c r="BG23" s="97" t="str">
        <f aca="false">IF(AU23&gt;AT$7,
    "",
    VLOOKUP(AU23,AW$8:BC$507,4,FALSE())
)</f>
        <v/>
      </c>
      <c r="BH23" s="97" t="str">
        <f aca="false">IF(AU23&gt;AT$7,
    "",
    VLOOKUP(AU23,AW$8:BC$507,5,FALSE())
)</f>
        <v/>
      </c>
      <c r="BI23" s="98" t="str">
        <f aca="false">IF(AU23&gt;AT$7,
    "",
    VLOOKUP(AU23,AW$8:BC$507,6,FALSE())
)</f>
        <v/>
      </c>
      <c r="BJ23" s="46"/>
    </row>
    <row r="24" customFormat="false" ht="15.75" hidden="false" customHeight="false" outlineLevel="0" collapsed="false">
      <c r="A24" s="3"/>
      <c r="B24" s="105"/>
      <c r="C24" s="106"/>
      <c r="D24" s="99"/>
      <c r="E24" s="100"/>
      <c r="F24" s="107"/>
      <c r="G24" s="100"/>
      <c r="H24" s="101"/>
      <c r="I24" s="102"/>
      <c r="J24" s="101"/>
      <c r="K24" s="103"/>
      <c r="L24" s="85"/>
      <c r="M24" s="85" t="str">
        <f aca="false">IF(ISBLANK($C24),"",IF(ISBLANK(E24),0,E24))</f>
        <v/>
      </c>
      <c r="N24" s="85" t="str">
        <f aca="false">IF(ISBLANK($C24),"",IF(ISBLANK(F24),0,F24))</f>
        <v/>
      </c>
      <c r="O24" s="86" t="e">
        <f aca="false">IF(AND(NOT(ISBLANK($C24)),NOT($T24),COUNTA($E24:$K24)&gt;0),ISBLANK($F24),FALSE())</f>
        <v>#VALUE!</v>
      </c>
      <c r="P24" s="85" t="str">
        <f aca="false">IF(ISBLANK($C24),"",IF(G24=Constants!$B$9, TRUE(), IF(G24=Constants!$B$10, FALSE(), TRUE())))</f>
        <v/>
      </c>
      <c r="Q24" s="85" t="str">
        <f aca="false">IF(ISBLANK($C24),"",IF(H24=Constants!$B$9, TRUE(), IF(H24=Constants!$B$10, FALSE(), TRUE())))</f>
        <v/>
      </c>
      <c r="R24" s="85" t="str">
        <f aca="false">IF(ISBLANK($C24),"",IF(ISBLANK(I24),Constants!$B$3,I24))</f>
        <v/>
      </c>
      <c r="S24" s="85" t="str">
        <f aca="false">IF(ISBLANK($C24),"",IF(ISBLANK(J24),0,MIN(J24,Constants!$B$6)))</f>
        <v/>
      </c>
      <c r="T24" s="85" t="str">
        <f aca="false">IF(ISBLANK($C24),"",IF(K24=Constants!$B$9, TRUE(), IF(K24=Constants!$B$10, FALSE(),  FALSE())))</f>
        <v/>
      </c>
      <c r="U24" s="85" t="str">
        <f aca="false">IF(ISBLANK($C24),"",AND(R24=Constants!$B$4, S24&lt;Constants!$B$6))</f>
        <v/>
      </c>
      <c r="V24" s="85" t="str">
        <f aca="false">IF(ISBLANK(C24), "", IF(T24, Constants!$B$11, IF(COUNTA(E24:K24)=0, Constants!$B$12, IF(NOT(AND(P24,S24&lt;&gt;0)), Constants!$B$13, IF(O24, Constants!$B$15, Constants!$B$14)))))</f>
        <v/>
      </c>
      <c r="W24" s="85" t="str">
        <f aca="false">IF(OR(ISBLANK($C24), SUMPRODUCT(--(P24:T24&lt;&gt;""))=0), "", IF(V24&lt;&gt;Constants!$B$14, V24, IF(AND(NOT(ISBLANK(J24)),P24,Q24,R24&lt;&gt;Constants!$B$2), Constants!$B$7, IF(AND(P24,OR(NOT(Q24),R24=Constants!$B$2)), Constants!$B$8, "Error"))))</f>
        <v/>
      </c>
      <c r="X24" s="87" t="str">
        <f aca="false">IF(OR(W24=Constants!$B$7,W24=Constants!$B$8), MAX(0, MIN(Constants!$B$6, S24))+IF(AND(R24=Constants!$B$4, NOT(U24)), Constants!$B$5, 0), "")</f>
        <v/>
      </c>
      <c r="Y24" s="85" t="str">
        <f aca="false">IF(ISBLANK($C24),"",IF(AND(ISNUMBER(X24),N24&gt;0),X24/N24, "") )</f>
        <v/>
      </c>
      <c r="Z24" s="85" t="str">
        <f aca="false">IF(AND(NOT(ISBLANK($C24)), W24=Constants!$B$7), Y24, "")</f>
        <v/>
      </c>
      <c r="AA24" s="85" t="str">
        <f aca="false">IF(ISNUMBER(Z24), RANK(Z24,Z$8:Z$507), "")</f>
        <v/>
      </c>
      <c r="AB24" s="85" t="str">
        <f aca="false">IF(AND(NOT(ISBLANK($C24)), W24=Constants!$B$8), Y24, "")</f>
        <v/>
      </c>
      <c r="AC24" s="85" t="str">
        <f aca="false">IF(ISNUMBER(AB24), RANK(AB24,AB$8:AB$507), "")</f>
        <v/>
      </c>
      <c r="AD24" s="85" t="str">
        <f aca="false">IF(ISBLANK($C24),"",IF(V24&lt;&gt;Constants!$B$14, V24, IF(W24=Constants!$B$7, AA24, IF(W24=Constants!$B$8, COUNT($AA$8:$AA$507) + AC24, ""))))</f>
        <v/>
      </c>
      <c r="AE24" s="85" t="str">
        <f aca="false">N24</f>
        <v/>
      </c>
      <c r="AF24" s="85" t="str">
        <f aca="false">IF(ISNUMBER(AE24), RANK(AE24,AE$8:AE$507,1), "")</f>
        <v/>
      </c>
      <c r="AG24" s="88" t="str">
        <f aca="false">IF(ISBLANK(C24), "", ABS(M24-S24))</f>
        <v/>
      </c>
      <c r="AH24" s="85" t="str">
        <f aca="false">IF(ISNUMBER(AG24), RANK(AG24,AG$8:AG$507,1), "")</f>
        <v/>
      </c>
      <c r="AI24" s="85" t="str">
        <f aca="false">IF(ISBLANK(C24),"",IF(V24&lt;&gt;Constants!$B$14, V24, RANK(AD24, AD$8:AD$507, 1)+ SUMPRODUCT(--(AD$8:AD$507=AD24),--(AF24&gt;AF$8:AF$507)) + SUMPRODUCT(--(AD$8:AD$507=AD24),--(AF24=AF$8:AF$507),--(AH24&gt;AH$8:AH$507))))</f>
        <v/>
      </c>
      <c r="AJ24" s="85" t="str">
        <f aca="false">IF(ISBLANK(C24),"",IF(V24&lt;&gt;Constants!$B$14, V24, AD24-AI24))</f>
        <v/>
      </c>
      <c r="AK24" s="89"/>
      <c r="AL24" s="90" t="str">
        <f aca="false">IF(ISBLANK($C24),"",IF($V24&lt;&gt;Constants!$B$14,$V24,X24))</f>
        <v/>
      </c>
      <c r="AM24" s="90" t="str">
        <f aca="false">IF(ISBLANK($C24),"",IF($V24&lt;&gt;Constants!$B$14,$V24,N24))</f>
        <v/>
      </c>
      <c r="AN24" s="91" t="str">
        <f aca="false">IF(ISBLANK(C24),"",IF(V24&lt;&gt;Constants!$B$14, V24, IF(W24=Constants!$B$7,Z24,IF(W24=Constants!$B$8,AB24,""))))</f>
        <v/>
      </c>
      <c r="AO24" s="92" t="str">
        <f aca="false">IF(ISBLANK(C24),"",W24)</f>
        <v/>
      </c>
      <c r="AP24" s="92" t="str">
        <f aca="false">IF(ISBLANK(C24),"",AJ24)</f>
        <v/>
      </c>
      <c r="AQ24" s="92" t="str">
        <f aca="false">IF(ISBLANK(C24),"",AI24)</f>
        <v/>
      </c>
      <c r="AR24" s="93" t="str">
        <f aca="false">IF(ISBLANK(C24),
  "",
IF(AQ24=Constants!$B$11,COUNTA($C$8:$C$507)+2,IF(AQ24=Constants!$B$12,COUNTA($C$8:$C$507)+1,IF(AQ24=Constants!$B$13,COUNTA($C$8:$C$507),AQ24))))</f>
        <v/>
      </c>
      <c r="AS24" s="3"/>
      <c r="AT24" s="94" t="n">
        <f aca="false">IF(OR(ISNUMBER(AQ24),AQ24="DQ",AQ24="P",AQ24="NS"),
    1,
    0
)</f>
        <v>0</v>
      </c>
      <c r="AU24" s="94" t="n">
        <v>17</v>
      </c>
      <c r="AV24" s="94" t="str">
        <f aca="false">IF(ISBLANK($C24),
    "",
   IF(ISNUMBER(AR24),AR24+ROW($B24)/1000,"")
)</f>
        <v/>
      </c>
      <c r="AW24" s="94" t="str">
        <f aca="false">IF(ISNUMBER(AV24), RANK(AV24,AV$8:AV$507,1), "")</f>
        <v/>
      </c>
      <c r="AX24" s="94" t="str">
        <f aca="false">IF(ISBLANK($C24),
    "",
    $B24
)</f>
        <v/>
      </c>
      <c r="AY24" s="94" t="str">
        <f aca="false">IF(ISBLANK($C24),
    "",
    $C24
)</f>
        <v/>
      </c>
      <c r="AZ24" s="94" t="str">
        <f aca="false">IF(ISBLANK($C24),
    "",
    $D24
)</f>
        <v/>
      </c>
      <c r="BA24" s="94" t="str">
        <f aca="false">AO24</f>
        <v/>
      </c>
      <c r="BB24" s="95" t="str">
        <f aca="false">AN24</f>
        <v/>
      </c>
      <c r="BC24" s="94" t="str">
        <f aca="false">IF(ISBLANK($C24),
    "",
    AQ24
)</f>
        <v/>
      </c>
      <c r="BD24" s="96" t="str">
        <f aca="false">IF(AU24&gt;AT$7,
    "",
    VLOOKUP(AU24,AW$8:BC$507,7,FALSE())
)</f>
        <v/>
      </c>
      <c r="BE24" s="97" t="str">
        <f aca="false">IF(AU24&gt;AT$7,
    "",
    VLOOKUP(AU24,AW$8:BC$507,2,FALSE())
)</f>
        <v/>
      </c>
      <c r="BF24" s="97" t="str">
        <f aca="false">IF(AU24&gt;AT$7,
    "",
    VLOOKUP(AU24,AW$8:BC$507,3,FALSE())
)</f>
        <v/>
      </c>
      <c r="BG24" s="97" t="str">
        <f aca="false">IF(AU24&gt;AT$7,
    "",
    VLOOKUP(AU24,AW$8:BC$507,4,FALSE())
)</f>
        <v/>
      </c>
      <c r="BH24" s="97" t="str">
        <f aca="false">IF(AU24&gt;AT$7,
    "",
    VLOOKUP(AU24,AW$8:BC$507,5,FALSE())
)</f>
        <v/>
      </c>
      <c r="BI24" s="98" t="str">
        <f aca="false">IF(AU24&gt;AT$7,
    "",
    VLOOKUP(AU24,AW$8:BC$507,6,FALSE())
)</f>
        <v/>
      </c>
      <c r="BJ24" s="46"/>
    </row>
    <row r="25" customFormat="false" ht="15.75" hidden="false" customHeight="false" outlineLevel="0" collapsed="false">
      <c r="A25" s="3"/>
      <c r="B25" s="105"/>
      <c r="C25" s="106"/>
      <c r="D25" s="99"/>
      <c r="E25" s="100"/>
      <c r="F25" s="107"/>
      <c r="G25" s="100"/>
      <c r="H25" s="101"/>
      <c r="I25" s="102"/>
      <c r="J25" s="82"/>
      <c r="K25" s="103"/>
      <c r="L25" s="85"/>
      <c r="M25" s="85" t="str">
        <f aca="false">IF(ISBLANK($C25),"",IF(ISBLANK(E25),0,E25))</f>
        <v/>
      </c>
      <c r="N25" s="85" t="str">
        <f aca="false">IF(ISBLANK($C25),"",IF(ISBLANK(F25),0,F25))</f>
        <v/>
      </c>
      <c r="O25" s="86" t="e">
        <f aca="false">IF(AND(NOT(ISBLANK($C25)),NOT($T25),COUNTA($E25:$K25)&gt;0),ISBLANK($F25),FALSE())</f>
        <v>#VALUE!</v>
      </c>
      <c r="P25" s="85" t="str">
        <f aca="false">IF(ISBLANK($C25),"",IF(G25=Constants!$B$9, TRUE(), IF(G25=Constants!$B$10, FALSE(), TRUE())))</f>
        <v/>
      </c>
      <c r="Q25" s="85" t="str">
        <f aca="false">IF(ISBLANK($C25),"",IF(H25=Constants!$B$9, TRUE(), IF(H25=Constants!$B$10, FALSE(), TRUE())))</f>
        <v/>
      </c>
      <c r="R25" s="85" t="str">
        <f aca="false">IF(ISBLANK($C25),"",IF(ISBLANK(I25),Constants!$B$3,I25))</f>
        <v/>
      </c>
      <c r="S25" s="85" t="str">
        <f aca="false">IF(ISBLANK($C25),"",IF(ISBLANK(J25),0,MIN(J25,Constants!$B$6)))</f>
        <v/>
      </c>
      <c r="T25" s="85" t="str">
        <f aca="false">IF(ISBLANK($C25),"",IF(K25=Constants!$B$9, TRUE(), IF(K25=Constants!$B$10, FALSE(),  FALSE())))</f>
        <v/>
      </c>
      <c r="U25" s="85" t="str">
        <f aca="false">IF(ISBLANK($C25),"",AND(R25=Constants!$B$4, S25&lt;Constants!$B$6))</f>
        <v/>
      </c>
      <c r="V25" s="85" t="str">
        <f aca="false">IF(ISBLANK(C25), "", IF(T25, Constants!$B$11, IF(COUNTA(E25:K25)=0, Constants!$B$12, IF(NOT(AND(P25,S25&lt;&gt;0)), Constants!$B$13, IF(O25, Constants!$B$15, Constants!$B$14)))))</f>
        <v/>
      </c>
      <c r="W25" s="85" t="str">
        <f aca="false">IF(OR(ISBLANK($C25), SUMPRODUCT(--(P25:T25&lt;&gt;""))=0), "", IF(V25&lt;&gt;Constants!$B$14, V25, IF(AND(NOT(ISBLANK(J25)),P25,Q25,R25&lt;&gt;Constants!$B$2), Constants!$B$7, IF(AND(P25,OR(NOT(Q25),R25=Constants!$B$2)), Constants!$B$8, "Error"))))</f>
        <v/>
      </c>
      <c r="X25" s="87" t="str">
        <f aca="false">IF(OR(W25=Constants!$B$7,W25=Constants!$B$8), MAX(0, MIN(Constants!$B$6, S25))+IF(AND(R25=Constants!$B$4, NOT(U25)), Constants!$B$5, 0), "")</f>
        <v/>
      </c>
      <c r="Y25" s="85" t="str">
        <f aca="false">IF(ISBLANK($C25),"",IF(AND(ISNUMBER(X25),N25&gt;0),X25/N25, "") )</f>
        <v/>
      </c>
      <c r="Z25" s="85" t="str">
        <f aca="false">IF(AND(NOT(ISBLANK($C25)), W25=Constants!$B$7), Y25, "")</f>
        <v/>
      </c>
      <c r="AA25" s="85" t="str">
        <f aca="false">IF(ISNUMBER(Z25), RANK(Z25,Z$8:Z$507), "")</f>
        <v/>
      </c>
      <c r="AB25" s="85" t="str">
        <f aca="false">IF(AND(NOT(ISBLANK($C25)), W25=Constants!$B$8), Y25, "")</f>
        <v/>
      </c>
      <c r="AC25" s="85" t="str">
        <f aca="false">IF(ISNUMBER(AB25), RANK(AB25,AB$8:AB$507), "")</f>
        <v/>
      </c>
      <c r="AD25" s="85" t="str">
        <f aca="false">IF(ISBLANK($C25),"",IF(V25&lt;&gt;Constants!$B$14, V25, IF(W25=Constants!$B$7, AA25, IF(W25=Constants!$B$8, COUNT($AA$8:$AA$507) + AC25, ""))))</f>
        <v/>
      </c>
      <c r="AE25" s="85" t="str">
        <f aca="false">N25</f>
        <v/>
      </c>
      <c r="AF25" s="85" t="str">
        <f aca="false">IF(ISNUMBER(AE25), RANK(AE25,AE$8:AE$507,1), "")</f>
        <v/>
      </c>
      <c r="AG25" s="88" t="str">
        <f aca="false">IF(ISBLANK(C25), "", ABS(M25-S25))</f>
        <v/>
      </c>
      <c r="AH25" s="85" t="str">
        <f aca="false">IF(ISNUMBER(AG25), RANK(AG25,AG$8:AG$507,1), "")</f>
        <v/>
      </c>
      <c r="AI25" s="85" t="str">
        <f aca="false">IF(ISBLANK(C25),"",IF(V25&lt;&gt;Constants!$B$14, V25, RANK(AD25, AD$8:AD$507, 1)+ SUMPRODUCT(--(AD$8:AD$507=AD25),--(AF25&gt;AF$8:AF$507)) + SUMPRODUCT(--(AD$8:AD$507=AD25),--(AF25=AF$8:AF$507),--(AH25&gt;AH$8:AH$507))))</f>
        <v/>
      </c>
      <c r="AJ25" s="85" t="str">
        <f aca="false">IF(ISBLANK(C25),"",IF(V25&lt;&gt;Constants!$B$14, V25, AD25-AI25))</f>
        <v/>
      </c>
      <c r="AK25" s="89"/>
      <c r="AL25" s="90" t="str">
        <f aca="false">IF(ISBLANK($C25),"",IF($V25&lt;&gt;Constants!$B$14,$V25,X25))</f>
        <v/>
      </c>
      <c r="AM25" s="90" t="str">
        <f aca="false">IF(ISBLANK($C25),"",IF($V25&lt;&gt;Constants!$B$14,$V25,N25))</f>
        <v/>
      </c>
      <c r="AN25" s="91" t="str">
        <f aca="false">IF(ISBLANK(C25),"",IF(V25&lt;&gt;Constants!$B$14, V25, IF(W25=Constants!$B$7,Z25,IF(W25=Constants!$B$8,AB25,""))))</f>
        <v/>
      </c>
      <c r="AO25" s="92" t="str">
        <f aca="false">IF(ISBLANK(C25),"",W25)</f>
        <v/>
      </c>
      <c r="AP25" s="92" t="str">
        <f aca="false">IF(ISBLANK(C25),"",AJ25)</f>
        <v/>
      </c>
      <c r="AQ25" s="92" t="str">
        <f aca="false">IF(ISBLANK(C25),"",AI25)</f>
        <v/>
      </c>
      <c r="AR25" s="93" t="str">
        <f aca="false">IF(ISBLANK(C25),
  "",
IF(AQ25=Constants!$B$11,COUNTA($C$8:$C$507)+2,IF(AQ25=Constants!$B$12,COUNTA($C$8:$C$507)+1,IF(AQ25=Constants!$B$13,COUNTA($C$8:$C$507),AQ25))))</f>
        <v/>
      </c>
      <c r="AS25" s="3"/>
      <c r="AT25" s="94" t="n">
        <f aca="false">IF(OR(ISNUMBER(AQ25),AQ25="DQ",AQ25="P",AQ25="NS"),
    1,
    0
)</f>
        <v>0</v>
      </c>
      <c r="AU25" s="94" t="n">
        <v>18</v>
      </c>
      <c r="AV25" s="94" t="str">
        <f aca="false">IF(ISBLANK($C25),
    "",
   IF(ISNUMBER(AR25),AR25+ROW($B25)/1000,"")
)</f>
        <v/>
      </c>
      <c r="AW25" s="94" t="str">
        <f aca="false">IF(ISNUMBER(AV25), RANK(AV25,AV$8:AV$507,1), "")</f>
        <v/>
      </c>
      <c r="AX25" s="94" t="str">
        <f aca="false">IF(ISBLANK($C25),
    "",
    $B25
)</f>
        <v/>
      </c>
      <c r="AY25" s="94" t="str">
        <f aca="false">IF(ISBLANK($C25),
    "",
    $C25
)</f>
        <v/>
      </c>
      <c r="AZ25" s="94" t="str">
        <f aca="false">IF(ISBLANK($C25),
    "",
    $D25
)</f>
        <v/>
      </c>
      <c r="BA25" s="94" t="str">
        <f aca="false">AO25</f>
        <v/>
      </c>
      <c r="BB25" s="95" t="str">
        <f aca="false">AN25</f>
        <v/>
      </c>
      <c r="BC25" s="94" t="str">
        <f aca="false">IF(ISBLANK($C25),
    "",
    AQ25
)</f>
        <v/>
      </c>
      <c r="BD25" s="96" t="str">
        <f aca="false">IF(AU25&gt;AT$7,
    "",
    VLOOKUP(AU25,AW$8:BC$507,7,FALSE())
)</f>
        <v/>
      </c>
      <c r="BE25" s="97" t="str">
        <f aca="false">IF(AU25&gt;AT$7,
    "",
    VLOOKUP(AU25,AW$8:BC$507,2,FALSE())
)</f>
        <v/>
      </c>
      <c r="BF25" s="97" t="str">
        <f aca="false">IF(AU25&gt;AT$7,
    "",
    VLOOKUP(AU25,AW$8:BC$507,3,FALSE())
)</f>
        <v/>
      </c>
      <c r="BG25" s="97" t="str">
        <f aca="false">IF(AU25&gt;AT$7,
    "",
    VLOOKUP(AU25,AW$8:BC$507,4,FALSE())
)</f>
        <v/>
      </c>
      <c r="BH25" s="97" t="str">
        <f aca="false">IF(AU25&gt;AT$7,
    "",
    VLOOKUP(AU25,AW$8:BC$507,5,FALSE())
)</f>
        <v/>
      </c>
      <c r="BI25" s="98" t="str">
        <f aca="false">IF(AU25&gt;AT$7,
    "",
    VLOOKUP(AU25,AW$8:BC$507,6,FALSE())
)</f>
        <v/>
      </c>
      <c r="BJ25" s="46"/>
    </row>
    <row r="26" customFormat="false" ht="15.75" hidden="false" customHeight="false" outlineLevel="0" collapsed="false">
      <c r="A26" s="3"/>
      <c r="B26" s="108"/>
      <c r="C26" s="70"/>
      <c r="D26" s="49"/>
      <c r="E26" s="71"/>
      <c r="F26" s="72"/>
      <c r="G26" s="71"/>
      <c r="H26" s="73"/>
      <c r="I26" s="104"/>
      <c r="J26" s="73"/>
      <c r="K26" s="74"/>
      <c r="L26" s="55"/>
      <c r="M26" s="55" t="str">
        <f aca="false">IF(ISBLANK($C26),"",IF(ISBLANK(E26),0,E26))</f>
        <v/>
      </c>
      <c r="N26" s="55" t="str">
        <f aca="false">IF(ISBLANK($C26),"",IF(ISBLANK(F26),0,F26))</f>
        <v/>
      </c>
      <c r="O26" s="55" t="e">
        <f aca="false">IF(AND(NOT(ISBLANK($C26)),NOT($T26),COUNTA($E26:$K26)&gt;0),ISBLANK($F26),FALSE())</f>
        <v>#VALUE!</v>
      </c>
      <c r="P26" s="55" t="str">
        <f aca="false">IF(ISBLANK($C26),"",IF(G26=Constants!$B$9, TRUE(), IF(G26=Constants!$B$10, FALSE(), TRUE())))</f>
        <v/>
      </c>
      <c r="Q26" s="55" t="str">
        <f aca="false">IF(ISBLANK($C26),"",IF(H26=Constants!$B$9, TRUE(), IF(H26=Constants!$B$10, FALSE(), TRUE())))</f>
        <v/>
      </c>
      <c r="R26" s="55" t="str">
        <f aca="false">IF(ISBLANK($C26),"",IF(ISBLANK(I26),Constants!$B$3,I26))</f>
        <v/>
      </c>
      <c r="S26" s="55" t="str">
        <f aca="false">IF(ISBLANK($C26),"",IF(ISBLANK(J26),0,MIN(J26,Constants!$B$6)))</f>
        <v/>
      </c>
      <c r="T26" s="55" t="str">
        <f aca="false">IF(ISBLANK($C26),"",IF(K26=Constants!$B$9, TRUE(), IF(K26=Constants!$B$10, FALSE(),  FALSE())))</f>
        <v/>
      </c>
      <c r="U26" s="55" t="str">
        <f aca="false">IF(ISBLANK($C26),"",AND(R26=Constants!$B$4, S26&lt;Constants!$B$6))</f>
        <v/>
      </c>
      <c r="V26" s="55" t="str">
        <f aca="false">IF(ISBLANK(C26), "", IF(T26, Constants!$B$11, IF(COUNTA(E26:K26)=0, Constants!$B$12, IF(NOT(AND(P26,S26&lt;&gt;0)), Constants!$B$13, IF(O26, Constants!$B$15, Constants!$B$14)))))</f>
        <v/>
      </c>
      <c r="W26" s="55" t="str">
        <f aca="false">IF(OR(ISBLANK($C26), SUMPRODUCT(--(P26:T26&lt;&gt;""))=0), "", IF(V26&lt;&gt;Constants!$B$14, V26, IF(AND(NOT(ISBLANK(J26)),P26,Q26,R26&lt;&gt;Constants!$B$2), Constants!$B$7, IF(AND(P26,OR(NOT(Q26),R26=Constants!$B$2)), Constants!$B$8, "Error"))))</f>
        <v/>
      </c>
      <c r="X26" s="56" t="str">
        <f aca="false">IF(OR(W26=Constants!$B$7,W26=Constants!$B$8), MAX(0, MIN(Constants!$B$6, S26))+IF(AND(R26=Constants!$B$4, NOT(U26)), Constants!$B$5, 0), "")</f>
        <v/>
      </c>
      <c r="Y26" s="55" t="str">
        <f aca="false">IF(ISBLANK($C26),"",IF(AND(ISNUMBER(X26),N26&gt;0),X26/N26, "") )</f>
        <v/>
      </c>
      <c r="Z26" s="55" t="str">
        <f aca="false">IF(AND(NOT(ISBLANK($C26)), W26=Constants!$B$7), Y26, "")</f>
        <v/>
      </c>
      <c r="AA26" s="55" t="str">
        <f aca="false">IF(ISNUMBER(Z26), RANK(Z26,Z$8:Z$507), "")</f>
        <v/>
      </c>
      <c r="AB26" s="55" t="str">
        <f aca="false">IF(AND(NOT(ISBLANK($C26)), W26=Constants!$B$8), Y26, "")</f>
        <v/>
      </c>
      <c r="AC26" s="55" t="str">
        <f aca="false">IF(ISNUMBER(AB26), RANK(AB26,AB$8:AB$507), "")</f>
        <v/>
      </c>
      <c r="AD26" s="55" t="str">
        <f aca="false">IF(ISBLANK($C26),"",IF(V26&lt;&gt;Constants!$B$14, V26, IF(W26=Constants!$B$7, AA26, IF(W26=Constants!$B$8, COUNT($AA$8:$AA$507) + AC26, ""))))</f>
        <v/>
      </c>
      <c r="AE26" s="55" t="str">
        <f aca="false">N26</f>
        <v/>
      </c>
      <c r="AF26" s="55" t="str">
        <f aca="false">IF(ISNUMBER(AE26), RANK(AE26,AE$8:AE$507,1), "")</f>
        <v/>
      </c>
      <c r="AG26" s="57" t="str">
        <f aca="false">IF(ISBLANK(C26), "", ABS(M26-S26))</f>
        <v/>
      </c>
      <c r="AH26" s="55" t="str">
        <f aca="false">IF(ISNUMBER(AG26), RANK(AG26,AG$8:AG$507,1), "")</f>
        <v/>
      </c>
      <c r="AI26" s="55" t="str">
        <f aca="false">IF(ISBLANK(C26),"",IF(V26&lt;&gt;Constants!$B$14, V26, RANK(AD26, AD$8:AD$507, 1)+ SUMPRODUCT(--(AD$8:AD$507=AD26),--(AF26&gt;AF$8:AF$507)) + SUMPRODUCT(--(AD$8:AD$507=AD26),--(AF26=AF$8:AF$507),--(AH26&gt;AH$8:AH$507))))</f>
        <v/>
      </c>
      <c r="AJ26" s="55" t="str">
        <f aca="false">IF(ISBLANK(C26),"",IF(V26&lt;&gt;Constants!$B$14, V26, AD26-AI26))</f>
        <v/>
      </c>
      <c r="AK26" s="59"/>
      <c r="AL26" s="60" t="str">
        <f aca="false">IF(ISBLANK($C26),"",IF($V26&lt;&gt;Constants!$B$14,$V26,X26))</f>
        <v/>
      </c>
      <c r="AM26" s="60" t="str">
        <f aca="false">IF(ISBLANK($C26),"",IF($V26&lt;&gt;Constants!$B$14,$V26,N26))</f>
        <v/>
      </c>
      <c r="AN26" s="62" t="str">
        <f aca="false">IF(ISBLANK(C26),"",IF(V26&lt;&gt;Constants!$B$14, V26, IF(W26=Constants!$B$7,Z26,IF(W26=Constants!$B$8,AB26,""))))</f>
        <v/>
      </c>
      <c r="AO26" s="63" t="str">
        <f aca="false">IF(ISBLANK(C26),"",W26)</f>
        <v/>
      </c>
      <c r="AP26" s="63" t="str">
        <f aca="false">IF(ISBLANK(C26),"",AJ26)</f>
        <v/>
      </c>
      <c r="AQ26" s="63" t="str">
        <f aca="false">IF(ISBLANK(C26),"",AI26)</f>
        <v/>
      </c>
      <c r="AR26" s="64" t="str">
        <f aca="false">IF(ISBLANK(C26),
  "",
IF(AQ26=Constants!$B$11,COUNTA($C$8:$C$507)+2,IF(AQ26=Constants!$B$12,COUNTA($C$8:$C$507)+1,IF(AQ26=Constants!$B$13,COUNTA($C$8:$C$507),AQ26))))</f>
        <v/>
      </c>
      <c r="AS26" s="3"/>
      <c r="AT26" s="65" t="n">
        <f aca="false">IF(OR(ISNUMBER(AQ26),AQ26="DQ",AQ26="P",AQ26="NS"),
    1,
    0
)</f>
        <v>0</v>
      </c>
      <c r="AU26" s="65" t="n">
        <v>19</v>
      </c>
      <c r="AV26" s="65" t="str">
        <f aca="false">IF(ISBLANK($C26),
    "",
   IF(ISNUMBER(AR26),AR26+ROW($B26)/1000,"")
)</f>
        <v/>
      </c>
      <c r="AW26" s="65" t="str">
        <f aca="false">IF(ISNUMBER(AV26), RANK(AV26,AV$8:AV$507,1), "")</f>
        <v/>
      </c>
      <c r="AX26" s="65" t="str">
        <f aca="false">IF(ISBLANK($C26),
    "",
    $B26
)</f>
        <v/>
      </c>
      <c r="AY26" s="65" t="str">
        <f aca="false">IF(ISBLANK($C26),
    "",
    $C26
)</f>
        <v/>
      </c>
      <c r="AZ26" s="65" t="str">
        <f aca="false">IF(ISBLANK($C26),
    "",
    $D26
)</f>
        <v/>
      </c>
      <c r="BA26" s="65" t="str">
        <f aca="false">AO26</f>
        <v/>
      </c>
      <c r="BB26" s="66" t="str">
        <f aca="false">AN26</f>
        <v/>
      </c>
      <c r="BC26" s="65" t="str">
        <f aca="false">IF(ISBLANK($C26),
    "",
    AQ26
)</f>
        <v/>
      </c>
      <c r="BD26" s="67" t="str">
        <f aca="false">IF(AU26&gt;AT$7,
    "",
    VLOOKUP(AU26,AW$8:BC$507,7,FALSE())
)</f>
        <v/>
      </c>
      <c r="BE26" s="68" t="str">
        <f aca="false">IF(AU26&gt;AT$7,
    "",
    VLOOKUP(AU26,AW$8:BC$507,2,FALSE())
)</f>
        <v/>
      </c>
      <c r="BF26" s="68" t="str">
        <f aca="false">IF(AU26&gt;AT$7,
    "",
    VLOOKUP(AU26,AW$8:BC$507,3,FALSE())
)</f>
        <v/>
      </c>
      <c r="BG26" s="68" t="str">
        <f aca="false">IF(AU26&gt;AT$7,
    "",
    VLOOKUP(AU26,AW$8:BC$507,4,FALSE())
)</f>
        <v/>
      </c>
      <c r="BH26" s="68" t="str">
        <f aca="false">IF(AU26&gt;AT$7,
    "",
    VLOOKUP(AU26,AW$8:BC$507,5,FALSE())
)</f>
        <v/>
      </c>
      <c r="BI26" s="69" t="str">
        <f aca="false">IF(AU26&gt;AT$7,
    "",
    VLOOKUP(AU26,AW$8:BC$507,6,FALSE())
)</f>
        <v/>
      </c>
      <c r="BJ26" s="46"/>
    </row>
    <row r="27" customFormat="false" ht="15.75" hidden="false" customHeight="false" outlineLevel="0" collapsed="false">
      <c r="A27" s="3"/>
      <c r="B27" s="108"/>
      <c r="C27" s="70"/>
      <c r="D27" s="49"/>
      <c r="E27" s="71"/>
      <c r="F27" s="72"/>
      <c r="G27" s="71"/>
      <c r="H27" s="73"/>
      <c r="I27" s="104"/>
      <c r="J27" s="73"/>
      <c r="K27" s="74"/>
      <c r="L27" s="55"/>
      <c r="M27" s="55" t="str">
        <f aca="false">IF(ISBLANK($C27),"",IF(ISBLANK(E27),0,E27))</f>
        <v/>
      </c>
      <c r="N27" s="55" t="str">
        <f aca="false">IF(ISBLANK($C27),"",IF(ISBLANK(F27),0,F27))</f>
        <v/>
      </c>
      <c r="O27" s="55" t="e">
        <f aca="false">IF(AND(NOT(ISBLANK($C27)),NOT($T27),COUNTA($E27:$K27)&gt;0),ISBLANK($F27),FALSE())</f>
        <v>#VALUE!</v>
      </c>
      <c r="P27" s="55" t="str">
        <f aca="false">IF(ISBLANK($C27),"",IF(G27=Constants!$B$9, TRUE(), IF(G27=Constants!$B$10, FALSE(), TRUE())))</f>
        <v/>
      </c>
      <c r="Q27" s="55" t="str">
        <f aca="false">IF(ISBLANK($C27),"",IF(H27=Constants!$B$9, TRUE(), IF(H27=Constants!$B$10, FALSE(), TRUE())))</f>
        <v/>
      </c>
      <c r="R27" s="55" t="str">
        <f aca="false">IF(ISBLANK($C27),"",IF(ISBLANK(I27),Constants!$B$3,I27))</f>
        <v/>
      </c>
      <c r="S27" s="55" t="str">
        <f aca="false">IF(ISBLANK($C27),"",IF(ISBLANK(J27),0,MIN(J27,Constants!$B$6)))</f>
        <v/>
      </c>
      <c r="T27" s="55" t="str">
        <f aca="false">IF(ISBLANK($C27),"",IF(K27=Constants!$B$9, TRUE(), IF(K27=Constants!$B$10, FALSE(),  FALSE())))</f>
        <v/>
      </c>
      <c r="U27" s="55" t="str">
        <f aca="false">IF(ISBLANK($C27),"",AND(R27=Constants!$B$4, S27&lt;Constants!$B$6))</f>
        <v/>
      </c>
      <c r="V27" s="55" t="str">
        <f aca="false">IF(ISBLANK(C27), "", IF(T27, Constants!$B$11, IF(COUNTA(E27:K27)=0, Constants!$B$12, IF(NOT(AND(P27,S27&lt;&gt;0)), Constants!$B$13, IF(O27, Constants!$B$15, Constants!$B$14)))))</f>
        <v/>
      </c>
      <c r="W27" s="55" t="str">
        <f aca="false">IF(OR(ISBLANK($C27), SUMPRODUCT(--(P27:T27&lt;&gt;""))=0), "", IF(V27&lt;&gt;Constants!$B$14, V27, IF(AND(NOT(ISBLANK(J27)),P27,Q27,R27&lt;&gt;Constants!$B$2), Constants!$B$7, IF(AND(P27,OR(NOT(Q27),R27=Constants!$B$2)), Constants!$B$8, "Error"))))</f>
        <v/>
      </c>
      <c r="X27" s="56" t="str">
        <f aca="false">IF(OR(W27=Constants!$B$7,W27=Constants!$B$8), MAX(0, MIN(Constants!$B$6, S27))+IF(AND(R27=Constants!$B$4, NOT(U27)), Constants!$B$5, 0), "")</f>
        <v/>
      </c>
      <c r="Y27" s="55" t="str">
        <f aca="false">IF(ISBLANK($C27),"",IF(AND(ISNUMBER(X27),N27&gt;0),X27/N27, "") )</f>
        <v/>
      </c>
      <c r="Z27" s="55" t="str">
        <f aca="false">IF(AND(NOT(ISBLANK($C27)), W27=Constants!$B$7), Y27, "")</f>
        <v/>
      </c>
      <c r="AA27" s="55" t="str">
        <f aca="false">IF(ISNUMBER(Z27), RANK(Z27,Z$8:Z$507), "")</f>
        <v/>
      </c>
      <c r="AB27" s="55" t="str">
        <f aca="false">IF(AND(NOT(ISBLANK($C27)), W27=Constants!$B$8), Y27, "")</f>
        <v/>
      </c>
      <c r="AC27" s="55" t="str">
        <f aca="false">IF(ISNUMBER(AB27), RANK(AB27,AB$8:AB$507), "")</f>
        <v/>
      </c>
      <c r="AD27" s="55" t="str">
        <f aca="false">IF(ISBLANK($C27),"",IF(V27&lt;&gt;Constants!$B$14, V27, IF(W27=Constants!$B$7, AA27, IF(W27=Constants!$B$8, COUNT($AA$8:$AA$507) + AC27, ""))))</f>
        <v/>
      </c>
      <c r="AE27" s="55" t="str">
        <f aca="false">N27</f>
        <v/>
      </c>
      <c r="AF27" s="55" t="str">
        <f aca="false">IF(ISNUMBER(AE27), RANK(AE27,AE$8:AE$507,1), "")</f>
        <v/>
      </c>
      <c r="AG27" s="57" t="str">
        <f aca="false">IF(ISBLANK(C27), "", ABS(M27-S27))</f>
        <v/>
      </c>
      <c r="AH27" s="55" t="str">
        <f aca="false">IF(ISNUMBER(AG27), RANK(AG27,AG$8:AG$507,1), "")</f>
        <v/>
      </c>
      <c r="AI27" s="55" t="str">
        <f aca="false">IF(ISBLANK(C27),"",IF(V27&lt;&gt;Constants!$B$14, V27, RANK(AD27, AD$8:AD$507, 1)+ SUMPRODUCT(--(AD$8:AD$507=AD27),--(AF27&gt;AF$8:AF$507)) + SUMPRODUCT(--(AD$8:AD$507=AD27),--(AF27=AF$8:AF$507),--(AH27&gt;AH$8:AH$507))))</f>
        <v/>
      </c>
      <c r="AJ27" s="55" t="str">
        <f aca="false">IF(ISBLANK(C27),"",IF(V27&lt;&gt;Constants!$B$14, V27, AD27-AI27))</f>
        <v/>
      </c>
      <c r="AK27" s="59"/>
      <c r="AL27" s="60" t="str">
        <f aca="false">IF(ISBLANK($C27),"",IF($V27&lt;&gt;Constants!$B$14,$V27,X27))</f>
        <v/>
      </c>
      <c r="AM27" s="60" t="str">
        <f aca="false">IF(ISBLANK($C27),"",IF($V27&lt;&gt;Constants!$B$14,$V27,N27))</f>
        <v/>
      </c>
      <c r="AN27" s="62" t="str">
        <f aca="false">IF(ISBLANK(C27),"",IF(V27&lt;&gt;Constants!$B$14, V27, IF(W27=Constants!$B$7,Z27,IF(W27=Constants!$B$8,AB27,""))))</f>
        <v/>
      </c>
      <c r="AO27" s="63" t="str">
        <f aca="false">IF(ISBLANK(C27),"",W27)</f>
        <v/>
      </c>
      <c r="AP27" s="63" t="str">
        <f aca="false">IF(ISBLANK(C27),"",AJ27)</f>
        <v/>
      </c>
      <c r="AQ27" s="63" t="str">
        <f aca="false">IF(ISBLANK(C27),"",AI27)</f>
        <v/>
      </c>
      <c r="AR27" s="64" t="str">
        <f aca="false">IF(ISBLANK(C27),
  "",
IF(AQ27=Constants!$B$11,COUNTA($C$8:$C$507)+2,IF(AQ27=Constants!$B$12,COUNTA($C$8:$C$507)+1,IF(AQ27=Constants!$B$13,COUNTA($C$8:$C$507),AQ27))))</f>
        <v/>
      </c>
      <c r="AS27" s="3"/>
      <c r="AT27" s="65" t="n">
        <f aca="false">IF(OR(ISNUMBER(AQ27),AQ27="DQ",AQ27="P",AQ27="NS"),
    1,
    0
)</f>
        <v>0</v>
      </c>
      <c r="AU27" s="65" t="n">
        <v>20</v>
      </c>
      <c r="AV27" s="65" t="str">
        <f aca="false">IF(ISBLANK($C27),
    "",
   IF(ISNUMBER(AR27),AR27+ROW($B27)/1000,"")
)</f>
        <v/>
      </c>
      <c r="AW27" s="65" t="str">
        <f aca="false">IF(ISNUMBER(AV27), RANK(AV27,AV$8:AV$507,1), "")</f>
        <v/>
      </c>
      <c r="AX27" s="65" t="str">
        <f aca="false">IF(ISBLANK($C27),
    "",
    $B27
)</f>
        <v/>
      </c>
      <c r="AY27" s="65" t="str">
        <f aca="false">IF(ISBLANK($C27),
    "",
    $C27
)</f>
        <v/>
      </c>
      <c r="AZ27" s="65" t="str">
        <f aca="false">IF(ISBLANK($C27),
    "",
    $D27
)</f>
        <v/>
      </c>
      <c r="BA27" s="65" t="str">
        <f aca="false">AO27</f>
        <v/>
      </c>
      <c r="BB27" s="66" t="str">
        <f aca="false">AN27</f>
        <v/>
      </c>
      <c r="BC27" s="65" t="str">
        <f aca="false">IF(ISBLANK($C27),
    "",
    AQ27
)</f>
        <v/>
      </c>
      <c r="BD27" s="67" t="str">
        <f aca="false">IF(AU27&gt;AT$7,
    "",
    VLOOKUP(AU27,AW$8:BC$507,7,FALSE())
)</f>
        <v/>
      </c>
      <c r="BE27" s="68" t="str">
        <f aca="false">IF(AU27&gt;AT$7,
    "",
    VLOOKUP(AU27,AW$8:BC$507,2,FALSE())
)</f>
        <v/>
      </c>
      <c r="BF27" s="68" t="str">
        <f aca="false">IF(AU27&gt;AT$7,
    "",
    VLOOKUP(AU27,AW$8:BC$507,3,FALSE())
)</f>
        <v/>
      </c>
      <c r="BG27" s="68" t="str">
        <f aca="false">IF(AU27&gt;AT$7,
    "",
    VLOOKUP(AU27,AW$8:BC$507,4,FALSE())
)</f>
        <v/>
      </c>
      <c r="BH27" s="68" t="str">
        <f aca="false">IF(AU27&gt;AT$7,
    "",
    VLOOKUP(AU27,AW$8:BC$507,5,FALSE())
)</f>
        <v/>
      </c>
      <c r="BI27" s="69" t="str">
        <f aca="false">IF(AU27&gt;AT$7,
    "",
    VLOOKUP(AU27,AW$8:BC$507,6,FALSE())
)</f>
        <v/>
      </c>
      <c r="BJ27" s="46"/>
    </row>
    <row r="28" customFormat="false" ht="15.75" hidden="false" customHeight="false" outlineLevel="0" collapsed="false">
      <c r="A28" s="3"/>
      <c r="B28" s="108"/>
      <c r="C28" s="70"/>
      <c r="D28" s="49"/>
      <c r="E28" s="71"/>
      <c r="F28" s="72"/>
      <c r="G28" s="71"/>
      <c r="H28" s="73"/>
      <c r="I28" s="104"/>
      <c r="J28" s="73"/>
      <c r="K28" s="74"/>
      <c r="L28" s="55"/>
      <c r="M28" s="55" t="str">
        <f aca="false">IF(ISBLANK($C28),"",IF(ISBLANK(E28),0,E28))</f>
        <v/>
      </c>
      <c r="N28" s="55" t="str">
        <f aca="false">IF(ISBLANK($C28),"",IF(ISBLANK(F28),0,F28))</f>
        <v/>
      </c>
      <c r="O28" s="55" t="e">
        <f aca="false">IF(AND(NOT(ISBLANK($C28)),NOT($T28),COUNTA($E28:$K28)&gt;0),ISBLANK($F28),FALSE())</f>
        <v>#VALUE!</v>
      </c>
      <c r="P28" s="55" t="str">
        <f aca="false">IF(ISBLANK($C28),"",IF(G28=Constants!$B$9, TRUE(), IF(G28=Constants!$B$10, FALSE(), TRUE())))</f>
        <v/>
      </c>
      <c r="Q28" s="55" t="str">
        <f aca="false">IF(ISBLANK($C28),"",IF(H28=Constants!$B$9, TRUE(), IF(H28=Constants!$B$10, FALSE(), TRUE())))</f>
        <v/>
      </c>
      <c r="R28" s="55" t="str">
        <f aca="false">IF(ISBLANK($C28),"",IF(ISBLANK(I28),Constants!$B$3,I28))</f>
        <v/>
      </c>
      <c r="S28" s="55" t="str">
        <f aca="false">IF(ISBLANK($C28),"",IF(ISBLANK(J28),0,MIN(J28,Constants!$B$6)))</f>
        <v/>
      </c>
      <c r="T28" s="55" t="str">
        <f aca="false">IF(ISBLANK($C28),"",IF(K28=Constants!$B$9, TRUE(), IF(K28=Constants!$B$10, FALSE(),  FALSE())))</f>
        <v/>
      </c>
      <c r="U28" s="55" t="str">
        <f aca="false">IF(ISBLANK($C28),"",AND(R28=Constants!$B$4, S28&lt;Constants!$B$6))</f>
        <v/>
      </c>
      <c r="V28" s="55" t="str">
        <f aca="false">IF(ISBLANK(C28), "", IF(T28, Constants!$B$11, IF(COUNTA(E28:K28)=0, Constants!$B$12, IF(NOT(AND(P28,S28&lt;&gt;0)), Constants!$B$13, IF(O28, Constants!$B$15, Constants!$B$14)))))</f>
        <v/>
      </c>
      <c r="W28" s="55" t="str">
        <f aca="false">IF(OR(ISBLANK($C28), SUMPRODUCT(--(P28:T28&lt;&gt;""))=0), "", IF(V28&lt;&gt;Constants!$B$14, V28, IF(AND(NOT(ISBLANK(J28)),P28,Q28,R28&lt;&gt;Constants!$B$2), Constants!$B$7, IF(AND(P28,OR(NOT(Q28),R28=Constants!$B$2)), Constants!$B$8, "Error"))))</f>
        <v/>
      </c>
      <c r="X28" s="56" t="str">
        <f aca="false">IF(OR(W28=Constants!$B$7,W28=Constants!$B$8), MAX(0, MIN(Constants!$B$6, S28))+IF(AND(R28=Constants!$B$4, NOT(U28)), Constants!$B$5, 0), "")</f>
        <v/>
      </c>
      <c r="Y28" s="55" t="str">
        <f aca="false">IF(ISBLANK($C28),"",IF(AND(ISNUMBER(X28),N28&gt;0),X28/N28, "") )</f>
        <v/>
      </c>
      <c r="Z28" s="55" t="str">
        <f aca="false">IF(AND(NOT(ISBLANK($C28)), W28=Constants!$B$7), Y28, "")</f>
        <v/>
      </c>
      <c r="AA28" s="55" t="str">
        <f aca="false">IF(ISNUMBER(Z28), RANK(Z28,Z$8:Z$507), "")</f>
        <v/>
      </c>
      <c r="AB28" s="55" t="str">
        <f aca="false">IF(AND(NOT(ISBLANK($C28)), W28=Constants!$B$8), Y28, "")</f>
        <v/>
      </c>
      <c r="AC28" s="55" t="str">
        <f aca="false">IF(ISNUMBER(AB28), RANK(AB28,AB$8:AB$507), "")</f>
        <v/>
      </c>
      <c r="AD28" s="55" t="str">
        <f aca="false">IF(ISBLANK($C28),"",IF(V28&lt;&gt;Constants!$B$14, V28, IF(W28=Constants!$B$7, AA28, IF(W28=Constants!$B$8, COUNT($AA$8:$AA$507) + AC28, ""))))</f>
        <v/>
      </c>
      <c r="AE28" s="55" t="str">
        <f aca="false">N28</f>
        <v/>
      </c>
      <c r="AF28" s="55" t="str">
        <f aca="false">IF(ISNUMBER(AE28), RANK(AE28,AE$8:AE$507,1), "")</f>
        <v/>
      </c>
      <c r="AG28" s="57" t="str">
        <f aca="false">IF(ISBLANK(C28), "", ABS(M28-S28))</f>
        <v/>
      </c>
      <c r="AH28" s="55" t="str">
        <f aca="false">IF(ISNUMBER(AG28), RANK(AG28,AG$8:AG$507,1), "")</f>
        <v/>
      </c>
      <c r="AI28" s="55" t="str">
        <f aca="false">IF(ISBLANK(C28),"",IF(V28&lt;&gt;Constants!$B$14, V28, RANK(AD28, AD$8:AD$507, 1)+ SUMPRODUCT(--(AD$8:AD$507=AD28),--(AF28&gt;AF$8:AF$507)) + SUMPRODUCT(--(AD$8:AD$507=AD28),--(AF28=AF$8:AF$507),--(AH28&gt;AH$8:AH$507))))</f>
        <v/>
      </c>
      <c r="AJ28" s="55" t="str">
        <f aca="false">IF(ISBLANK(C28),"",IF(V28&lt;&gt;Constants!$B$14, V28, AD28-AI28))</f>
        <v/>
      </c>
      <c r="AK28" s="59"/>
      <c r="AL28" s="60" t="str">
        <f aca="false">IF(ISBLANK($C28),"",IF($V28&lt;&gt;Constants!$B$14,$V28,X28))</f>
        <v/>
      </c>
      <c r="AM28" s="60" t="str">
        <f aca="false">IF(ISBLANK($C28),"",IF($V28&lt;&gt;Constants!$B$14,$V28,N28))</f>
        <v/>
      </c>
      <c r="AN28" s="62" t="str">
        <f aca="false">IF(ISBLANK(C28),"",IF(V28&lt;&gt;Constants!$B$14, V28, IF(W28=Constants!$B$7,Z28,IF(W28=Constants!$B$8,AB28,""))))</f>
        <v/>
      </c>
      <c r="AO28" s="63" t="str">
        <f aca="false">IF(ISBLANK(C28),"",W28)</f>
        <v/>
      </c>
      <c r="AP28" s="63" t="str">
        <f aca="false">IF(ISBLANK(C28),"",AJ28)</f>
        <v/>
      </c>
      <c r="AQ28" s="63" t="str">
        <f aca="false">IF(ISBLANK(C28),"",AI28)</f>
        <v/>
      </c>
      <c r="AR28" s="64" t="str">
        <f aca="false">IF(ISBLANK(C28),
  "",
IF(AQ28=Constants!$B$11,COUNTA($C$8:$C$507)+2,IF(AQ28=Constants!$B$12,COUNTA($C$8:$C$507)+1,IF(AQ28=Constants!$B$13,COUNTA($C$8:$C$507),AQ28))))</f>
        <v/>
      </c>
      <c r="AS28" s="3"/>
      <c r="AT28" s="65" t="n">
        <f aca="false">IF(OR(ISNUMBER(AQ28),AQ28="DQ",AQ28="P",AQ28="NS"),
    1,
    0
)</f>
        <v>0</v>
      </c>
      <c r="AU28" s="65" t="n">
        <v>21</v>
      </c>
      <c r="AV28" s="65" t="str">
        <f aca="false">IF(ISBLANK($C28),
    "",
   IF(ISNUMBER(AR28),AR28+ROW($B28)/1000,"")
)</f>
        <v/>
      </c>
      <c r="AW28" s="65" t="str">
        <f aca="false">IF(ISNUMBER(AV28), RANK(AV28,AV$8:AV$507,1), "")</f>
        <v/>
      </c>
      <c r="AX28" s="65" t="str">
        <f aca="false">IF(ISBLANK($C28),
    "",
    $B28
)</f>
        <v/>
      </c>
      <c r="AY28" s="65" t="str">
        <f aca="false">IF(ISBLANK($C28),
    "",
    $C28
)</f>
        <v/>
      </c>
      <c r="AZ28" s="65" t="str">
        <f aca="false">IF(ISBLANK($C28),
    "",
    $D28
)</f>
        <v/>
      </c>
      <c r="BA28" s="65" t="str">
        <f aca="false">AO28</f>
        <v/>
      </c>
      <c r="BB28" s="66" t="str">
        <f aca="false">AN28</f>
        <v/>
      </c>
      <c r="BC28" s="65" t="str">
        <f aca="false">IF(ISBLANK($C28),
    "",
    AQ28
)</f>
        <v/>
      </c>
      <c r="BD28" s="67" t="str">
        <f aca="false">IF(AU28&gt;AT$7,
    "",
    VLOOKUP(AU28,AW$8:BC$507,7,FALSE())
)</f>
        <v/>
      </c>
      <c r="BE28" s="68" t="str">
        <f aca="false">IF(AU28&gt;AT$7,
    "",
    VLOOKUP(AU28,AW$8:BC$507,2,FALSE())
)</f>
        <v/>
      </c>
      <c r="BF28" s="68" t="str">
        <f aca="false">IF(AU28&gt;AT$7,
    "",
    VLOOKUP(AU28,AW$8:BC$507,3,FALSE())
)</f>
        <v/>
      </c>
      <c r="BG28" s="68" t="str">
        <f aca="false">IF(AU28&gt;AT$7,
    "",
    VLOOKUP(AU28,AW$8:BC$507,4,FALSE())
)</f>
        <v/>
      </c>
      <c r="BH28" s="68" t="str">
        <f aca="false">IF(AU28&gt;AT$7,
    "",
    VLOOKUP(AU28,AW$8:BC$507,5,FALSE())
)</f>
        <v/>
      </c>
      <c r="BI28" s="69" t="str">
        <f aca="false">IF(AU28&gt;AT$7,
    "",
    VLOOKUP(AU28,AW$8:BC$507,6,FALSE())
)</f>
        <v/>
      </c>
      <c r="BJ28" s="46"/>
    </row>
    <row r="29" customFormat="false" ht="15.75" hidden="false" customHeight="false" outlineLevel="0" collapsed="false">
      <c r="A29" s="3"/>
      <c r="B29" s="105"/>
      <c r="C29" s="106"/>
      <c r="D29" s="99"/>
      <c r="E29" s="100"/>
      <c r="F29" s="107"/>
      <c r="G29" s="100"/>
      <c r="H29" s="101"/>
      <c r="I29" s="102"/>
      <c r="J29" s="101"/>
      <c r="K29" s="103"/>
      <c r="L29" s="85"/>
      <c r="M29" s="85" t="str">
        <f aca="false">IF(ISBLANK($C29),"",IF(ISBLANK(E29),0,E29))</f>
        <v/>
      </c>
      <c r="N29" s="85" t="str">
        <f aca="false">IF(ISBLANK($C29),"",IF(ISBLANK(F29),0,F29))</f>
        <v/>
      </c>
      <c r="O29" s="86" t="e">
        <f aca="false">IF(AND(NOT(ISBLANK($C29)),NOT($T29),COUNTA($E29:$K29)&gt;0),ISBLANK($F29),FALSE())</f>
        <v>#VALUE!</v>
      </c>
      <c r="P29" s="85" t="str">
        <f aca="false">IF(ISBLANK($C29),"",IF(G29=Constants!$B$9, TRUE(), IF(G29=Constants!$B$10, FALSE(), TRUE())))</f>
        <v/>
      </c>
      <c r="Q29" s="85" t="str">
        <f aca="false">IF(ISBLANK($C29),"",IF(H29=Constants!$B$9, TRUE(), IF(H29=Constants!$B$10, FALSE(), TRUE())))</f>
        <v/>
      </c>
      <c r="R29" s="85" t="str">
        <f aca="false">IF(ISBLANK($C29),"",IF(ISBLANK(I29),Constants!$B$3,I29))</f>
        <v/>
      </c>
      <c r="S29" s="85" t="str">
        <f aca="false">IF(ISBLANK($C29),"",IF(ISBLANK(J29),0,MIN(J29,Constants!$B$6)))</f>
        <v/>
      </c>
      <c r="T29" s="85" t="str">
        <f aca="false">IF(ISBLANK($C29),"",IF(K29=Constants!$B$9, TRUE(), IF(K29=Constants!$B$10, FALSE(),  FALSE())))</f>
        <v/>
      </c>
      <c r="U29" s="85" t="str">
        <f aca="false">IF(ISBLANK($C29),"",AND(R29=Constants!$B$4, S29&lt;Constants!$B$6))</f>
        <v/>
      </c>
      <c r="V29" s="85" t="str">
        <f aca="false">IF(ISBLANK(C29), "", IF(T29, Constants!$B$11, IF(COUNTA(E29:K29)=0, Constants!$B$12, IF(NOT(AND(P29,S29&lt;&gt;0)), Constants!$B$13, IF(O29, Constants!$B$15, Constants!$B$14)))))</f>
        <v/>
      </c>
      <c r="W29" s="85" t="str">
        <f aca="false">IF(OR(ISBLANK($C29), SUMPRODUCT(--(P29:T29&lt;&gt;""))=0), "", IF(V29&lt;&gt;Constants!$B$14, V29, IF(AND(NOT(ISBLANK(J29)),P29,Q29,R29&lt;&gt;Constants!$B$2), Constants!$B$7, IF(AND(P29,OR(NOT(Q29),R29=Constants!$B$2)), Constants!$B$8, "Error"))))</f>
        <v/>
      </c>
      <c r="X29" s="87" t="str">
        <f aca="false">IF(OR(W29=Constants!$B$7,W29=Constants!$B$8), MAX(0, MIN(Constants!$B$6, S29))+IF(AND(R29=Constants!$B$4, NOT(U29)), Constants!$B$5, 0), "")</f>
        <v/>
      </c>
      <c r="Y29" s="85" t="str">
        <f aca="false">IF(ISBLANK($C29),"",IF(AND(ISNUMBER(X29),N29&gt;0),X29/N29, "") )</f>
        <v/>
      </c>
      <c r="Z29" s="85" t="str">
        <f aca="false">IF(AND(NOT(ISBLANK($C29)), W29=Constants!$B$7), Y29, "")</f>
        <v/>
      </c>
      <c r="AA29" s="85" t="str">
        <f aca="false">IF(ISNUMBER(Z29), RANK(Z29,Z$8:Z$507), "")</f>
        <v/>
      </c>
      <c r="AB29" s="85" t="str">
        <f aca="false">IF(AND(NOT(ISBLANK($C29)), W29=Constants!$B$8), Y29, "")</f>
        <v/>
      </c>
      <c r="AC29" s="85" t="str">
        <f aca="false">IF(ISNUMBER(AB29), RANK(AB29,AB$8:AB$507), "")</f>
        <v/>
      </c>
      <c r="AD29" s="85" t="str">
        <f aca="false">IF(ISBLANK($C29),"",IF(V29&lt;&gt;Constants!$B$14, V29, IF(W29=Constants!$B$7, AA29, IF(W29=Constants!$B$8, COUNT($AA$8:$AA$507) + AC29, ""))))</f>
        <v/>
      </c>
      <c r="AE29" s="85" t="str">
        <f aca="false">N29</f>
        <v/>
      </c>
      <c r="AF29" s="85" t="str">
        <f aca="false">IF(ISNUMBER(AE29), RANK(AE29,AE$8:AE$507,1), "")</f>
        <v/>
      </c>
      <c r="AG29" s="88" t="str">
        <f aca="false">IF(ISBLANK(C29), "", ABS(M29-S29))</f>
        <v/>
      </c>
      <c r="AH29" s="85" t="str">
        <f aca="false">IF(ISNUMBER(AG29), RANK(AG29,AG$8:AG$507,1), "")</f>
        <v/>
      </c>
      <c r="AI29" s="85" t="str">
        <f aca="false">IF(ISBLANK(C29),"",IF(V29&lt;&gt;Constants!$B$14, V29, RANK(AD29, AD$8:AD$507, 1)+ SUMPRODUCT(--(AD$8:AD$507=AD29),--(AF29&gt;AF$8:AF$507)) + SUMPRODUCT(--(AD$8:AD$507=AD29),--(AF29=AF$8:AF$507),--(AH29&gt;AH$8:AH$507))))</f>
        <v/>
      </c>
      <c r="AJ29" s="85" t="str">
        <f aca="false">IF(ISBLANK(C29),"",IF(V29&lt;&gt;Constants!$B$14, V29, AD29-AI29))</f>
        <v/>
      </c>
      <c r="AK29" s="89"/>
      <c r="AL29" s="90" t="str">
        <f aca="false">IF(ISBLANK($C29),"",IF($V29&lt;&gt;Constants!$B$14,$V29,X29))</f>
        <v/>
      </c>
      <c r="AM29" s="90" t="str">
        <f aca="false">IF(ISBLANK($C29),"",IF($V29&lt;&gt;Constants!$B$14,$V29,N29))</f>
        <v/>
      </c>
      <c r="AN29" s="91" t="str">
        <f aca="false">IF(ISBLANK(C29),"",IF(V29&lt;&gt;Constants!$B$14, V29, IF(W29=Constants!$B$7,Z29,IF(W29=Constants!$B$8,AB29,""))))</f>
        <v/>
      </c>
      <c r="AO29" s="92" t="str">
        <f aca="false">IF(ISBLANK(C29),"",W29)</f>
        <v/>
      </c>
      <c r="AP29" s="92" t="str">
        <f aca="false">IF(ISBLANK(C29),"",AJ29)</f>
        <v/>
      </c>
      <c r="AQ29" s="92" t="str">
        <f aca="false">IF(ISBLANK(C29),"",AI29)</f>
        <v/>
      </c>
      <c r="AR29" s="93" t="str">
        <f aca="false">IF(ISBLANK(C29),
  "",
IF(AQ29=Constants!$B$11,COUNTA($C$8:$C$507)+2,IF(AQ29=Constants!$B$12,COUNTA($C$8:$C$507)+1,IF(AQ29=Constants!$B$13,COUNTA($C$8:$C$507),AQ29))))</f>
        <v/>
      </c>
      <c r="AS29" s="3"/>
      <c r="AT29" s="94" t="n">
        <f aca="false">IF(OR(ISNUMBER(AQ29),AQ29="DQ",AQ29="P",AQ29="NS"),
    1,
    0
)</f>
        <v>0</v>
      </c>
      <c r="AU29" s="94" t="n">
        <v>22</v>
      </c>
      <c r="AV29" s="94" t="str">
        <f aca="false">IF(ISBLANK($C29),
    "",
   IF(ISNUMBER(AR29),AR29+ROW($B29)/1000,"")
)</f>
        <v/>
      </c>
      <c r="AW29" s="94" t="str">
        <f aca="false">IF(ISNUMBER(AV29), RANK(AV29,AV$8:AV$507,1), "")</f>
        <v/>
      </c>
      <c r="AX29" s="94" t="str">
        <f aca="false">IF(ISBLANK($C29),
    "",
    $B29
)</f>
        <v/>
      </c>
      <c r="AY29" s="94" t="str">
        <f aca="false">IF(ISBLANK($C29),
    "",
    $C29
)</f>
        <v/>
      </c>
      <c r="AZ29" s="94" t="str">
        <f aca="false">IF(ISBLANK($C29),
    "",
    $D29
)</f>
        <v/>
      </c>
      <c r="BA29" s="94" t="str">
        <f aca="false">AO29</f>
        <v/>
      </c>
      <c r="BB29" s="95" t="str">
        <f aca="false">AN29</f>
        <v/>
      </c>
      <c r="BC29" s="94" t="str">
        <f aca="false">IF(ISBLANK($C29),
    "",
    AQ29
)</f>
        <v/>
      </c>
      <c r="BD29" s="96" t="str">
        <f aca="false">IF(AU29&gt;AT$7,
    "",
    VLOOKUP(AU29,AW$8:BC$507,7,FALSE())
)</f>
        <v/>
      </c>
      <c r="BE29" s="97" t="str">
        <f aca="false">IF(AU29&gt;AT$7,
    "",
    VLOOKUP(AU29,AW$8:BC$507,2,FALSE())
)</f>
        <v/>
      </c>
      <c r="BF29" s="97" t="str">
        <f aca="false">IF(AU29&gt;AT$7,
    "",
    VLOOKUP(AU29,AW$8:BC$507,3,FALSE())
)</f>
        <v/>
      </c>
      <c r="BG29" s="97" t="str">
        <f aca="false">IF(AU29&gt;AT$7,
    "",
    VLOOKUP(AU29,AW$8:BC$507,4,FALSE())
)</f>
        <v/>
      </c>
      <c r="BH29" s="97" t="str">
        <f aca="false">IF(AU29&gt;AT$7,
    "",
    VLOOKUP(AU29,AW$8:BC$507,5,FALSE())
)</f>
        <v/>
      </c>
      <c r="BI29" s="98" t="str">
        <f aca="false">IF(AU29&gt;AT$7,
    "",
    VLOOKUP(AU29,AW$8:BC$507,6,FALSE())
)</f>
        <v/>
      </c>
      <c r="BJ29" s="46"/>
    </row>
    <row r="30" customFormat="false" ht="15.75" hidden="false" customHeight="false" outlineLevel="0" collapsed="false">
      <c r="A30" s="3"/>
      <c r="B30" s="105"/>
      <c r="C30" s="106"/>
      <c r="D30" s="99"/>
      <c r="E30" s="100"/>
      <c r="F30" s="107"/>
      <c r="G30" s="100"/>
      <c r="H30" s="101"/>
      <c r="I30" s="102"/>
      <c r="J30" s="101"/>
      <c r="K30" s="103"/>
      <c r="L30" s="85"/>
      <c r="M30" s="85" t="str">
        <f aca="false">IF(ISBLANK($C30),"",IF(ISBLANK(E30),0,E30))</f>
        <v/>
      </c>
      <c r="N30" s="85" t="str">
        <f aca="false">IF(ISBLANK($C30),"",IF(ISBLANK(F30),0,F30))</f>
        <v/>
      </c>
      <c r="O30" s="86" t="e">
        <f aca="false">IF(AND(NOT(ISBLANK($C30)),NOT($T30),COUNTA($E30:$K30)&gt;0),ISBLANK($F30),FALSE())</f>
        <v>#VALUE!</v>
      </c>
      <c r="P30" s="85" t="str">
        <f aca="false">IF(ISBLANK($C30),"",IF(G30=Constants!$B$9, TRUE(), IF(G30=Constants!$B$10, FALSE(), TRUE())))</f>
        <v/>
      </c>
      <c r="Q30" s="85" t="str">
        <f aca="false">IF(ISBLANK($C30),"",IF(H30=Constants!$B$9, TRUE(), IF(H30=Constants!$B$10, FALSE(), TRUE())))</f>
        <v/>
      </c>
      <c r="R30" s="85" t="str">
        <f aca="false">IF(ISBLANK($C30),"",IF(ISBLANK(I30),Constants!$B$3,I30))</f>
        <v/>
      </c>
      <c r="S30" s="85" t="str">
        <f aca="false">IF(ISBLANK($C30),"",IF(ISBLANK(J30),0,MIN(J30,Constants!$B$6)))</f>
        <v/>
      </c>
      <c r="T30" s="85" t="str">
        <f aca="false">IF(ISBLANK($C30),"",IF(K30=Constants!$B$9, TRUE(), IF(K30=Constants!$B$10, FALSE(),  FALSE())))</f>
        <v/>
      </c>
      <c r="U30" s="85" t="str">
        <f aca="false">IF(ISBLANK($C30),"",AND(R30=Constants!$B$4, S30&lt;Constants!$B$6))</f>
        <v/>
      </c>
      <c r="V30" s="85" t="str">
        <f aca="false">IF(ISBLANK(C30), "", IF(T30, Constants!$B$11, IF(COUNTA(E30:K30)=0, Constants!$B$12, IF(NOT(AND(P30,S30&lt;&gt;0)), Constants!$B$13, IF(O30, Constants!$B$15, Constants!$B$14)))))</f>
        <v/>
      </c>
      <c r="W30" s="85" t="str">
        <f aca="false">IF(OR(ISBLANK($C30), SUMPRODUCT(--(P30:T30&lt;&gt;""))=0), "", IF(V30&lt;&gt;Constants!$B$14, V30, IF(AND(NOT(ISBLANK(J30)),P30,Q30,R30&lt;&gt;Constants!$B$2), Constants!$B$7, IF(AND(P30,OR(NOT(Q30),R30=Constants!$B$2)), Constants!$B$8, "Error"))))</f>
        <v/>
      </c>
      <c r="X30" s="87" t="str">
        <f aca="false">IF(OR(W30=Constants!$B$7,W30=Constants!$B$8), MAX(0, MIN(Constants!$B$6, S30))+IF(AND(R30=Constants!$B$4, NOT(U30)), Constants!$B$5, 0), "")</f>
        <v/>
      </c>
      <c r="Y30" s="85" t="str">
        <f aca="false">IF(ISBLANK($C30),"",IF(AND(ISNUMBER(X30),N30&gt;0),X30/N30, "") )</f>
        <v/>
      </c>
      <c r="Z30" s="85" t="str">
        <f aca="false">IF(AND(NOT(ISBLANK($C30)), W30=Constants!$B$7), Y30, "")</f>
        <v/>
      </c>
      <c r="AA30" s="85" t="str">
        <f aca="false">IF(ISNUMBER(Z30), RANK(Z30,Z$8:Z$507), "")</f>
        <v/>
      </c>
      <c r="AB30" s="85" t="str">
        <f aca="false">IF(AND(NOT(ISBLANK($C30)), W30=Constants!$B$8), Y30, "")</f>
        <v/>
      </c>
      <c r="AC30" s="85" t="str">
        <f aca="false">IF(ISNUMBER(AB30), RANK(AB30,AB$8:AB$507), "")</f>
        <v/>
      </c>
      <c r="AD30" s="85" t="str">
        <f aca="false">IF(ISBLANK($C30),"",IF(V30&lt;&gt;Constants!$B$14, V30, IF(W30=Constants!$B$7, AA30, IF(W30=Constants!$B$8, COUNT($AA$8:$AA$507) + AC30, ""))))</f>
        <v/>
      </c>
      <c r="AE30" s="85" t="str">
        <f aca="false">N30</f>
        <v/>
      </c>
      <c r="AF30" s="85" t="str">
        <f aca="false">IF(ISNUMBER(AE30), RANK(AE30,AE$8:AE$507,1), "")</f>
        <v/>
      </c>
      <c r="AG30" s="88" t="str">
        <f aca="false">IF(ISBLANK(C30), "", ABS(M30-S30))</f>
        <v/>
      </c>
      <c r="AH30" s="85" t="str">
        <f aca="false">IF(ISNUMBER(AG30), RANK(AG30,AG$8:AG$507,1), "")</f>
        <v/>
      </c>
      <c r="AI30" s="85" t="str">
        <f aca="false">IF(ISBLANK(C30),"",IF(V30&lt;&gt;Constants!$B$14, V30, RANK(AD30, AD$8:AD$507, 1)+ SUMPRODUCT(--(AD$8:AD$507=AD30),--(AF30&gt;AF$8:AF$507)) + SUMPRODUCT(--(AD$8:AD$507=AD30),--(AF30=AF$8:AF$507),--(AH30&gt;AH$8:AH$507))))</f>
        <v/>
      </c>
      <c r="AJ30" s="85" t="str">
        <f aca="false">IF(ISBLANK(C30),"",IF(V30&lt;&gt;Constants!$B$14, V30, AD30-AI30))</f>
        <v/>
      </c>
      <c r="AK30" s="89"/>
      <c r="AL30" s="90" t="str">
        <f aca="false">IF(ISBLANK($C30),"",IF($V30&lt;&gt;Constants!$B$14,$V30,X30))</f>
        <v/>
      </c>
      <c r="AM30" s="90" t="str">
        <f aca="false">IF(ISBLANK($C30),"",IF($V30&lt;&gt;Constants!$B$14,$V30,N30))</f>
        <v/>
      </c>
      <c r="AN30" s="91" t="str">
        <f aca="false">IF(ISBLANK(C30),"",IF(V30&lt;&gt;Constants!$B$14, V30, IF(W30=Constants!$B$7,Z30,IF(W30=Constants!$B$8,AB30,""))))</f>
        <v/>
      </c>
      <c r="AO30" s="92" t="str">
        <f aca="false">IF(ISBLANK(C30),"",W30)</f>
        <v/>
      </c>
      <c r="AP30" s="92" t="str">
        <f aca="false">IF(ISBLANK(C30),"",AJ30)</f>
        <v/>
      </c>
      <c r="AQ30" s="92" t="str">
        <f aca="false">IF(ISBLANK(C30),"",AI30)</f>
        <v/>
      </c>
      <c r="AR30" s="93" t="str">
        <f aca="false">IF(ISBLANK(C30),
  "",
IF(AQ30=Constants!$B$11,COUNTA($C$8:$C$507)+2,IF(AQ30=Constants!$B$12,COUNTA($C$8:$C$507)+1,IF(AQ30=Constants!$B$13,COUNTA($C$8:$C$507),AQ30))))</f>
        <v/>
      </c>
      <c r="AS30" s="3"/>
      <c r="AT30" s="94" t="n">
        <f aca="false">IF(OR(ISNUMBER(AQ30),AQ30="DQ",AQ30="P",AQ30="NS"),
    1,
    0
)</f>
        <v>0</v>
      </c>
      <c r="AU30" s="94" t="n">
        <v>23</v>
      </c>
      <c r="AV30" s="94" t="str">
        <f aca="false">IF(ISBLANK($C30),
    "",
   IF(ISNUMBER(AR30),AR30+ROW($B30)/1000,"")
)</f>
        <v/>
      </c>
      <c r="AW30" s="94" t="str">
        <f aca="false">IF(ISNUMBER(AV30), RANK(AV30,AV$8:AV$507,1), "")</f>
        <v/>
      </c>
      <c r="AX30" s="94" t="str">
        <f aca="false">IF(ISBLANK($C30),
    "",
    $B30
)</f>
        <v/>
      </c>
      <c r="AY30" s="94" t="str">
        <f aca="false">IF(ISBLANK($C30),
    "",
    $C30
)</f>
        <v/>
      </c>
      <c r="AZ30" s="94" t="str">
        <f aca="false">IF(ISBLANK($C30),
    "",
    $D30
)</f>
        <v/>
      </c>
      <c r="BA30" s="94" t="str">
        <f aca="false">AO30</f>
        <v/>
      </c>
      <c r="BB30" s="95" t="str">
        <f aca="false">AN30</f>
        <v/>
      </c>
      <c r="BC30" s="94" t="str">
        <f aca="false">IF(ISBLANK($C30),
    "",
    AQ30
)</f>
        <v/>
      </c>
      <c r="BD30" s="96" t="str">
        <f aca="false">IF(AU30&gt;AT$7,
    "",
    VLOOKUP(AU30,AW$8:BC$507,7,FALSE())
)</f>
        <v/>
      </c>
      <c r="BE30" s="97" t="str">
        <f aca="false">IF(AU30&gt;AT$7,
    "",
    VLOOKUP(AU30,AW$8:BC$507,2,FALSE())
)</f>
        <v/>
      </c>
      <c r="BF30" s="97" t="str">
        <f aca="false">IF(AU30&gt;AT$7,
    "",
    VLOOKUP(AU30,AW$8:BC$507,3,FALSE())
)</f>
        <v/>
      </c>
      <c r="BG30" s="97" t="str">
        <f aca="false">IF(AU30&gt;AT$7,
    "",
    VLOOKUP(AU30,AW$8:BC$507,4,FALSE())
)</f>
        <v/>
      </c>
      <c r="BH30" s="97" t="str">
        <f aca="false">IF(AU30&gt;AT$7,
    "",
    VLOOKUP(AU30,AW$8:BC$507,5,FALSE())
)</f>
        <v/>
      </c>
      <c r="BI30" s="98" t="str">
        <f aca="false">IF(AU30&gt;AT$7,
    "",
    VLOOKUP(AU30,AW$8:BC$507,6,FALSE())
)</f>
        <v/>
      </c>
      <c r="BJ30" s="46"/>
    </row>
    <row r="31" customFormat="false" ht="15.75" hidden="false" customHeight="false" outlineLevel="0" collapsed="false">
      <c r="A31" s="3"/>
      <c r="B31" s="105"/>
      <c r="C31" s="106"/>
      <c r="D31" s="99"/>
      <c r="E31" s="100"/>
      <c r="F31" s="107"/>
      <c r="G31" s="100"/>
      <c r="H31" s="101"/>
      <c r="I31" s="102"/>
      <c r="J31" s="101"/>
      <c r="K31" s="103"/>
      <c r="L31" s="85"/>
      <c r="M31" s="85" t="str">
        <f aca="false">IF(ISBLANK($C31),"",IF(ISBLANK(E31),0,E31))</f>
        <v/>
      </c>
      <c r="N31" s="85" t="str">
        <f aca="false">IF(ISBLANK($C31),"",IF(ISBLANK(F31),0,F31))</f>
        <v/>
      </c>
      <c r="O31" s="86" t="e">
        <f aca="false">IF(AND(NOT(ISBLANK($C31)),NOT($T31),COUNTA($E31:$K31)&gt;0),ISBLANK($F31),FALSE())</f>
        <v>#VALUE!</v>
      </c>
      <c r="P31" s="85" t="str">
        <f aca="false">IF(ISBLANK($C31),"",IF(G31=Constants!$B$9, TRUE(), IF(G31=Constants!$B$10, FALSE(), TRUE())))</f>
        <v/>
      </c>
      <c r="Q31" s="85" t="str">
        <f aca="false">IF(ISBLANK($C31),"",IF(H31=Constants!$B$9, TRUE(), IF(H31=Constants!$B$10, FALSE(), TRUE())))</f>
        <v/>
      </c>
      <c r="R31" s="85" t="str">
        <f aca="false">IF(ISBLANK($C31),"",IF(ISBLANK(I31),Constants!$B$3,I31))</f>
        <v/>
      </c>
      <c r="S31" s="85" t="str">
        <f aca="false">IF(ISBLANK($C31),"",IF(ISBLANK(J31),0,MIN(J31,Constants!$B$6)))</f>
        <v/>
      </c>
      <c r="T31" s="85" t="str">
        <f aca="false">IF(ISBLANK($C31),"",IF(K31=Constants!$B$9, TRUE(), IF(K31=Constants!$B$10, FALSE(),  FALSE())))</f>
        <v/>
      </c>
      <c r="U31" s="85" t="str">
        <f aca="false">IF(ISBLANK($C31),"",AND(R31=Constants!$B$4, S31&lt;Constants!$B$6))</f>
        <v/>
      </c>
      <c r="V31" s="85" t="str">
        <f aca="false">IF(ISBLANK(C31), "", IF(T31, Constants!$B$11, IF(COUNTA(E31:K31)=0, Constants!$B$12, IF(NOT(AND(P31,S31&lt;&gt;0)), Constants!$B$13, IF(O31, Constants!$B$15, Constants!$B$14)))))</f>
        <v/>
      </c>
      <c r="W31" s="85" t="str">
        <f aca="false">IF(OR(ISBLANK($C31), SUMPRODUCT(--(P31:T31&lt;&gt;""))=0), "", IF(V31&lt;&gt;Constants!$B$14, V31, IF(AND(NOT(ISBLANK(J31)),P31,Q31,R31&lt;&gt;Constants!$B$2), Constants!$B$7, IF(AND(P31,OR(NOT(Q31),R31=Constants!$B$2)), Constants!$B$8, "Error"))))</f>
        <v/>
      </c>
      <c r="X31" s="87" t="str">
        <f aca="false">IF(OR(W31=Constants!$B$7,W31=Constants!$B$8), MAX(0, MIN(Constants!$B$6, S31))+IF(AND(R31=Constants!$B$4, NOT(U31)), Constants!$B$5, 0), "")</f>
        <v/>
      </c>
      <c r="Y31" s="85" t="str">
        <f aca="false">IF(ISBLANK($C31),"",IF(AND(ISNUMBER(X31),N31&gt;0),X31/N31, "") )</f>
        <v/>
      </c>
      <c r="Z31" s="85" t="str">
        <f aca="false">IF(AND(NOT(ISBLANK($C31)), W31=Constants!$B$7), Y31, "")</f>
        <v/>
      </c>
      <c r="AA31" s="85" t="str">
        <f aca="false">IF(ISNUMBER(Z31), RANK(Z31,Z$8:Z$507), "")</f>
        <v/>
      </c>
      <c r="AB31" s="85" t="str">
        <f aca="false">IF(AND(NOT(ISBLANK($C31)), W31=Constants!$B$8), Y31, "")</f>
        <v/>
      </c>
      <c r="AC31" s="85" t="str">
        <f aca="false">IF(ISNUMBER(AB31), RANK(AB31,AB$8:AB$507), "")</f>
        <v/>
      </c>
      <c r="AD31" s="85" t="str">
        <f aca="false">IF(ISBLANK($C31),"",IF(V31&lt;&gt;Constants!$B$14, V31, IF(W31=Constants!$B$7, AA31, IF(W31=Constants!$B$8, COUNT($AA$8:$AA$507) + AC31, ""))))</f>
        <v/>
      </c>
      <c r="AE31" s="85" t="str">
        <f aca="false">N31</f>
        <v/>
      </c>
      <c r="AF31" s="85" t="str">
        <f aca="false">IF(ISNUMBER(AE31), RANK(AE31,AE$8:AE$507,1), "")</f>
        <v/>
      </c>
      <c r="AG31" s="88" t="str">
        <f aca="false">IF(ISBLANK(C31), "", ABS(M31-S31))</f>
        <v/>
      </c>
      <c r="AH31" s="85" t="str">
        <f aca="false">IF(ISNUMBER(AG31), RANK(AG31,AG$8:AG$507,1), "")</f>
        <v/>
      </c>
      <c r="AI31" s="85" t="str">
        <f aca="false">IF(ISBLANK(C31),"",IF(V31&lt;&gt;Constants!$B$14, V31, RANK(AD31, AD$8:AD$507, 1)+ SUMPRODUCT(--(AD$8:AD$507=AD31),--(AF31&gt;AF$8:AF$507)) + SUMPRODUCT(--(AD$8:AD$507=AD31),--(AF31=AF$8:AF$507),--(AH31&gt;AH$8:AH$507))))</f>
        <v/>
      </c>
      <c r="AJ31" s="85" t="str">
        <f aca="false">IF(ISBLANK(C31),"",IF(V31&lt;&gt;Constants!$B$14, V31, AD31-AI31))</f>
        <v/>
      </c>
      <c r="AK31" s="89"/>
      <c r="AL31" s="90" t="str">
        <f aca="false">IF(ISBLANK($C31),"",IF($V31&lt;&gt;Constants!$B$14,$V31,X31))</f>
        <v/>
      </c>
      <c r="AM31" s="90" t="str">
        <f aca="false">IF(ISBLANK($C31),"",IF($V31&lt;&gt;Constants!$B$14,$V31,N31))</f>
        <v/>
      </c>
      <c r="AN31" s="91" t="str">
        <f aca="false">IF(ISBLANK(C31),"",IF(V31&lt;&gt;Constants!$B$14, V31, IF(W31=Constants!$B$7,Z31,IF(W31=Constants!$B$8,AB31,""))))</f>
        <v/>
      </c>
      <c r="AO31" s="92" t="str">
        <f aca="false">IF(ISBLANK(C31),"",W31)</f>
        <v/>
      </c>
      <c r="AP31" s="92" t="str">
        <f aca="false">IF(ISBLANK(C31),"",AJ31)</f>
        <v/>
      </c>
      <c r="AQ31" s="92" t="str">
        <f aca="false">IF(ISBLANK(C31),"",AI31)</f>
        <v/>
      </c>
      <c r="AR31" s="93" t="str">
        <f aca="false">IF(ISBLANK(C31),
  "",
IF(AQ31=Constants!$B$11,COUNTA($C$8:$C$507)+2,IF(AQ31=Constants!$B$12,COUNTA($C$8:$C$507)+1,IF(AQ31=Constants!$B$13,COUNTA($C$8:$C$507),AQ31))))</f>
        <v/>
      </c>
      <c r="AS31" s="3"/>
      <c r="AT31" s="94" t="n">
        <f aca="false">IF(OR(ISNUMBER(AQ31),AQ31="DQ",AQ31="P",AQ31="NS"),
    1,
    0
)</f>
        <v>0</v>
      </c>
      <c r="AU31" s="94" t="n">
        <v>24</v>
      </c>
      <c r="AV31" s="94" t="str">
        <f aca="false">IF(ISBLANK($C31),
    "",
   IF(ISNUMBER(AR31),AR31+ROW($B31)/1000,"")
)</f>
        <v/>
      </c>
      <c r="AW31" s="94" t="str">
        <f aca="false">IF(ISNUMBER(AV31), RANK(AV31,AV$8:AV$507,1), "")</f>
        <v/>
      </c>
      <c r="AX31" s="94" t="str">
        <f aca="false">IF(ISBLANK($C31),
    "",
    $B31
)</f>
        <v/>
      </c>
      <c r="AY31" s="94" t="str">
        <f aca="false">IF(ISBLANK($C31),
    "",
    $C31
)</f>
        <v/>
      </c>
      <c r="AZ31" s="94" t="str">
        <f aca="false">IF(ISBLANK($C31),
    "",
    $D31
)</f>
        <v/>
      </c>
      <c r="BA31" s="94" t="str">
        <f aca="false">AO31</f>
        <v/>
      </c>
      <c r="BB31" s="95" t="str">
        <f aca="false">AN31</f>
        <v/>
      </c>
      <c r="BC31" s="94" t="str">
        <f aca="false">IF(ISBLANK($C31),
    "",
    AQ31
)</f>
        <v/>
      </c>
      <c r="BD31" s="96" t="str">
        <f aca="false">IF(AU31&gt;AT$7,
    "",
    VLOOKUP(AU31,AW$8:BC$507,7,FALSE())
)</f>
        <v/>
      </c>
      <c r="BE31" s="97" t="str">
        <f aca="false">IF(AU31&gt;AT$7,
    "",
    VLOOKUP(AU31,AW$8:BC$507,2,FALSE())
)</f>
        <v/>
      </c>
      <c r="BF31" s="97" t="str">
        <f aca="false">IF(AU31&gt;AT$7,
    "",
    VLOOKUP(AU31,AW$8:BC$507,3,FALSE())
)</f>
        <v/>
      </c>
      <c r="BG31" s="97" t="str">
        <f aca="false">IF(AU31&gt;AT$7,
    "",
    VLOOKUP(AU31,AW$8:BC$507,4,FALSE())
)</f>
        <v/>
      </c>
      <c r="BH31" s="97" t="str">
        <f aca="false">IF(AU31&gt;AT$7,
    "",
    VLOOKUP(AU31,AW$8:BC$507,5,FALSE())
)</f>
        <v/>
      </c>
      <c r="BI31" s="98" t="str">
        <f aca="false">IF(AU31&gt;AT$7,
    "",
    VLOOKUP(AU31,AW$8:BC$507,6,FALSE())
)</f>
        <v/>
      </c>
      <c r="BJ31" s="46"/>
    </row>
    <row r="32" customFormat="false" ht="15.75" hidden="false" customHeight="false" outlineLevel="0" collapsed="false">
      <c r="A32" s="3"/>
      <c r="B32" s="108"/>
      <c r="C32" s="70"/>
      <c r="D32" s="49"/>
      <c r="E32" s="71"/>
      <c r="F32" s="72"/>
      <c r="G32" s="71"/>
      <c r="H32" s="73"/>
      <c r="I32" s="104"/>
      <c r="J32" s="74"/>
      <c r="K32" s="74"/>
      <c r="L32" s="55"/>
      <c r="M32" s="55" t="str">
        <f aca="false">IF(ISBLANK($C32),"",IF(ISBLANK(E32),0,E32))</f>
        <v/>
      </c>
      <c r="N32" s="55" t="str">
        <f aca="false">IF(ISBLANK($C32),"",IF(ISBLANK(F32),0,F32))</f>
        <v/>
      </c>
      <c r="O32" s="55" t="e">
        <f aca="false">IF(AND(NOT(ISBLANK($C32)),NOT($T32),COUNTA($E32:$K32)&gt;0),ISBLANK($F32),FALSE())</f>
        <v>#VALUE!</v>
      </c>
      <c r="P32" s="55" t="str">
        <f aca="false">IF(ISBLANK($C32),"",IF(G32=Constants!$B$9, TRUE(), IF(G32=Constants!$B$10, FALSE(), TRUE())))</f>
        <v/>
      </c>
      <c r="Q32" s="55" t="str">
        <f aca="false">IF(ISBLANK($C32),"",IF(H32=Constants!$B$9, TRUE(), IF(H32=Constants!$B$10, FALSE(), TRUE())))</f>
        <v/>
      </c>
      <c r="R32" s="55" t="str">
        <f aca="false">IF(ISBLANK($C32),"",IF(ISBLANK(I32),Constants!$B$3,I32))</f>
        <v/>
      </c>
      <c r="S32" s="55" t="str">
        <f aca="false">IF(ISBLANK($C32),"",IF(ISBLANK(J32),0,MIN(J32,Constants!$B$6)))</f>
        <v/>
      </c>
      <c r="T32" s="55" t="str">
        <f aca="false">IF(ISBLANK($C32),"",IF(K32=Constants!$B$9, TRUE(), IF(K32=Constants!$B$10, FALSE(),  FALSE())))</f>
        <v/>
      </c>
      <c r="U32" s="55" t="str">
        <f aca="false">IF(ISBLANK($C32),"",AND(R32=Constants!$B$4, S32&lt;Constants!$B$6))</f>
        <v/>
      </c>
      <c r="V32" s="55" t="str">
        <f aca="false">IF(ISBLANK(C32), "", IF(T32, Constants!$B$11, IF(COUNTA(E32:K32)=0, Constants!$B$12, IF(NOT(AND(P32,S32&lt;&gt;0)), Constants!$B$13, IF(O32, Constants!$B$15, Constants!$B$14)))))</f>
        <v/>
      </c>
      <c r="W32" s="55" t="str">
        <f aca="false">IF(OR(ISBLANK($C32), SUMPRODUCT(--(P32:T32&lt;&gt;""))=0), "", IF(V32&lt;&gt;Constants!$B$14, V32, IF(AND(NOT(ISBLANK(J32)),P32,Q32,R32&lt;&gt;Constants!$B$2), Constants!$B$7, IF(AND(P32,OR(NOT(Q32),R32=Constants!$B$2)), Constants!$B$8, "Error"))))</f>
        <v/>
      </c>
      <c r="X32" s="56" t="str">
        <f aca="false">IF(OR(W32=Constants!$B$7,W32=Constants!$B$8), MAX(0, MIN(Constants!$B$6, S32))+IF(AND(R32=Constants!$B$4, NOT(U32)), Constants!$B$5, 0), "")</f>
        <v/>
      </c>
      <c r="Y32" s="55" t="str">
        <f aca="false">IF(ISBLANK($C32),"",IF(AND(ISNUMBER(X32),N32&gt;0),X32/N32, "") )</f>
        <v/>
      </c>
      <c r="Z32" s="55" t="str">
        <f aca="false">IF(AND(NOT(ISBLANK($C32)), W32=Constants!$B$7), Y32, "")</f>
        <v/>
      </c>
      <c r="AA32" s="55" t="str">
        <f aca="false">IF(ISNUMBER(Z32), RANK(Z32,Z$8:Z$507), "")</f>
        <v/>
      </c>
      <c r="AB32" s="55" t="str">
        <f aca="false">IF(AND(NOT(ISBLANK($C32)), W32=Constants!$B$8), Y32, "")</f>
        <v/>
      </c>
      <c r="AC32" s="55" t="str">
        <f aca="false">IF(ISNUMBER(AB32), RANK(AB32,AB$8:AB$507), "")</f>
        <v/>
      </c>
      <c r="AD32" s="55" t="str">
        <f aca="false">IF(ISBLANK($C32),"",IF(V32&lt;&gt;Constants!$B$14, V32, IF(W32=Constants!$B$7, AA32, IF(W32=Constants!$B$8, COUNT($AA$8:$AA$507) + AC32, ""))))</f>
        <v/>
      </c>
      <c r="AE32" s="55" t="str">
        <f aca="false">N32</f>
        <v/>
      </c>
      <c r="AF32" s="55" t="str">
        <f aca="false">IF(ISNUMBER(AE32), RANK(AE32,AE$8:AE$507,1), "")</f>
        <v/>
      </c>
      <c r="AG32" s="57" t="str">
        <f aca="false">IF(ISBLANK(C32), "", ABS(M32-S32))</f>
        <v/>
      </c>
      <c r="AH32" s="55" t="str">
        <f aca="false">IF(ISNUMBER(AG32), RANK(AG32,AG$8:AG$507,1), "")</f>
        <v/>
      </c>
      <c r="AI32" s="55" t="str">
        <f aca="false">IF(ISBLANK(C32),"",IF(V32&lt;&gt;Constants!$B$14, V32, RANK(AD32, AD$8:AD$507, 1)+ SUMPRODUCT(--(AD$8:AD$507=AD32),--(AF32&gt;AF$8:AF$507)) + SUMPRODUCT(--(AD$8:AD$507=AD32),--(AF32=AF$8:AF$507),--(AH32&gt;AH$8:AH$507))))</f>
        <v/>
      </c>
      <c r="AJ32" s="55" t="str">
        <f aca="false">IF(ISBLANK(C32),"",IF(V32&lt;&gt;Constants!$B$14, V32, AD32-AI32))</f>
        <v/>
      </c>
      <c r="AK32" s="59"/>
      <c r="AL32" s="60" t="str">
        <f aca="false">IF(ISBLANK($C32),"",IF($V32&lt;&gt;Constants!$B$14,$V32,X32))</f>
        <v/>
      </c>
      <c r="AM32" s="60" t="str">
        <f aca="false">IF(ISBLANK($C32),"",IF($V32&lt;&gt;Constants!$B$14,$V32,N32))</f>
        <v/>
      </c>
      <c r="AN32" s="62" t="str">
        <f aca="false">IF(ISBLANK(C32),"",IF(V32&lt;&gt;Constants!$B$14, V32, IF(W32=Constants!$B$7,Z32,IF(W32=Constants!$B$8,AB32,""))))</f>
        <v/>
      </c>
      <c r="AO32" s="63" t="str">
        <f aca="false">IF(ISBLANK(C32),"",W32)</f>
        <v/>
      </c>
      <c r="AP32" s="63" t="str">
        <f aca="false">IF(ISBLANK(C32),"",AJ32)</f>
        <v/>
      </c>
      <c r="AQ32" s="63" t="str">
        <f aca="false">IF(ISBLANK(C32),"",AI32)</f>
        <v/>
      </c>
      <c r="AR32" s="64" t="str">
        <f aca="false">IF(ISBLANK(C32),
  "",
IF(AQ32=Constants!$B$11,COUNTA($C$8:$C$507)+2,IF(AQ32=Constants!$B$12,COUNTA($C$8:$C$507)+1,IF(AQ32=Constants!$B$13,COUNTA($C$8:$C$507),AQ32))))</f>
        <v/>
      </c>
      <c r="AS32" s="3"/>
      <c r="AT32" s="65" t="n">
        <f aca="false">IF(OR(ISNUMBER(AQ32),AQ32="DQ",AQ32="P",AQ32="NS"),
    1,
    0
)</f>
        <v>0</v>
      </c>
      <c r="AU32" s="65" t="n">
        <v>25</v>
      </c>
      <c r="AV32" s="65" t="str">
        <f aca="false">IF(ISBLANK($C32),
    "",
   IF(ISNUMBER(AR32),AR32+ROW($B32)/1000,"")
)</f>
        <v/>
      </c>
      <c r="AW32" s="65" t="str">
        <f aca="false">IF(ISNUMBER(AV32), RANK(AV32,AV$8:AV$507,1), "")</f>
        <v/>
      </c>
      <c r="AX32" s="65" t="str">
        <f aca="false">IF(ISBLANK($C32),
    "",
    $B32
)</f>
        <v/>
      </c>
      <c r="AY32" s="65" t="str">
        <f aca="false">IF(ISBLANK($C32),
    "",
    $C32
)</f>
        <v/>
      </c>
      <c r="AZ32" s="65" t="str">
        <f aca="false">IF(ISBLANK($C32),
    "",
    $D32
)</f>
        <v/>
      </c>
      <c r="BA32" s="65" t="str">
        <f aca="false">AO32</f>
        <v/>
      </c>
      <c r="BB32" s="66" t="str">
        <f aca="false">AN32</f>
        <v/>
      </c>
      <c r="BC32" s="65" t="str">
        <f aca="false">IF(ISBLANK($C32),
    "",
    AQ32
)</f>
        <v/>
      </c>
      <c r="BD32" s="67" t="str">
        <f aca="false">IF(AU32&gt;AT$7,
    "",
    VLOOKUP(AU32,AW$8:BC$507,7,FALSE())
)</f>
        <v/>
      </c>
      <c r="BE32" s="68" t="str">
        <f aca="false">IF(AU32&gt;AT$7,
    "",
    VLOOKUP(AU32,AW$8:BC$507,2,FALSE())
)</f>
        <v/>
      </c>
      <c r="BF32" s="68" t="str">
        <f aca="false">IF(AU32&gt;AT$7,
    "",
    VLOOKUP(AU32,AW$8:BC$507,3,FALSE())
)</f>
        <v/>
      </c>
      <c r="BG32" s="68" t="str">
        <f aca="false">IF(AU32&gt;AT$7,
    "",
    VLOOKUP(AU32,AW$8:BC$507,4,FALSE())
)</f>
        <v/>
      </c>
      <c r="BH32" s="68" t="str">
        <f aca="false">IF(AU32&gt;AT$7,
    "",
    VLOOKUP(AU32,AW$8:BC$507,5,FALSE())
)</f>
        <v/>
      </c>
      <c r="BI32" s="69" t="str">
        <f aca="false">IF(AU32&gt;AT$7,
    "",
    VLOOKUP(AU32,AW$8:BC$507,6,FALSE())
)</f>
        <v/>
      </c>
      <c r="BJ32" s="46"/>
    </row>
    <row r="33" customFormat="false" ht="15.75" hidden="false" customHeight="false" outlineLevel="0" collapsed="false">
      <c r="A33" s="3"/>
      <c r="B33" s="108"/>
      <c r="C33" s="70"/>
      <c r="D33" s="49"/>
      <c r="E33" s="71"/>
      <c r="F33" s="72"/>
      <c r="G33" s="71"/>
      <c r="H33" s="73"/>
      <c r="I33" s="104"/>
      <c r="J33" s="73"/>
      <c r="K33" s="74"/>
      <c r="L33" s="55"/>
      <c r="M33" s="55" t="str">
        <f aca="false">IF(ISBLANK($C33),"",IF(ISBLANK(E33),0,E33))</f>
        <v/>
      </c>
      <c r="N33" s="55" t="str">
        <f aca="false">IF(ISBLANK($C33),"",IF(ISBLANK(F33),0,F33))</f>
        <v/>
      </c>
      <c r="O33" s="55" t="e">
        <f aca="false">IF(AND(NOT(ISBLANK($C33)),NOT($T33),COUNTA($E33:$K33)&gt;0),ISBLANK($F33),FALSE())</f>
        <v>#VALUE!</v>
      </c>
      <c r="P33" s="55" t="str">
        <f aca="false">IF(ISBLANK($C33),"",IF(G33=Constants!$B$9, TRUE(), IF(G33=Constants!$B$10, FALSE(), TRUE())))</f>
        <v/>
      </c>
      <c r="Q33" s="55" t="str">
        <f aca="false">IF(ISBLANK($C33),"",IF(H33=Constants!$B$9, TRUE(), IF(H33=Constants!$B$10, FALSE(), TRUE())))</f>
        <v/>
      </c>
      <c r="R33" s="55" t="str">
        <f aca="false">IF(ISBLANK($C33),"",IF(ISBLANK(I33),Constants!$B$3,I33))</f>
        <v/>
      </c>
      <c r="S33" s="55" t="str">
        <f aca="false">IF(ISBLANK($C33),"",IF(ISBLANK(J33),0,MIN(J33,Constants!$B$6)))</f>
        <v/>
      </c>
      <c r="T33" s="55" t="str">
        <f aca="false">IF(ISBLANK($C33),"",IF(K33=Constants!$B$9, TRUE(), IF(K33=Constants!$B$10, FALSE(),  FALSE())))</f>
        <v/>
      </c>
      <c r="U33" s="55" t="str">
        <f aca="false">IF(ISBLANK($C33),"",AND(R33=Constants!$B$4, S33&lt;Constants!$B$6))</f>
        <v/>
      </c>
      <c r="V33" s="55" t="str">
        <f aca="false">IF(ISBLANK(C33), "", IF(T33, Constants!$B$11, IF(COUNTA(E33:K33)=0, Constants!$B$12, IF(NOT(AND(P33,S33&lt;&gt;0)), Constants!$B$13, IF(O33, Constants!$B$15, Constants!$B$14)))))</f>
        <v/>
      </c>
      <c r="W33" s="55" t="str">
        <f aca="false">IF(OR(ISBLANK($C33), SUMPRODUCT(--(P33:T33&lt;&gt;""))=0), "", IF(V33&lt;&gt;Constants!$B$14, V33, IF(AND(NOT(ISBLANK(J33)),P33,Q33,R33&lt;&gt;Constants!$B$2), Constants!$B$7, IF(AND(P33,OR(NOT(Q33),R33=Constants!$B$2)), Constants!$B$8, "Error"))))</f>
        <v/>
      </c>
      <c r="X33" s="56" t="str">
        <f aca="false">IF(OR(W33=Constants!$B$7,W33=Constants!$B$8), MAX(0, MIN(Constants!$B$6, S33))+IF(AND(R33=Constants!$B$4, NOT(U33)), Constants!$B$5, 0), "")</f>
        <v/>
      </c>
      <c r="Y33" s="55" t="str">
        <f aca="false">IF(ISBLANK($C33),"",IF(AND(ISNUMBER(X33),N33&gt;0),X33/N33, "") )</f>
        <v/>
      </c>
      <c r="Z33" s="55" t="str">
        <f aca="false">IF(AND(NOT(ISBLANK($C33)), W33=Constants!$B$7), Y33, "")</f>
        <v/>
      </c>
      <c r="AA33" s="55" t="str">
        <f aca="false">IF(ISNUMBER(Z33), RANK(Z33,Z$8:Z$507), "")</f>
        <v/>
      </c>
      <c r="AB33" s="55" t="str">
        <f aca="false">IF(AND(NOT(ISBLANK($C33)), W33=Constants!$B$8), Y33, "")</f>
        <v/>
      </c>
      <c r="AC33" s="55" t="str">
        <f aca="false">IF(ISNUMBER(AB33), RANK(AB33,AB$8:AB$507), "")</f>
        <v/>
      </c>
      <c r="AD33" s="55" t="str">
        <f aca="false">IF(ISBLANK($C33),"",IF(V33&lt;&gt;Constants!$B$14, V33, IF(W33=Constants!$B$7, AA33, IF(W33=Constants!$B$8, COUNT($AA$8:$AA$507) + AC33, ""))))</f>
        <v/>
      </c>
      <c r="AE33" s="55" t="str">
        <f aca="false">N33</f>
        <v/>
      </c>
      <c r="AF33" s="55" t="str">
        <f aca="false">IF(ISNUMBER(AE33), RANK(AE33,AE$8:AE$507,1), "")</f>
        <v/>
      </c>
      <c r="AG33" s="57" t="str">
        <f aca="false">IF(ISBLANK(C33), "", ABS(M33-S33))</f>
        <v/>
      </c>
      <c r="AH33" s="55" t="str">
        <f aca="false">IF(ISNUMBER(AG33), RANK(AG33,AG$8:AG$507,1), "")</f>
        <v/>
      </c>
      <c r="AI33" s="55" t="str">
        <f aca="false">IF(ISBLANK(C33),"",IF(V33&lt;&gt;Constants!$B$14, V33, RANK(AD33, AD$8:AD$507, 1)+ SUMPRODUCT(--(AD$8:AD$507=AD33),--(AF33&gt;AF$8:AF$507)) + SUMPRODUCT(--(AD$8:AD$507=AD33),--(AF33=AF$8:AF$507),--(AH33&gt;AH$8:AH$507))))</f>
        <v/>
      </c>
      <c r="AJ33" s="55" t="str">
        <f aca="false">IF(ISBLANK(C33),"",IF(V33&lt;&gt;Constants!$B$14, V33, AD33-AI33))</f>
        <v/>
      </c>
      <c r="AK33" s="59"/>
      <c r="AL33" s="60" t="str">
        <f aca="false">IF(ISBLANK($C33),"",IF($V33&lt;&gt;Constants!$B$14,$V33,X33))</f>
        <v/>
      </c>
      <c r="AM33" s="60" t="str">
        <f aca="false">IF(ISBLANK($C33),"",IF($V33&lt;&gt;Constants!$B$14,$V33,N33))</f>
        <v/>
      </c>
      <c r="AN33" s="62" t="str">
        <f aca="false">IF(ISBLANK(C33),"",IF(V33&lt;&gt;Constants!$B$14, V33, IF(W33=Constants!$B$7,Z33,IF(W33=Constants!$B$8,AB33,""))))</f>
        <v/>
      </c>
      <c r="AO33" s="63" t="str">
        <f aca="false">IF(ISBLANK(C33),"",W33)</f>
        <v/>
      </c>
      <c r="AP33" s="63" t="str">
        <f aca="false">IF(ISBLANK(C33),"",AJ33)</f>
        <v/>
      </c>
      <c r="AQ33" s="63" t="str">
        <f aca="false">IF(ISBLANK(C33),"",AI33)</f>
        <v/>
      </c>
      <c r="AR33" s="64" t="str">
        <f aca="false">IF(ISBLANK(C33),
  "",
IF(AQ33=Constants!$B$11,COUNTA($C$8:$C$507)+2,IF(AQ33=Constants!$B$12,COUNTA($C$8:$C$507)+1,IF(AQ33=Constants!$B$13,COUNTA($C$8:$C$507),AQ33))))</f>
        <v/>
      </c>
      <c r="AS33" s="3"/>
      <c r="AT33" s="65" t="n">
        <f aca="false">IF(OR(ISNUMBER(AQ33),AQ33="DQ",AQ33="P",AQ33="NS"),
    1,
    0
)</f>
        <v>0</v>
      </c>
      <c r="AU33" s="65" t="n">
        <v>26</v>
      </c>
      <c r="AV33" s="65" t="str">
        <f aca="false">IF(ISBLANK($C33),
    "",
   IF(ISNUMBER(AR33),AR33+ROW($B33)/1000,"")
)</f>
        <v/>
      </c>
      <c r="AW33" s="65" t="str">
        <f aca="false">IF(ISNUMBER(AV33), RANK(AV33,AV$8:AV$507,1), "")</f>
        <v/>
      </c>
      <c r="AX33" s="65" t="str">
        <f aca="false">IF(ISBLANK($C33),
    "",
    $B33
)</f>
        <v/>
      </c>
      <c r="AY33" s="65" t="str">
        <f aca="false">IF(ISBLANK($C33),
    "",
    $C33
)</f>
        <v/>
      </c>
      <c r="AZ33" s="65" t="str">
        <f aca="false">IF(ISBLANK($C33),
    "",
    $D33
)</f>
        <v/>
      </c>
      <c r="BA33" s="65" t="str">
        <f aca="false">AO33</f>
        <v/>
      </c>
      <c r="BB33" s="66" t="str">
        <f aca="false">AN33</f>
        <v/>
      </c>
      <c r="BC33" s="65" t="str">
        <f aca="false">IF(ISBLANK($C33),
    "",
    AQ33
)</f>
        <v/>
      </c>
      <c r="BD33" s="67" t="str">
        <f aca="false">IF(AU33&gt;AT$7,
    "",
    VLOOKUP(AU33,AW$8:BC$507,7,FALSE())
)</f>
        <v/>
      </c>
      <c r="BE33" s="68" t="str">
        <f aca="false">IF(AU33&gt;AT$7,
    "",
    VLOOKUP(AU33,AW$8:BC$507,2,FALSE())
)</f>
        <v/>
      </c>
      <c r="BF33" s="68" t="str">
        <f aca="false">IF(AU33&gt;AT$7,
    "",
    VLOOKUP(AU33,AW$8:BC$507,3,FALSE())
)</f>
        <v/>
      </c>
      <c r="BG33" s="68" t="str">
        <f aca="false">IF(AU33&gt;AT$7,
    "",
    VLOOKUP(AU33,AW$8:BC$507,4,FALSE())
)</f>
        <v/>
      </c>
      <c r="BH33" s="68" t="str">
        <f aca="false">IF(AU33&gt;AT$7,
    "",
    VLOOKUP(AU33,AW$8:BC$507,5,FALSE())
)</f>
        <v/>
      </c>
      <c r="BI33" s="69" t="str">
        <f aca="false">IF(AU33&gt;AT$7,
    "",
    VLOOKUP(AU33,AW$8:BC$507,6,FALSE())
)</f>
        <v/>
      </c>
      <c r="BJ33" s="46"/>
    </row>
    <row r="34" customFormat="false" ht="15.75" hidden="false" customHeight="false" outlineLevel="0" collapsed="false">
      <c r="A34" s="3"/>
      <c r="B34" s="108"/>
      <c r="C34" s="70"/>
      <c r="D34" s="49"/>
      <c r="E34" s="71"/>
      <c r="F34" s="72"/>
      <c r="G34" s="71"/>
      <c r="H34" s="73"/>
      <c r="I34" s="104"/>
      <c r="J34" s="73"/>
      <c r="K34" s="74"/>
      <c r="L34" s="55"/>
      <c r="M34" s="55" t="str">
        <f aca="false">IF(ISBLANK($C34),"",IF(ISBLANK(E34),0,E34))</f>
        <v/>
      </c>
      <c r="N34" s="55" t="str">
        <f aca="false">IF(ISBLANK($C34),"",IF(ISBLANK(F34),0,F34))</f>
        <v/>
      </c>
      <c r="O34" s="55" t="e">
        <f aca="false">IF(AND(NOT(ISBLANK($C34)),NOT($T34),COUNTA($E34:$K34)&gt;0),ISBLANK($F34),FALSE())</f>
        <v>#VALUE!</v>
      </c>
      <c r="P34" s="55" t="str">
        <f aca="false">IF(ISBLANK($C34),"",IF(G34=Constants!$B$9, TRUE(), IF(G34=Constants!$B$10, FALSE(), TRUE())))</f>
        <v/>
      </c>
      <c r="Q34" s="55" t="str">
        <f aca="false">IF(ISBLANK($C34),"",IF(H34=Constants!$B$9, TRUE(), IF(H34=Constants!$B$10, FALSE(), TRUE())))</f>
        <v/>
      </c>
      <c r="R34" s="55" t="str">
        <f aca="false">IF(ISBLANK($C34),"",IF(ISBLANK(I34),Constants!$B$3,I34))</f>
        <v/>
      </c>
      <c r="S34" s="55" t="str">
        <f aca="false">IF(ISBLANK($C34),"",IF(ISBLANK(J34),0,MIN(J34,Constants!$B$6)))</f>
        <v/>
      </c>
      <c r="T34" s="55" t="str">
        <f aca="false">IF(ISBLANK($C34),"",IF(K34=Constants!$B$9, TRUE(), IF(K34=Constants!$B$10, FALSE(),  FALSE())))</f>
        <v/>
      </c>
      <c r="U34" s="55" t="str">
        <f aca="false">IF(ISBLANK($C34),"",AND(R34=Constants!$B$4, S34&lt;Constants!$B$6))</f>
        <v/>
      </c>
      <c r="V34" s="55" t="str">
        <f aca="false">IF(ISBLANK(C34), "", IF(T34, Constants!$B$11, IF(COUNTA(E34:K34)=0, Constants!$B$12, IF(NOT(AND(P34,S34&lt;&gt;0)), Constants!$B$13, IF(O34, Constants!$B$15, Constants!$B$14)))))</f>
        <v/>
      </c>
      <c r="W34" s="55" t="str">
        <f aca="false">IF(OR(ISBLANK($C34), SUMPRODUCT(--(P34:T34&lt;&gt;""))=0), "", IF(V34&lt;&gt;Constants!$B$14, V34, IF(AND(NOT(ISBLANK(J34)),P34,Q34,R34&lt;&gt;Constants!$B$2), Constants!$B$7, IF(AND(P34,OR(NOT(Q34),R34=Constants!$B$2)), Constants!$B$8, "Error"))))</f>
        <v/>
      </c>
      <c r="X34" s="56" t="str">
        <f aca="false">IF(OR(W34=Constants!$B$7,W34=Constants!$B$8), MAX(0, MIN(Constants!$B$6, S34))+IF(AND(R34=Constants!$B$4, NOT(U34)), Constants!$B$5, 0), "")</f>
        <v/>
      </c>
      <c r="Y34" s="55" t="str">
        <f aca="false">IF(ISBLANK($C34),"",IF(AND(ISNUMBER(X34),N34&gt;0),X34/N34, "") )</f>
        <v/>
      </c>
      <c r="Z34" s="55" t="str">
        <f aca="false">IF(AND(NOT(ISBLANK($C34)), W34=Constants!$B$7), Y34, "")</f>
        <v/>
      </c>
      <c r="AA34" s="55" t="str">
        <f aca="false">IF(ISNUMBER(Z34), RANK(Z34,Z$8:Z$507), "")</f>
        <v/>
      </c>
      <c r="AB34" s="55" t="str">
        <f aca="false">IF(AND(NOT(ISBLANK($C34)), W34=Constants!$B$8), Y34, "")</f>
        <v/>
      </c>
      <c r="AC34" s="55" t="str">
        <f aca="false">IF(ISNUMBER(AB34), RANK(AB34,AB$8:AB$507), "")</f>
        <v/>
      </c>
      <c r="AD34" s="55" t="str">
        <f aca="false">IF(ISBLANK($C34),"",IF(V34&lt;&gt;Constants!$B$14, V34, IF(W34=Constants!$B$7, AA34, IF(W34=Constants!$B$8, COUNT($AA$8:$AA$507) + AC34, ""))))</f>
        <v/>
      </c>
      <c r="AE34" s="55" t="str">
        <f aca="false">N34</f>
        <v/>
      </c>
      <c r="AF34" s="55" t="str">
        <f aca="false">IF(ISNUMBER(AE34), RANK(AE34,AE$8:AE$507,1), "")</f>
        <v/>
      </c>
      <c r="AG34" s="57" t="str">
        <f aca="false">IF(ISBLANK(C34), "", ABS(M34-S34))</f>
        <v/>
      </c>
      <c r="AH34" s="55" t="str">
        <f aca="false">IF(ISNUMBER(AG34), RANK(AG34,AG$8:AG$507,1), "")</f>
        <v/>
      </c>
      <c r="AI34" s="55" t="str">
        <f aca="false">IF(ISBLANK(C34),"",IF(V34&lt;&gt;Constants!$B$14, V34, RANK(AD34, AD$8:AD$507, 1)+ SUMPRODUCT(--(AD$8:AD$507=AD34),--(AF34&gt;AF$8:AF$507)) + SUMPRODUCT(--(AD$8:AD$507=AD34),--(AF34=AF$8:AF$507),--(AH34&gt;AH$8:AH$507))))</f>
        <v/>
      </c>
      <c r="AJ34" s="55" t="str">
        <f aca="false">IF(ISBLANK(C34),"",IF(V34&lt;&gt;Constants!$B$14, V34, AD34-AI34))</f>
        <v/>
      </c>
      <c r="AK34" s="59"/>
      <c r="AL34" s="60" t="str">
        <f aca="false">IF(ISBLANK($C34),"",IF($V34&lt;&gt;Constants!$B$14,$V34,X34))</f>
        <v/>
      </c>
      <c r="AM34" s="60" t="str">
        <f aca="false">IF(ISBLANK($C34),"",IF($V34&lt;&gt;Constants!$B$14,$V34,N34))</f>
        <v/>
      </c>
      <c r="AN34" s="62" t="str">
        <f aca="false">IF(ISBLANK(C34),"",IF(V34&lt;&gt;Constants!$B$14, V34, IF(W34=Constants!$B$7,Z34,IF(W34=Constants!$B$8,AB34,""))))</f>
        <v/>
      </c>
      <c r="AO34" s="63" t="str">
        <f aca="false">IF(ISBLANK(C34),"",W34)</f>
        <v/>
      </c>
      <c r="AP34" s="63" t="str">
        <f aca="false">IF(ISBLANK(C34),"",AJ34)</f>
        <v/>
      </c>
      <c r="AQ34" s="63" t="str">
        <f aca="false">IF(ISBLANK(C34),"",AI34)</f>
        <v/>
      </c>
      <c r="AR34" s="64" t="str">
        <f aca="false">IF(ISBLANK(C34),
  "",
IF(AQ34=Constants!$B$11,COUNTA($C$8:$C$507)+2,IF(AQ34=Constants!$B$12,COUNTA($C$8:$C$507)+1,IF(AQ34=Constants!$B$13,COUNTA($C$8:$C$507),AQ34))))</f>
        <v/>
      </c>
      <c r="AS34" s="3"/>
      <c r="AT34" s="65" t="n">
        <f aca="false">IF(OR(ISNUMBER(AQ34),AQ34="DQ",AQ34="P",AQ34="NS"),
    1,
    0
)</f>
        <v>0</v>
      </c>
      <c r="AU34" s="65" t="n">
        <v>27</v>
      </c>
      <c r="AV34" s="65" t="str">
        <f aca="false">IF(ISBLANK($C34),
    "",
   IF(ISNUMBER(AR34),AR34+ROW($B34)/1000,"")
)</f>
        <v/>
      </c>
      <c r="AW34" s="65" t="str">
        <f aca="false">IF(ISNUMBER(AV34), RANK(AV34,AV$8:AV$507,1), "")</f>
        <v/>
      </c>
      <c r="AX34" s="65" t="str">
        <f aca="false">IF(ISBLANK($C34),
    "",
    $B34
)</f>
        <v/>
      </c>
      <c r="AY34" s="65" t="str">
        <f aca="false">IF(ISBLANK($C34),
    "",
    $C34
)</f>
        <v/>
      </c>
      <c r="AZ34" s="65" t="str">
        <f aca="false">IF(ISBLANK($C34),
    "",
    $D34
)</f>
        <v/>
      </c>
      <c r="BA34" s="65" t="str">
        <f aca="false">AO34</f>
        <v/>
      </c>
      <c r="BB34" s="66" t="str">
        <f aca="false">AN34</f>
        <v/>
      </c>
      <c r="BC34" s="65" t="str">
        <f aca="false">IF(ISBLANK($C34),
    "",
    AQ34
)</f>
        <v/>
      </c>
      <c r="BD34" s="67" t="str">
        <f aca="false">IF(AU34&gt;AT$7,
    "",
    VLOOKUP(AU34,AW$8:BC$507,7,FALSE())
)</f>
        <v/>
      </c>
      <c r="BE34" s="68" t="str">
        <f aca="false">IF(AU34&gt;AT$7,
    "",
    VLOOKUP(AU34,AW$8:BC$507,2,FALSE())
)</f>
        <v/>
      </c>
      <c r="BF34" s="68" t="str">
        <f aca="false">IF(AU34&gt;AT$7,
    "",
    VLOOKUP(AU34,AW$8:BC$507,3,FALSE())
)</f>
        <v/>
      </c>
      <c r="BG34" s="68" t="str">
        <f aca="false">IF(AU34&gt;AT$7,
    "",
    VLOOKUP(AU34,AW$8:BC$507,4,FALSE())
)</f>
        <v/>
      </c>
      <c r="BH34" s="68" t="str">
        <f aca="false">IF(AU34&gt;AT$7,
    "",
    VLOOKUP(AU34,AW$8:BC$507,5,FALSE())
)</f>
        <v/>
      </c>
      <c r="BI34" s="69" t="str">
        <f aca="false">IF(AU34&gt;AT$7,
    "",
    VLOOKUP(AU34,AW$8:BC$507,6,FALSE())
)</f>
        <v/>
      </c>
      <c r="BJ34" s="46"/>
    </row>
    <row r="35" customFormat="false" ht="15.75" hidden="false" customHeight="false" outlineLevel="0" collapsed="false">
      <c r="A35" s="3"/>
      <c r="B35" s="105"/>
      <c r="C35" s="106"/>
      <c r="D35" s="99"/>
      <c r="E35" s="100"/>
      <c r="F35" s="107"/>
      <c r="G35" s="100"/>
      <c r="H35" s="101"/>
      <c r="I35" s="102"/>
      <c r="J35" s="101"/>
      <c r="K35" s="103"/>
      <c r="L35" s="85"/>
      <c r="M35" s="85" t="str">
        <f aca="false">IF(ISBLANK($C35),"",IF(ISBLANK(E35),0,E35))</f>
        <v/>
      </c>
      <c r="N35" s="85" t="str">
        <f aca="false">IF(ISBLANK($C35),"",IF(ISBLANK(F35),0,F35))</f>
        <v/>
      </c>
      <c r="O35" s="86" t="e">
        <f aca="false">IF(AND(NOT(ISBLANK($C35)),NOT($T35),COUNTA($E35:$K35)&gt;0),ISBLANK($F35),FALSE())</f>
        <v>#VALUE!</v>
      </c>
      <c r="P35" s="85" t="str">
        <f aca="false">IF(ISBLANK($C35),"",IF(G35=Constants!$B$9, TRUE(), IF(G35=Constants!$B$10, FALSE(), TRUE())))</f>
        <v/>
      </c>
      <c r="Q35" s="85" t="str">
        <f aca="false">IF(ISBLANK($C35),"",IF(H35=Constants!$B$9, TRUE(), IF(H35=Constants!$B$10, FALSE(), TRUE())))</f>
        <v/>
      </c>
      <c r="R35" s="85" t="str">
        <f aca="false">IF(ISBLANK($C35),"",IF(ISBLANK(I35),Constants!$B$3,I35))</f>
        <v/>
      </c>
      <c r="S35" s="85" t="str">
        <f aca="false">IF(ISBLANK($C35),"",IF(ISBLANK(J35),0,MIN(J35,Constants!$B$6)))</f>
        <v/>
      </c>
      <c r="T35" s="85" t="str">
        <f aca="false">IF(ISBLANK($C35),"",IF(K35=Constants!$B$9, TRUE(), IF(K35=Constants!$B$10, FALSE(),  FALSE())))</f>
        <v/>
      </c>
      <c r="U35" s="85" t="str">
        <f aca="false">IF(ISBLANK($C35),"",AND(R35=Constants!$B$4, S35&lt;Constants!$B$6))</f>
        <v/>
      </c>
      <c r="V35" s="85" t="str">
        <f aca="false">IF(ISBLANK(C35), "", IF(T35, Constants!$B$11, IF(COUNTA(E35:K35)=0, Constants!$B$12, IF(NOT(AND(P35,S35&lt;&gt;0)), Constants!$B$13, IF(O35, Constants!$B$15, Constants!$B$14)))))</f>
        <v/>
      </c>
      <c r="W35" s="85" t="str">
        <f aca="false">IF(OR(ISBLANK($C35), SUMPRODUCT(--(P35:T35&lt;&gt;""))=0), "", IF(V35&lt;&gt;Constants!$B$14, V35, IF(AND(NOT(ISBLANK(J35)),P35,Q35,R35&lt;&gt;Constants!$B$2), Constants!$B$7, IF(AND(P35,OR(NOT(Q35),R35=Constants!$B$2)), Constants!$B$8, "Error"))))</f>
        <v/>
      </c>
      <c r="X35" s="87" t="str">
        <f aca="false">IF(OR(W35=Constants!$B$7,W35=Constants!$B$8), MAX(0, MIN(Constants!$B$6, S35))+IF(AND(R35=Constants!$B$4, NOT(U35)), Constants!$B$5, 0), "")</f>
        <v/>
      </c>
      <c r="Y35" s="85" t="str">
        <f aca="false">IF(ISBLANK($C35),"",IF(AND(ISNUMBER(X35),N35&gt;0),X35/N35, "") )</f>
        <v/>
      </c>
      <c r="Z35" s="85" t="str">
        <f aca="false">IF(AND(NOT(ISBLANK($C35)), W35=Constants!$B$7), Y35, "")</f>
        <v/>
      </c>
      <c r="AA35" s="85" t="str">
        <f aca="false">IF(ISNUMBER(Z35), RANK(Z35,Z$8:Z$507), "")</f>
        <v/>
      </c>
      <c r="AB35" s="85" t="str">
        <f aca="false">IF(AND(NOT(ISBLANK($C35)), W35=Constants!$B$8), Y35, "")</f>
        <v/>
      </c>
      <c r="AC35" s="85" t="str">
        <f aca="false">IF(ISNUMBER(AB35), RANK(AB35,AB$8:AB$507), "")</f>
        <v/>
      </c>
      <c r="AD35" s="85" t="str">
        <f aca="false">IF(ISBLANK($C35),"",IF(V35&lt;&gt;Constants!$B$14, V35, IF(W35=Constants!$B$7, AA35, IF(W35=Constants!$B$8, COUNT($AA$8:$AA$507) + AC35, ""))))</f>
        <v/>
      </c>
      <c r="AE35" s="85" t="str">
        <f aca="false">N35</f>
        <v/>
      </c>
      <c r="AF35" s="85" t="str">
        <f aca="false">IF(ISNUMBER(AE35), RANK(AE35,AE$8:AE$507,1), "")</f>
        <v/>
      </c>
      <c r="AG35" s="88" t="str">
        <f aca="false">IF(ISBLANK(C35), "", ABS(M35-S35))</f>
        <v/>
      </c>
      <c r="AH35" s="85" t="str">
        <f aca="false">IF(ISNUMBER(AG35), RANK(AG35,AG$8:AG$507,1), "")</f>
        <v/>
      </c>
      <c r="AI35" s="85" t="str">
        <f aca="false">IF(ISBLANK(C35),"",IF(V35&lt;&gt;Constants!$B$14, V35, RANK(AD35, AD$8:AD$507, 1)+ SUMPRODUCT(--(AD$8:AD$507=AD35),--(AF35&gt;AF$8:AF$507)) + SUMPRODUCT(--(AD$8:AD$507=AD35),--(AF35=AF$8:AF$507),--(AH35&gt;AH$8:AH$507))))</f>
        <v/>
      </c>
      <c r="AJ35" s="85" t="str">
        <f aca="false">IF(ISBLANK(C35),"",IF(V35&lt;&gt;Constants!$B$14, V35, AD35-AI35))</f>
        <v/>
      </c>
      <c r="AK35" s="89"/>
      <c r="AL35" s="90" t="str">
        <f aca="false">IF(ISBLANK($C35),"",IF($V35&lt;&gt;Constants!$B$14,$V35,X35))</f>
        <v/>
      </c>
      <c r="AM35" s="90" t="str">
        <f aca="false">IF(ISBLANK($C35),"",IF($V35&lt;&gt;Constants!$B$14,$V35,N35))</f>
        <v/>
      </c>
      <c r="AN35" s="91" t="str">
        <f aca="false">IF(ISBLANK(C35),"",IF(V35&lt;&gt;Constants!$B$14, V35, IF(W35=Constants!$B$7,Z35,IF(W35=Constants!$B$8,AB35,""))))</f>
        <v/>
      </c>
      <c r="AO35" s="92" t="str">
        <f aca="false">IF(ISBLANK(C35),"",W35)</f>
        <v/>
      </c>
      <c r="AP35" s="92" t="str">
        <f aca="false">IF(ISBLANK(C35),"",AJ35)</f>
        <v/>
      </c>
      <c r="AQ35" s="92" t="str">
        <f aca="false">IF(ISBLANK(C35),"",AI35)</f>
        <v/>
      </c>
      <c r="AR35" s="93" t="str">
        <f aca="false">IF(ISBLANK(C35),
  "",
IF(AQ35=Constants!$B$11,COUNTA($C$8:$C$507)+2,IF(AQ35=Constants!$B$12,COUNTA($C$8:$C$507)+1,IF(AQ35=Constants!$B$13,COUNTA($C$8:$C$507),AQ35))))</f>
        <v/>
      </c>
      <c r="AS35" s="3"/>
      <c r="AT35" s="94" t="n">
        <f aca="false">IF(OR(ISNUMBER(AQ35),AQ35="DQ",AQ35="P",AQ35="NS"),
    1,
    0
)</f>
        <v>0</v>
      </c>
      <c r="AU35" s="94" t="n">
        <v>28</v>
      </c>
      <c r="AV35" s="94" t="str">
        <f aca="false">IF(ISBLANK($C35),
    "",
   IF(ISNUMBER(AR35),AR35+ROW($B35)/1000,"")
)</f>
        <v/>
      </c>
      <c r="AW35" s="94" t="str">
        <f aca="false">IF(ISNUMBER(AV35), RANK(AV35,AV$8:AV$507,1), "")</f>
        <v/>
      </c>
      <c r="AX35" s="94" t="str">
        <f aca="false">IF(ISBLANK($C35),
    "",
    $B35
)</f>
        <v/>
      </c>
      <c r="AY35" s="94" t="str">
        <f aca="false">IF(ISBLANK($C35),
    "",
    $C35
)</f>
        <v/>
      </c>
      <c r="AZ35" s="94" t="str">
        <f aca="false">IF(ISBLANK($C35),
    "",
    $D35
)</f>
        <v/>
      </c>
      <c r="BA35" s="94" t="str">
        <f aca="false">AO35</f>
        <v/>
      </c>
      <c r="BB35" s="95" t="str">
        <f aca="false">AN35</f>
        <v/>
      </c>
      <c r="BC35" s="94" t="str">
        <f aca="false">IF(ISBLANK($C35),
    "",
    AQ35
)</f>
        <v/>
      </c>
      <c r="BD35" s="96" t="str">
        <f aca="false">IF(AU35&gt;AT$7,
    "",
    VLOOKUP(AU35,AW$8:BC$507,7,FALSE())
)</f>
        <v/>
      </c>
      <c r="BE35" s="97" t="str">
        <f aca="false">IF(AU35&gt;AT$7,
    "",
    VLOOKUP(AU35,AW$8:BC$507,2,FALSE())
)</f>
        <v/>
      </c>
      <c r="BF35" s="97" t="str">
        <f aca="false">IF(AU35&gt;AT$7,
    "",
    VLOOKUP(AU35,AW$8:BC$507,3,FALSE())
)</f>
        <v/>
      </c>
      <c r="BG35" s="97" t="str">
        <f aca="false">IF(AU35&gt;AT$7,
    "",
    VLOOKUP(AU35,AW$8:BC$507,4,FALSE())
)</f>
        <v/>
      </c>
      <c r="BH35" s="97" t="str">
        <f aca="false">IF(AU35&gt;AT$7,
    "",
    VLOOKUP(AU35,AW$8:BC$507,5,FALSE())
)</f>
        <v/>
      </c>
      <c r="BI35" s="98" t="str">
        <f aca="false">IF(AU35&gt;AT$7,
    "",
    VLOOKUP(AU35,AW$8:BC$507,6,FALSE())
)</f>
        <v/>
      </c>
      <c r="BJ35" s="46"/>
    </row>
    <row r="36" customFormat="false" ht="15.75" hidden="false" customHeight="false" outlineLevel="0" collapsed="false">
      <c r="A36" s="3"/>
      <c r="B36" s="105"/>
      <c r="C36" s="106"/>
      <c r="D36" s="99"/>
      <c r="E36" s="100"/>
      <c r="F36" s="107"/>
      <c r="G36" s="100"/>
      <c r="H36" s="101"/>
      <c r="I36" s="102"/>
      <c r="J36" s="101"/>
      <c r="K36" s="103"/>
      <c r="L36" s="85"/>
      <c r="M36" s="85" t="str">
        <f aca="false">IF(ISBLANK($C36),"",IF(ISBLANK(E36),0,E36))</f>
        <v/>
      </c>
      <c r="N36" s="85" t="str">
        <f aca="false">IF(ISBLANK($C36),"",IF(ISBLANK(F36),0,F36))</f>
        <v/>
      </c>
      <c r="O36" s="86" t="e">
        <f aca="false">IF(AND(NOT(ISBLANK($C36)),NOT($T36),COUNTA($E36:$K36)&gt;0),ISBLANK($F36),FALSE())</f>
        <v>#VALUE!</v>
      </c>
      <c r="P36" s="85" t="str">
        <f aca="false">IF(ISBLANK($C36),"",IF(G36=Constants!$B$9, TRUE(), IF(G36=Constants!$B$10, FALSE(), TRUE())))</f>
        <v/>
      </c>
      <c r="Q36" s="85" t="str">
        <f aca="false">IF(ISBLANK($C36),"",IF(H36=Constants!$B$9, TRUE(), IF(H36=Constants!$B$10, FALSE(), TRUE())))</f>
        <v/>
      </c>
      <c r="R36" s="85" t="str">
        <f aca="false">IF(ISBLANK($C36),"",IF(ISBLANK(I36),Constants!$B$3,I36))</f>
        <v/>
      </c>
      <c r="S36" s="85" t="str">
        <f aca="false">IF(ISBLANK($C36),"",IF(ISBLANK(J36),0,MIN(J36,Constants!$B$6)))</f>
        <v/>
      </c>
      <c r="T36" s="85" t="str">
        <f aca="false">IF(ISBLANK($C36),"",IF(K36=Constants!$B$9, TRUE(), IF(K36=Constants!$B$10, FALSE(),  FALSE())))</f>
        <v/>
      </c>
      <c r="U36" s="85" t="str">
        <f aca="false">IF(ISBLANK($C36),"",AND(R36=Constants!$B$4, S36&lt;Constants!$B$6))</f>
        <v/>
      </c>
      <c r="V36" s="85" t="str">
        <f aca="false">IF(ISBLANK(C36), "", IF(T36, Constants!$B$11, IF(COUNTA(E36:K36)=0, Constants!$B$12, IF(NOT(AND(P36,S36&lt;&gt;0)), Constants!$B$13, IF(O36, Constants!$B$15, Constants!$B$14)))))</f>
        <v/>
      </c>
      <c r="W36" s="85" t="str">
        <f aca="false">IF(OR(ISBLANK($C36), SUMPRODUCT(--(P36:T36&lt;&gt;""))=0), "", IF(V36&lt;&gt;Constants!$B$14, V36, IF(AND(NOT(ISBLANK(J36)),P36,Q36,R36&lt;&gt;Constants!$B$2), Constants!$B$7, IF(AND(P36,OR(NOT(Q36),R36=Constants!$B$2)), Constants!$B$8, "Error"))))</f>
        <v/>
      </c>
      <c r="X36" s="87" t="str">
        <f aca="false">IF(OR(W36=Constants!$B$7,W36=Constants!$B$8), MAX(0, MIN(Constants!$B$6, S36))+IF(AND(R36=Constants!$B$4, NOT(U36)), Constants!$B$5, 0), "")</f>
        <v/>
      </c>
      <c r="Y36" s="85" t="str">
        <f aca="false">IF(ISBLANK($C36),"",IF(AND(ISNUMBER(X36),N36&gt;0),X36/N36, "") )</f>
        <v/>
      </c>
      <c r="Z36" s="85" t="str">
        <f aca="false">IF(AND(NOT(ISBLANK($C36)), W36=Constants!$B$7), Y36, "")</f>
        <v/>
      </c>
      <c r="AA36" s="85" t="str">
        <f aca="false">IF(ISNUMBER(Z36), RANK(Z36,Z$8:Z$507), "")</f>
        <v/>
      </c>
      <c r="AB36" s="85" t="str">
        <f aca="false">IF(AND(NOT(ISBLANK($C36)), W36=Constants!$B$8), Y36, "")</f>
        <v/>
      </c>
      <c r="AC36" s="85" t="str">
        <f aca="false">IF(ISNUMBER(AB36), RANK(AB36,AB$8:AB$507), "")</f>
        <v/>
      </c>
      <c r="AD36" s="85" t="str">
        <f aca="false">IF(ISBLANK($C36),"",IF(V36&lt;&gt;Constants!$B$14, V36, IF(W36=Constants!$B$7, AA36, IF(W36=Constants!$B$8, COUNT($AA$8:$AA$507) + AC36, ""))))</f>
        <v/>
      </c>
      <c r="AE36" s="85" t="str">
        <f aca="false">N36</f>
        <v/>
      </c>
      <c r="AF36" s="85" t="str">
        <f aca="false">IF(ISNUMBER(AE36), RANK(AE36,AE$8:AE$507,1), "")</f>
        <v/>
      </c>
      <c r="AG36" s="88" t="str">
        <f aca="false">IF(ISBLANK(C36), "", ABS(M36-S36))</f>
        <v/>
      </c>
      <c r="AH36" s="85" t="str">
        <f aca="false">IF(ISNUMBER(AG36), RANK(AG36,AG$8:AG$507,1), "")</f>
        <v/>
      </c>
      <c r="AI36" s="85" t="str">
        <f aca="false">IF(ISBLANK(C36),"",IF(V36&lt;&gt;Constants!$B$14, V36, RANK(AD36, AD$8:AD$507, 1)+ SUMPRODUCT(--(AD$8:AD$507=AD36),--(AF36&gt;AF$8:AF$507)) + SUMPRODUCT(--(AD$8:AD$507=AD36),--(AF36=AF$8:AF$507),--(AH36&gt;AH$8:AH$507))))</f>
        <v/>
      </c>
      <c r="AJ36" s="85" t="str">
        <f aca="false">IF(ISBLANK(C36),"",IF(V36&lt;&gt;Constants!$B$14, V36, AD36-AI36))</f>
        <v/>
      </c>
      <c r="AK36" s="89"/>
      <c r="AL36" s="90" t="str">
        <f aca="false">IF(ISBLANK($C36),"",IF($V36&lt;&gt;Constants!$B$14,$V36,X36))</f>
        <v/>
      </c>
      <c r="AM36" s="90" t="str">
        <f aca="false">IF(ISBLANK($C36),"",IF($V36&lt;&gt;Constants!$B$14,$V36,N36))</f>
        <v/>
      </c>
      <c r="AN36" s="91" t="str">
        <f aca="false">IF(ISBLANK(C36),"",IF(V36&lt;&gt;Constants!$B$14, V36, IF(W36=Constants!$B$7,Z36,IF(W36=Constants!$B$8,AB36,""))))</f>
        <v/>
      </c>
      <c r="AO36" s="92" t="str">
        <f aca="false">IF(ISBLANK(C36),"",W36)</f>
        <v/>
      </c>
      <c r="AP36" s="92" t="str">
        <f aca="false">IF(ISBLANK(C36),"",AJ36)</f>
        <v/>
      </c>
      <c r="AQ36" s="92" t="str">
        <f aca="false">IF(ISBLANK(C36),"",AI36)</f>
        <v/>
      </c>
      <c r="AR36" s="93" t="str">
        <f aca="false">IF(ISBLANK(C36),
  "",
IF(AQ36=Constants!$B$11,COUNTA($C$8:$C$507)+2,IF(AQ36=Constants!$B$12,COUNTA($C$8:$C$507)+1,IF(AQ36=Constants!$B$13,COUNTA($C$8:$C$507),AQ36))))</f>
        <v/>
      </c>
      <c r="AS36" s="3"/>
      <c r="AT36" s="94" t="n">
        <f aca="false">IF(OR(ISNUMBER(AQ36),AQ36="DQ",AQ36="P",AQ36="NS"),
    1,
    0
)</f>
        <v>0</v>
      </c>
      <c r="AU36" s="94" t="n">
        <v>29</v>
      </c>
      <c r="AV36" s="94" t="str">
        <f aca="false">IF(ISBLANK($C36),
    "",
   IF(ISNUMBER(AR36),AR36+ROW($B36)/1000,"")
)</f>
        <v/>
      </c>
      <c r="AW36" s="94" t="str">
        <f aca="false">IF(ISNUMBER(AV36), RANK(AV36,AV$8:AV$507,1), "")</f>
        <v/>
      </c>
      <c r="AX36" s="94" t="str">
        <f aca="false">IF(ISBLANK($C36),
    "",
    $B36
)</f>
        <v/>
      </c>
      <c r="AY36" s="94" t="str">
        <f aca="false">IF(ISBLANK($C36),
    "",
    $C36
)</f>
        <v/>
      </c>
      <c r="AZ36" s="94" t="str">
        <f aca="false">IF(ISBLANK($C36),
    "",
    $D36
)</f>
        <v/>
      </c>
      <c r="BA36" s="94" t="str">
        <f aca="false">AO36</f>
        <v/>
      </c>
      <c r="BB36" s="95" t="str">
        <f aca="false">AN36</f>
        <v/>
      </c>
      <c r="BC36" s="94" t="str">
        <f aca="false">IF(ISBLANK($C36),
    "",
    AQ36
)</f>
        <v/>
      </c>
      <c r="BD36" s="96" t="str">
        <f aca="false">IF(AU36&gt;AT$7,
    "",
    VLOOKUP(AU36,AW$8:BC$507,7,FALSE())
)</f>
        <v/>
      </c>
      <c r="BE36" s="97" t="str">
        <f aca="false">IF(AU36&gt;AT$7,
    "",
    VLOOKUP(AU36,AW$8:BC$507,2,FALSE())
)</f>
        <v/>
      </c>
      <c r="BF36" s="97" t="str">
        <f aca="false">IF(AU36&gt;AT$7,
    "",
    VLOOKUP(AU36,AW$8:BC$507,3,FALSE())
)</f>
        <v/>
      </c>
      <c r="BG36" s="97" t="str">
        <f aca="false">IF(AU36&gt;AT$7,
    "",
    VLOOKUP(AU36,AW$8:BC$507,4,FALSE())
)</f>
        <v/>
      </c>
      <c r="BH36" s="97" t="str">
        <f aca="false">IF(AU36&gt;AT$7,
    "",
    VLOOKUP(AU36,AW$8:BC$507,5,FALSE())
)</f>
        <v/>
      </c>
      <c r="BI36" s="98" t="str">
        <f aca="false">IF(AU36&gt;AT$7,
    "",
    VLOOKUP(AU36,AW$8:BC$507,6,FALSE())
)</f>
        <v/>
      </c>
      <c r="BJ36" s="46"/>
    </row>
    <row r="37" customFormat="false" ht="15.75" hidden="false" customHeight="false" outlineLevel="0" collapsed="false">
      <c r="A37" s="3"/>
      <c r="B37" s="105"/>
      <c r="C37" s="106"/>
      <c r="D37" s="99"/>
      <c r="E37" s="100"/>
      <c r="F37" s="107"/>
      <c r="G37" s="100"/>
      <c r="H37" s="101"/>
      <c r="I37" s="102"/>
      <c r="J37" s="101"/>
      <c r="K37" s="103"/>
      <c r="L37" s="85"/>
      <c r="M37" s="85" t="str">
        <f aca="false">IF(ISBLANK($C37),"",IF(ISBLANK(E37),0,E37))</f>
        <v/>
      </c>
      <c r="N37" s="85" t="str">
        <f aca="false">IF(ISBLANK($C37),"",IF(ISBLANK(F37),0,F37))</f>
        <v/>
      </c>
      <c r="O37" s="86" t="e">
        <f aca="false">IF(AND(NOT(ISBLANK($C37)),NOT($T37),COUNTA($E37:$K37)&gt;0),ISBLANK($F37),FALSE())</f>
        <v>#VALUE!</v>
      </c>
      <c r="P37" s="85" t="str">
        <f aca="false">IF(ISBLANK($C37),"",IF(G37=Constants!$B$9, TRUE(), IF(G37=Constants!$B$10, FALSE(), TRUE())))</f>
        <v/>
      </c>
      <c r="Q37" s="85" t="str">
        <f aca="false">IF(ISBLANK($C37),"",IF(H37=Constants!$B$9, TRUE(), IF(H37=Constants!$B$10, FALSE(), TRUE())))</f>
        <v/>
      </c>
      <c r="R37" s="85" t="str">
        <f aca="false">IF(ISBLANK($C37),"",IF(ISBLANK(I37),Constants!$B$3,I37))</f>
        <v/>
      </c>
      <c r="S37" s="85" t="str">
        <f aca="false">IF(ISBLANK($C37),"",IF(ISBLANK(J37),0,MIN(J37,Constants!$B$6)))</f>
        <v/>
      </c>
      <c r="T37" s="85" t="str">
        <f aca="false">IF(ISBLANK($C37),"",IF(K37=Constants!$B$9, TRUE(), IF(K37=Constants!$B$10, FALSE(),  FALSE())))</f>
        <v/>
      </c>
      <c r="U37" s="85" t="str">
        <f aca="false">IF(ISBLANK($C37),"",AND(R37=Constants!$B$4, S37&lt;Constants!$B$6))</f>
        <v/>
      </c>
      <c r="V37" s="85" t="str">
        <f aca="false">IF(ISBLANK(C37), "", IF(T37, Constants!$B$11, IF(COUNTA(E37:K37)=0, Constants!$B$12, IF(NOT(AND(P37,S37&lt;&gt;0)), Constants!$B$13, IF(O37, Constants!$B$15, Constants!$B$14)))))</f>
        <v/>
      </c>
      <c r="W37" s="85" t="str">
        <f aca="false">IF(OR(ISBLANK($C37), SUMPRODUCT(--(P37:T37&lt;&gt;""))=0), "", IF(V37&lt;&gt;Constants!$B$14, V37, IF(AND(NOT(ISBLANK(J37)),P37,Q37,R37&lt;&gt;Constants!$B$2), Constants!$B$7, IF(AND(P37,OR(NOT(Q37),R37=Constants!$B$2)), Constants!$B$8, "Error"))))</f>
        <v/>
      </c>
      <c r="X37" s="87" t="str">
        <f aca="false">IF(OR(W37=Constants!$B$7,W37=Constants!$B$8), MAX(0, MIN(Constants!$B$6, S37))+IF(AND(R37=Constants!$B$4, NOT(U37)), Constants!$B$5, 0), "")</f>
        <v/>
      </c>
      <c r="Y37" s="85" t="str">
        <f aca="false">IF(ISBLANK($C37),"",IF(AND(ISNUMBER(X37),N37&gt;0),X37/N37, "") )</f>
        <v/>
      </c>
      <c r="Z37" s="85" t="str">
        <f aca="false">IF(AND(NOT(ISBLANK($C37)), W37=Constants!$B$7), Y37, "")</f>
        <v/>
      </c>
      <c r="AA37" s="85" t="str">
        <f aca="false">IF(ISNUMBER(Z37), RANK(Z37,Z$8:Z$507), "")</f>
        <v/>
      </c>
      <c r="AB37" s="85" t="str">
        <f aca="false">IF(AND(NOT(ISBLANK($C37)), W37=Constants!$B$8), Y37, "")</f>
        <v/>
      </c>
      <c r="AC37" s="85" t="str">
        <f aca="false">IF(ISNUMBER(AB37), RANK(AB37,AB$8:AB$507), "")</f>
        <v/>
      </c>
      <c r="AD37" s="85" t="str">
        <f aca="false">IF(ISBLANK($C37),"",IF(V37&lt;&gt;Constants!$B$14, V37, IF(W37=Constants!$B$7, AA37, IF(W37=Constants!$B$8, COUNT($AA$8:$AA$507) + AC37, ""))))</f>
        <v/>
      </c>
      <c r="AE37" s="85" t="str">
        <f aca="false">N37</f>
        <v/>
      </c>
      <c r="AF37" s="85" t="str">
        <f aca="false">IF(ISNUMBER(AE37), RANK(AE37,AE$8:AE$507,1), "")</f>
        <v/>
      </c>
      <c r="AG37" s="88" t="str">
        <f aca="false">IF(ISBLANK(C37), "", ABS(M37-S37))</f>
        <v/>
      </c>
      <c r="AH37" s="85" t="str">
        <f aca="false">IF(ISNUMBER(AG37), RANK(AG37,AG$8:AG$507,1), "")</f>
        <v/>
      </c>
      <c r="AI37" s="85" t="str">
        <f aca="false">IF(ISBLANK(C37),"",IF(V37&lt;&gt;Constants!$B$14, V37, RANK(AD37, AD$8:AD$507, 1)+ SUMPRODUCT(--(AD$8:AD$507=AD37),--(AF37&gt;AF$8:AF$507)) + SUMPRODUCT(--(AD$8:AD$507=AD37),--(AF37=AF$8:AF$507),--(AH37&gt;AH$8:AH$507))))</f>
        <v/>
      </c>
      <c r="AJ37" s="85" t="str">
        <f aca="false">IF(ISBLANK(C37),"",IF(V37&lt;&gt;Constants!$B$14, V37, AD37-AI37))</f>
        <v/>
      </c>
      <c r="AK37" s="89"/>
      <c r="AL37" s="90" t="str">
        <f aca="false">IF(ISBLANK($C37),"",IF($V37&lt;&gt;Constants!$B$14,$V37,X37))</f>
        <v/>
      </c>
      <c r="AM37" s="90" t="str">
        <f aca="false">IF(ISBLANK($C37),"",IF($V37&lt;&gt;Constants!$B$14,$V37,N37))</f>
        <v/>
      </c>
      <c r="AN37" s="91" t="str">
        <f aca="false">IF(ISBLANK(C37),"",IF(V37&lt;&gt;Constants!$B$14, V37, IF(W37=Constants!$B$7,Z37,IF(W37=Constants!$B$8,AB37,""))))</f>
        <v/>
      </c>
      <c r="AO37" s="92" t="str">
        <f aca="false">IF(ISBLANK(C37),"",W37)</f>
        <v/>
      </c>
      <c r="AP37" s="92" t="str">
        <f aca="false">IF(ISBLANK(C37),"",AJ37)</f>
        <v/>
      </c>
      <c r="AQ37" s="92" t="str">
        <f aca="false">IF(ISBLANK(C37),"",AI37)</f>
        <v/>
      </c>
      <c r="AR37" s="93" t="str">
        <f aca="false">IF(ISBLANK(C37),
  "",
IF(AQ37=Constants!$B$11,COUNTA($C$8:$C$507)+2,IF(AQ37=Constants!$B$12,COUNTA($C$8:$C$507)+1,IF(AQ37=Constants!$B$13,COUNTA($C$8:$C$507),AQ37))))</f>
        <v/>
      </c>
      <c r="AS37" s="3"/>
      <c r="AT37" s="94" t="n">
        <f aca="false">IF(OR(ISNUMBER(AQ37),AQ37="DQ",AQ37="P",AQ37="NS"),
    1,
    0
)</f>
        <v>0</v>
      </c>
      <c r="AU37" s="94" t="n">
        <v>30</v>
      </c>
      <c r="AV37" s="94" t="str">
        <f aca="false">IF(ISBLANK($C37),
    "",
   IF(ISNUMBER(AR37),AR37+ROW($B37)/1000,"")
)</f>
        <v/>
      </c>
      <c r="AW37" s="94" t="str">
        <f aca="false">IF(ISNUMBER(AV37), RANK(AV37,AV$8:AV$507,1), "")</f>
        <v/>
      </c>
      <c r="AX37" s="94" t="str">
        <f aca="false">IF(ISBLANK($C37),
    "",
    $B37
)</f>
        <v/>
      </c>
      <c r="AY37" s="94" t="str">
        <f aca="false">IF(ISBLANK($C37),
    "",
    $C37
)</f>
        <v/>
      </c>
      <c r="AZ37" s="94" t="str">
        <f aca="false">IF(ISBLANK($C37),
    "",
    $D37
)</f>
        <v/>
      </c>
      <c r="BA37" s="94" t="str">
        <f aca="false">AO37</f>
        <v/>
      </c>
      <c r="BB37" s="95" t="str">
        <f aca="false">AN37</f>
        <v/>
      </c>
      <c r="BC37" s="94" t="str">
        <f aca="false">IF(ISBLANK($C37),
    "",
    AQ37
)</f>
        <v/>
      </c>
      <c r="BD37" s="96" t="str">
        <f aca="false">IF(AU37&gt;AT$7,
    "",
    VLOOKUP(AU37,AW$8:BC$507,7,FALSE())
)</f>
        <v/>
      </c>
      <c r="BE37" s="97" t="str">
        <f aca="false">IF(AU37&gt;AT$7,
    "",
    VLOOKUP(AU37,AW$8:BC$507,2,FALSE())
)</f>
        <v/>
      </c>
      <c r="BF37" s="97" t="str">
        <f aca="false">IF(AU37&gt;AT$7,
    "",
    VLOOKUP(AU37,AW$8:BC$507,3,FALSE())
)</f>
        <v/>
      </c>
      <c r="BG37" s="97" t="str">
        <f aca="false">IF(AU37&gt;AT$7,
    "",
    VLOOKUP(AU37,AW$8:BC$507,4,FALSE())
)</f>
        <v/>
      </c>
      <c r="BH37" s="97" t="str">
        <f aca="false">IF(AU37&gt;AT$7,
    "",
    VLOOKUP(AU37,AW$8:BC$507,5,FALSE())
)</f>
        <v/>
      </c>
      <c r="BI37" s="98" t="str">
        <f aca="false">IF(AU37&gt;AT$7,
    "",
    VLOOKUP(AU37,AW$8:BC$507,6,FALSE())
)</f>
        <v/>
      </c>
      <c r="BJ37" s="46"/>
    </row>
    <row r="38" customFormat="false" ht="15.75" hidden="false" customHeight="false" outlineLevel="0" collapsed="false">
      <c r="A38" s="3"/>
      <c r="B38" s="108"/>
      <c r="C38" s="70"/>
      <c r="D38" s="49"/>
      <c r="E38" s="71"/>
      <c r="F38" s="72"/>
      <c r="G38" s="71"/>
      <c r="H38" s="73"/>
      <c r="I38" s="104"/>
      <c r="J38" s="73"/>
      <c r="K38" s="74"/>
      <c r="L38" s="55"/>
      <c r="M38" s="55" t="str">
        <f aca="false">IF(ISBLANK($C38),"",IF(ISBLANK(E38),0,E38))</f>
        <v/>
      </c>
      <c r="N38" s="55" t="str">
        <f aca="false">IF(ISBLANK($C38),"",IF(ISBLANK(F38),0,F38))</f>
        <v/>
      </c>
      <c r="O38" s="55" t="e">
        <f aca="false">IF(AND(NOT(ISBLANK($C38)),NOT($T38),COUNTA($E38:$K38)&gt;0),ISBLANK($F38),FALSE())</f>
        <v>#VALUE!</v>
      </c>
      <c r="P38" s="55" t="str">
        <f aca="false">IF(ISBLANK($C38),"",IF(G38=Constants!$B$9, TRUE(), IF(G38=Constants!$B$10, FALSE(), TRUE())))</f>
        <v/>
      </c>
      <c r="Q38" s="55" t="str">
        <f aca="false">IF(ISBLANK($C38),"",IF(H38=Constants!$B$9, TRUE(), IF(H38=Constants!$B$10, FALSE(), TRUE())))</f>
        <v/>
      </c>
      <c r="R38" s="55" t="str">
        <f aca="false">IF(ISBLANK($C38),"",IF(ISBLANK(I38),Constants!$B$3,I38))</f>
        <v/>
      </c>
      <c r="S38" s="55" t="str">
        <f aca="false">IF(ISBLANK($C38),"",IF(ISBLANK(J38),0,MIN(J38,Constants!$B$6)))</f>
        <v/>
      </c>
      <c r="T38" s="55" t="str">
        <f aca="false">IF(ISBLANK($C38),"",IF(K38=Constants!$B$9, TRUE(), IF(K38=Constants!$B$10, FALSE(),  FALSE())))</f>
        <v/>
      </c>
      <c r="U38" s="55" t="str">
        <f aca="false">IF(ISBLANK($C38),"",AND(R38=Constants!$B$4, S38&lt;Constants!$B$6))</f>
        <v/>
      </c>
      <c r="V38" s="55" t="str">
        <f aca="false">IF(ISBLANK(C38), "", IF(T38, Constants!$B$11, IF(COUNTA(E38:K38)=0, Constants!$B$12, IF(NOT(AND(P38,S38&lt;&gt;0)), Constants!$B$13, IF(O38, Constants!$B$15, Constants!$B$14)))))</f>
        <v/>
      </c>
      <c r="W38" s="55" t="str">
        <f aca="false">IF(OR(ISBLANK($C38), SUMPRODUCT(--(P38:T38&lt;&gt;""))=0), "", IF(V38&lt;&gt;Constants!$B$14, V38, IF(AND(NOT(ISBLANK(J38)),P38,Q38,R38&lt;&gt;Constants!$B$2), Constants!$B$7, IF(AND(P38,OR(NOT(Q38),R38=Constants!$B$2)), Constants!$B$8, "Error"))))</f>
        <v/>
      </c>
      <c r="X38" s="56" t="str">
        <f aca="false">IF(OR(W38=Constants!$B$7,W38=Constants!$B$8), MAX(0, MIN(Constants!$B$6, S38))+IF(AND(R38=Constants!$B$4, NOT(U38)), Constants!$B$5, 0), "")</f>
        <v/>
      </c>
      <c r="Y38" s="55" t="str">
        <f aca="false">IF(ISBLANK($C38),"",IF(AND(ISNUMBER(X38),N38&gt;0),X38/N38, "") )</f>
        <v/>
      </c>
      <c r="Z38" s="55" t="str">
        <f aca="false">IF(AND(NOT(ISBLANK($C38)), W38=Constants!$B$7), Y38, "")</f>
        <v/>
      </c>
      <c r="AA38" s="55" t="str">
        <f aca="false">IF(ISNUMBER(Z38), RANK(Z38,Z$8:Z$507), "")</f>
        <v/>
      </c>
      <c r="AB38" s="55" t="str">
        <f aca="false">IF(AND(NOT(ISBLANK($C38)), W38=Constants!$B$8), Y38, "")</f>
        <v/>
      </c>
      <c r="AC38" s="55" t="str">
        <f aca="false">IF(ISNUMBER(AB38), RANK(AB38,AB$8:AB$507), "")</f>
        <v/>
      </c>
      <c r="AD38" s="55" t="str">
        <f aca="false">IF(ISBLANK($C38),"",IF(V38&lt;&gt;Constants!$B$14, V38, IF(W38=Constants!$B$7, AA38, IF(W38=Constants!$B$8, COUNT($AA$8:$AA$507) + AC38, ""))))</f>
        <v/>
      </c>
      <c r="AE38" s="55" t="str">
        <f aca="false">N38</f>
        <v/>
      </c>
      <c r="AF38" s="55" t="str">
        <f aca="false">IF(ISNUMBER(AE38), RANK(AE38,AE$8:AE$507,1), "")</f>
        <v/>
      </c>
      <c r="AG38" s="57" t="str">
        <f aca="false">IF(ISBLANK(C38), "", ABS(M38-S38))</f>
        <v/>
      </c>
      <c r="AH38" s="55" t="str">
        <f aca="false">IF(ISNUMBER(AG38), RANK(AG38,AG$8:AG$507,1), "")</f>
        <v/>
      </c>
      <c r="AI38" s="55" t="str">
        <f aca="false">IF(ISBLANK(C38),"",IF(V38&lt;&gt;Constants!$B$14, V38, RANK(AD38, AD$8:AD$507, 1)+ SUMPRODUCT(--(AD$8:AD$507=AD38),--(AF38&gt;AF$8:AF$507)) + SUMPRODUCT(--(AD$8:AD$507=AD38),--(AF38=AF$8:AF$507),--(AH38&gt;AH$8:AH$507))))</f>
        <v/>
      </c>
      <c r="AJ38" s="55" t="str">
        <f aca="false">IF(ISBLANK(C38),"",IF(V38&lt;&gt;Constants!$B$14, V38, AD38-AI38))</f>
        <v/>
      </c>
      <c r="AK38" s="59"/>
      <c r="AL38" s="60" t="str">
        <f aca="false">IF(ISBLANK($C38),"",IF($V38&lt;&gt;Constants!$B$14,$V38,X38))</f>
        <v/>
      </c>
      <c r="AM38" s="60" t="str">
        <f aca="false">IF(ISBLANK($C38),"",IF($V38&lt;&gt;Constants!$B$14,$V38,N38))</f>
        <v/>
      </c>
      <c r="AN38" s="62" t="str">
        <f aca="false">IF(ISBLANK(C38),"",IF(V38&lt;&gt;Constants!$B$14, V38, IF(W38=Constants!$B$7,Z38,IF(W38=Constants!$B$8,AB38,""))))</f>
        <v/>
      </c>
      <c r="AO38" s="63" t="str">
        <f aca="false">IF(ISBLANK(C38),"",W38)</f>
        <v/>
      </c>
      <c r="AP38" s="63" t="str">
        <f aca="false">IF(ISBLANK(C38),"",AJ38)</f>
        <v/>
      </c>
      <c r="AQ38" s="63" t="str">
        <f aca="false">IF(ISBLANK(C38),"",AI38)</f>
        <v/>
      </c>
      <c r="AR38" s="64" t="str">
        <f aca="false">IF(ISBLANK(C38),
  "",
IF(AQ38=Constants!$B$11,COUNTA($C$8:$C$507)+2,IF(AQ38=Constants!$B$12,COUNTA($C$8:$C$507)+1,IF(AQ38=Constants!$B$13,COUNTA($C$8:$C$507),AQ38))))</f>
        <v/>
      </c>
      <c r="AS38" s="3"/>
      <c r="AT38" s="65" t="n">
        <f aca="false">IF(OR(ISNUMBER(AQ38),AQ38="DQ",AQ38="P",AQ38="NS"),
    1,
    0
)</f>
        <v>0</v>
      </c>
      <c r="AU38" s="65" t="n">
        <v>31</v>
      </c>
      <c r="AV38" s="65" t="str">
        <f aca="false">IF(ISBLANK($C38),
    "",
   IF(ISNUMBER(AR38),AR38+ROW($B38)/1000,"")
)</f>
        <v/>
      </c>
      <c r="AW38" s="65" t="str">
        <f aca="false">IF(ISNUMBER(AV38), RANK(AV38,AV$8:AV$507,1), "")</f>
        <v/>
      </c>
      <c r="AX38" s="65" t="str">
        <f aca="false">IF(ISBLANK($C38),
    "",
    $B38
)</f>
        <v/>
      </c>
      <c r="AY38" s="65" t="str">
        <f aca="false">IF(ISBLANK($C38),
    "",
    $C38
)</f>
        <v/>
      </c>
      <c r="AZ38" s="65" t="str">
        <f aca="false">IF(ISBLANK($C38),
    "",
    $D38
)</f>
        <v/>
      </c>
      <c r="BA38" s="65" t="str">
        <f aca="false">AO38</f>
        <v/>
      </c>
      <c r="BB38" s="66" t="str">
        <f aca="false">AN38</f>
        <v/>
      </c>
      <c r="BC38" s="65" t="str">
        <f aca="false">IF(ISBLANK($C38),
    "",
    AQ38
)</f>
        <v/>
      </c>
      <c r="BD38" s="67" t="str">
        <f aca="false">IF(AU38&gt;AT$7,
    "",
    VLOOKUP(AU38,AW$8:BC$507,7,FALSE())
)</f>
        <v/>
      </c>
      <c r="BE38" s="68" t="str">
        <f aca="false">IF(AU38&gt;AT$7,
    "",
    VLOOKUP(AU38,AW$8:BC$507,2,FALSE())
)</f>
        <v/>
      </c>
      <c r="BF38" s="68" t="str">
        <f aca="false">IF(AU38&gt;AT$7,
    "",
    VLOOKUP(AU38,AW$8:BC$507,3,FALSE())
)</f>
        <v/>
      </c>
      <c r="BG38" s="68" t="str">
        <f aca="false">IF(AU38&gt;AT$7,
    "",
    VLOOKUP(AU38,AW$8:BC$507,4,FALSE())
)</f>
        <v/>
      </c>
      <c r="BH38" s="68" t="str">
        <f aca="false">IF(AU38&gt;AT$7,
    "",
    VLOOKUP(AU38,AW$8:BC$507,5,FALSE())
)</f>
        <v/>
      </c>
      <c r="BI38" s="69" t="str">
        <f aca="false">IF(AU38&gt;AT$7,
    "",
    VLOOKUP(AU38,AW$8:BC$507,6,FALSE())
)</f>
        <v/>
      </c>
      <c r="BJ38" s="46"/>
    </row>
    <row r="39" customFormat="false" ht="15.75" hidden="false" customHeight="false" outlineLevel="0" collapsed="false">
      <c r="A39" s="3"/>
      <c r="B39" s="108"/>
      <c r="C39" s="70"/>
      <c r="D39" s="49"/>
      <c r="E39" s="109"/>
      <c r="F39" s="72"/>
      <c r="G39" s="109"/>
      <c r="H39" s="74"/>
      <c r="I39" s="104"/>
      <c r="J39" s="74"/>
      <c r="K39" s="74"/>
      <c r="L39" s="55"/>
      <c r="M39" s="55" t="str">
        <f aca="false">IF(ISBLANK($C39),"",IF(ISBLANK(E39),0,E39))</f>
        <v/>
      </c>
      <c r="N39" s="55" t="str">
        <f aca="false">IF(ISBLANK($C39),"",IF(ISBLANK(F39),0,F39))</f>
        <v/>
      </c>
      <c r="O39" s="55" t="e">
        <f aca="false">IF(AND(NOT(ISBLANK($C39)),NOT($T39),COUNTA($E39:$K39)&gt;0),ISBLANK($F39),FALSE())</f>
        <v>#VALUE!</v>
      </c>
      <c r="P39" s="55" t="str">
        <f aca="false">IF(ISBLANK($C39),"",IF(G39=Constants!$B$9, TRUE(), IF(G39=Constants!$B$10, FALSE(), TRUE())))</f>
        <v/>
      </c>
      <c r="Q39" s="55" t="str">
        <f aca="false">IF(ISBLANK($C39),"",IF(H39=Constants!$B$9, TRUE(), IF(H39=Constants!$B$10, FALSE(), TRUE())))</f>
        <v/>
      </c>
      <c r="R39" s="55" t="str">
        <f aca="false">IF(ISBLANK($C39),"",IF(ISBLANK(I39),Constants!$B$3,I39))</f>
        <v/>
      </c>
      <c r="S39" s="55" t="str">
        <f aca="false">IF(ISBLANK($C39),"",IF(ISBLANK(J39),0,MIN(J39,Constants!$B$6)))</f>
        <v/>
      </c>
      <c r="T39" s="55" t="str">
        <f aca="false">IF(ISBLANK($C39),"",IF(K39=Constants!$B$9, TRUE(), IF(K39=Constants!$B$10, FALSE(),  FALSE())))</f>
        <v/>
      </c>
      <c r="U39" s="55" t="str">
        <f aca="false">IF(ISBLANK($C39),"",AND(R39=Constants!$B$4, S39&lt;Constants!$B$6))</f>
        <v/>
      </c>
      <c r="V39" s="55" t="str">
        <f aca="false">IF(ISBLANK(C39), "", IF(T39, Constants!$B$11, IF(COUNTA(E39:K39)=0, Constants!$B$12, IF(NOT(AND(P39,S39&lt;&gt;0)), Constants!$B$13, IF(O39, Constants!$B$15, Constants!$B$14)))))</f>
        <v/>
      </c>
      <c r="W39" s="55" t="str">
        <f aca="false">IF(OR(ISBLANK($C39), SUMPRODUCT(--(P39:T39&lt;&gt;""))=0), "", IF(V39&lt;&gt;Constants!$B$14, V39, IF(AND(NOT(ISBLANK(J39)),P39,Q39,R39&lt;&gt;Constants!$B$2), Constants!$B$7, IF(AND(P39,OR(NOT(Q39),R39=Constants!$B$2)), Constants!$B$8, "Error"))))</f>
        <v/>
      </c>
      <c r="X39" s="56" t="str">
        <f aca="false">IF(OR(W39=Constants!$B$7,W39=Constants!$B$8), MAX(0, MIN(Constants!$B$6, S39))+IF(AND(R39=Constants!$B$4, NOT(U39)), Constants!$B$5, 0), "")</f>
        <v/>
      </c>
      <c r="Y39" s="55" t="str">
        <f aca="false">IF(ISBLANK($C39),"",IF(AND(ISNUMBER(X39),N39&gt;0),X39/N39, "") )</f>
        <v/>
      </c>
      <c r="Z39" s="55" t="str">
        <f aca="false">IF(AND(NOT(ISBLANK($C39)), W39=Constants!$B$7), Y39, "")</f>
        <v/>
      </c>
      <c r="AA39" s="55" t="str">
        <f aca="false">IF(ISNUMBER(Z39), RANK(Z39,Z$8:Z$507), "")</f>
        <v/>
      </c>
      <c r="AB39" s="55" t="str">
        <f aca="false">IF(AND(NOT(ISBLANK($C39)), W39=Constants!$B$8), Y39, "")</f>
        <v/>
      </c>
      <c r="AC39" s="55" t="str">
        <f aca="false">IF(ISNUMBER(AB39), RANK(AB39,AB$8:AB$507), "")</f>
        <v/>
      </c>
      <c r="AD39" s="55" t="str">
        <f aca="false">IF(ISBLANK($C39),"",IF(V39&lt;&gt;Constants!$B$14, V39, IF(W39=Constants!$B$7, AA39, IF(W39=Constants!$B$8, COUNT($AA$8:$AA$507) + AC39, ""))))</f>
        <v/>
      </c>
      <c r="AE39" s="55" t="str">
        <f aca="false">N39</f>
        <v/>
      </c>
      <c r="AF39" s="55" t="str">
        <f aca="false">IF(ISNUMBER(AE39), RANK(AE39,AE$8:AE$507,1), "")</f>
        <v/>
      </c>
      <c r="AG39" s="57" t="str">
        <f aca="false">IF(ISBLANK(C39), "", ABS(M39-S39))</f>
        <v/>
      </c>
      <c r="AH39" s="55" t="str">
        <f aca="false">IF(ISNUMBER(AG39), RANK(AG39,AG$8:AG$507,1), "")</f>
        <v/>
      </c>
      <c r="AI39" s="55" t="str">
        <f aca="false">IF(ISBLANK(C39),"",IF(V39&lt;&gt;Constants!$B$14, V39, RANK(AD39, AD$8:AD$507, 1)+ SUMPRODUCT(--(AD$8:AD$507=AD39),--(AF39&gt;AF$8:AF$507)) + SUMPRODUCT(--(AD$8:AD$507=AD39),--(AF39=AF$8:AF$507),--(AH39&gt;AH$8:AH$507))))</f>
        <v/>
      </c>
      <c r="AJ39" s="55" t="str">
        <f aca="false">IF(ISBLANK(C39),"",IF(V39&lt;&gt;Constants!$B$14, V39, AD39-AI39))</f>
        <v/>
      </c>
      <c r="AK39" s="59"/>
      <c r="AL39" s="60" t="str">
        <f aca="false">IF(ISBLANK($C39),"",IF($V39&lt;&gt;Constants!$B$14,$V39,X39))</f>
        <v/>
      </c>
      <c r="AM39" s="60" t="str">
        <f aca="false">IF(ISBLANK($C39),"",IF($V39&lt;&gt;Constants!$B$14,$V39,N39))</f>
        <v/>
      </c>
      <c r="AN39" s="62" t="str">
        <f aca="false">IF(ISBLANK(C39),"",IF(V39&lt;&gt;Constants!$B$14, V39, IF(W39=Constants!$B$7,Z39,IF(W39=Constants!$B$8,AB39,""))))</f>
        <v/>
      </c>
      <c r="AO39" s="63" t="str">
        <f aca="false">IF(ISBLANK(C39),"",W39)</f>
        <v/>
      </c>
      <c r="AP39" s="63" t="str">
        <f aca="false">IF(ISBLANK(C39),"",AJ39)</f>
        <v/>
      </c>
      <c r="AQ39" s="63" t="str">
        <f aca="false">IF(ISBLANK(C39),"",AI39)</f>
        <v/>
      </c>
      <c r="AR39" s="64" t="str">
        <f aca="false">IF(ISBLANK(C39),
  "",
IF(AQ39=Constants!$B$11,COUNTA($C$8:$C$507)+2,IF(AQ39=Constants!$B$12,COUNTA($C$8:$C$507)+1,IF(AQ39=Constants!$B$13,COUNTA($C$8:$C$507),AQ39))))</f>
        <v/>
      </c>
      <c r="AS39" s="3"/>
      <c r="AT39" s="65" t="n">
        <f aca="false">IF(OR(ISNUMBER(AQ39),AQ39="DQ",AQ39="P",AQ39="NS"),
    1,
    0
)</f>
        <v>0</v>
      </c>
      <c r="AU39" s="65" t="n">
        <v>32</v>
      </c>
      <c r="AV39" s="65" t="str">
        <f aca="false">IF(ISBLANK($C39),
    "",
   IF(ISNUMBER(AR39),AR39+ROW($B39)/1000,"")
)</f>
        <v/>
      </c>
      <c r="AW39" s="65" t="str">
        <f aca="false">IF(ISNUMBER(AV39), RANK(AV39,AV$8:AV$507,1), "")</f>
        <v/>
      </c>
      <c r="AX39" s="65" t="str">
        <f aca="false">IF(ISBLANK($C39),
    "",
    $B39
)</f>
        <v/>
      </c>
      <c r="AY39" s="65" t="str">
        <f aca="false">IF(ISBLANK($C39),
    "",
    $C39
)</f>
        <v/>
      </c>
      <c r="AZ39" s="65" t="str">
        <f aca="false">IF(ISBLANK($C39),
    "",
    $D39
)</f>
        <v/>
      </c>
      <c r="BA39" s="65" t="str">
        <f aca="false">AO39</f>
        <v/>
      </c>
      <c r="BB39" s="66" t="str">
        <f aca="false">AN39</f>
        <v/>
      </c>
      <c r="BC39" s="65" t="str">
        <f aca="false">IF(ISBLANK($C39),
    "",
    AQ39
)</f>
        <v/>
      </c>
      <c r="BD39" s="67" t="str">
        <f aca="false">IF(AU39&gt;AT$7,
    "",
    VLOOKUP(AU39,AW$8:BC$507,7,FALSE())
)</f>
        <v/>
      </c>
      <c r="BE39" s="68" t="str">
        <f aca="false">IF(AU39&gt;AT$7,
    "",
    VLOOKUP(AU39,AW$8:BC$507,2,FALSE())
)</f>
        <v/>
      </c>
      <c r="BF39" s="68" t="str">
        <f aca="false">IF(AU39&gt;AT$7,
    "",
    VLOOKUP(AU39,AW$8:BC$507,3,FALSE())
)</f>
        <v/>
      </c>
      <c r="BG39" s="68" t="str">
        <f aca="false">IF(AU39&gt;AT$7,
    "",
    VLOOKUP(AU39,AW$8:BC$507,4,FALSE())
)</f>
        <v/>
      </c>
      <c r="BH39" s="68" t="str">
        <f aca="false">IF(AU39&gt;AT$7,
    "",
    VLOOKUP(AU39,AW$8:BC$507,5,FALSE())
)</f>
        <v/>
      </c>
      <c r="BI39" s="69" t="str">
        <f aca="false">IF(AU39&gt;AT$7,
    "",
    VLOOKUP(AU39,AW$8:BC$507,6,FALSE())
)</f>
        <v/>
      </c>
      <c r="BJ39" s="46"/>
    </row>
    <row r="40" customFormat="false" ht="15.75" hidden="false" customHeight="false" outlineLevel="0" collapsed="false">
      <c r="A40" s="3"/>
      <c r="B40" s="108"/>
      <c r="C40" s="70"/>
      <c r="D40" s="49"/>
      <c r="E40" s="109"/>
      <c r="F40" s="72"/>
      <c r="G40" s="109"/>
      <c r="H40" s="74"/>
      <c r="I40" s="104"/>
      <c r="J40" s="74"/>
      <c r="K40" s="74"/>
      <c r="L40" s="55"/>
      <c r="M40" s="55" t="str">
        <f aca="false">IF(ISBLANK($C40),"",IF(ISBLANK(E40),0,E40))</f>
        <v/>
      </c>
      <c r="N40" s="55" t="str">
        <f aca="false">IF(ISBLANK($C40),"",IF(ISBLANK(F40),0,F40))</f>
        <v/>
      </c>
      <c r="O40" s="55" t="e">
        <f aca="false">IF(AND(NOT(ISBLANK($C40)),NOT($T40),COUNTA($E40:$K40)&gt;0),ISBLANK($F40),FALSE())</f>
        <v>#VALUE!</v>
      </c>
      <c r="P40" s="55" t="str">
        <f aca="false">IF(ISBLANK($C40),"",IF(G40=Constants!$B$9, TRUE(), IF(G40=Constants!$B$10, FALSE(), TRUE())))</f>
        <v/>
      </c>
      <c r="Q40" s="55" t="str">
        <f aca="false">IF(ISBLANK($C40),"",IF(H40=Constants!$B$9, TRUE(), IF(H40=Constants!$B$10, FALSE(), TRUE())))</f>
        <v/>
      </c>
      <c r="R40" s="55" t="str">
        <f aca="false">IF(ISBLANK($C40),"",IF(ISBLANK(I40),Constants!$B$3,I40))</f>
        <v/>
      </c>
      <c r="S40" s="55" t="str">
        <f aca="false">IF(ISBLANK($C40),"",IF(ISBLANK(J40),0,MIN(J40,Constants!$B$6)))</f>
        <v/>
      </c>
      <c r="T40" s="55" t="str">
        <f aca="false">IF(ISBLANK($C40),"",IF(K40=Constants!$B$9, TRUE(), IF(K40=Constants!$B$10, FALSE(),  FALSE())))</f>
        <v/>
      </c>
      <c r="U40" s="55" t="str">
        <f aca="false">IF(ISBLANK($C40),"",AND(R40=Constants!$B$4, S40&lt;Constants!$B$6))</f>
        <v/>
      </c>
      <c r="V40" s="55" t="str">
        <f aca="false">IF(ISBLANK(C40), "", IF(T40, Constants!$B$11, IF(COUNTA(E40:K40)=0, Constants!$B$12, IF(NOT(AND(P40,S40&lt;&gt;0)), Constants!$B$13, IF(O40, Constants!$B$15, Constants!$B$14)))))</f>
        <v/>
      </c>
      <c r="W40" s="55" t="str">
        <f aca="false">IF(OR(ISBLANK($C40), SUMPRODUCT(--(P40:T40&lt;&gt;""))=0), "", IF(V40&lt;&gt;Constants!$B$14, V40, IF(AND(NOT(ISBLANK(J40)),P40,Q40,R40&lt;&gt;Constants!$B$2), Constants!$B$7, IF(AND(P40,OR(NOT(Q40),R40=Constants!$B$2)), Constants!$B$8, "Error"))))</f>
        <v/>
      </c>
      <c r="X40" s="56" t="str">
        <f aca="false">IF(OR(W40=Constants!$B$7,W40=Constants!$B$8), MAX(0, MIN(Constants!$B$6, S40))+IF(AND(R40=Constants!$B$4, NOT(U40)), Constants!$B$5, 0), "")</f>
        <v/>
      </c>
      <c r="Y40" s="55" t="str">
        <f aca="false">IF(ISBLANK($C40),"",IF(AND(ISNUMBER(X40),N40&gt;0),X40/N40, "") )</f>
        <v/>
      </c>
      <c r="Z40" s="55" t="str">
        <f aca="false">IF(AND(NOT(ISBLANK($C40)), W40=Constants!$B$7), Y40, "")</f>
        <v/>
      </c>
      <c r="AA40" s="55" t="str">
        <f aca="false">IF(ISNUMBER(Z40), RANK(Z40,Z$8:Z$507), "")</f>
        <v/>
      </c>
      <c r="AB40" s="55" t="str">
        <f aca="false">IF(AND(NOT(ISBLANK($C40)), W40=Constants!$B$8), Y40, "")</f>
        <v/>
      </c>
      <c r="AC40" s="55" t="str">
        <f aca="false">IF(ISNUMBER(AB40), RANK(AB40,AB$8:AB$507), "")</f>
        <v/>
      </c>
      <c r="AD40" s="55" t="str">
        <f aca="false">IF(ISBLANK($C40),"",IF(V40&lt;&gt;Constants!$B$14, V40, IF(W40=Constants!$B$7, AA40, IF(W40=Constants!$B$8, COUNT($AA$8:$AA$507) + AC40, ""))))</f>
        <v/>
      </c>
      <c r="AE40" s="55" t="str">
        <f aca="false">N40</f>
        <v/>
      </c>
      <c r="AF40" s="55" t="str">
        <f aca="false">IF(ISNUMBER(AE40), RANK(AE40,AE$8:AE$507,1), "")</f>
        <v/>
      </c>
      <c r="AG40" s="57" t="str">
        <f aca="false">IF(ISBLANK(C40), "", ABS(M40-S40))</f>
        <v/>
      </c>
      <c r="AH40" s="55" t="str">
        <f aca="false">IF(ISNUMBER(AG40), RANK(AG40,AG$8:AG$507,1), "")</f>
        <v/>
      </c>
      <c r="AI40" s="55" t="str">
        <f aca="false">IF(ISBLANK(C40),"",IF(V40&lt;&gt;Constants!$B$14, V40, RANK(AD40, AD$8:AD$507, 1)+ SUMPRODUCT(--(AD$8:AD$507=AD40),--(AF40&gt;AF$8:AF$507)) + SUMPRODUCT(--(AD$8:AD$507=AD40),--(AF40=AF$8:AF$507),--(AH40&gt;AH$8:AH$507))))</f>
        <v/>
      </c>
      <c r="AJ40" s="55" t="str">
        <f aca="false">IF(ISBLANK(C40),"",IF(V40&lt;&gt;Constants!$B$14, V40, AD40-AI40))</f>
        <v/>
      </c>
      <c r="AK40" s="59"/>
      <c r="AL40" s="60" t="str">
        <f aca="false">IF(ISBLANK($C40),"",IF($V40&lt;&gt;Constants!$B$14,$V40,X40))</f>
        <v/>
      </c>
      <c r="AM40" s="60" t="str">
        <f aca="false">IF(ISBLANK($C40),"",IF($V40&lt;&gt;Constants!$B$14,$V40,N40))</f>
        <v/>
      </c>
      <c r="AN40" s="62" t="str">
        <f aca="false">IF(ISBLANK(C40),"",IF(V40&lt;&gt;Constants!$B$14, V40, IF(W40=Constants!$B$7,Z40,IF(W40=Constants!$B$8,AB40,""))))</f>
        <v/>
      </c>
      <c r="AO40" s="63" t="str">
        <f aca="false">IF(ISBLANK(C40),"",W40)</f>
        <v/>
      </c>
      <c r="AP40" s="63" t="str">
        <f aca="false">IF(ISBLANK(C40),"",AJ40)</f>
        <v/>
      </c>
      <c r="AQ40" s="63" t="str">
        <f aca="false">IF(ISBLANK(C40),"",AI40)</f>
        <v/>
      </c>
      <c r="AR40" s="64" t="str">
        <f aca="false">IF(ISBLANK(C40),
  "",
IF(AQ40=Constants!$B$11,COUNTA($C$8:$C$507)+2,IF(AQ40=Constants!$B$12,COUNTA($C$8:$C$507)+1,IF(AQ40=Constants!$B$13,COUNTA($C$8:$C$507),AQ40))))</f>
        <v/>
      </c>
      <c r="AS40" s="3"/>
      <c r="AT40" s="65" t="n">
        <f aca="false">IF(OR(ISNUMBER(AQ40),AQ40="DQ",AQ40="P",AQ40="NS"),
    1,
    0
)</f>
        <v>0</v>
      </c>
      <c r="AU40" s="65" t="n">
        <v>33</v>
      </c>
      <c r="AV40" s="65" t="str">
        <f aca="false">IF(ISBLANK($C40),
    "",
   IF(ISNUMBER(AR40),AR40+ROW($B40)/1000,"")
)</f>
        <v/>
      </c>
      <c r="AW40" s="65" t="str">
        <f aca="false">IF(ISNUMBER(AV40), RANK(AV40,AV$8:AV$507,1), "")</f>
        <v/>
      </c>
      <c r="AX40" s="65" t="str">
        <f aca="false">IF(ISBLANK($C40),
    "",
    $B40
)</f>
        <v/>
      </c>
      <c r="AY40" s="65" t="str">
        <f aca="false">IF(ISBLANK($C40),
    "",
    $C40
)</f>
        <v/>
      </c>
      <c r="AZ40" s="65" t="str">
        <f aca="false">IF(ISBLANK($C40),
    "",
    $D40
)</f>
        <v/>
      </c>
      <c r="BA40" s="65" t="str">
        <f aca="false">AO40</f>
        <v/>
      </c>
      <c r="BB40" s="66" t="str">
        <f aca="false">AN40</f>
        <v/>
      </c>
      <c r="BC40" s="65" t="str">
        <f aca="false">IF(ISBLANK($C40),
    "",
    AQ40
)</f>
        <v/>
      </c>
      <c r="BD40" s="67" t="str">
        <f aca="false">IF(AU40&gt;AT$7,
    "",
    VLOOKUP(AU40,AW$8:BC$507,7,FALSE())
)</f>
        <v/>
      </c>
      <c r="BE40" s="68" t="str">
        <f aca="false">IF(AU40&gt;AT$7,
    "",
    VLOOKUP(AU40,AW$8:BC$507,2,FALSE())
)</f>
        <v/>
      </c>
      <c r="BF40" s="68" t="str">
        <f aca="false">IF(AU40&gt;AT$7,
    "",
    VLOOKUP(AU40,AW$8:BC$507,3,FALSE())
)</f>
        <v/>
      </c>
      <c r="BG40" s="68" t="str">
        <f aca="false">IF(AU40&gt;AT$7,
    "",
    VLOOKUP(AU40,AW$8:BC$507,4,FALSE())
)</f>
        <v/>
      </c>
      <c r="BH40" s="68" t="str">
        <f aca="false">IF(AU40&gt;AT$7,
    "",
    VLOOKUP(AU40,AW$8:BC$507,5,FALSE())
)</f>
        <v/>
      </c>
      <c r="BI40" s="69" t="str">
        <f aca="false">IF(AU40&gt;AT$7,
    "",
    VLOOKUP(AU40,AW$8:BC$507,6,FALSE())
)</f>
        <v/>
      </c>
      <c r="BJ40" s="46"/>
    </row>
    <row r="41" customFormat="false" ht="15.75" hidden="false" customHeight="false" outlineLevel="0" collapsed="false">
      <c r="A41" s="3"/>
      <c r="B41" s="105"/>
      <c r="C41" s="106"/>
      <c r="D41" s="99"/>
      <c r="E41" s="110"/>
      <c r="F41" s="107"/>
      <c r="G41" s="110"/>
      <c r="H41" s="103"/>
      <c r="I41" s="102"/>
      <c r="J41" s="103"/>
      <c r="K41" s="103"/>
      <c r="L41" s="85"/>
      <c r="M41" s="85" t="str">
        <f aca="false">IF(ISBLANK($C41),"",IF(ISBLANK(E41),0,E41))</f>
        <v/>
      </c>
      <c r="N41" s="85" t="str">
        <f aca="false">IF(ISBLANK($C41),"",IF(ISBLANK(F41),0,F41))</f>
        <v/>
      </c>
      <c r="O41" s="86" t="e">
        <f aca="false">IF(AND(NOT(ISBLANK($C41)),NOT($T41),COUNTA($E41:$K41)&gt;0),ISBLANK($F41),FALSE())</f>
        <v>#VALUE!</v>
      </c>
      <c r="P41" s="85" t="str">
        <f aca="false">IF(ISBLANK($C41),"",IF(G41=Constants!$B$9, TRUE(), IF(G41=Constants!$B$10, FALSE(), TRUE())))</f>
        <v/>
      </c>
      <c r="Q41" s="85" t="str">
        <f aca="false">IF(ISBLANK($C41),"",IF(H41=Constants!$B$9, TRUE(), IF(H41=Constants!$B$10, FALSE(), TRUE())))</f>
        <v/>
      </c>
      <c r="R41" s="85" t="str">
        <f aca="false">IF(ISBLANK($C41),"",IF(ISBLANK(I41),Constants!$B$3,I41))</f>
        <v/>
      </c>
      <c r="S41" s="85" t="str">
        <f aca="false">IF(ISBLANK($C41),"",IF(ISBLANK(J41),0,MIN(J41,Constants!$B$6)))</f>
        <v/>
      </c>
      <c r="T41" s="85" t="str">
        <f aca="false">IF(ISBLANK($C41),"",IF(K41=Constants!$B$9, TRUE(), IF(K41=Constants!$B$10, FALSE(),  FALSE())))</f>
        <v/>
      </c>
      <c r="U41" s="85" t="str">
        <f aca="false">IF(ISBLANK($C41),"",AND(R41=Constants!$B$4, S41&lt;Constants!$B$6))</f>
        <v/>
      </c>
      <c r="V41" s="85" t="str">
        <f aca="false">IF(ISBLANK(C41), "", IF(T41, Constants!$B$11, IF(COUNTA(E41:K41)=0, Constants!$B$12, IF(NOT(AND(P41,S41&lt;&gt;0)), Constants!$B$13, IF(O41, Constants!$B$15, Constants!$B$14)))))</f>
        <v/>
      </c>
      <c r="W41" s="85" t="str">
        <f aca="false">IF(OR(ISBLANK($C41), SUMPRODUCT(--(P41:T41&lt;&gt;""))=0), "", IF(V41&lt;&gt;Constants!$B$14, V41, IF(AND(NOT(ISBLANK(J41)),P41,Q41,R41&lt;&gt;Constants!$B$2), Constants!$B$7, IF(AND(P41,OR(NOT(Q41),R41=Constants!$B$2)), Constants!$B$8, "Error"))))</f>
        <v/>
      </c>
      <c r="X41" s="87" t="str">
        <f aca="false">IF(OR(W41=Constants!$B$7,W41=Constants!$B$8), MAX(0, MIN(Constants!$B$6, S41))+IF(AND(R41=Constants!$B$4, NOT(U41)), Constants!$B$5, 0), "")</f>
        <v/>
      </c>
      <c r="Y41" s="85" t="str">
        <f aca="false">IF(ISBLANK($C41),"",IF(AND(ISNUMBER(X41),N41&gt;0),X41/N41, "") )</f>
        <v/>
      </c>
      <c r="Z41" s="85" t="str">
        <f aca="false">IF(AND(NOT(ISBLANK($C41)), W41=Constants!$B$7), Y41, "")</f>
        <v/>
      </c>
      <c r="AA41" s="85" t="str">
        <f aca="false">IF(ISNUMBER(Z41), RANK(Z41,Z$8:Z$507), "")</f>
        <v/>
      </c>
      <c r="AB41" s="85" t="str">
        <f aca="false">IF(AND(NOT(ISBLANK($C41)), W41=Constants!$B$8), Y41, "")</f>
        <v/>
      </c>
      <c r="AC41" s="85" t="str">
        <f aca="false">IF(ISNUMBER(AB41), RANK(AB41,AB$8:AB$507), "")</f>
        <v/>
      </c>
      <c r="AD41" s="85" t="str">
        <f aca="false">IF(ISBLANK($C41),"",IF(V41&lt;&gt;Constants!$B$14, V41, IF(W41=Constants!$B$7, AA41, IF(W41=Constants!$B$8, COUNT($AA$8:$AA$507) + AC41, ""))))</f>
        <v/>
      </c>
      <c r="AE41" s="85" t="str">
        <f aca="false">N41</f>
        <v/>
      </c>
      <c r="AF41" s="85" t="str">
        <f aca="false">IF(ISNUMBER(AE41), RANK(AE41,AE$8:AE$507,1), "")</f>
        <v/>
      </c>
      <c r="AG41" s="88" t="str">
        <f aca="false">IF(ISBLANK(C41), "", ABS(M41-S41))</f>
        <v/>
      </c>
      <c r="AH41" s="85" t="str">
        <f aca="false">IF(ISNUMBER(AG41), RANK(AG41,AG$8:AG$507,1), "")</f>
        <v/>
      </c>
      <c r="AI41" s="85" t="str">
        <f aca="false">IF(ISBLANK(C41),"",IF(V41&lt;&gt;Constants!$B$14, V41, RANK(AD41, AD$8:AD$507, 1)+ SUMPRODUCT(--(AD$8:AD$507=AD41),--(AF41&gt;AF$8:AF$507)) + SUMPRODUCT(--(AD$8:AD$507=AD41),--(AF41=AF$8:AF$507),--(AH41&gt;AH$8:AH$507))))</f>
        <v/>
      </c>
      <c r="AJ41" s="85" t="str">
        <f aca="false">IF(ISBLANK(C41),"",IF(V41&lt;&gt;Constants!$B$14, V41, AD41-AI41))</f>
        <v/>
      </c>
      <c r="AK41" s="89"/>
      <c r="AL41" s="90" t="str">
        <f aca="false">IF(ISBLANK($C41),"",IF($V41&lt;&gt;Constants!$B$14,$V41,X41))</f>
        <v/>
      </c>
      <c r="AM41" s="90" t="str">
        <f aca="false">IF(ISBLANK($C41),"",IF($V41&lt;&gt;Constants!$B$14,$V41,N41))</f>
        <v/>
      </c>
      <c r="AN41" s="91" t="str">
        <f aca="false">IF(ISBLANK(C41),"",IF(V41&lt;&gt;Constants!$B$14, V41, IF(W41=Constants!$B$7,Z41,IF(W41=Constants!$B$8,AB41,""))))</f>
        <v/>
      </c>
      <c r="AO41" s="92" t="str">
        <f aca="false">IF(ISBLANK(C41),"",W41)</f>
        <v/>
      </c>
      <c r="AP41" s="92" t="str">
        <f aca="false">IF(ISBLANK(C41),"",AJ41)</f>
        <v/>
      </c>
      <c r="AQ41" s="92" t="str">
        <f aca="false">IF(ISBLANK(C41),"",AI41)</f>
        <v/>
      </c>
      <c r="AR41" s="93" t="str">
        <f aca="false">IF(ISBLANK(C41),
  "",
IF(AQ41=Constants!$B$11,COUNTA($C$8:$C$507)+2,IF(AQ41=Constants!$B$12,COUNTA($C$8:$C$507)+1,IF(AQ41=Constants!$B$13,COUNTA($C$8:$C$507),AQ41))))</f>
        <v/>
      </c>
      <c r="AS41" s="3"/>
      <c r="AT41" s="94" t="n">
        <f aca="false">IF(OR(ISNUMBER(AQ41),AQ41="DQ",AQ41="P",AQ41="NS"),
    1,
    0
)</f>
        <v>0</v>
      </c>
      <c r="AU41" s="94" t="n">
        <v>34</v>
      </c>
      <c r="AV41" s="94" t="str">
        <f aca="false">IF(ISBLANK($C41),
    "",
   IF(ISNUMBER(AR41),AR41+ROW($B41)/1000,"")
)</f>
        <v/>
      </c>
      <c r="AW41" s="94" t="str">
        <f aca="false">IF(ISNUMBER(AV41), RANK(AV41,AV$8:AV$507,1), "")</f>
        <v/>
      </c>
      <c r="AX41" s="94" t="str">
        <f aca="false">IF(ISBLANK($C41),
    "",
    $B41
)</f>
        <v/>
      </c>
      <c r="AY41" s="94" t="str">
        <f aca="false">IF(ISBLANK($C41),
    "",
    $C41
)</f>
        <v/>
      </c>
      <c r="AZ41" s="94" t="str">
        <f aca="false">IF(ISBLANK($C41),
    "",
    $D41
)</f>
        <v/>
      </c>
      <c r="BA41" s="94" t="str">
        <f aca="false">AO41</f>
        <v/>
      </c>
      <c r="BB41" s="95" t="str">
        <f aca="false">AN41</f>
        <v/>
      </c>
      <c r="BC41" s="94" t="str">
        <f aca="false">IF(ISBLANK($C41),
    "",
    AQ41
)</f>
        <v/>
      </c>
      <c r="BD41" s="96" t="str">
        <f aca="false">IF(AU41&gt;AT$7,
    "",
    VLOOKUP(AU41,AW$8:BC$507,7,FALSE())
)</f>
        <v/>
      </c>
      <c r="BE41" s="97" t="str">
        <f aca="false">IF(AU41&gt;AT$7,
    "",
    VLOOKUP(AU41,AW$8:BC$507,2,FALSE())
)</f>
        <v/>
      </c>
      <c r="BF41" s="97" t="str">
        <f aca="false">IF(AU41&gt;AT$7,
    "",
    VLOOKUP(AU41,AW$8:BC$507,3,FALSE())
)</f>
        <v/>
      </c>
      <c r="BG41" s="97" t="str">
        <f aca="false">IF(AU41&gt;AT$7,
    "",
    VLOOKUP(AU41,AW$8:BC$507,4,FALSE())
)</f>
        <v/>
      </c>
      <c r="BH41" s="97" t="str">
        <f aca="false">IF(AU41&gt;AT$7,
    "",
    VLOOKUP(AU41,AW$8:BC$507,5,FALSE())
)</f>
        <v/>
      </c>
      <c r="BI41" s="98" t="str">
        <f aca="false">IF(AU41&gt;AT$7,
    "",
    VLOOKUP(AU41,AW$8:BC$507,6,FALSE())
)</f>
        <v/>
      </c>
      <c r="BJ41" s="46"/>
    </row>
    <row r="42" customFormat="false" ht="15.75" hidden="false" customHeight="false" outlineLevel="0" collapsed="false">
      <c r="A42" s="3"/>
      <c r="B42" s="105"/>
      <c r="C42" s="106"/>
      <c r="D42" s="99"/>
      <c r="E42" s="110"/>
      <c r="F42" s="107"/>
      <c r="G42" s="110"/>
      <c r="H42" s="103"/>
      <c r="I42" s="102"/>
      <c r="J42" s="103"/>
      <c r="K42" s="103"/>
      <c r="L42" s="85"/>
      <c r="M42" s="85" t="str">
        <f aca="false">IF(ISBLANK($C42),"",IF(ISBLANK(E42),0,E42))</f>
        <v/>
      </c>
      <c r="N42" s="85" t="str">
        <f aca="false">IF(ISBLANK($C42),"",IF(ISBLANK(F42),0,F42))</f>
        <v/>
      </c>
      <c r="O42" s="86" t="e">
        <f aca="false">IF(AND(NOT(ISBLANK($C42)),NOT($T42),COUNTA($E42:$K42)&gt;0),ISBLANK($F42),FALSE())</f>
        <v>#VALUE!</v>
      </c>
      <c r="P42" s="85" t="str">
        <f aca="false">IF(ISBLANK($C42),"",IF(G42=Constants!$B$9, TRUE(), IF(G42=Constants!$B$10, FALSE(), TRUE())))</f>
        <v/>
      </c>
      <c r="Q42" s="85" t="str">
        <f aca="false">IF(ISBLANK($C42),"",IF(H42=Constants!$B$9, TRUE(), IF(H42=Constants!$B$10, FALSE(), TRUE())))</f>
        <v/>
      </c>
      <c r="R42" s="85" t="str">
        <f aca="false">IF(ISBLANK($C42),"",IF(ISBLANK(I42),Constants!$B$3,I42))</f>
        <v/>
      </c>
      <c r="S42" s="85" t="str">
        <f aca="false">IF(ISBLANK($C42),"",IF(ISBLANK(J42),0,MIN(J42,Constants!$B$6)))</f>
        <v/>
      </c>
      <c r="T42" s="85" t="str">
        <f aca="false">IF(ISBLANK($C42),"",IF(K42=Constants!$B$9, TRUE(), IF(K42=Constants!$B$10, FALSE(),  FALSE())))</f>
        <v/>
      </c>
      <c r="U42" s="85" t="str">
        <f aca="false">IF(ISBLANK($C42),"",AND(R42=Constants!$B$4, S42&lt;Constants!$B$6))</f>
        <v/>
      </c>
      <c r="V42" s="85" t="str">
        <f aca="false">IF(ISBLANK(C42), "", IF(T42, Constants!$B$11, IF(COUNTA(E42:K42)=0, Constants!$B$12, IF(NOT(AND(P42,S42&lt;&gt;0)), Constants!$B$13, IF(O42, Constants!$B$15, Constants!$B$14)))))</f>
        <v/>
      </c>
      <c r="W42" s="85" t="str">
        <f aca="false">IF(OR(ISBLANK($C42), SUMPRODUCT(--(P42:T42&lt;&gt;""))=0), "", IF(V42&lt;&gt;Constants!$B$14, V42, IF(AND(NOT(ISBLANK(J42)),P42,Q42,R42&lt;&gt;Constants!$B$2), Constants!$B$7, IF(AND(P42,OR(NOT(Q42),R42=Constants!$B$2)), Constants!$B$8, "Error"))))</f>
        <v/>
      </c>
      <c r="X42" s="87" t="str">
        <f aca="false">IF(OR(W42=Constants!$B$7,W42=Constants!$B$8), MAX(0, MIN(Constants!$B$6, S42))+IF(AND(R42=Constants!$B$4, NOT(U42)), Constants!$B$5, 0), "")</f>
        <v/>
      </c>
      <c r="Y42" s="85" t="str">
        <f aca="false">IF(ISBLANK($C42),"",IF(AND(ISNUMBER(X42),N42&gt;0),X42/N42, "") )</f>
        <v/>
      </c>
      <c r="Z42" s="85" t="str">
        <f aca="false">IF(AND(NOT(ISBLANK($C42)), W42=Constants!$B$7), Y42, "")</f>
        <v/>
      </c>
      <c r="AA42" s="85" t="str">
        <f aca="false">IF(ISNUMBER(Z42), RANK(Z42,Z$8:Z$507), "")</f>
        <v/>
      </c>
      <c r="AB42" s="85" t="str">
        <f aca="false">IF(AND(NOT(ISBLANK($C42)), W42=Constants!$B$8), Y42, "")</f>
        <v/>
      </c>
      <c r="AC42" s="85" t="str">
        <f aca="false">IF(ISNUMBER(AB42), RANK(AB42,AB$8:AB$507), "")</f>
        <v/>
      </c>
      <c r="AD42" s="85" t="str">
        <f aca="false">IF(ISBLANK($C42),"",IF(V42&lt;&gt;Constants!$B$14, V42, IF(W42=Constants!$B$7, AA42, IF(W42=Constants!$B$8, COUNT($AA$8:$AA$507) + AC42, ""))))</f>
        <v/>
      </c>
      <c r="AE42" s="85" t="str">
        <f aca="false">N42</f>
        <v/>
      </c>
      <c r="AF42" s="85" t="str">
        <f aca="false">IF(ISNUMBER(AE42), RANK(AE42,AE$8:AE$507,1), "")</f>
        <v/>
      </c>
      <c r="AG42" s="88" t="str">
        <f aca="false">IF(ISBLANK(C42), "", ABS(M42-S42))</f>
        <v/>
      </c>
      <c r="AH42" s="85" t="str">
        <f aca="false">IF(ISNUMBER(AG42), RANK(AG42,AG$8:AG$507,1), "")</f>
        <v/>
      </c>
      <c r="AI42" s="85" t="str">
        <f aca="false">IF(ISBLANK(C42),"",IF(V42&lt;&gt;Constants!$B$14, V42, RANK(AD42, AD$8:AD$507, 1)+ SUMPRODUCT(--(AD$8:AD$507=AD42),--(AF42&gt;AF$8:AF$507)) + SUMPRODUCT(--(AD$8:AD$507=AD42),--(AF42=AF$8:AF$507),--(AH42&gt;AH$8:AH$507))))</f>
        <v/>
      </c>
      <c r="AJ42" s="85" t="str">
        <f aca="false">IF(ISBLANK(C42),"",IF(V42&lt;&gt;Constants!$B$14, V42, AD42-AI42))</f>
        <v/>
      </c>
      <c r="AK42" s="89"/>
      <c r="AL42" s="90" t="str">
        <f aca="false">IF(ISBLANK($C42),"",IF($V42&lt;&gt;Constants!$B$14,$V42,X42))</f>
        <v/>
      </c>
      <c r="AM42" s="90" t="str">
        <f aca="false">IF(ISBLANK($C42),"",IF($V42&lt;&gt;Constants!$B$14,$V42,N42))</f>
        <v/>
      </c>
      <c r="AN42" s="91" t="str">
        <f aca="false">IF(ISBLANK(C42),"",IF(V42&lt;&gt;Constants!$B$14, V42, IF(W42=Constants!$B$7,Z42,IF(W42=Constants!$B$8,AB42,""))))</f>
        <v/>
      </c>
      <c r="AO42" s="92" t="str">
        <f aca="false">IF(ISBLANK(C42),"",W42)</f>
        <v/>
      </c>
      <c r="AP42" s="92" t="str">
        <f aca="false">IF(ISBLANK(C42),"",AJ42)</f>
        <v/>
      </c>
      <c r="AQ42" s="92" t="str">
        <f aca="false">IF(ISBLANK(C42),"",AI42)</f>
        <v/>
      </c>
      <c r="AR42" s="93" t="str">
        <f aca="false">IF(ISBLANK(C42),
  "",
IF(AQ42=Constants!$B$11,COUNTA($C$8:$C$507)+2,IF(AQ42=Constants!$B$12,COUNTA($C$8:$C$507)+1,IF(AQ42=Constants!$B$13,COUNTA($C$8:$C$507),AQ42))))</f>
        <v/>
      </c>
      <c r="AS42" s="3"/>
      <c r="AT42" s="94" t="n">
        <f aca="false">IF(OR(ISNUMBER(AQ42),AQ42="DQ",AQ42="P",AQ42="NS"),
    1,
    0
)</f>
        <v>0</v>
      </c>
      <c r="AU42" s="94" t="n">
        <v>35</v>
      </c>
      <c r="AV42" s="94" t="str">
        <f aca="false">IF(ISBLANK($C42),
    "",
   IF(ISNUMBER(AR42),AR42+ROW($B42)/1000,"")
)</f>
        <v/>
      </c>
      <c r="AW42" s="94" t="str">
        <f aca="false">IF(ISNUMBER(AV42), RANK(AV42,AV$8:AV$507,1), "")</f>
        <v/>
      </c>
      <c r="AX42" s="94" t="str">
        <f aca="false">IF(ISBLANK($C42),
    "",
    $B42
)</f>
        <v/>
      </c>
      <c r="AY42" s="94" t="str">
        <f aca="false">IF(ISBLANK($C42),
    "",
    $C42
)</f>
        <v/>
      </c>
      <c r="AZ42" s="94" t="str">
        <f aca="false">IF(ISBLANK($C42),
    "",
    $D42
)</f>
        <v/>
      </c>
      <c r="BA42" s="94" t="str">
        <f aca="false">AO42</f>
        <v/>
      </c>
      <c r="BB42" s="95" t="str">
        <f aca="false">AN42</f>
        <v/>
      </c>
      <c r="BC42" s="94" t="str">
        <f aca="false">IF(ISBLANK($C42),
    "",
    AQ42
)</f>
        <v/>
      </c>
      <c r="BD42" s="96" t="str">
        <f aca="false">IF(AU42&gt;AT$7,
    "",
    VLOOKUP(AU42,AW$8:BC$507,7,FALSE())
)</f>
        <v/>
      </c>
      <c r="BE42" s="97" t="str">
        <f aca="false">IF(AU42&gt;AT$7,
    "",
    VLOOKUP(AU42,AW$8:BC$507,2,FALSE())
)</f>
        <v/>
      </c>
      <c r="BF42" s="97" t="str">
        <f aca="false">IF(AU42&gt;AT$7,
    "",
    VLOOKUP(AU42,AW$8:BC$507,3,FALSE())
)</f>
        <v/>
      </c>
      <c r="BG42" s="97" t="str">
        <f aca="false">IF(AU42&gt;AT$7,
    "",
    VLOOKUP(AU42,AW$8:BC$507,4,FALSE())
)</f>
        <v/>
      </c>
      <c r="BH42" s="97" t="str">
        <f aca="false">IF(AU42&gt;AT$7,
    "",
    VLOOKUP(AU42,AW$8:BC$507,5,FALSE())
)</f>
        <v/>
      </c>
      <c r="BI42" s="98" t="str">
        <f aca="false">IF(AU42&gt;AT$7,
    "",
    VLOOKUP(AU42,AW$8:BC$507,6,FALSE())
)</f>
        <v/>
      </c>
      <c r="BJ42" s="46"/>
    </row>
    <row r="43" customFormat="false" ht="15.75" hidden="false" customHeight="false" outlineLevel="0" collapsed="false">
      <c r="A43" s="3"/>
      <c r="B43" s="105"/>
      <c r="C43" s="106"/>
      <c r="D43" s="99"/>
      <c r="E43" s="110"/>
      <c r="F43" s="107"/>
      <c r="G43" s="110"/>
      <c r="H43" s="103"/>
      <c r="I43" s="102"/>
      <c r="J43" s="103"/>
      <c r="K43" s="103"/>
      <c r="L43" s="85"/>
      <c r="M43" s="85" t="str">
        <f aca="false">IF(ISBLANK($C43),"",IF(ISBLANK(E43),0,E43))</f>
        <v/>
      </c>
      <c r="N43" s="85" t="str">
        <f aca="false">IF(ISBLANK($C43),"",IF(ISBLANK(F43),0,F43))</f>
        <v/>
      </c>
      <c r="O43" s="86" t="e">
        <f aca="false">IF(AND(NOT(ISBLANK($C43)),NOT($T43),COUNTA($E43:$K43)&gt;0),ISBLANK($F43),FALSE())</f>
        <v>#VALUE!</v>
      </c>
      <c r="P43" s="85" t="str">
        <f aca="false">IF(ISBLANK($C43),"",IF(G43=Constants!$B$9, TRUE(), IF(G43=Constants!$B$10, FALSE(), TRUE())))</f>
        <v/>
      </c>
      <c r="Q43" s="85" t="str">
        <f aca="false">IF(ISBLANK($C43),"",IF(H43=Constants!$B$9, TRUE(), IF(H43=Constants!$B$10, FALSE(), TRUE())))</f>
        <v/>
      </c>
      <c r="R43" s="85" t="str">
        <f aca="false">IF(ISBLANK($C43),"",IF(ISBLANK(I43),Constants!$B$3,I43))</f>
        <v/>
      </c>
      <c r="S43" s="85" t="str">
        <f aca="false">IF(ISBLANK($C43),"",IF(ISBLANK(J43),0,MIN(J43,Constants!$B$6)))</f>
        <v/>
      </c>
      <c r="T43" s="85" t="str">
        <f aca="false">IF(ISBLANK($C43),"",IF(K43=Constants!$B$9, TRUE(), IF(K43=Constants!$B$10, FALSE(),  FALSE())))</f>
        <v/>
      </c>
      <c r="U43" s="85" t="str">
        <f aca="false">IF(ISBLANK($C43),"",AND(R43=Constants!$B$4, S43&lt;Constants!$B$6))</f>
        <v/>
      </c>
      <c r="V43" s="85" t="str">
        <f aca="false">IF(ISBLANK(C43), "", IF(T43, Constants!$B$11, IF(COUNTA(E43:K43)=0, Constants!$B$12, IF(NOT(AND(P43,S43&lt;&gt;0)), Constants!$B$13, IF(O43, Constants!$B$15, Constants!$B$14)))))</f>
        <v/>
      </c>
      <c r="W43" s="85" t="str">
        <f aca="false">IF(OR(ISBLANK($C43), SUMPRODUCT(--(P43:T43&lt;&gt;""))=0), "", IF(V43&lt;&gt;Constants!$B$14, V43, IF(AND(NOT(ISBLANK(J43)),P43,Q43,R43&lt;&gt;Constants!$B$2), Constants!$B$7, IF(AND(P43,OR(NOT(Q43),R43=Constants!$B$2)), Constants!$B$8, "Error"))))</f>
        <v/>
      </c>
      <c r="X43" s="87" t="str">
        <f aca="false">IF(OR(W43=Constants!$B$7,W43=Constants!$B$8), MAX(0, MIN(Constants!$B$6, S43))+IF(AND(R43=Constants!$B$4, NOT(U43)), Constants!$B$5, 0), "")</f>
        <v/>
      </c>
      <c r="Y43" s="85" t="str">
        <f aca="false">IF(ISBLANK($C43),"",IF(AND(ISNUMBER(X43),N43&gt;0),X43/N43, "") )</f>
        <v/>
      </c>
      <c r="Z43" s="85" t="str">
        <f aca="false">IF(AND(NOT(ISBLANK($C43)), W43=Constants!$B$7), Y43, "")</f>
        <v/>
      </c>
      <c r="AA43" s="85" t="str">
        <f aca="false">IF(ISNUMBER(Z43), RANK(Z43,Z$8:Z$507), "")</f>
        <v/>
      </c>
      <c r="AB43" s="85" t="str">
        <f aca="false">IF(AND(NOT(ISBLANK($C43)), W43=Constants!$B$8), Y43, "")</f>
        <v/>
      </c>
      <c r="AC43" s="85" t="str">
        <f aca="false">IF(ISNUMBER(AB43), RANK(AB43,AB$8:AB$507), "")</f>
        <v/>
      </c>
      <c r="AD43" s="85" t="str">
        <f aca="false">IF(ISBLANK($C43),"",IF(V43&lt;&gt;Constants!$B$14, V43, IF(W43=Constants!$B$7, AA43, IF(W43=Constants!$B$8, COUNT($AA$8:$AA$507) + AC43, ""))))</f>
        <v/>
      </c>
      <c r="AE43" s="85" t="str">
        <f aca="false">N43</f>
        <v/>
      </c>
      <c r="AF43" s="85" t="str">
        <f aca="false">IF(ISNUMBER(AE43), RANK(AE43,AE$8:AE$507,1), "")</f>
        <v/>
      </c>
      <c r="AG43" s="88" t="str">
        <f aca="false">IF(ISBLANK(C43), "", ABS(M43-S43))</f>
        <v/>
      </c>
      <c r="AH43" s="85" t="str">
        <f aca="false">IF(ISNUMBER(AG43), RANK(AG43,AG$8:AG$507,1), "")</f>
        <v/>
      </c>
      <c r="AI43" s="85" t="str">
        <f aca="false">IF(ISBLANK(C43),"",IF(V43&lt;&gt;Constants!$B$14, V43, RANK(AD43, AD$8:AD$507, 1)+ SUMPRODUCT(--(AD$8:AD$507=AD43),--(AF43&gt;AF$8:AF$507)) + SUMPRODUCT(--(AD$8:AD$507=AD43),--(AF43=AF$8:AF$507),--(AH43&gt;AH$8:AH$507))))</f>
        <v/>
      </c>
      <c r="AJ43" s="85" t="str">
        <f aca="false">IF(ISBLANK(C43),"",IF(V43&lt;&gt;Constants!$B$14, V43, AD43-AI43))</f>
        <v/>
      </c>
      <c r="AK43" s="89"/>
      <c r="AL43" s="90" t="str">
        <f aca="false">IF(ISBLANK($C43),"",IF($V43&lt;&gt;Constants!$B$14,$V43,X43))</f>
        <v/>
      </c>
      <c r="AM43" s="90" t="str">
        <f aca="false">IF(ISBLANK($C43),"",IF($V43&lt;&gt;Constants!$B$14,$V43,N43))</f>
        <v/>
      </c>
      <c r="AN43" s="91" t="str">
        <f aca="false">IF(ISBLANK(C43),"",IF(V43&lt;&gt;Constants!$B$14, V43, IF(W43=Constants!$B$7,Z43,IF(W43=Constants!$B$8,AB43,""))))</f>
        <v/>
      </c>
      <c r="AO43" s="92" t="str">
        <f aca="false">IF(ISBLANK(C43),"",W43)</f>
        <v/>
      </c>
      <c r="AP43" s="92" t="str">
        <f aca="false">IF(ISBLANK(C43),"",AJ43)</f>
        <v/>
      </c>
      <c r="AQ43" s="92" t="str">
        <f aca="false">IF(ISBLANK(C43),"",AI43)</f>
        <v/>
      </c>
      <c r="AR43" s="93" t="str">
        <f aca="false">IF(ISBLANK(C43),
  "",
IF(AQ43=Constants!$B$11,COUNTA($C$8:$C$507)+2,IF(AQ43=Constants!$B$12,COUNTA($C$8:$C$507)+1,IF(AQ43=Constants!$B$13,COUNTA($C$8:$C$507),AQ43))))</f>
        <v/>
      </c>
      <c r="AS43" s="3"/>
      <c r="AT43" s="94" t="n">
        <f aca="false">IF(OR(ISNUMBER(AQ43),AQ43="DQ",AQ43="P",AQ43="NS"),
    1,
    0
)</f>
        <v>0</v>
      </c>
      <c r="AU43" s="94" t="n">
        <v>36</v>
      </c>
      <c r="AV43" s="94" t="str">
        <f aca="false">IF(ISBLANK($C43),
    "",
   IF(ISNUMBER(AR43),AR43+ROW($B43)/1000,"")
)</f>
        <v/>
      </c>
      <c r="AW43" s="94" t="str">
        <f aca="false">IF(ISNUMBER(AV43), RANK(AV43,AV$8:AV$507,1), "")</f>
        <v/>
      </c>
      <c r="AX43" s="94" t="str">
        <f aca="false">IF(ISBLANK($C43),
    "",
    $B43
)</f>
        <v/>
      </c>
      <c r="AY43" s="94" t="str">
        <f aca="false">IF(ISBLANK($C43),
    "",
    $C43
)</f>
        <v/>
      </c>
      <c r="AZ43" s="94" t="str">
        <f aca="false">IF(ISBLANK($C43),
    "",
    $D43
)</f>
        <v/>
      </c>
      <c r="BA43" s="94" t="str">
        <f aca="false">AO43</f>
        <v/>
      </c>
      <c r="BB43" s="95" t="str">
        <f aca="false">AN43</f>
        <v/>
      </c>
      <c r="BC43" s="94" t="str">
        <f aca="false">IF(ISBLANK($C43),
    "",
    AQ43
)</f>
        <v/>
      </c>
      <c r="BD43" s="96" t="str">
        <f aca="false">IF(AU43&gt;AT$7,
    "",
    VLOOKUP(AU43,AW$8:BC$507,7,FALSE())
)</f>
        <v/>
      </c>
      <c r="BE43" s="97" t="str">
        <f aca="false">IF(AU43&gt;AT$7,
    "",
    VLOOKUP(AU43,AW$8:BC$507,2,FALSE())
)</f>
        <v/>
      </c>
      <c r="BF43" s="97" t="str">
        <f aca="false">IF(AU43&gt;AT$7,
    "",
    VLOOKUP(AU43,AW$8:BC$507,3,FALSE())
)</f>
        <v/>
      </c>
      <c r="BG43" s="97" t="str">
        <f aca="false">IF(AU43&gt;AT$7,
    "",
    VLOOKUP(AU43,AW$8:BC$507,4,FALSE())
)</f>
        <v/>
      </c>
      <c r="BH43" s="97" t="str">
        <f aca="false">IF(AU43&gt;AT$7,
    "",
    VLOOKUP(AU43,AW$8:BC$507,5,FALSE())
)</f>
        <v/>
      </c>
      <c r="BI43" s="98" t="str">
        <f aca="false">IF(AU43&gt;AT$7,
    "",
    VLOOKUP(AU43,AW$8:BC$507,6,FALSE())
)</f>
        <v/>
      </c>
      <c r="BJ43" s="46"/>
    </row>
    <row r="44" customFormat="false" ht="15.75" hidden="false" customHeight="false" outlineLevel="0" collapsed="false">
      <c r="A44" s="3"/>
      <c r="B44" s="108"/>
      <c r="C44" s="70"/>
      <c r="D44" s="49"/>
      <c r="E44" s="109"/>
      <c r="F44" s="72"/>
      <c r="G44" s="109"/>
      <c r="H44" s="74"/>
      <c r="I44" s="104"/>
      <c r="J44" s="74"/>
      <c r="K44" s="74"/>
      <c r="L44" s="55"/>
      <c r="M44" s="55" t="str">
        <f aca="false">IF(ISBLANK($C44),"",IF(ISBLANK(E44),0,E44))</f>
        <v/>
      </c>
      <c r="N44" s="55" t="str">
        <f aca="false">IF(ISBLANK($C44),"",IF(ISBLANK(F44),0,F44))</f>
        <v/>
      </c>
      <c r="O44" s="55" t="e">
        <f aca="false">IF(AND(NOT(ISBLANK($C44)),NOT($T44),COUNTA($E44:$K44)&gt;0),ISBLANK($F44),FALSE())</f>
        <v>#VALUE!</v>
      </c>
      <c r="P44" s="55" t="str">
        <f aca="false">IF(ISBLANK($C44),"",IF(G44=Constants!$B$9, TRUE(), IF(G44=Constants!$B$10, FALSE(), TRUE())))</f>
        <v/>
      </c>
      <c r="Q44" s="55" t="str">
        <f aca="false">IF(ISBLANK($C44),"",IF(H44=Constants!$B$9, TRUE(), IF(H44=Constants!$B$10, FALSE(), TRUE())))</f>
        <v/>
      </c>
      <c r="R44" s="55" t="str">
        <f aca="false">IF(ISBLANK($C44),"",IF(ISBLANK(I44),Constants!$B$3,I44))</f>
        <v/>
      </c>
      <c r="S44" s="55" t="str">
        <f aca="false">IF(ISBLANK($C44),"",IF(ISBLANK(J44),0,MIN(J44,Constants!$B$6)))</f>
        <v/>
      </c>
      <c r="T44" s="55" t="str">
        <f aca="false">IF(ISBLANK($C44),"",IF(K44=Constants!$B$9, TRUE(), IF(K44=Constants!$B$10, FALSE(),  FALSE())))</f>
        <v/>
      </c>
      <c r="U44" s="55" t="str">
        <f aca="false">IF(ISBLANK($C44),"",AND(R44=Constants!$B$4, S44&lt;Constants!$B$6))</f>
        <v/>
      </c>
      <c r="V44" s="55" t="str">
        <f aca="false">IF(ISBLANK(C44), "", IF(T44, Constants!$B$11, IF(COUNTA(E44:K44)=0, Constants!$B$12, IF(NOT(AND(P44,S44&lt;&gt;0)), Constants!$B$13, IF(O44, Constants!$B$15, Constants!$B$14)))))</f>
        <v/>
      </c>
      <c r="W44" s="55" t="str">
        <f aca="false">IF(OR(ISBLANK($C44), SUMPRODUCT(--(P44:T44&lt;&gt;""))=0), "", IF(V44&lt;&gt;Constants!$B$14, V44, IF(AND(NOT(ISBLANK(J44)),P44,Q44,R44&lt;&gt;Constants!$B$2), Constants!$B$7, IF(AND(P44,OR(NOT(Q44),R44=Constants!$B$2)), Constants!$B$8, "Error"))))</f>
        <v/>
      </c>
      <c r="X44" s="56" t="str">
        <f aca="false">IF(OR(W44=Constants!$B$7,W44=Constants!$B$8), MAX(0, MIN(Constants!$B$6, S44))+IF(AND(R44=Constants!$B$4, NOT(U44)), Constants!$B$5, 0), "")</f>
        <v/>
      </c>
      <c r="Y44" s="55" t="str">
        <f aca="false">IF(ISBLANK($C44),"",IF(AND(ISNUMBER(X44),N44&gt;0),X44/N44, "") )</f>
        <v/>
      </c>
      <c r="Z44" s="55" t="str">
        <f aca="false">IF(AND(NOT(ISBLANK($C44)), W44=Constants!$B$7), Y44, "")</f>
        <v/>
      </c>
      <c r="AA44" s="55" t="str">
        <f aca="false">IF(ISNUMBER(Z44), RANK(Z44,Z$8:Z$507), "")</f>
        <v/>
      </c>
      <c r="AB44" s="55" t="str">
        <f aca="false">IF(AND(NOT(ISBLANK($C44)), W44=Constants!$B$8), Y44, "")</f>
        <v/>
      </c>
      <c r="AC44" s="55" t="str">
        <f aca="false">IF(ISNUMBER(AB44), RANK(AB44,AB$8:AB$507), "")</f>
        <v/>
      </c>
      <c r="AD44" s="55" t="str">
        <f aca="false">IF(ISBLANK($C44),"",IF(V44&lt;&gt;Constants!$B$14, V44, IF(W44=Constants!$B$7, AA44, IF(W44=Constants!$B$8, COUNT($AA$8:$AA$507) + AC44, ""))))</f>
        <v/>
      </c>
      <c r="AE44" s="55" t="str">
        <f aca="false">N44</f>
        <v/>
      </c>
      <c r="AF44" s="55" t="str">
        <f aca="false">IF(ISNUMBER(AE44), RANK(AE44,AE$8:AE$507,1), "")</f>
        <v/>
      </c>
      <c r="AG44" s="57" t="str">
        <f aca="false">IF(ISBLANK(C44), "", ABS(M44-S44))</f>
        <v/>
      </c>
      <c r="AH44" s="55" t="str">
        <f aca="false">IF(ISNUMBER(AG44), RANK(AG44,AG$8:AG$507,1), "")</f>
        <v/>
      </c>
      <c r="AI44" s="55" t="str">
        <f aca="false">IF(ISBLANK(C44),"",IF(V44&lt;&gt;Constants!$B$14, V44, RANK(AD44, AD$8:AD$507, 1)+ SUMPRODUCT(--(AD$8:AD$507=AD44),--(AF44&gt;AF$8:AF$507)) + SUMPRODUCT(--(AD$8:AD$507=AD44),--(AF44=AF$8:AF$507),--(AH44&gt;AH$8:AH$507))))</f>
        <v/>
      </c>
      <c r="AJ44" s="55" t="str">
        <f aca="false">IF(ISBLANK(C44),"",IF(V44&lt;&gt;Constants!$B$14, V44, AD44-AI44))</f>
        <v/>
      </c>
      <c r="AK44" s="59"/>
      <c r="AL44" s="60" t="str">
        <f aca="false">IF(ISBLANK($C44),"",IF($V44&lt;&gt;Constants!$B$14,$V44,X44))</f>
        <v/>
      </c>
      <c r="AM44" s="60" t="str">
        <f aca="false">IF(ISBLANK($C44),"",IF($V44&lt;&gt;Constants!$B$14,$V44,N44))</f>
        <v/>
      </c>
      <c r="AN44" s="62" t="str">
        <f aca="false">IF(ISBLANK(C44),"",IF(V44&lt;&gt;Constants!$B$14, V44, IF(W44=Constants!$B$7,Z44,IF(W44=Constants!$B$8,AB44,""))))</f>
        <v/>
      </c>
      <c r="AO44" s="63" t="str">
        <f aca="false">IF(ISBLANK(C44),"",W44)</f>
        <v/>
      </c>
      <c r="AP44" s="63" t="str">
        <f aca="false">IF(ISBLANK(C44),"",AJ44)</f>
        <v/>
      </c>
      <c r="AQ44" s="63" t="str">
        <f aca="false">IF(ISBLANK(C44),"",AI44)</f>
        <v/>
      </c>
      <c r="AR44" s="64" t="str">
        <f aca="false">IF(ISBLANK(C44),
  "",
IF(AQ44=Constants!$B$11,COUNTA($C$8:$C$507)+2,IF(AQ44=Constants!$B$12,COUNTA($C$8:$C$507)+1,IF(AQ44=Constants!$B$13,COUNTA($C$8:$C$507),AQ44))))</f>
        <v/>
      </c>
      <c r="AS44" s="3"/>
      <c r="AT44" s="65" t="n">
        <f aca="false">IF(OR(ISNUMBER(AQ44),AQ44="DQ",AQ44="P",AQ44="NS"),
    1,
    0
)</f>
        <v>0</v>
      </c>
      <c r="AU44" s="65" t="n">
        <v>37</v>
      </c>
      <c r="AV44" s="65" t="str">
        <f aca="false">IF(ISBLANK($C44),
    "",
   IF(ISNUMBER(AR44),AR44+ROW($B44)/1000,"")
)</f>
        <v/>
      </c>
      <c r="AW44" s="65" t="str">
        <f aca="false">IF(ISNUMBER(AV44), RANK(AV44,AV$8:AV$507,1), "")</f>
        <v/>
      </c>
      <c r="AX44" s="65" t="str">
        <f aca="false">IF(ISBLANK($C44),
    "",
    $B44
)</f>
        <v/>
      </c>
      <c r="AY44" s="65" t="str">
        <f aca="false">IF(ISBLANK($C44),
    "",
    $C44
)</f>
        <v/>
      </c>
      <c r="AZ44" s="65" t="str">
        <f aca="false">IF(ISBLANK($C44),
    "",
    $D44
)</f>
        <v/>
      </c>
      <c r="BA44" s="65" t="str">
        <f aca="false">AO44</f>
        <v/>
      </c>
      <c r="BB44" s="66" t="str">
        <f aca="false">AN44</f>
        <v/>
      </c>
      <c r="BC44" s="65" t="str">
        <f aca="false">IF(ISBLANK($C44),
    "",
    AQ44
)</f>
        <v/>
      </c>
      <c r="BD44" s="67" t="str">
        <f aca="false">IF(AU44&gt;AT$7,
    "",
    VLOOKUP(AU44,AW$8:BC$507,7,FALSE())
)</f>
        <v/>
      </c>
      <c r="BE44" s="68" t="str">
        <f aca="false">IF(AU44&gt;AT$7,
    "",
    VLOOKUP(AU44,AW$8:BC$507,2,FALSE())
)</f>
        <v/>
      </c>
      <c r="BF44" s="68" t="str">
        <f aca="false">IF(AU44&gt;AT$7,
    "",
    VLOOKUP(AU44,AW$8:BC$507,3,FALSE())
)</f>
        <v/>
      </c>
      <c r="BG44" s="68" t="str">
        <f aca="false">IF(AU44&gt;AT$7,
    "",
    VLOOKUP(AU44,AW$8:BC$507,4,FALSE())
)</f>
        <v/>
      </c>
      <c r="BH44" s="68" t="str">
        <f aca="false">IF(AU44&gt;AT$7,
    "",
    VLOOKUP(AU44,AW$8:BC$507,5,FALSE())
)</f>
        <v/>
      </c>
      <c r="BI44" s="69" t="str">
        <f aca="false">IF(AU44&gt;AT$7,
    "",
    VLOOKUP(AU44,AW$8:BC$507,6,FALSE())
)</f>
        <v/>
      </c>
      <c r="BJ44" s="46"/>
    </row>
    <row r="45" customFormat="false" ht="15.75" hidden="false" customHeight="false" outlineLevel="0" collapsed="false">
      <c r="A45" s="3"/>
      <c r="B45" s="108"/>
      <c r="C45" s="70"/>
      <c r="D45" s="49"/>
      <c r="E45" s="109"/>
      <c r="F45" s="72"/>
      <c r="G45" s="109"/>
      <c r="H45" s="74"/>
      <c r="I45" s="104"/>
      <c r="J45" s="74"/>
      <c r="K45" s="74"/>
      <c r="L45" s="55"/>
      <c r="M45" s="55" t="str">
        <f aca="false">IF(ISBLANK($C45),"",IF(ISBLANK(E45),0,E45))</f>
        <v/>
      </c>
      <c r="N45" s="55" t="str">
        <f aca="false">IF(ISBLANK($C45),"",IF(ISBLANK(F45),0,F45))</f>
        <v/>
      </c>
      <c r="O45" s="55" t="e">
        <f aca="false">IF(AND(NOT(ISBLANK($C45)),NOT($T45),COUNTA($E45:$K45)&gt;0),ISBLANK($F45),FALSE())</f>
        <v>#VALUE!</v>
      </c>
      <c r="P45" s="55" t="str">
        <f aca="false">IF(ISBLANK($C45),"",IF(G45=Constants!$B$9, TRUE(), IF(G45=Constants!$B$10, FALSE(), TRUE())))</f>
        <v/>
      </c>
      <c r="Q45" s="55" t="str">
        <f aca="false">IF(ISBLANK($C45),"",IF(H45=Constants!$B$9, TRUE(), IF(H45=Constants!$B$10, FALSE(), TRUE())))</f>
        <v/>
      </c>
      <c r="R45" s="55" t="str">
        <f aca="false">IF(ISBLANK($C45),"",IF(ISBLANK(I45),Constants!$B$3,I45))</f>
        <v/>
      </c>
      <c r="S45" s="55" t="str">
        <f aca="false">IF(ISBLANK($C45),"",IF(ISBLANK(J45),0,MIN(J45,Constants!$B$6)))</f>
        <v/>
      </c>
      <c r="T45" s="55" t="str">
        <f aca="false">IF(ISBLANK($C45),"",IF(K45=Constants!$B$9, TRUE(), IF(K45=Constants!$B$10, FALSE(),  FALSE())))</f>
        <v/>
      </c>
      <c r="U45" s="55" t="str">
        <f aca="false">IF(ISBLANK($C45),"",AND(R45=Constants!$B$4, S45&lt;Constants!$B$6))</f>
        <v/>
      </c>
      <c r="V45" s="55" t="str">
        <f aca="false">IF(ISBLANK(C45), "", IF(T45, Constants!$B$11, IF(COUNTA(E45:K45)=0, Constants!$B$12, IF(NOT(AND(P45,S45&lt;&gt;0)), Constants!$B$13, IF(O45, Constants!$B$15, Constants!$B$14)))))</f>
        <v/>
      </c>
      <c r="W45" s="55" t="str">
        <f aca="false">IF(OR(ISBLANK($C45), SUMPRODUCT(--(P45:T45&lt;&gt;""))=0), "", IF(V45&lt;&gt;Constants!$B$14, V45, IF(AND(NOT(ISBLANK(J45)),P45,Q45,R45&lt;&gt;Constants!$B$2), Constants!$B$7, IF(AND(P45,OR(NOT(Q45),R45=Constants!$B$2)), Constants!$B$8, "Error"))))</f>
        <v/>
      </c>
      <c r="X45" s="56" t="str">
        <f aca="false">IF(OR(W45=Constants!$B$7,W45=Constants!$B$8), MAX(0, MIN(Constants!$B$6, S45))+IF(AND(R45=Constants!$B$4, NOT(U45)), Constants!$B$5, 0), "")</f>
        <v/>
      </c>
      <c r="Y45" s="55" t="str">
        <f aca="false">IF(ISBLANK($C45),"",IF(AND(ISNUMBER(X45),N45&gt;0),X45/N45, "") )</f>
        <v/>
      </c>
      <c r="Z45" s="55" t="str">
        <f aca="false">IF(AND(NOT(ISBLANK($C45)), W45=Constants!$B$7), Y45, "")</f>
        <v/>
      </c>
      <c r="AA45" s="55" t="str">
        <f aca="false">IF(ISNUMBER(Z45), RANK(Z45,Z$8:Z$507), "")</f>
        <v/>
      </c>
      <c r="AB45" s="55" t="str">
        <f aca="false">IF(AND(NOT(ISBLANK($C45)), W45=Constants!$B$8), Y45, "")</f>
        <v/>
      </c>
      <c r="AC45" s="55" t="str">
        <f aca="false">IF(ISNUMBER(AB45), RANK(AB45,AB$8:AB$507), "")</f>
        <v/>
      </c>
      <c r="AD45" s="55" t="str">
        <f aca="false">IF(ISBLANK($C45),"",IF(V45&lt;&gt;Constants!$B$14, V45, IF(W45=Constants!$B$7, AA45, IF(W45=Constants!$B$8, COUNT($AA$8:$AA$507) + AC45, ""))))</f>
        <v/>
      </c>
      <c r="AE45" s="55" t="str">
        <f aca="false">N45</f>
        <v/>
      </c>
      <c r="AF45" s="55" t="str">
        <f aca="false">IF(ISNUMBER(AE45), RANK(AE45,AE$8:AE$507,1), "")</f>
        <v/>
      </c>
      <c r="AG45" s="57" t="str">
        <f aca="false">IF(ISBLANK(C45), "", ABS(M45-S45))</f>
        <v/>
      </c>
      <c r="AH45" s="55" t="str">
        <f aca="false">IF(ISNUMBER(AG45), RANK(AG45,AG$8:AG$507,1), "")</f>
        <v/>
      </c>
      <c r="AI45" s="55" t="str">
        <f aca="false">IF(ISBLANK(C45),"",IF(V45&lt;&gt;Constants!$B$14, V45, RANK(AD45, AD$8:AD$507, 1)+ SUMPRODUCT(--(AD$8:AD$507=AD45),--(AF45&gt;AF$8:AF$507)) + SUMPRODUCT(--(AD$8:AD$507=AD45),--(AF45=AF$8:AF$507),--(AH45&gt;AH$8:AH$507))))</f>
        <v/>
      </c>
      <c r="AJ45" s="55" t="str">
        <f aca="false">IF(ISBLANK(C45),"",IF(V45&lt;&gt;Constants!$B$14, V45, AD45-AI45))</f>
        <v/>
      </c>
      <c r="AK45" s="59"/>
      <c r="AL45" s="60" t="str">
        <f aca="false">IF(ISBLANK($C45),"",IF($V45&lt;&gt;Constants!$B$14,$V45,X45))</f>
        <v/>
      </c>
      <c r="AM45" s="60" t="str">
        <f aca="false">IF(ISBLANK($C45),"",IF($V45&lt;&gt;Constants!$B$14,$V45,N45))</f>
        <v/>
      </c>
      <c r="AN45" s="62" t="str">
        <f aca="false">IF(ISBLANK(C45),"",IF(V45&lt;&gt;Constants!$B$14, V45, IF(W45=Constants!$B$7,Z45,IF(W45=Constants!$B$8,AB45,""))))</f>
        <v/>
      </c>
      <c r="AO45" s="63" t="str">
        <f aca="false">IF(ISBLANK(C45),"",W45)</f>
        <v/>
      </c>
      <c r="AP45" s="63" t="str">
        <f aca="false">IF(ISBLANK(C45),"",AJ45)</f>
        <v/>
      </c>
      <c r="AQ45" s="63" t="str">
        <f aca="false">IF(ISBLANK(C45),"",AI45)</f>
        <v/>
      </c>
      <c r="AR45" s="64" t="str">
        <f aca="false">IF(ISBLANK(C45),
  "",
IF(AQ45=Constants!$B$11,COUNTA($C$8:$C$507)+2,IF(AQ45=Constants!$B$12,COUNTA($C$8:$C$507)+1,IF(AQ45=Constants!$B$13,COUNTA($C$8:$C$507),AQ45))))</f>
        <v/>
      </c>
      <c r="AS45" s="3"/>
      <c r="AT45" s="65" t="n">
        <f aca="false">IF(OR(ISNUMBER(AQ45),AQ45="DQ",AQ45="P",AQ45="NS"),
    1,
    0
)</f>
        <v>0</v>
      </c>
      <c r="AU45" s="65" t="n">
        <v>38</v>
      </c>
      <c r="AV45" s="65" t="str">
        <f aca="false">IF(ISBLANK($C45),
    "",
   IF(ISNUMBER(AR45),AR45+ROW($B45)/1000,"")
)</f>
        <v/>
      </c>
      <c r="AW45" s="65" t="str">
        <f aca="false">IF(ISNUMBER(AV45), RANK(AV45,AV$8:AV$507,1), "")</f>
        <v/>
      </c>
      <c r="AX45" s="65" t="str">
        <f aca="false">IF(ISBLANK($C45),
    "",
    $B45
)</f>
        <v/>
      </c>
      <c r="AY45" s="65" t="str">
        <f aca="false">IF(ISBLANK($C45),
    "",
    $C45
)</f>
        <v/>
      </c>
      <c r="AZ45" s="65" t="str">
        <f aca="false">IF(ISBLANK($C45),
    "",
    $D45
)</f>
        <v/>
      </c>
      <c r="BA45" s="65" t="str">
        <f aca="false">AO45</f>
        <v/>
      </c>
      <c r="BB45" s="66" t="str">
        <f aca="false">AN45</f>
        <v/>
      </c>
      <c r="BC45" s="65" t="str">
        <f aca="false">IF(ISBLANK($C45),
    "",
    AQ45
)</f>
        <v/>
      </c>
      <c r="BD45" s="67" t="str">
        <f aca="false">IF(AU45&gt;AT$7,
    "",
    VLOOKUP(AU45,AW$8:BC$507,7,FALSE())
)</f>
        <v/>
      </c>
      <c r="BE45" s="68" t="str">
        <f aca="false">IF(AU45&gt;AT$7,
    "",
    VLOOKUP(AU45,AW$8:BC$507,2,FALSE())
)</f>
        <v/>
      </c>
      <c r="BF45" s="68" t="str">
        <f aca="false">IF(AU45&gt;AT$7,
    "",
    VLOOKUP(AU45,AW$8:BC$507,3,FALSE())
)</f>
        <v/>
      </c>
      <c r="BG45" s="68" t="str">
        <f aca="false">IF(AU45&gt;AT$7,
    "",
    VLOOKUP(AU45,AW$8:BC$507,4,FALSE())
)</f>
        <v/>
      </c>
      <c r="BH45" s="68" t="str">
        <f aca="false">IF(AU45&gt;AT$7,
    "",
    VLOOKUP(AU45,AW$8:BC$507,5,FALSE())
)</f>
        <v/>
      </c>
      <c r="BI45" s="69" t="str">
        <f aca="false">IF(AU45&gt;AT$7,
    "",
    VLOOKUP(AU45,AW$8:BC$507,6,FALSE())
)</f>
        <v/>
      </c>
      <c r="BJ45" s="46"/>
    </row>
    <row r="46" customFormat="false" ht="15.75" hidden="false" customHeight="false" outlineLevel="0" collapsed="false">
      <c r="A46" s="3"/>
      <c r="B46" s="108"/>
      <c r="C46" s="70"/>
      <c r="D46" s="49"/>
      <c r="E46" s="109"/>
      <c r="F46" s="72"/>
      <c r="G46" s="109"/>
      <c r="H46" s="74"/>
      <c r="I46" s="104"/>
      <c r="J46" s="74"/>
      <c r="K46" s="74"/>
      <c r="L46" s="55"/>
      <c r="M46" s="55" t="str">
        <f aca="false">IF(ISBLANK($C46),"",IF(ISBLANK(E46),0,E46))</f>
        <v/>
      </c>
      <c r="N46" s="55" t="str">
        <f aca="false">IF(ISBLANK($C46),"",IF(ISBLANK(F46),0,F46))</f>
        <v/>
      </c>
      <c r="O46" s="55" t="e">
        <f aca="false">IF(AND(NOT(ISBLANK($C46)),NOT($T46),COUNTA($E46:$K46)&gt;0),ISBLANK($F46),FALSE())</f>
        <v>#VALUE!</v>
      </c>
      <c r="P46" s="55" t="str">
        <f aca="false">IF(ISBLANK($C46),"",IF(G46=Constants!$B$9, TRUE(), IF(G46=Constants!$B$10, FALSE(), TRUE())))</f>
        <v/>
      </c>
      <c r="Q46" s="55" t="str">
        <f aca="false">IF(ISBLANK($C46),"",IF(H46=Constants!$B$9, TRUE(), IF(H46=Constants!$B$10, FALSE(), TRUE())))</f>
        <v/>
      </c>
      <c r="R46" s="55" t="str">
        <f aca="false">IF(ISBLANK($C46),"",IF(ISBLANK(I46),Constants!$B$3,I46))</f>
        <v/>
      </c>
      <c r="S46" s="55" t="str">
        <f aca="false">IF(ISBLANK($C46),"",IF(ISBLANK(J46),0,MIN(J46,Constants!$B$6)))</f>
        <v/>
      </c>
      <c r="T46" s="55" t="str">
        <f aca="false">IF(ISBLANK($C46),"",IF(K46=Constants!$B$9, TRUE(), IF(K46=Constants!$B$10, FALSE(),  FALSE())))</f>
        <v/>
      </c>
      <c r="U46" s="55" t="str">
        <f aca="false">IF(ISBLANK($C46),"",AND(R46=Constants!$B$4, S46&lt;Constants!$B$6))</f>
        <v/>
      </c>
      <c r="V46" s="55" t="str">
        <f aca="false">IF(ISBLANK(C46), "", IF(T46, Constants!$B$11, IF(COUNTA(E46:K46)=0, Constants!$B$12, IF(NOT(AND(P46,S46&lt;&gt;0)), Constants!$B$13, IF(O46, Constants!$B$15, Constants!$B$14)))))</f>
        <v/>
      </c>
      <c r="W46" s="55" t="str">
        <f aca="false">IF(OR(ISBLANK($C46), SUMPRODUCT(--(P46:T46&lt;&gt;""))=0), "", IF(V46&lt;&gt;Constants!$B$14, V46, IF(AND(NOT(ISBLANK(J46)),P46,Q46,R46&lt;&gt;Constants!$B$2), Constants!$B$7, IF(AND(P46,OR(NOT(Q46),R46=Constants!$B$2)), Constants!$B$8, "Error"))))</f>
        <v/>
      </c>
      <c r="X46" s="56" t="str">
        <f aca="false">IF(OR(W46=Constants!$B$7,W46=Constants!$B$8), MAX(0, MIN(Constants!$B$6, S46))+IF(AND(R46=Constants!$B$4, NOT(U46)), Constants!$B$5, 0), "")</f>
        <v/>
      </c>
      <c r="Y46" s="55" t="str">
        <f aca="false">IF(ISBLANK($C46),"",IF(AND(ISNUMBER(X46),N46&gt;0),X46/N46, "") )</f>
        <v/>
      </c>
      <c r="Z46" s="55" t="str">
        <f aca="false">IF(AND(NOT(ISBLANK($C46)), W46=Constants!$B$7), Y46, "")</f>
        <v/>
      </c>
      <c r="AA46" s="55" t="str">
        <f aca="false">IF(ISNUMBER(Z46), RANK(Z46,Z$8:Z$507), "")</f>
        <v/>
      </c>
      <c r="AB46" s="55" t="str">
        <f aca="false">IF(AND(NOT(ISBLANK($C46)), W46=Constants!$B$8), Y46, "")</f>
        <v/>
      </c>
      <c r="AC46" s="55" t="str">
        <f aca="false">IF(ISNUMBER(AB46), RANK(AB46,AB$8:AB$507), "")</f>
        <v/>
      </c>
      <c r="AD46" s="55" t="str">
        <f aca="false">IF(ISBLANK($C46),"",IF(V46&lt;&gt;Constants!$B$14, V46, IF(W46=Constants!$B$7, AA46, IF(W46=Constants!$B$8, COUNT($AA$8:$AA$507) + AC46, ""))))</f>
        <v/>
      </c>
      <c r="AE46" s="55" t="str">
        <f aca="false">N46</f>
        <v/>
      </c>
      <c r="AF46" s="55" t="str">
        <f aca="false">IF(ISNUMBER(AE46), RANK(AE46,AE$8:AE$507,1), "")</f>
        <v/>
      </c>
      <c r="AG46" s="57" t="str">
        <f aca="false">IF(ISBLANK(C46), "", ABS(M46-S46))</f>
        <v/>
      </c>
      <c r="AH46" s="55" t="str">
        <f aca="false">IF(ISNUMBER(AG46), RANK(AG46,AG$8:AG$507,1), "")</f>
        <v/>
      </c>
      <c r="AI46" s="55" t="str">
        <f aca="false">IF(ISBLANK(C46),"",IF(V46&lt;&gt;Constants!$B$14, V46, RANK(AD46, AD$8:AD$507, 1)+ SUMPRODUCT(--(AD$8:AD$507=AD46),--(AF46&gt;AF$8:AF$507)) + SUMPRODUCT(--(AD$8:AD$507=AD46),--(AF46=AF$8:AF$507),--(AH46&gt;AH$8:AH$507))))</f>
        <v/>
      </c>
      <c r="AJ46" s="55" t="str">
        <f aca="false">IF(ISBLANK(C46),"",IF(V46&lt;&gt;Constants!$B$14, V46, AD46-AI46))</f>
        <v/>
      </c>
      <c r="AK46" s="59"/>
      <c r="AL46" s="60" t="str">
        <f aca="false">IF(ISBLANK($C46),"",IF($V46&lt;&gt;Constants!$B$14,$V46,X46))</f>
        <v/>
      </c>
      <c r="AM46" s="60" t="str">
        <f aca="false">IF(ISBLANK($C46),"",IF($V46&lt;&gt;Constants!$B$14,$V46,N46))</f>
        <v/>
      </c>
      <c r="AN46" s="62" t="str">
        <f aca="false">IF(ISBLANK(C46),"",IF(V46&lt;&gt;Constants!$B$14, V46, IF(W46=Constants!$B$7,Z46,IF(W46=Constants!$B$8,AB46,""))))</f>
        <v/>
      </c>
      <c r="AO46" s="63" t="str">
        <f aca="false">IF(ISBLANK(C46),"",W46)</f>
        <v/>
      </c>
      <c r="AP46" s="63" t="str">
        <f aca="false">IF(ISBLANK(C46),"",AJ46)</f>
        <v/>
      </c>
      <c r="AQ46" s="63" t="str">
        <f aca="false">IF(ISBLANK(C46),"",AI46)</f>
        <v/>
      </c>
      <c r="AR46" s="64" t="str">
        <f aca="false">IF(ISBLANK(C46),
  "",
IF(AQ46=Constants!$B$11,COUNTA($C$8:$C$507)+2,IF(AQ46=Constants!$B$12,COUNTA($C$8:$C$507)+1,IF(AQ46=Constants!$B$13,COUNTA($C$8:$C$507),AQ46))))</f>
        <v/>
      </c>
      <c r="AS46" s="3"/>
      <c r="AT46" s="65" t="n">
        <f aca="false">IF(OR(ISNUMBER(AQ46),AQ46="DQ",AQ46="P",AQ46="NS"),
    1,
    0
)</f>
        <v>0</v>
      </c>
      <c r="AU46" s="65" t="n">
        <v>39</v>
      </c>
      <c r="AV46" s="65" t="str">
        <f aca="false">IF(ISBLANK($C46),
    "",
   IF(ISNUMBER(AR46),AR46+ROW($B46)/1000,"")
)</f>
        <v/>
      </c>
      <c r="AW46" s="65" t="str">
        <f aca="false">IF(ISNUMBER(AV46), RANK(AV46,AV$8:AV$507,1), "")</f>
        <v/>
      </c>
      <c r="AX46" s="65" t="str">
        <f aca="false">IF(ISBLANK($C46),
    "",
    $B46
)</f>
        <v/>
      </c>
      <c r="AY46" s="65" t="str">
        <f aca="false">IF(ISBLANK($C46),
    "",
    $C46
)</f>
        <v/>
      </c>
      <c r="AZ46" s="65" t="str">
        <f aca="false">IF(ISBLANK($C46),
    "",
    $D46
)</f>
        <v/>
      </c>
      <c r="BA46" s="65" t="str">
        <f aca="false">AO46</f>
        <v/>
      </c>
      <c r="BB46" s="66" t="str">
        <f aca="false">AN46</f>
        <v/>
      </c>
      <c r="BC46" s="65" t="str">
        <f aca="false">IF(ISBLANK($C46),
    "",
    AQ46
)</f>
        <v/>
      </c>
      <c r="BD46" s="67" t="str">
        <f aca="false">IF(AU46&gt;AT$7,
    "",
    VLOOKUP(AU46,AW$8:BC$507,7,FALSE())
)</f>
        <v/>
      </c>
      <c r="BE46" s="68" t="str">
        <f aca="false">IF(AU46&gt;AT$7,
    "",
    VLOOKUP(AU46,AW$8:BC$507,2,FALSE())
)</f>
        <v/>
      </c>
      <c r="BF46" s="68" t="str">
        <f aca="false">IF(AU46&gt;AT$7,
    "",
    VLOOKUP(AU46,AW$8:BC$507,3,FALSE())
)</f>
        <v/>
      </c>
      <c r="BG46" s="68" t="str">
        <f aca="false">IF(AU46&gt;AT$7,
    "",
    VLOOKUP(AU46,AW$8:BC$507,4,FALSE())
)</f>
        <v/>
      </c>
      <c r="BH46" s="68" t="str">
        <f aca="false">IF(AU46&gt;AT$7,
    "",
    VLOOKUP(AU46,AW$8:BC$507,5,FALSE())
)</f>
        <v/>
      </c>
      <c r="BI46" s="69" t="str">
        <f aca="false">IF(AU46&gt;AT$7,
    "",
    VLOOKUP(AU46,AW$8:BC$507,6,FALSE())
)</f>
        <v/>
      </c>
      <c r="BJ46" s="46"/>
    </row>
    <row r="47" customFormat="false" ht="15.75" hidden="false" customHeight="false" outlineLevel="0" collapsed="false">
      <c r="A47" s="3"/>
      <c r="B47" s="105"/>
      <c r="C47" s="106"/>
      <c r="D47" s="99"/>
      <c r="E47" s="110"/>
      <c r="F47" s="107"/>
      <c r="G47" s="110"/>
      <c r="H47" s="103"/>
      <c r="I47" s="102"/>
      <c r="J47" s="103"/>
      <c r="K47" s="103"/>
      <c r="L47" s="85"/>
      <c r="M47" s="85" t="str">
        <f aca="false">IF(ISBLANK($C47),"",IF(ISBLANK(E47),0,E47))</f>
        <v/>
      </c>
      <c r="N47" s="85" t="str">
        <f aca="false">IF(ISBLANK($C47),"",IF(ISBLANK(F47),0,F47))</f>
        <v/>
      </c>
      <c r="O47" s="86" t="e">
        <f aca="false">IF(AND(NOT(ISBLANK($C47)),NOT($T47),COUNTA($E47:$K47)&gt;0),ISBLANK($F47),FALSE())</f>
        <v>#VALUE!</v>
      </c>
      <c r="P47" s="85" t="str">
        <f aca="false">IF(ISBLANK($C47),"",IF(G47=Constants!$B$9, TRUE(), IF(G47=Constants!$B$10, FALSE(), TRUE())))</f>
        <v/>
      </c>
      <c r="Q47" s="85" t="str">
        <f aca="false">IF(ISBLANK($C47),"",IF(H47=Constants!$B$9, TRUE(), IF(H47=Constants!$B$10, FALSE(), TRUE())))</f>
        <v/>
      </c>
      <c r="R47" s="85" t="str">
        <f aca="false">IF(ISBLANK($C47),"",IF(ISBLANK(I47),Constants!$B$3,I47))</f>
        <v/>
      </c>
      <c r="S47" s="85" t="str">
        <f aca="false">IF(ISBLANK($C47),"",IF(ISBLANK(J47),0,MIN(J47,Constants!$B$6)))</f>
        <v/>
      </c>
      <c r="T47" s="85" t="str">
        <f aca="false">IF(ISBLANK($C47),"",IF(K47=Constants!$B$9, TRUE(), IF(K47=Constants!$B$10, FALSE(),  FALSE())))</f>
        <v/>
      </c>
      <c r="U47" s="85" t="str">
        <f aca="false">IF(ISBLANK($C47),"",AND(R47=Constants!$B$4, S47&lt;Constants!$B$6))</f>
        <v/>
      </c>
      <c r="V47" s="85" t="str">
        <f aca="false">IF(ISBLANK(C47), "", IF(T47, Constants!$B$11, IF(COUNTA(E47:K47)=0, Constants!$B$12, IF(NOT(AND(P47,S47&lt;&gt;0)), Constants!$B$13, IF(O47, Constants!$B$15, Constants!$B$14)))))</f>
        <v/>
      </c>
      <c r="W47" s="85" t="str">
        <f aca="false">IF(OR(ISBLANK($C47), SUMPRODUCT(--(P47:T47&lt;&gt;""))=0), "", IF(V47&lt;&gt;Constants!$B$14, V47, IF(AND(NOT(ISBLANK(J47)),P47,Q47,R47&lt;&gt;Constants!$B$2), Constants!$B$7, IF(AND(P47,OR(NOT(Q47),R47=Constants!$B$2)), Constants!$B$8, "Error"))))</f>
        <v/>
      </c>
      <c r="X47" s="87" t="str">
        <f aca="false">IF(OR(W47=Constants!$B$7,W47=Constants!$B$8), MAX(0, MIN(Constants!$B$6, S47))+IF(AND(R47=Constants!$B$4, NOT(U47)), Constants!$B$5, 0), "")</f>
        <v/>
      </c>
      <c r="Y47" s="85" t="str">
        <f aca="false">IF(ISBLANK($C47),"",IF(AND(ISNUMBER(X47),N47&gt;0),X47/N47, "") )</f>
        <v/>
      </c>
      <c r="Z47" s="85" t="str">
        <f aca="false">IF(AND(NOT(ISBLANK($C47)), W47=Constants!$B$7), Y47, "")</f>
        <v/>
      </c>
      <c r="AA47" s="85" t="str">
        <f aca="false">IF(ISNUMBER(Z47), RANK(Z47,Z$8:Z$507), "")</f>
        <v/>
      </c>
      <c r="AB47" s="85" t="str">
        <f aca="false">IF(AND(NOT(ISBLANK($C47)), W47=Constants!$B$8), Y47, "")</f>
        <v/>
      </c>
      <c r="AC47" s="85" t="str">
        <f aca="false">IF(ISNUMBER(AB47), RANK(AB47,AB$8:AB$507), "")</f>
        <v/>
      </c>
      <c r="AD47" s="85" t="str">
        <f aca="false">IF(ISBLANK($C47),"",IF(V47&lt;&gt;Constants!$B$14, V47, IF(W47=Constants!$B$7, AA47, IF(W47=Constants!$B$8, COUNT($AA$8:$AA$507) + AC47, ""))))</f>
        <v/>
      </c>
      <c r="AE47" s="85" t="str">
        <f aca="false">N47</f>
        <v/>
      </c>
      <c r="AF47" s="85" t="str">
        <f aca="false">IF(ISNUMBER(AE47), RANK(AE47,AE$8:AE$507,1), "")</f>
        <v/>
      </c>
      <c r="AG47" s="88" t="str">
        <f aca="false">IF(ISBLANK(C47), "", ABS(M47-S47))</f>
        <v/>
      </c>
      <c r="AH47" s="85" t="str">
        <f aca="false">IF(ISNUMBER(AG47), RANK(AG47,AG$8:AG$507,1), "")</f>
        <v/>
      </c>
      <c r="AI47" s="85" t="str">
        <f aca="false">IF(ISBLANK(C47),"",IF(V47&lt;&gt;Constants!$B$14, V47, RANK(AD47, AD$8:AD$507, 1)+ SUMPRODUCT(--(AD$8:AD$507=AD47),--(AF47&gt;AF$8:AF$507)) + SUMPRODUCT(--(AD$8:AD$507=AD47),--(AF47=AF$8:AF$507),--(AH47&gt;AH$8:AH$507))))</f>
        <v/>
      </c>
      <c r="AJ47" s="85" t="str">
        <f aca="false">IF(ISBLANK(C47),"",IF(V47&lt;&gt;Constants!$B$14, V47, AD47-AI47))</f>
        <v/>
      </c>
      <c r="AK47" s="89"/>
      <c r="AL47" s="90" t="str">
        <f aca="false">IF(ISBLANK($C47),"",IF($V47&lt;&gt;Constants!$B$14,$V47,X47))</f>
        <v/>
      </c>
      <c r="AM47" s="90" t="str">
        <f aca="false">IF(ISBLANK($C47),"",IF($V47&lt;&gt;Constants!$B$14,$V47,N47))</f>
        <v/>
      </c>
      <c r="AN47" s="91" t="str">
        <f aca="false">IF(ISBLANK(C47),"",IF(V47&lt;&gt;Constants!$B$14, V47, IF(W47=Constants!$B$7,Z47,IF(W47=Constants!$B$8,AB47,""))))</f>
        <v/>
      </c>
      <c r="AO47" s="92" t="str">
        <f aca="false">IF(ISBLANK(C47),"",W47)</f>
        <v/>
      </c>
      <c r="AP47" s="92" t="str">
        <f aca="false">IF(ISBLANK(C47),"",AJ47)</f>
        <v/>
      </c>
      <c r="AQ47" s="92" t="str">
        <f aca="false">IF(ISBLANK(C47),"",AI47)</f>
        <v/>
      </c>
      <c r="AR47" s="93" t="str">
        <f aca="false">IF(ISBLANK(C47),
  "",
IF(AQ47=Constants!$B$11,COUNTA($C$8:$C$507)+2,IF(AQ47=Constants!$B$12,COUNTA($C$8:$C$507)+1,IF(AQ47=Constants!$B$13,COUNTA($C$8:$C$507),AQ47))))</f>
        <v/>
      </c>
      <c r="AS47" s="3"/>
      <c r="AT47" s="94" t="n">
        <f aca="false">IF(OR(ISNUMBER(AQ47),AQ47="DQ",AQ47="P",AQ47="NS"),
    1,
    0
)</f>
        <v>0</v>
      </c>
      <c r="AU47" s="94" t="n">
        <v>40</v>
      </c>
      <c r="AV47" s="94" t="str">
        <f aca="false">IF(ISBLANK($C47),
    "",
   IF(ISNUMBER(AR47),AR47+ROW($B47)/1000,"")
)</f>
        <v/>
      </c>
      <c r="AW47" s="94" t="str">
        <f aca="false">IF(ISNUMBER(AV47), RANK(AV47,AV$8:AV$507,1), "")</f>
        <v/>
      </c>
      <c r="AX47" s="94" t="str">
        <f aca="false">IF(ISBLANK($C47),
    "",
    $B47
)</f>
        <v/>
      </c>
      <c r="AY47" s="94" t="str">
        <f aca="false">IF(ISBLANK($C47),
    "",
    $C47
)</f>
        <v/>
      </c>
      <c r="AZ47" s="94" t="str">
        <f aca="false">IF(ISBLANK($C47),
    "",
    $D47
)</f>
        <v/>
      </c>
      <c r="BA47" s="94" t="str">
        <f aca="false">AO47</f>
        <v/>
      </c>
      <c r="BB47" s="95" t="str">
        <f aca="false">AN47</f>
        <v/>
      </c>
      <c r="BC47" s="94" t="str">
        <f aca="false">IF(ISBLANK($C47),
    "",
    AQ47
)</f>
        <v/>
      </c>
      <c r="BD47" s="96" t="str">
        <f aca="false">IF(AU47&gt;AT$7,
    "",
    VLOOKUP(AU47,AW$8:BC$507,7,FALSE())
)</f>
        <v/>
      </c>
      <c r="BE47" s="97" t="str">
        <f aca="false">IF(AU47&gt;AT$7,
    "",
    VLOOKUP(AU47,AW$8:BC$507,2,FALSE())
)</f>
        <v/>
      </c>
      <c r="BF47" s="97" t="str">
        <f aca="false">IF(AU47&gt;AT$7,
    "",
    VLOOKUP(AU47,AW$8:BC$507,3,FALSE())
)</f>
        <v/>
      </c>
      <c r="BG47" s="97" t="str">
        <f aca="false">IF(AU47&gt;AT$7,
    "",
    VLOOKUP(AU47,AW$8:BC$507,4,FALSE())
)</f>
        <v/>
      </c>
      <c r="BH47" s="97" t="str">
        <f aca="false">IF(AU47&gt;AT$7,
    "",
    VLOOKUP(AU47,AW$8:BC$507,5,FALSE())
)</f>
        <v/>
      </c>
      <c r="BI47" s="98" t="str">
        <f aca="false">IF(AU47&gt;AT$7,
    "",
    VLOOKUP(AU47,AW$8:BC$507,6,FALSE())
)</f>
        <v/>
      </c>
      <c r="BJ47" s="46"/>
    </row>
    <row r="48" customFormat="false" ht="15.75" hidden="false" customHeight="false" outlineLevel="0" collapsed="false">
      <c r="A48" s="3"/>
      <c r="B48" s="105"/>
      <c r="C48" s="106"/>
      <c r="D48" s="99"/>
      <c r="E48" s="110"/>
      <c r="F48" s="107"/>
      <c r="G48" s="110"/>
      <c r="H48" s="103"/>
      <c r="I48" s="102"/>
      <c r="J48" s="103"/>
      <c r="K48" s="103"/>
      <c r="L48" s="85"/>
      <c r="M48" s="85" t="str">
        <f aca="false">IF(ISBLANK($C48),"",IF(ISBLANK(E48),0,E48))</f>
        <v/>
      </c>
      <c r="N48" s="85" t="str">
        <f aca="false">IF(ISBLANK($C48),"",IF(ISBLANK(F48),0,F48))</f>
        <v/>
      </c>
      <c r="O48" s="86" t="e">
        <f aca="false">IF(AND(NOT(ISBLANK($C48)),NOT($T48),COUNTA($E48:$K48)&gt;0),ISBLANK($F48),FALSE())</f>
        <v>#VALUE!</v>
      </c>
      <c r="P48" s="85" t="str">
        <f aca="false">IF(ISBLANK($C48),"",IF(G48=Constants!$B$9, TRUE(), IF(G48=Constants!$B$10, FALSE(), TRUE())))</f>
        <v/>
      </c>
      <c r="Q48" s="85" t="str">
        <f aca="false">IF(ISBLANK($C48),"",IF(H48=Constants!$B$9, TRUE(), IF(H48=Constants!$B$10, FALSE(), TRUE())))</f>
        <v/>
      </c>
      <c r="R48" s="85" t="str">
        <f aca="false">IF(ISBLANK($C48),"",IF(ISBLANK(I48),Constants!$B$3,I48))</f>
        <v/>
      </c>
      <c r="S48" s="85" t="str">
        <f aca="false">IF(ISBLANK($C48),"",IF(ISBLANK(J48),0,MIN(J48,Constants!$B$6)))</f>
        <v/>
      </c>
      <c r="T48" s="85" t="str">
        <f aca="false">IF(ISBLANK($C48),"",IF(K48=Constants!$B$9, TRUE(), IF(K48=Constants!$B$10, FALSE(),  FALSE())))</f>
        <v/>
      </c>
      <c r="U48" s="85" t="str">
        <f aca="false">IF(ISBLANK($C48),"",AND(R48=Constants!$B$4, S48&lt;Constants!$B$6))</f>
        <v/>
      </c>
      <c r="V48" s="85" t="str">
        <f aca="false">IF(ISBLANK(C48), "", IF(T48, Constants!$B$11, IF(COUNTA(E48:K48)=0, Constants!$B$12, IF(NOT(AND(P48,S48&lt;&gt;0)), Constants!$B$13, IF(O48, Constants!$B$15, Constants!$B$14)))))</f>
        <v/>
      </c>
      <c r="W48" s="85" t="str">
        <f aca="false">IF(OR(ISBLANK($C48), SUMPRODUCT(--(P48:T48&lt;&gt;""))=0), "", IF(V48&lt;&gt;Constants!$B$14, V48, IF(AND(NOT(ISBLANK(J48)),P48,Q48,R48&lt;&gt;Constants!$B$2), Constants!$B$7, IF(AND(P48,OR(NOT(Q48),R48=Constants!$B$2)), Constants!$B$8, "Error"))))</f>
        <v/>
      </c>
      <c r="X48" s="87" t="str">
        <f aca="false">IF(OR(W48=Constants!$B$7,W48=Constants!$B$8), MAX(0, MIN(Constants!$B$6, S48))+IF(AND(R48=Constants!$B$4, NOT(U48)), Constants!$B$5, 0), "")</f>
        <v/>
      </c>
      <c r="Y48" s="85" t="str">
        <f aca="false">IF(ISBLANK($C48),"",IF(AND(ISNUMBER(X48),N48&gt;0),X48/N48, "") )</f>
        <v/>
      </c>
      <c r="Z48" s="85" t="str">
        <f aca="false">IF(AND(NOT(ISBLANK($C48)), W48=Constants!$B$7), Y48, "")</f>
        <v/>
      </c>
      <c r="AA48" s="85" t="str">
        <f aca="false">IF(ISNUMBER(Z48), RANK(Z48,Z$8:Z$507), "")</f>
        <v/>
      </c>
      <c r="AB48" s="85" t="str">
        <f aca="false">IF(AND(NOT(ISBLANK($C48)), W48=Constants!$B$8), Y48, "")</f>
        <v/>
      </c>
      <c r="AC48" s="85" t="str">
        <f aca="false">IF(ISNUMBER(AB48), RANK(AB48,AB$8:AB$507), "")</f>
        <v/>
      </c>
      <c r="AD48" s="85" t="str">
        <f aca="false">IF(ISBLANK($C48),"",IF(V48&lt;&gt;Constants!$B$14, V48, IF(W48=Constants!$B$7, AA48, IF(W48=Constants!$B$8, COUNT($AA$8:$AA$507) + AC48, ""))))</f>
        <v/>
      </c>
      <c r="AE48" s="85" t="str">
        <f aca="false">N48</f>
        <v/>
      </c>
      <c r="AF48" s="85" t="str">
        <f aca="false">IF(ISNUMBER(AE48), RANK(AE48,AE$8:AE$507,1), "")</f>
        <v/>
      </c>
      <c r="AG48" s="88" t="str">
        <f aca="false">IF(ISBLANK(C48), "", ABS(M48-S48))</f>
        <v/>
      </c>
      <c r="AH48" s="85" t="str">
        <f aca="false">IF(ISNUMBER(AG48), RANK(AG48,AG$8:AG$507,1), "")</f>
        <v/>
      </c>
      <c r="AI48" s="85" t="str">
        <f aca="false">IF(ISBLANK(C48),"",IF(V48&lt;&gt;Constants!$B$14, V48, RANK(AD48, AD$8:AD$507, 1)+ SUMPRODUCT(--(AD$8:AD$507=AD48),--(AF48&gt;AF$8:AF$507)) + SUMPRODUCT(--(AD$8:AD$507=AD48),--(AF48=AF$8:AF$507),--(AH48&gt;AH$8:AH$507))))</f>
        <v/>
      </c>
      <c r="AJ48" s="85" t="str">
        <f aca="false">IF(ISBLANK(C48),"",IF(V48&lt;&gt;Constants!$B$14, V48, AD48-AI48))</f>
        <v/>
      </c>
      <c r="AK48" s="89"/>
      <c r="AL48" s="90" t="str">
        <f aca="false">IF(ISBLANK($C48),"",IF($V48&lt;&gt;Constants!$B$14,$V48,X48))</f>
        <v/>
      </c>
      <c r="AM48" s="90" t="str">
        <f aca="false">IF(ISBLANK($C48),"",IF($V48&lt;&gt;Constants!$B$14,$V48,N48))</f>
        <v/>
      </c>
      <c r="AN48" s="91" t="str">
        <f aca="false">IF(ISBLANK(C48),"",IF(V48&lt;&gt;Constants!$B$14, V48, IF(W48=Constants!$B$7,Z48,IF(W48=Constants!$B$8,AB48,""))))</f>
        <v/>
      </c>
      <c r="AO48" s="92" t="str">
        <f aca="false">IF(ISBLANK(C48),"",W48)</f>
        <v/>
      </c>
      <c r="AP48" s="92" t="str">
        <f aca="false">IF(ISBLANK(C48),"",AJ48)</f>
        <v/>
      </c>
      <c r="AQ48" s="92" t="str">
        <f aca="false">IF(ISBLANK(C48),"",AI48)</f>
        <v/>
      </c>
      <c r="AR48" s="93" t="str">
        <f aca="false">IF(ISBLANK(C48),
  "",
IF(AQ48=Constants!$B$11,COUNTA($C$8:$C$507)+2,IF(AQ48=Constants!$B$12,COUNTA($C$8:$C$507)+1,IF(AQ48=Constants!$B$13,COUNTA($C$8:$C$507),AQ48))))</f>
        <v/>
      </c>
      <c r="AS48" s="3"/>
      <c r="AT48" s="94" t="n">
        <f aca="false">IF(OR(ISNUMBER(AQ48),AQ48="DQ",AQ48="P",AQ48="NS"),
    1,
    0
)</f>
        <v>0</v>
      </c>
      <c r="AU48" s="94" t="n">
        <v>41</v>
      </c>
      <c r="AV48" s="94" t="str">
        <f aca="false">IF(ISBLANK($C48),
    "",
   IF(ISNUMBER(AR48),AR48+ROW($B48)/1000,"")
)</f>
        <v/>
      </c>
      <c r="AW48" s="94" t="str">
        <f aca="false">IF(ISNUMBER(AV48), RANK(AV48,AV$8:AV$507,1), "")</f>
        <v/>
      </c>
      <c r="AX48" s="94" t="str">
        <f aca="false">IF(ISBLANK($C48),
    "",
    $B48
)</f>
        <v/>
      </c>
      <c r="AY48" s="94" t="str">
        <f aca="false">IF(ISBLANK($C48),
    "",
    $C48
)</f>
        <v/>
      </c>
      <c r="AZ48" s="94" t="str">
        <f aca="false">IF(ISBLANK($C48),
    "",
    $D48
)</f>
        <v/>
      </c>
      <c r="BA48" s="94" t="str">
        <f aca="false">AO48</f>
        <v/>
      </c>
      <c r="BB48" s="95" t="str">
        <f aca="false">AN48</f>
        <v/>
      </c>
      <c r="BC48" s="94" t="str">
        <f aca="false">IF(ISBLANK($C48),
    "",
    AQ48
)</f>
        <v/>
      </c>
      <c r="BD48" s="96" t="str">
        <f aca="false">IF(AU48&gt;AT$7,
    "",
    VLOOKUP(AU48,AW$8:BC$507,7,FALSE())
)</f>
        <v/>
      </c>
      <c r="BE48" s="97" t="str">
        <f aca="false">IF(AU48&gt;AT$7,
    "",
    VLOOKUP(AU48,AW$8:BC$507,2,FALSE())
)</f>
        <v/>
      </c>
      <c r="BF48" s="97" t="str">
        <f aca="false">IF(AU48&gt;AT$7,
    "",
    VLOOKUP(AU48,AW$8:BC$507,3,FALSE())
)</f>
        <v/>
      </c>
      <c r="BG48" s="97" t="str">
        <f aca="false">IF(AU48&gt;AT$7,
    "",
    VLOOKUP(AU48,AW$8:BC$507,4,FALSE())
)</f>
        <v/>
      </c>
      <c r="BH48" s="97" t="str">
        <f aca="false">IF(AU48&gt;AT$7,
    "",
    VLOOKUP(AU48,AW$8:BC$507,5,FALSE())
)</f>
        <v/>
      </c>
      <c r="BI48" s="98" t="str">
        <f aca="false">IF(AU48&gt;AT$7,
    "",
    VLOOKUP(AU48,AW$8:BC$507,6,FALSE())
)</f>
        <v/>
      </c>
      <c r="BJ48" s="46"/>
    </row>
    <row r="49" customFormat="false" ht="15.75" hidden="false" customHeight="false" outlineLevel="0" collapsed="false">
      <c r="A49" s="3"/>
      <c r="B49" s="105"/>
      <c r="C49" s="106"/>
      <c r="D49" s="99"/>
      <c r="E49" s="110"/>
      <c r="F49" s="107"/>
      <c r="G49" s="110"/>
      <c r="H49" s="103"/>
      <c r="I49" s="102"/>
      <c r="J49" s="103"/>
      <c r="K49" s="103"/>
      <c r="L49" s="85"/>
      <c r="M49" s="85" t="str">
        <f aca="false">IF(ISBLANK($C49),"",IF(ISBLANK(E49),0,E49))</f>
        <v/>
      </c>
      <c r="N49" s="85" t="str">
        <f aca="false">IF(ISBLANK($C49),"",IF(ISBLANK(F49),0,F49))</f>
        <v/>
      </c>
      <c r="O49" s="86" t="e">
        <f aca="false">IF(AND(NOT(ISBLANK($C49)),NOT($T49),COUNTA($E49:$K49)&gt;0),ISBLANK($F49),FALSE())</f>
        <v>#VALUE!</v>
      </c>
      <c r="P49" s="85" t="str">
        <f aca="false">IF(ISBLANK($C49),"",IF(G49=Constants!$B$9, TRUE(), IF(G49=Constants!$B$10, FALSE(), TRUE())))</f>
        <v/>
      </c>
      <c r="Q49" s="85" t="str">
        <f aca="false">IF(ISBLANK($C49),"",IF(H49=Constants!$B$9, TRUE(), IF(H49=Constants!$B$10, FALSE(), TRUE())))</f>
        <v/>
      </c>
      <c r="R49" s="85" t="str">
        <f aca="false">IF(ISBLANK($C49),"",IF(ISBLANK(I49),Constants!$B$3,I49))</f>
        <v/>
      </c>
      <c r="S49" s="85" t="str">
        <f aca="false">IF(ISBLANK($C49),"",IF(ISBLANK(J49),0,MIN(J49,Constants!$B$6)))</f>
        <v/>
      </c>
      <c r="T49" s="85" t="str">
        <f aca="false">IF(ISBLANK($C49),"",IF(K49=Constants!$B$9, TRUE(), IF(K49=Constants!$B$10, FALSE(),  FALSE())))</f>
        <v/>
      </c>
      <c r="U49" s="85" t="str">
        <f aca="false">IF(ISBLANK($C49),"",AND(R49=Constants!$B$4, S49&lt;Constants!$B$6))</f>
        <v/>
      </c>
      <c r="V49" s="85" t="str">
        <f aca="false">IF(ISBLANK(C49), "", IF(T49, Constants!$B$11, IF(COUNTA(E49:K49)=0, Constants!$B$12, IF(NOT(AND(P49,S49&lt;&gt;0)), Constants!$B$13, IF(O49, Constants!$B$15, Constants!$B$14)))))</f>
        <v/>
      </c>
      <c r="W49" s="85" t="str">
        <f aca="false">IF(OR(ISBLANK($C49), SUMPRODUCT(--(P49:T49&lt;&gt;""))=0), "", IF(V49&lt;&gt;Constants!$B$14, V49, IF(AND(NOT(ISBLANK(J49)),P49,Q49,R49&lt;&gt;Constants!$B$2), Constants!$B$7, IF(AND(P49,OR(NOT(Q49),R49=Constants!$B$2)), Constants!$B$8, "Error"))))</f>
        <v/>
      </c>
      <c r="X49" s="87" t="str">
        <f aca="false">IF(OR(W49=Constants!$B$7,W49=Constants!$B$8), MAX(0, MIN(Constants!$B$6, S49))+IF(AND(R49=Constants!$B$4, NOT(U49)), Constants!$B$5, 0), "")</f>
        <v/>
      </c>
      <c r="Y49" s="85" t="str">
        <f aca="false">IF(ISBLANK($C49),"",IF(AND(ISNUMBER(X49),N49&gt;0),X49/N49, "") )</f>
        <v/>
      </c>
      <c r="Z49" s="85" t="str">
        <f aca="false">IF(AND(NOT(ISBLANK($C49)), W49=Constants!$B$7), Y49, "")</f>
        <v/>
      </c>
      <c r="AA49" s="85" t="str">
        <f aca="false">IF(ISNUMBER(Z49), RANK(Z49,Z$8:Z$507), "")</f>
        <v/>
      </c>
      <c r="AB49" s="85" t="str">
        <f aca="false">IF(AND(NOT(ISBLANK($C49)), W49=Constants!$B$8), Y49, "")</f>
        <v/>
      </c>
      <c r="AC49" s="85" t="str">
        <f aca="false">IF(ISNUMBER(AB49), RANK(AB49,AB$8:AB$507), "")</f>
        <v/>
      </c>
      <c r="AD49" s="85" t="str">
        <f aca="false">IF(ISBLANK($C49),"",IF(V49&lt;&gt;Constants!$B$14, V49, IF(W49=Constants!$B$7, AA49, IF(W49=Constants!$B$8, COUNT($AA$8:$AA$507) + AC49, ""))))</f>
        <v/>
      </c>
      <c r="AE49" s="85" t="str">
        <f aca="false">N49</f>
        <v/>
      </c>
      <c r="AF49" s="85" t="str">
        <f aca="false">IF(ISNUMBER(AE49), RANK(AE49,AE$8:AE$507,1), "")</f>
        <v/>
      </c>
      <c r="AG49" s="88" t="str">
        <f aca="false">IF(ISBLANK(C49), "", ABS(M49-S49))</f>
        <v/>
      </c>
      <c r="AH49" s="85" t="str">
        <f aca="false">IF(ISNUMBER(AG49), RANK(AG49,AG$8:AG$507,1), "")</f>
        <v/>
      </c>
      <c r="AI49" s="85" t="str">
        <f aca="false">IF(ISBLANK(C49),"",IF(V49&lt;&gt;Constants!$B$14, V49, RANK(AD49, AD$8:AD$507, 1)+ SUMPRODUCT(--(AD$8:AD$507=AD49),--(AF49&gt;AF$8:AF$507)) + SUMPRODUCT(--(AD$8:AD$507=AD49),--(AF49=AF$8:AF$507),--(AH49&gt;AH$8:AH$507))))</f>
        <v/>
      </c>
      <c r="AJ49" s="85" t="str">
        <f aca="false">IF(ISBLANK(C49),"",IF(V49&lt;&gt;Constants!$B$14, V49, AD49-AI49))</f>
        <v/>
      </c>
      <c r="AK49" s="89"/>
      <c r="AL49" s="90" t="str">
        <f aca="false">IF(ISBLANK($C49),"",IF($V49&lt;&gt;Constants!$B$14,$V49,X49))</f>
        <v/>
      </c>
      <c r="AM49" s="90" t="str">
        <f aca="false">IF(ISBLANK($C49),"",IF($V49&lt;&gt;Constants!$B$14,$V49,N49))</f>
        <v/>
      </c>
      <c r="AN49" s="91" t="str">
        <f aca="false">IF(ISBLANK(C49),"",IF(V49&lt;&gt;Constants!$B$14, V49, IF(W49=Constants!$B$7,Z49,IF(W49=Constants!$B$8,AB49,""))))</f>
        <v/>
      </c>
      <c r="AO49" s="92" t="str">
        <f aca="false">IF(ISBLANK(C49),"",W49)</f>
        <v/>
      </c>
      <c r="AP49" s="92" t="str">
        <f aca="false">IF(ISBLANK(C49),"",AJ49)</f>
        <v/>
      </c>
      <c r="AQ49" s="92" t="str">
        <f aca="false">IF(ISBLANK(C49),"",AI49)</f>
        <v/>
      </c>
      <c r="AR49" s="93" t="str">
        <f aca="false">IF(ISBLANK(C49),
  "",
IF(AQ49=Constants!$B$11,COUNTA($C$8:$C$507)+2,IF(AQ49=Constants!$B$12,COUNTA($C$8:$C$507)+1,IF(AQ49=Constants!$B$13,COUNTA($C$8:$C$507),AQ49))))</f>
        <v/>
      </c>
      <c r="AS49" s="3"/>
      <c r="AT49" s="94" t="n">
        <f aca="false">IF(OR(ISNUMBER(AQ49),AQ49="DQ",AQ49="P",AQ49="NS"),
    1,
    0
)</f>
        <v>0</v>
      </c>
      <c r="AU49" s="94" t="n">
        <v>42</v>
      </c>
      <c r="AV49" s="94" t="str">
        <f aca="false">IF(ISBLANK($C49),
    "",
   IF(ISNUMBER(AR49),AR49+ROW($B49)/1000,"")
)</f>
        <v/>
      </c>
      <c r="AW49" s="94" t="str">
        <f aca="false">IF(ISNUMBER(AV49), RANK(AV49,AV$8:AV$507,1), "")</f>
        <v/>
      </c>
      <c r="AX49" s="94" t="str">
        <f aca="false">IF(ISBLANK($C49),
    "",
    $B49
)</f>
        <v/>
      </c>
      <c r="AY49" s="94" t="str">
        <f aca="false">IF(ISBLANK($C49),
    "",
    $C49
)</f>
        <v/>
      </c>
      <c r="AZ49" s="94" t="str">
        <f aca="false">IF(ISBLANK($C49),
    "",
    $D49
)</f>
        <v/>
      </c>
      <c r="BA49" s="94" t="str">
        <f aca="false">AO49</f>
        <v/>
      </c>
      <c r="BB49" s="95" t="str">
        <f aca="false">AN49</f>
        <v/>
      </c>
      <c r="BC49" s="94" t="str">
        <f aca="false">IF(ISBLANK($C49),
    "",
    AQ49
)</f>
        <v/>
      </c>
      <c r="BD49" s="96" t="str">
        <f aca="false">IF(AU49&gt;AT$7,
    "",
    VLOOKUP(AU49,AW$8:BC$507,7,FALSE())
)</f>
        <v/>
      </c>
      <c r="BE49" s="97" t="str">
        <f aca="false">IF(AU49&gt;AT$7,
    "",
    VLOOKUP(AU49,AW$8:BC$507,2,FALSE())
)</f>
        <v/>
      </c>
      <c r="BF49" s="97" t="str">
        <f aca="false">IF(AU49&gt;AT$7,
    "",
    VLOOKUP(AU49,AW$8:BC$507,3,FALSE())
)</f>
        <v/>
      </c>
      <c r="BG49" s="97" t="str">
        <f aca="false">IF(AU49&gt;AT$7,
    "",
    VLOOKUP(AU49,AW$8:BC$507,4,FALSE())
)</f>
        <v/>
      </c>
      <c r="BH49" s="97" t="str">
        <f aca="false">IF(AU49&gt;AT$7,
    "",
    VLOOKUP(AU49,AW$8:BC$507,5,FALSE())
)</f>
        <v/>
      </c>
      <c r="BI49" s="98" t="str">
        <f aca="false">IF(AU49&gt;AT$7,
    "",
    VLOOKUP(AU49,AW$8:BC$507,6,FALSE())
)</f>
        <v/>
      </c>
      <c r="BJ49" s="46"/>
    </row>
    <row r="50" customFormat="false" ht="15.75" hidden="false" customHeight="false" outlineLevel="0" collapsed="false">
      <c r="A50" s="3"/>
      <c r="B50" s="108"/>
      <c r="C50" s="70"/>
      <c r="D50" s="49"/>
      <c r="E50" s="109"/>
      <c r="F50" s="72"/>
      <c r="G50" s="109"/>
      <c r="H50" s="74"/>
      <c r="I50" s="104"/>
      <c r="J50" s="74"/>
      <c r="K50" s="74"/>
      <c r="L50" s="55"/>
      <c r="M50" s="55" t="str">
        <f aca="false">IF(ISBLANK($C50),"",IF(ISBLANK(E50),0,E50))</f>
        <v/>
      </c>
      <c r="N50" s="55" t="str">
        <f aca="false">IF(ISBLANK($C50),"",IF(ISBLANK(F50),0,F50))</f>
        <v/>
      </c>
      <c r="O50" s="55" t="e">
        <f aca="false">IF(AND(NOT(ISBLANK($C50)),NOT($T50),COUNTA($E50:$K50)&gt;0),ISBLANK($F50),FALSE())</f>
        <v>#VALUE!</v>
      </c>
      <c r="P50" s="55" t="str">
        <f aca="false">IF(ISBLANK($C50),"",IF(G50=Constants!$B$9, TRUE(), IF(G50=Constants!$B$10, FALSE(), TRUE())))</f>
        <v/>
      </c>
      <c r="Q50" s="55" t="str">
        <f aca="false">IF(ISBLANK($C50),"",IF(H50=Constants!$B$9, TRUE(), IF(H50=Constants!$B$10, FALSE(), TRUE())))</f>
        <v/>
      </c>
      <c r="R50" s="55" t="str">
        <f aca="false">IF(ISBLANK($C50),"",IF(ISBLANK(I50),Constants!$B$3,I50))</f>
        <v/>
      </c>
      <c r="S50" s="55" t="str">
        <f aca="false">IF(ISBLANK($C50),"",IF(ISBLANK(J50),0,MIN(J50,Constants!$B$6)))</f>
        <v/>
      </c>
      <c r="T50" s="55" t="str">
        <f aca="false">IF(ISBLANK($C50),"",IF(K50=Constants!$B$9, TRUE(), IF(K50=Constants!$B$10, FALSE(),  FALSE())))</f>
        <v/>
      </c>
      <c r="U50" s="55" t="str">
        <f aca="false">IF(ISBLANK($C50),"",AND(R50=Constants!$B$4, S50&lt;Constants!$B$6))</f>
        <v/>
      </c>
      <c r="V50" s="55" t="str">
        <f aca="false">IF(ISBLANK(C50), "", IF(T50, Constants!$B$11, IF(COUNTA(E50:K50)=0, Constants!$B$12, IF(NOT(AND(P50,S50&lt;&gt;0)), Constants!$B$13, IF(O50, Constants!$B$15, Constants!$B$14)))))</f>
        <v/>
      </c>
      <c r="W50" s="55" t="str">
        <f aca="false">IF(OR(ISBLANK($C50), SUMPRODUCT(--(P50:T50&lt;&gt;""))=0), "", IF(V50&lt;&gt;Constants!$B$14, V50, IF(AND(NOT(ISBLANK(J50)),P50,Q50,R50&lt;&gt;Constants!$B$2), Constants!$B$7, IF(AND(P50,OR(NOT(Q50),R50=Constants!$B$2)), Constants!$B$8, "Error"))))</f>
        <v/>
      </c>
      <c r="X50" s="56" t="str">
        <f aca="false">IF(OR(W50=Constants!$B$7,W50=Constants!$B$8), MAX(0, MIN(Constants!$B$6, S50))+IF(AND(R50=Constants!$B$4, NOT(U50)), Constants!$B$5, 0), "")</f>
        <v/>
      </c>
      <c r="Y50" s="55" t="str">
        <f aca="false">IF(ISBLANK($C50),"",IF(AND(ISNUMBER(X50),N50&gt;0),X50/N50, "") )</f>
        <v/>
      </c>
      <c r="Z50" s="55" t="str">
        <f aca="false">IF(AND(NOT(ISBLANK($C50)), W50=Constants!$B$7), Y50, "")</f>
        <v/>
      </c>
      <c r="AA50" s="55" t="str">
        <f aca="false">IF(ISNUMBER(Z50), RANK(Z50,Z$8:Z$507), "")</f>
        <v/>
      </c>
      <c r="AB50" s="55" t="str">
        <f aca="false">IF(AND(NOT(ISBLANK($C50)), W50=Constants!$B$8), Y50, "")</f>
        <v/>
      </c>
      <c r="AC50" s="55" t="str">
        <f aca="false">IF(ISNUMBER(AB50), RANK(AB50,AB$8:AB$507), "")</f>
        <v/>
      </c>
      <c r="AD50" s="55" t="str">
        <f aca="false">IF(ISBLANK($C50),"",IF(V50&lt;&gt;Constants!$B$14, V50, IF(W50=Constants!$B$7, AA50, IF(W50=Constants!$B$8, COUNT($AA$8:$AA$507) + AC50, ""))))</f>
        <v/>
      </c>
      <c r="AE50" s="55" t="str">
        <f aca="false">N50</f>
        <v/>
      </c>
      <c r="AF50" s="55" t="str">
        <f aca="false">IF(ISNUMBER(AE50), RANK(AE50,AE$8:AE$507,1), "")</f>
        <v/>
      </c>
      <c r="AG50" s="57" t="str">
        <f aca="false">IF(ISBLANK(C50), "", ABS(M50-S50))</f>
        <v/>
      </c>
      <c r="AH50" s="55" t="str">
        <f aca="false">IF(ISNUMBER(AG50), RANK(AG50,AG$8:AG$507,1), "")</f>
        <v/>
      </c>
      <c r="AI50" s="55" t="str">
        <f aca="false">IF(ISBLANK(C50),"",IF(V50&lt;&gt;Constants!$B$14, V50, RANK(AD50, AD$8:AD$507, 1)+ SUMPRODUCT(--(AD$8:AD$507=AD50),--(AF50&gt;AF$8:AF$507)) + SUMPRODUCT(--(AD$8:AD$507=AD50),--(AF50=AF$8:AF$507),--(AH50&gt;AH$8:AH$507))))</f>
        <v/>
      </c>
      <c r="AJ50" s="55" t="str">
        <f aca="false">IF(ISBLANK(C50),"",IF(V50&lt;&gt;Constants!$B$14, V50, AD50-AI50))</f>
        <v/>
      </c>
      <c r="AK50" s="59"/>
      <c r="AL50" s="60" t="str">
        <f aca="false">IF(ISBLANK($C50),"",IF($V50&lt;&gt;Constants!$B$14,$V50,X50))</f>
        <v/>
      </c>
      <c r="AM50" s="60" t="str">
        <f aca="false">IF(ISBLANK($C50),"",IF($V50&lt;&gt;Constants!$B$14,$V50,N50))</f>
        <v/>
      </c>
      <c r="AN50" s="62" t="str">
        <f aca="false">IF(ISBLANK(C50),"",IF(V50&lt;&gt;Constants!$B$14, V50, IF(W50=Constants!$B$7,Z50,IF(W50=Constants!$B$8,AB50,""))))</f>
        <v/>
      </c>
      <c r="AO50" s="63" t="str">
        <f aca="false">IF(ISBLANK(C50),"",W50)</f>
        <v/>
      </c>
      <c r="AP50" s="63" t="str">
        <f aca="false">IF(ISBLANK(C50),"",AJ50)</f>
        <v/>
      </c>
      <c r="AQ50" s="63" t="str">
        <f aca="false">IF(ISBLANK(C50),"",AI50)</f>
        <v/>
      </c>
      <c r="AR50" s="64" t="str">
        <f aca="false">IF(ISBLANK(C50),
  "",
IF(AQ50=Constants!$B$11,COUNTA($C$8:$C$507)+2,IF(AQ50=Constants!$B$12,COUNTA($C$8:$C$507)+1,IF(AQ50=Constants!$B$13,COUNTA($C$8:$C$507),AQ50))))</f>
        <v/>
      </c>
      <c r="AS50" s="3"/>
      <c r="AT50" s="65" t="n">
        <f aca="false">IF(OR(ISNUMBER(AQ50),AQ50="DQ",AQ50="P",AQ50="NS"),
    1,
    0
)</f>
        <v>0</v>
      </c>
      <c r="AU50" s="65" t="n">
        <v>43</v>
      </c>
      <c r="AV50" s="65" t="str">
        <f aca="false">IF(ISBLANK($C50),
    "",
   IF(ISNUMBER(AR50),AR50+ROW($B50)/1000,"")
)</f>
        <v/>
      </c>
      <c r="AW50" s="65" t="str">
        <f aca="false">IF(ISNUMBER(AV50), RANK(AV50,AV$8:AV$507,1), "")</f>
        <v/>
      </c>
      <c r="AX50" s="65" t="str">
        <f aca="false">IF(ISBLANK($C50),
    "",
    $B50
)</f>
        <v/>
      </c>
      <c r="AY50" s="65" t="str">
        <f aca="false">IF(ISBLANK($C50),
    "",
    $C50
)</f>
        <v/>
      </c>
      <c r="AZ50" s="65" t="str">
        <f aca="false">IF(ISBLANK($C50),
    "",
    $D50
)</f>
        <v/>
      </c>
      <c r="BA50" s="65" t="str">
        <f aca="false">AO50</f>
        <v/>
      </c>
      <c r="BB50" s="66" t="str">
        <f aca="false">AN50</f>
        <v/>
      </c>
      <c r="BC50" s="65" t="str">
        <f aca="false">IF(ISBLANK($C50),
    "",
    AQ50
)</f>
        <v/>
      </c>
      <c r="BD50" s="67" t="str">
        <f aca="false">IF(AU50&gt;AT$7,
    "",
    VLOOKUP(AU50,AW$8:BC$507,7,FALSE())
)</f>
        <v/>
      </c>
      <c r="BE50" s="68" t="str">
        <f aca="false">IF(AU50&gt;AT$7,
    "",
    VLOOKUP(AU50,AW$8:BC$507,2,FALSE())
)</f>
        <v/>
      </c>
      <c r="BF50" s="68" t="str">
        <f aca="false">IF(AU50&gt;AT$7,
    "",
    VLOOKUP(AU50,AW$8:BC$507,3,FALSE())
)</f>
        <v/>
      </c>
      <c r="BG50" s="68" t="str">
        <f aca="false">IF(AU50&gt;AT$7,
    "",
    VLOOKUP(AU50,AW$8:BC$507,4,FALSE())
)</f>
        <v/>
      </c>
      <c r="BH50" s="68" t="str">
        <f aca="false">IF(AU50&gt;AT$7,
    "",
    VLOOKUP(AU50,AW$8:BC$507,5,FALSE())
)</f>
        <v/>
      </c>
      <c r="BI50" s="69" t="str">
        <f aca="false">IF(AU50&gt;AT$7,
    "",
    VLOOKUP(AU50,AW$8:BC$507,6,FALSE())
)</f>
        <v/>
      </c>
      <c r="BJ50" s="46"/>
    </row>
    <row r="51" customFormat="false" ht="15.75" hidden="false" customHeight="false" outlineLevel="0" collapsed="false">
      <c r="A51" s="3"/>
      <c r="B51" s="108"/>
      <c r="C51" s="70"/>
      <c r="D51" s="49"/>
      <c r="E51" s="109"/>
      <c r="F51" s="72"/>
      <c r="G51" s="109"/>
      <c r="H51" s="74"/>
      <c r="I51" s="104"/>
      <c r="J51" s="74"/>
      <c r="K51" s="74"/>
      <c r="L51" s="55"/>
      <c r="M51" s="55" t="str">
        <f aca="false">IF(ISBLANK($C51),"",IF(ISBLANK(E51),0,E51))</f>
        <v/>
      </c>
      <c r="N51" s="55" t="str">
        <f aca="false">IF(ISBLANK($C51),"",IF(ISBLANK(F51),0,F51))</f>
        <v/>
      </c>
      <c r="O51" s="55" t="e">
        <f aca="false">IF(AND(NOT(ISBLANK($C51)),NOT($T51),COUNTA($E51:$K51)&gt;0),ISBLANK($F51),FALSE())</f>
        <v>#VALUE!</v>
      </c>
      <c r="P51" s="55" t="str">
        <f aca="false">IF(ISBLANK($C51),"",IF(G51=Constants!$B$9, TRUE(), IF(G51=Constants!$B$10, FALSE(), TRUE())))</f>
        <v/>
      </c>
      <c r="Q51" s="55" t="str">
        <f aca="false">IF(ISBLANK($C51),"",IF(H51=Constants!$B$9, TRUE(), IF(H51=Constants!$B$10, FALSE(), TRUE())))</f>
        <v/>
      </c>
      <c r="R51" s="55" t="str">
        <f aca="false">IF(ISBLANK($C51),"",IF(ISBLANK(I51),Constants!$B$3,I51))</f>
        <v/>
      </c>
      <c r="S51" s="55" t="str">
        <f aca="false">IF(ISBLANK($C51),"",IF(ISBLANK(J51),0,MIN(J51,Constants!$B$6)))</f>
        <v/>
      </c>
      <c r="T51" s="55" t="str">
        <f aca="false">IF(ISBLANK($C51),"",IF(K51=Constants!$B$9, TRUE(), IF(K51=Constants!$B$10, FALSE(),  FALSE())))</f>
        <v/>
      </c>
      <c r="U51" s="55" t="str">
        <f aca="false">IF(ISBLANK($C51),"",AND(R51=Constants!$B$4, S51&lt;Constants!$B$6))</f>
        <v/>
      </c>
      <c r="V51" s="55" t="str">
        <f aca="false">IF(ISBLANK(C51), "", IF(T51, Constants!$B$11, IF(COUNTA(E51:K51)=0, Constants!$B$12, IF(NOT(AND(P51,S51&lt;&gt;0)), Constants!$B$13, IF(O51, Constants!$B$15, Constants!$B$14)))))</f>
        <v/>
      </c>
      <c r="W51" s="55" t="str">
        <f aca="false">IF(OR(ISBLANK($C51), SUMPRODUCT(--(P51:T51&lt;&gt;""))=0), "", IF(V51&lt;&gt;Constants!$B$14, V51, IF(AND(NOT(ISBLANK(J51)),P51,Q51,R51&lt;&gt;Constants!$B$2), Constants!$B$7, IF(AND(P51,OR(NOT(Q51),R51=Constants!$B$2)), Constants!$B$8, "Error"))))</f>
        <v/>
      </c>
      <c r="X51" s="56" t="str">
        <f aca="false">IF(OR(W51=Constants!$B$7,W51=Constants!$B$8), MAX(0, MIN(Constants!$B$6, S51))+IF(AND(R51=Constants!$B$4, NOT(U51)), Constants!$B$5, 0), "")</f>
        <v/>
      </c>
      <c r="Y51" s="55" t="str">
        <f aca="false">IF(ISBLANK($C51),"",IF(AND(ISNUMBER(X51),N51&gt;0),X51/N51, "") )</f>
        <v/>
      </c>
      <c r="Z51" s="55" t="str">
        <f aca="false">IF(AND(NOT(ISBLANK($C51)), W51=Constants!$B$7), Y51, "")</f>
        <v/>
      </c>
      <c r="AA51" s="55" t="str">
        <f aca="false">IF(ISNUMBER(Z51), RANK(Z51,Z$8:Z$507), "")</f>
        <v/>
      </c>
      <c r="AB51" s="55" t="str">
        <f aca="false">IF(AND(NOT(ISBLANK($C51)), W51=Constants!$B$8), Y51, "")</f>
        <v/>
      </c>
      <c r="AC51" s="55" t="str">
        <f aca="false">IF(ISNUMBER(AB51), RANK(AB51,AB$8:AB$507), "")</f>
        <v/>
      </c>
      <c r="AD51" s="55" t="str">
        <f aca="false">IF(ISBLANK($C51),"",IF(V51&lt;&gt;Constants!$B$14, V51, IF(W51=Constants!$B$7, AA51, IF(W51=Constants!$B$8, COUNT($AA$8:$AA$507) + AC51, ""))))</f>
        <v/>
      </c>
      <c r="AE51" s="55" t="str">
        <f aca="false">N51</f>
        <v/>
      </c>
      <c r="AF51" s="55" t="str">
        <f aca="false">IF(ISNUMBER(AE51), RANK(AE51,AE$8:AE$507,1), "")</f>
        <v/>
      </c>
      <c r="AG51" s="57" t="str">
        <f aca="false">IF(ISBLANK(C51), "", ABS(M51-S51))</f>
        <v/>
      </c>
      <c r="AH51" s="55" t="str">
        <f aca="false">IF(ISNUMBER(AG51), RANK(AG51,AG$8:AG$507,1), "")</f>
        <v/>
      </c>
      <c r="AI51" s="55" t="str">
        <f aca="false">IF(ISBLANK(C51),"",IF(V51&lt;&gt;Constants!$B$14, V51, RANK(AD51, AD$8:AD$507, 1)+ SUMPRODUCT(--(AD$8:AD$507=AD51),--(AF51&gt;AF$8:AF$507)) + SUMPRODUCT(--(AD$8:AD$507=AD51),--(AF51=AF$8:AF$507),--(AH51&gt;AH$8:AH$507))))</f>
        <v/>
      </c>
      <c r="AJ51" s="55" t="str">
        <f aca="false">IF(ISBLANK(C51),"",IF(V51&lt;&gt;Constants!$B$14, V51, AD51-AI51))</f>
        <v/>
      </c>
      <c r="AK51" s="59"/>
      <c r="AL51" s="60" t="str">
        <f aca="false">IF(ISBLANK($C51),"",IF($V51&lt;&gt;Constants!$B$14,$V51,X51))</f>
        <v/>
      </c>
      <c r="AM51" s="60" t="str">
        <f aca="false">IF(ISBLANK($C51),"",IF($V51&lt;&gt;Constants!$B$14,$V51,N51))</f>
        <v/>
      </c>
      <c r="AN51" s="62" t="str">
        <f aca="false">IF(ISBLANK(C51),"",IF(V51&lt;&gt;Constants!$B$14, V51, IF(W51=Constants!$B$7,Z51,IF(W51=Constants!$B$8,AB51,""))))</f>
        <v/>
      </c>
      <c r="AO51" s="63" t="str">
        <f aca="false">IF(ISBLANK(C51),"",W51)</f>
        <v/>
      </c>
      <c r="AP51" s="63" t="str">
        <f aca="false">IF(ISBLANK(C51),"",AJ51)</f>
        <v/>
      </c>
      <c r="AQ51" s="63" t="str">
        <f aca="false">IF(ISBLANK(C51),"",AI51)</f>
        <v/>
      </c>
      <c r="AR51" s="64" t="str">
        <f aca="false">IF(ISBLANK(C51),
  "",
IF(AQ51=Constants!$B$11,COUNTA($C$8:$C$507)+2,IF(AQ51=Constants!$B$12,COUNTA($C$8:$C$507)+1,IF(AQ51=Constants!$B$13,COUNTA($C$8:$C$507),AQ51))))</f>
        <v/>
      </c>
      <c r="AS51" s="3"/>
      <c r="AT51" s="65" t="n">
        <f aca="false">IF(OR(ISNUMBER(AQ51),AQ51="DQ",AQ51="P",AQ51="NS"),
    1,
    0
)</f>
        <v>0</v>
      </c>
      <c r="AU51" s="65" t="n">
        <v>44</v>
      </c>
      <c r="AV51" s="65" t="str">
        <f aca="false">IF(ISBLANK($C51),
    "",
   IF(ISNUMBER(AR51),AR51+ROW($B51)/1000,"")
)</f>
        <v/>
      </c>
      <c r="AW51" s="65" t="str">
        <f aca="false">IF(ISNUMBER(AV51), RANK(AV51,AV$8:AV$507,1), "")</f>
        <v/>
      </c>
      <c r="AX51" s="65" t="str">
        <f aca="false">IF(ISBLANK($C51),
    "",
    $B51
)</f>
        <v/>
      </c>
      <c r="AY51" s="65" t="str">
        <f aca="false">IF(ISBLANK($C51),
    "",
    $C51
)</f>
        <v/>
      </c>
      <c r="AZ51" s="65" t="str">
        <f aca="false">IF(ISBLANK($C51),
    "",
    $D51
)</f>
        <v/>
      </c>
      <c r="BA51" s="65" t="str">
        <f aca="false">AO51</f>
        <v/>
      </c>
      <c r="BB51" s="66" t="str">
        <f aca="false">AN51</f>
        <v/>
      </c>
      <c r="BC51" s="65" t="str">
        <f aca="false">IF(ISBLANK($C51),
    "",
    AQ51
)</f>
        <v/>
      </c>
      <c r="BD51" s="67" t="str">
        <f aca="false">IF(AU51&gt;AT$7,
    "",
    VLOOKUP(AU51,AW$8:BC$507,7,FALSE())
)</f>
        <v/>
      </c>
      <c r="BE51" s="68" t="str">
        <f aca="false">IF(AU51&gt;AT$7,
    "",
    VLOOKUP(AU51,AW$8:BC$507,2,FALSE())
)</f>
        <v/>
      </c>
      <c r="BF51" s="68" t="str">
        <f aca="false">IF(AU51&gt;AT$7,
    "",
    VLOOKUP(AU51,AW$8:BC$507,3,FALSE())
)</f>
        <v/>
      </c>
      <c r="BG51" s="68" t="str">
        <f aca="false">IF(AU51&gt;AT$7,
    "",
    VLOOKUP(AU51,AW$8:BC$507,4,FALSE())
)</f>
        <v/>
      </c>
      <c r="BH51" s="68" t="str">
        <f aca="false">IF(AU51&gt;AT$7,
    "",
    VLOOKUP(AU51,AW$8:BC$507,5,FALSE())
)</f>
        <v/>
      </c>
      <c r="BI51" s="69" t="str">
        <f aca="false">IF(AU51&gt;AT$7,
    "",
    VLOOKUP(AU51,AW$8:BC$507,6,FALSE())
)</f>
        <v/>
      </c>
      <c r="BJ51" s="46"/>
    </row>
    <row r="52" customFormat="false" ht="15.75" hidden="false" customHeight="false" outlineLevel="0" collapsed="false">
      <c r="A52" s="3"/>
      <c r="B52" s="108"/>
      <c r="C52" s="70"/>
      <c r="D52" s="49"/>
      <c r="E52" s="109"/>
      <c r="F52" s="72"/>
      <c r="G52" s="109"/>
      <c r="H52" s="74"/>
      <c r="I52" s="104"/>
      <c r="J52" s="74"/>
      <c r="K52" s="74"/>
      <c r="L52" s="55"/>
      <c r="M52" s="55" t="str">
        <f aca="false">IF(ISBLANK($C52),"",IF(ISBLANK(E52),0,E52))</f>
        <v/>
      </c>
      <c r="N52" s="55" t="str">
        <f aca="false">IF(ISBLANK($C52),"",IF(ISBLANK(F52),0,F52))</f>
        <v/>
      </c>
      <c r="O52" s="55" t="e">
        <f aca="false">IF(AND(NOT(ISBLANK($C52)),NOT($T52),COUNTA($E52:$K52)&gt;0),ISBLANK($F52),FALSE())</f>
        <v>#VALUE!</v>
      </c>
      <c r="P52" s="55" t="str">
        <f aca="false">IF(ISBLANK($C52),"",IF(G52=Constants!$B$9, TRUE(), IF(G52=Constants!$B$10, FALSE(), TRUE())))</f>
        <v/>
      </c>
      <c r="Q52" s="55" t="str">
        <f aca="false">IF(ISBLANK($C52),"",IF(H52=Constants!$B$9, TRUE(), IF(H52=Constants!$B$10, FALSE(), TRUE())))</f>
        <v/>
      </c>
      <c r="R52" s="55" t="str">
        <f aca="false">IF(ISBLANK($C52),"",IF(ISBLANK(I52),Constants!$B$3,I52))</f>
        <v/>
      </c>
      <c r="S52" s="55" t="str">
        <f aca="false">IF(ISBLANK($C52),"",IF(ISBLANK(J52),0,MIN(J52,Constants!$B$6)))</f>
        <v/>
      </c>
      <c r="T52" s="55" t="str">
        <f aca="false">IF(ISBLANK($C52),"",IF(K52=Constants!$B$9, TRUE(), IF(K52=Constants!$B$10, FALSE(),  FALSE())))</f>
        <v/>
      </c>
      <c r="U52" s="55" t="str">
        <f aca="false">IF(ISBLANK($C52),"",AND(R52=Constants!$B$4, S52&lt;Constants!$B$6))</f>
        <v/>
      </c>
      <c r="V52" s="55" t="str">
        <f aca="false">IF(ISBLANK(C52), "", IF(T52, Constants!$B$11, IF(COUNTA(E52:K52)=0, Constants!$B$12, IF(NOT(AND(P52,S52&lt;&gt;0)), Constants!$B$13, IF(O52, Constants!$B$15, Constants!$B$14)))))</f>
        <v/>
      </c>
      <c r="W52" s="55" t="str">
        <f aca="false">IF(OR(ISBLANK($C52), SUMPRODUCT(--(P52:T52&lt;&gt;""))=0), "", IF(V52&lt;&gt;Constants!$B$14, V52, IF(AND(NOT(ISBLANK(J52)),P52,Q52,R52&lt;&gt;Constants!$B$2), Constants!$B$7, IF(AND(P52,OR(NOT(Q52),R52=Constants!$B$2)), Constants!$B$8, "Error"))))</f>
        <v/>
      </c>
      <c r="X52" s="56" t="str">
        <f aca="false">IF(OR(W52=Constants!$B$7,W52=Constants!$B$8), MAX(0, MIN(Constants!$B$6, S52))+IF(AND(R52=Constants!$B$4, NOT(U52)), Constants!$B$5, 0), "")</f>
        <v/>
      </c>
      <c r="Y52" s="55" t="str">
        <f aca="false">IF(ISBLANK($C52),"",IF(AND(ISNUMBER(X52),N52&gt;0),X52/N52, "") )</f>
        <v/>
      </c>
      <c r="Z52" s="55" t="str">
        <f aca="false">IF(AND(NOT(ISBLANK($C52)), W52=Constants!$B$7), Y52, "")</f>
        <v/>
      </c>
      <c r="AA52" s="55" t="str">
        <f aca="false">IF(ISNUMBER(Z52), RANK(Z52,Z$8:Z$507), "")</f>
        <v/>
      </c>
      <c r="AB52" s="55" t="str">
        <f aca="false">IF(AND(NOT(ISBLANK($C52)), W52=Constants!$B$8), Y52, "")</f>
        <v/>
      </c>
      <c r="AC52" s="55" t="str">
        <f aca="false">IF(ISNUMBER(AB52), RANK(AB52,AB$8:AB$507), "")</f>
        <v/>
      </c>
      <c r="AD52" s="55" t="str">
        <f aca="false">IF(ISBLANK($C52),"",IF(V52&lt;&gt;Constants!$B$14, V52, IF(W52=Constants!$B$7, AA52, IF(W52=Constants!$B$8, COUNT($AA$8:$AA$507) + AC52, ""))))</f>
        <v/>
      </c>
      <c r="AE52" s="55" t="str">
        <f aca="false">N52</f>
        <v/>
      </c>
      <c r="AF52" s="55" t="str">
        <f aca="false">IF(ISNUMBER(AE52), RANK(AE52,AE$8:AE$507,1), "")</f>
        <v/>
      </c>
      <c r="AG52" s="57" t="str">
        <f aca="false">IF(ISBLANK(C52), "", ABS(M52-S52))</f>
        <v/>
      </c>
      <c r="AH52" s="55" t="str">
        <f aca="false">IF(ISNUMBER(AG52), RANK(AG52,AG$8:AG$507,1), "")</f>
        <v/>
      </c>
      <c r="AI52" s="55" t="str">
        <f aca="false">IF(ISBLANK(C52),"",IF(V52&lt;&gt;Constants!$B$14, V52, RANK(AD52, AD$8:AD$507, 1)+ SUMPRODUCT(--(AD$8:AD$507=AD52),--(AF52&gt;AF$8:AF$507)) + SUMPRODUCT(--(AD$8:AD$507=AD52),--(AF52=AF$8:AF$507),--(AH52&gt;AH$8:AH$507))))</f>
        <v/>
      </c>
      <c r="AJ52" s="55" t="str">
        <f aca="false">IF(ISBLANK(C52),"",IF(V52&lt;&gt;Constants!$B$14, V52, AD52-AI52))</f>
        <v/>
      </c>
      <c r="AK52" s="59"/>
      <c r="AL52" s="60" t="str">
        <f aca="false">IF(ISBLANK($C52),"",IF($V52&lt;&gt;Constants!$B$14,$V52,X52))</f>
        <v/>
      </c>
      <c r="AM52" s="60" t="str">
        <f aca="false">IF(ISBLANK($C52),"",IF($V52&lt;&gt;Constants!$B$14,$V52,N52))</f>
        <v/>
      </c>
      <c r="AN52" s="62" t="str">
        <f aca="false">IF(ISBLANK(C52),"",IF(V52&lt;&gt;Constants!$B$14, V52, IF(W52=Constants!$B$7,Z52,IF(W52=Constants!$B$8,AB52,""))))</f>
        <v/>
      </c>
      <c r="AO52" s="63" t="str">
        <f aca="false">IF(ISBLANK(C52),"",W52)</f>
        <v/>
      </c>
      <c r="AP52" s="63" t="str">
        <f aca="false">IF(ISBLANK(C52),"",AJ52)</f>
        <v/>
      </c>
      <c r="AQ52" s="63" t="str">
        <f aca="false">IF(ISBLANK(C52),"",AI52)</f>
        <v/>
      </c>
      <c r="AR52" s="64" t="str">
        <f aca="false">IF(ISBLANK(C52),
  "",
IF(AQ52=Constants!$B$11,COUNTA($C$8:$C$507)+2,IF(AQ52=Constants!$B$12,COUNTA($C$8:$C$507)+1,IF(AQ52=Constants!$B$13,COUNTA($C$8:$C$507),AQ52))))</f>
        <v/>
      </c>
      <c r="AS52" s="3"/>
      <c r="AT52" s="65" t="n">
        <f aca="false">IF(OR(ISNUMBER(AQ52),AQ52="DQ",AQ52="P",AQ52="NS"),
    1,
    0
)</f>
        <v>0</v>
      </c>
      <c r="AU52" s="65" t="n">
        <v>45</v>
      </c>
      <c r="AV52" s="65" t="str">
        <f aca="false">IF(ISBLANK($C52),
    "",
   IF(ISNUMBER(AR52),AR52+ROW($B52)/1000,"")
)</f>
        <v/>
      </c>
      <c r="AW52" s="65" t="str">
        <f aca="false">IF(ISNUMBER(AV52), RANK(AV52,AV$8:AV$507,1), "")</f>
        <v/>
      </c>
      <c r="AX52" s="65" t="str">
        <f aca="false">IF(ISBLANK($C52),
    "",
    $B52
)</f>
        <v/>
      </c>
      <c r="AY52" s="65" t="str">
        <f aca="false">IF(ISBLANK($C52),
    "",
    $C52
)</f>
        <v/>
      </c>
      <c r="AZ52" s="65" t="str">
        <f aca="false">IF(ISBLANK($C52),
    "",
    $D52
)</f>
        <v/>
      </c>
      <c r="BA52" s="65" t="str">
        <f aca="false">AO52</f>
        <v/>
      </c>
      <c r="BB52" s="66" t="str">
        <f aca="false">AN52</f>
        <v/>
      </c>
      <c r="BC52" s="65" t="str">
        <f aca="false">IF(ISBLANK($C52),
    "",
    AQ52
)</f>
        <v/>
      </c>
      <c r="BD52" s="67" t="str">
        <f aca="false">IF(AU52&gt;AT$7,
    "",
    VLOOKUP(AU52,AW$8:BC$507,7,FALSE())
)</f>
        <v/>
      </c>
      <c r="BE52" s="68" t="str">
        <f aca="false">IF(AU52&gt;AT$7,
    "",
    VLOOKUP(AU52,AW$8:BC$507,2,FALSE())
)</f>
        <v/>
      </c>
      <c r="BF52" s="68" t="str">
        <f aca="false">IF(AU52&gt;AT$7,
    "",
    VLOOKUP(AU52,AW$8:BC$507,3,FALSE())
)</f>
        <v/>
      </c>
      <c r="BG52" s="68" t="str">
        <f aca="false">IF(AU52&gt;AT$7,
    "",
    VLOOKUP(AU52,AW$8:BC$507,4,FALSE())
)</f>
        <v/>
      </c>
      <c r="BH52" s="68" t="str">
        <f aca="false">IF(AU52&gt;AT$7,
    "",
    VLOOKUP(AU52,AW$8:BC$507,5,FALSE())
)</f>
        <v/>
      </c>
      <c r="BI52" s="69" t="str">
        <f aca="false">IF(AU52&gt;AT$7,
    "",
    VLOOKUP(AU52,AW$8:BC$507,6,FALSE())
)</f>
        <v/>
      </c>
      <c r="BJ52" s="46"/>
    </row>
    <row r="53" customFormat="false" ht="15.75" hidden="false" customHeight="false" outlineLevel="0" collapsed="false">
      <c r="A53" s="3"/>
      <c r="B53" s="105"/>
      <c r="C53" s="106"/>
      <c r="D53" s="99"/>
      <c r="E53" s="110"/>
      <c r="F53" s="107"/>
      <c r="G53" s="110"/>
      <c r="H53" s="103"/>
      <c r="I53" s="102"/>
      <c r="J53" s="103"/>
      <c r="K53" s="103"/>
      <c r="L53" s="85"/>
      <c r="M53" s="85" t="str">
        <f aca="false">IF(ISBLANK($C53),"",IF(ISBLANK(E53),0,E53))</f>
        <v/>
      </c>
      <c r="N53" s="85" t="str">
        <f aca="false">IF(ISBLANK($C53),"",IF(ISBLANK(F53),0,F53))</f>
        <v/>
      </c>
      <c r="O53" s="86" t="e">
        <f aca="false">IF(AND(NOT(ISBLANK($C53)),NOT($T53),COUNTA($E53:$K53)&gt;0),ISBLANK($F53),FALSE())</f>
        <v>#VALUE!</v>
      </c>
      <c r="P53" s="85" t="str">
        <f aca="false">IF(ISBLANK($C53),"",IF(G53=Constants!$B$9, TRUE(), IF(G53=Constants!$B$10, FALSE(), TRUE())))</f>
        <v/>
      </c>
      <c r="Q53" s="85" t="str">
        <f aca="false">IF(ISBLANK($C53),"",IF(H53=Constants!$B$9, TRUE(), IF(H53=Constants!$B$10, FALSE(), TRUE())))</f>
        <v/>
      </c>
      <c r="R53" s="85" t="str">
        <f aca="false">IF(ISBLANK($C53),"",IF(ISBLANK(I53),Constants!$B$3,I53))</f>
        <v/>
      </c>
      <c r="S53" s="85" t="str">
        <f aca="false">IF(ISBLANK($C53),"",IF(ISBLANK(J53),0,MIN(J53,Constants!$B$6)))</f>
        <v/>
      </c>
      <c r="T53" s="85" t="str">
        <f aca="false">IF(ISBLANK($C53),"",IF(K53=Constants!$B$9, TRUE(), IF(K53=Constants!$B$10, FALSE(),  FALSE())))</f>
        <v/>
      </c>
      <c r="U53" s="85" t="str">
        <f aca="false">IF(ISBLANK($C53),"",AND(R53=Constants!$B$4, S53&lt;Constants!$B$6))</f>
        <v/>
      </c>
      <c r="V53" s="85" t="str">
        <f aca="false">IF(ISBLANK(C53), "", IF(T53, Constants!$B$11, IF(COUNTA(E53:K53)=0, Constants!$B$12, IF(NOT(AND(P53,S53&lt;&gt;0)), Constants!$B$13, IF(O53, Constants!$B$15, Constants!$B$14)))))</f>
        <v/>
      </c>
      <c r="W53" s="85" t="str">
        <f aca="false">IF(OR(ISBLANK($C53), SUMPRODUCT(--(P53:T53&lt;&gt;""))=0), "", IF(V53&lt;&gt;Constants!$B$14, V53, IF(AND(NOT(ISBLANK(J53)),P53,Q53,R53&lt;&gt;Constants!$B$2), Constants!$B$7, IF(AND(P53,OR(NOT(Q53),R53=Constants!$B$2)), Constants!$B$8, "Error"))))</f>
        <v/>
      </c>
      <c r="X53" s="87" t="str">
        <f aca="false">IF(OR(W53=Constants!$B$7,W53=Constants!$B$8), MAX(0, MIN(Constants!$B$6, S53))+IF(AND(R53=Constants!$B$4, NOT(U53)), Constants!$B$5, 0), "")</f>
        <v/>
      </c>
      <c r="Y53" s="85" t="str">
        <f aca="false">IF(ISBLANK($C53),"",IF(AND(ISNUMBER(X53),N53&gt;0),X53/N53, "") )</f>
        <v/>
      </c>
      <c r="Z53" s="85" t="str">
        <f aca="false">IF(AND(NOT(ISBLANK($C53)), W53=Constants!$B$7), Y53, "")</f>
        <v/>
      </c>
      <c r="AA53" s="85" t="str">
        <f aca="false">IF(ISNUMBER(Z53), RANK(Z53,Z$8:Z$507), "")</f>
        <v/>
      </c>
      <c r="AB53" s="85" t="str">
        <f aca="false">IF(AND(NOT(ISBLANK($C53)), W53=Constants!$B$8), Y53, "")</f>
        <v/>
      </c>
      <c r="AC53" s="85" t="str">
        <f aca="false">IF(ISNUMBER(AB53), RANK(AB53,AB$8:AB$507), "")</f>
        <v/>
      </c>
      <c r="AD53" s="85" t="str">
        <f aca="false">IF(ISBLANK($C53),"",IF(V53&lt;&gt;Constants!$B$14, V53, IF(W53=Constants!$B$7, AA53, IF(W53=Constants!$B$8, COUNT($AA$8:$AA$507) + AC53, ""))))</f>
        <v/>
      </c>
      <c r="AE53" s="85" t="str">
        <f aca="false">N53</f>
        <v/>
      </c>
      <c r="AF53" s="85" t="str">
        <f aca="false">IF(ISNUMBER(AE53), RANK(AE53,AE$8:AE$507,1), "")</f>
        <v/>
      </c>
      <c r="AG53" s="88" t="str">
        <f aca="false">IF(ISBLANK(C53), "", ABS(M53-S53))</f>
        <v/>
      </c>
      <c r="AH53" s="85" t="str">
        <f aca="false">IF(ISNUMBER(AG53), RANK(AG53,AG$8:AG$507,1), "")</f>
        <v/>
      </c>
      <c r="AI53" s="85" t="str">
        <f aca="false">IF(ISBLANK(C53),"",IF(V53&lt;&gt;Constants!$B$14, V53, RANK(AD53, AD$8:AD$507, 1)+ SUMPRODUCT(--(AD$8:AD$507=AD53),--(AF53&gt;AF$8:AF$507)) + SUMPRODUCT(--(AD$8:AD$507=AD53),--(AF53=AF$8:AF$507),--(AH53&gt;AH$8:AH$507))))</f>
        <v/>
      </c>
      <c r="AJ53" s="85" t="str">
        <f aca="false">IF(ISBLANK(C53),"",IF(V53&lt;&gt;Constants!$B$14, V53, AD53-AI53))</f>
        <v/>
      </c>
      <c r="AK53" s="89"/>
      <c r="AL53" s="90" t="str">
        <f aca="false">IF(ISBLANK($C53),"",IF($V53&lt;&gt;Constants!$B$14,$V53,X53))</f>
        <v/>
      </c>
      <c r="AM53" s="90" t="str">
        <f aca="false">IF(ISBLANK($C53),"",IF($V53&lt;&gt;Constants!$B$14,$V53,N53))</f>
        <v/>
      </c>
      <c r="AN53" s="91" t="str">
        <f aca="false">IF(ISBLANK(C53),"",IF(V53&lt;&gt;Constants!$B$14, V53, IF(W53=Constants!$B$7,Z53,IF(W53=Constants!$B$8,AB53,""))))</f>
        <v/>
      </c>
      <c r="AO53" s="92" t="str">
        <f aca="false">IF(ISBLANK(C53),"",W53)</f>
        <v/>
      </c>
      <c r="AP53" s="92" t="str">
        <f aca="false">IF(ISBLANK(C53),"",AJ53)</f>
        <v/>
      </c>
      <c r="AQ53" s="92" t="str">
        <f aca="false">IF(ISBLANK(C53),"",AI53)</f>
        <v/>
      </c>
      <c r="AR53" s="93" t="str">
        <f aca="false">IF(ISBLANK(C53),
  "",
IF(AQ53=Constants!$B$11,COUNTA($C$8:$C$507)+2,IF(AQ53=Constants!$B$12,COUNTA($C$8:$C$507)+1,IF(AQ53=Constants!$B$13,COUNTA($C$8:$C$507),AQ53))))</f>
        <v/>
      </c>
      <c r="AS53" s="3"/>
      <c r="AT53" s="94" t="n">
        <f aca="false">IF(OR(ISNUMBER(AQ53),AQ53="DQ",AQ53="P",AQ53="NS"),
    1,
    0
)</f>
        <v>0</v>
      </c>
      <c r="AU53" s="94" t="n">
        <v>46</v>
      </c>
      <c r="AV53" s="94" t="str">
        <f aca="false">IF(ISBLANK($C53),
    "",
   IF(ISNUMBER(AR53),AR53+ROW($B53)/1000,"")
)</f>
        <v/>
      </c>
      <c r="AW53" s="94" t="str">
        <f aca="false">IF(ISNUMBER(AV53), RANK(AV53,AV$8:AV$507,1), "")</f>
        <v/>
      </c>
      <c r="AX53" s="94" t="str">
        <f aca="false">IF(ISBLANK($C53),
    "",
    $B53
)</f>
        <v/>
      </c>
      <c r="AY53" s="94" t="str">
        <f aca="false">IF(ISBLANK($C53),
    "",
    $C53
)</f>
        <v/>
      </c>
      <c r="AZ53" s="94" t="str">
        <f aca="false">IF(ISBLANK($C53),
    "",
    $D53
)</f>
        <v/>
      </c>
      <c r="BA53" s="94" t="str">
        <f aca="false">AO53</f>
        <v/>
      </c>
      <c r="BB53" s="95" t="str">
        <f aca="false">AN53</f>
        <v/>
      </c>
      <c r="BC53" s="94" t="str">
        <f aca="false">IF(ISBLANK($C53),
    "",
    AQ53
)</f>
        <v/>
      </c>
      <c r="BD53" s="96" t="str">
        <f aca="false">IF(AU53&gt;AT$7,
    "",
    VLOOKUP(AU53,AW$8:BC$507,7,FALSE())
)</f>
        <v/>
      </c>
      <c r="BE53" s="97" t="str">
        <f aca="false">IF(AU53&gt;AT$7,
    "",
    VLOOKUP(AU53,AW$8:BC$507,2,FALSE())
)</f>
        <v/>
      </c>
      <c r="BF53" s="97" t="str">
        <f aca="false">IF(AU53&gt;AT$7,
    "",
    VLOOKUP(AU53,AW$8:BC$507,3,FALSE())
)</f>
        <v/>
      </c>
      <c r="BG53" s="97" t="str">
        <f aca="false">IF(AU53&gt;AT$7,
    "",
    VLOOKUP(AU53,AW$8:BC$507,4,FALSE())
)</f>
        <v/>
      </c>
      <c r="BH53" s="97" t="str">
        <f aca="false">IF(AU53&gt;AT$7,
    "",
    VLOOKUP(AU53,AW$8:BC$507,5,FALSE())
)</f>
        <v/>
      </c>
      <c r="BI53" s="98" t="str">
        <f aca="false">IF(AU53&gt;AT$7,
    "",
    VLOOKUP(AU53,AW$8:BC$507,6,FALSE())
)</f>
        <v/>
      </c>
      <c r="BJ53" s="46"/>
    </row>
    <row r="54" customFormat="false" ht="15.75" hidden="false" customHeight="false" outlineLevel="0" collapsed="false">
      <c r="A54" s="3"/>
      <c r="B54" s="105"/>
      <c r="C54" s="106"/>
      <c r="D54" s="99"/>
      <c r="E54" s="110"/>
      <c r="F54" s="107"/>
      <c r="G54" s="110"/>
      <c r="H54" s="103"/>
      <c r="I54" s="102"/>
      <c r="J54" s="103"/>
      <c r="K54" s="103"/>
      <c r="L54" s="85"/>
      <c r="M54" s="85" t="str">
        <f aca="false">IF(ISBLANK($C54),"",IF(ISBLANK(E54),0,E54))</f>
        <v/>
      </c>
      <c r="N54" s="85" t="str">
        <f aca="false">IF(ISBLANK($C54),"",IF(ISBLANK(F54),0,F54))</f>
        <v/>
      </c>
      <c r="O54" s="86" t="e">
        <f aca="false">IF(AND(NOT(ISBLANK($C54)),NOT($T54),COUNTA($E54:$K54)&gt;0),ISBLANK($F54),FALSE())</f>
        <v>#VALUE!</v>
      </c>
      <c r="P54" s="85" t="str">
        <f aca="false">IF(ISBLANK($C54),"",IF(G54=Constants!$B$9, TRUE(), IF(G54=Constants!$B$10, FALSE(), TRUE())))</f>
        <v/>
      </c>
      <c r="Q54" s="85" t="str">
        <f aca="false">IF(ISBLANK($C54),"",IF(H54=Constants!$B$9, TRUE(), IF(H54=Constants!$B$10, FALSE(), TRUE())))</f>
        <v/>
      </c>
      <c r="R54" s="85" t="str">
        <f aca="false">IF(ISBLANK($C54),"",IF(ISBLANK(I54),Constants!$B$3,I54))</f>
        <v/>
      </c>
      <c r="S54" s="85" t="str">
        <f aca="false">IF(ISBLANK($C54),"",IF(ISBLANK(J54),0,MIN(J54,Constants!$B$6)))</f>
        <v/>
      </c>
      <c r="T54" s="85" t="str">
        <f aca="false">IF(ISBLANK($C54),"",IF(K54=Constants!$B$9, TRUE(), IF(K54=Constants!$B$10, FALSE(),  FALSE())))</f>
        <v/>
      </c>
      <c r="U54" s="85" t="str">
        <f aca="false">IF(ISBLANK($C54),"",AND(R54=Constants!$B$4, S54&lt;Constants!$B$6))</f>
        <v/>
      </c>
      <c r="V54" s="85" t="str">
        <f aca="false">IF(ISBLANK(C54), "", IF(T54, Constants!$B$11, IF(COUNTA(E54:K54)=0, Constants!$B$12, IF(NOT(AND(P54,S54&lt;&gt;0)), Constants!$B$13, IF(O54, Constants!$B$15, Constants!$B$14)))))</f>
        <v/>
      </c>
      <c r="W54" s="85" t="str">
        <f aca="false">IF(OR(ISBLANK($C54), SUMPRODUCT(--(P54:T54&lt;&gt;""))=0), "", IF(V54&lt;&gt;Constants!$B$14, V54, IF(AND(NOT(ISBLANK(J54)),P54,Q54,R54&lt;&gt;Constants!$B$2), Constants!$B$7, IF(AND(P54,OR(NOT(Q54),R54=Constants!$B$2)), Constants!$B$8, "Error"))))</f>
        <v/>
      </c>
      <c r="X54" s="87" t="str">
        <f aca="false">IF(OR(W54=Constants!$B$7,W54=Constants!$B$8), MAX(0, MIN(Constants!$B$6, S54))+IF(AND(R54=Constants!$B$4, NOT(U54)), Constants!$B$5, 0), "")</f>
        <v/>
      </c>
      <c r="Y54" s="85" t="str">
        <f aca="false">IF(ISBLANK($C54),"",IF(AND(ISNUMBER(X54),N54&gt;0),X54/N54, "") )</f>
        <v/>
      </c>
      <c r="Z54" s="85" t="str">
        <f aca="false">IF(AND(NOT(ISBLANK($C54)), W54=Constants!$B$7), Y54, "")</f>
        <v/>
      </c>
      <c r="AA54" s="85" t="str">
        <f aca="false">IF(ISNUMBER(Z54), RANK(Z54,Z$8:Z$507), "")</f>
        <v/>
      </c>
      <c r="AB54" s="85" t="str">
        <f aca="false">IF(AND(NOT(ISBLANK($C54)), W54=Constants!$B$8), Y54, "")</f>
        <v/>
      </c>
      <c r="AC54" s="85" t="str">
        <f aca="false">IF(ISNUMBER(AB54), RANK(AB54,AB$8:AB$507), "")</f>
        <v/>
      </c>
      <c r="AD54" s="85" t="str">
        <f aca="false">IF(ISBLANK($C54),"",IF(V54&lt;&gt;Constants!$B$14, V54, IF(W54=Constants!$B$7, AA54, IF(W54=Constants!$B$8, COUNT($AA$8:$AA$507) + AC54, ""))))</f>
        <v/>
      </c>
      <c r="AE54" s="85" t="str">
        <f aca="false">N54</f>
        <v/>
      </c>
      <c r="AF54" s="85" t="str">
        <f aca="false">IF(ISNUMBER(AE54), RANK(AE54,AE$8:AE$507,1), "")</f>
        <v/>
      </c>
      <c r="AG54" s="88" t="str">
        <f aca="false">IF(ISBLANK(C54), "", ABS(M54-S54))</f>
        <v/>
      </c>
      <c r="AH54" s="85" t="str">
        <f aca="false">IF(ISNUMBER(AG54), RANK(AG54,AG$8:AG$507,1), "")</f>
        <v/>
      </c>
      <c r="AI54" s="85" t="str">
        <f aca="false">IF(ISBLANK(C54),"",IF(V54&lt;&gt;Constants!$B$14, V54, RANK(AD54, AD$8:AD$507, 1)+ SUMPRODUCT(--(AD$8:AD$507=AD54),--(AF54&gt;AF$8:AF$507)) + SUMPRODUCT(--(AD$8:AD$507=AD54),--(AF54=AF$8:AF$507),--(AH54&gt;AH$8:AH$507))))</f>
        <v/>
      </c>
      <c r="AJ54" s="85" t="str">
        <f aca="false">IF(ISBLANK(C54),"",IF(V54&lt;&gt;Constants!$B$14, V54, AD54-AI54))</f>
        <v/>
      </c>
      <c r="AK54" s="89"/>
      <c r="AL54" s="90" t="str">
        <f aca="false">IF(ISBLANK($C54),"",IF($V54&lt;&gt;Constants!$B$14,$V54,X54))</f>
        <v/>
      </c>
      <c r="AM54" s="90" t="str">
        <f aca="false">IF(ISBLANK($C54),"",IF($V54&lt;&gt;Constants!$B$14,$V54,N54))</f>
        <v/>
      </c>
      <c r="AN54" s="91" t="str">
        <f aca="false">IF(ISBLANK(C54),"",IF(V54&lt;&gt;Constants!$B$14, V54, IF(W54=Constants!$B$7,Z54,IF(W54=Constants!$B$8,AB54,""))))</f>
        <v/>
      </c>
      <c r="AO54" s="92" t="str">
        <f aca="false">IF(ISBLANK(C54),"",W54)</f>
        <v/>
      </c>
      <c r="AP54" s="92" t="str">
        <f aca="false">IF(ISBLANK(C54),"",AJ54)</f>
        <v/>
      </c>
      <c r="AQ54" s="92" t="str">
        <f aca="false">IF(ISBLANK(C54),"",AI54)</f>
        <v/>
      </c>
      <c r="AR54" s="93" t="str">
        <f aca="false">IF(ISBLANK(C54),
  "",
IF(AQ54=Constants!$B$11,COUNTA($C$8:$C$507)+2,IF(AQ54=Constants!$B$12,COUNTA($C$8:$C$507)+1,IF(AQ54=Constants!$B$13,COUNTA($C$8:$C$507),AQ54))))</f>
        <v/>
      </c>
      <c r="AS54" s="3"/>
      <c r="AT54" s="94" t="n">
        <f aca="false">IF(OR(ISNUMBER(AQ54),AQ54="DQ",AQ54="P",AQ54="NS"),
    1,
    0
)</f>
        <v>0</v>
      </c>
      <c r="AU54" s="94" t="n">
        <v>47</v>
      </c>
      <c r="AV54" s="94" t="str">
        <f aca="false">IF(ISBLANK($C54),
    "",
   IF(ISNUMBER(AR54),AR54+ROW($B54)/1000,"")
)</f>
        <v/>
      </c>
      <c r="AW54" s="94" t="str">
        <f aca="false">IF(ISNUMBER(AV54), RANK(AV54,AV$8:AV$507,1), "")</f>
        <v/>
      </c>
      <c r="AX54" s="94" t="str">
        <f aca="false">IF(ISBLANK($C54),
    "",
    $B54
)</f>
        <v/>
      </c>
      <c r="AY54" s="94" t="str">
        <f aca="false">IF(ISBLANK($C54),
    "",
    $C54
)</f>
        <v/>
      </c>
      <c r="AZ54" s="94" t="str">
        <f aca="false">IF(ISBLANK($C54),
    "",
    $D54
)</f>
        <v/>
      </c>
      <c r="BA54" s="94" t="str">
        <f aca="false">AO54</f>
        <v/>
      </c>
      <c r="BB54" s="95" t="str">
        <f aca="false">AN54</f>
        <v/>
      </c>
      <c r="BC54" s="94" t="str">
        <f aca="false">IF(ISBLANK($C54),
    "",
    AQ54
)</f>
        <v/>
      </c>
      <c r="BD54" s="96" t="str">
        <f aca="false">IF(AU54&gt;AT$7,
    "",
    VLOOKUP(AU54,AW$8:BC$507,7,FALSE())
)</f>
        <v/>
      </c>
      <c r="BE54" s="97" t="str">
        <f aca="false">IF(AU54&gt;AT$7,
    "",
    VLOOKUP(AU54,AW$8:BC$507,2,FALSE())
)</f>
        <v/>
      </c>
      <c r="BF54" s="97" t="str">
        <f aca="false">IF(AU54&gt;AT$7,
    "",
    VLOOKUP(AU54,AW$8:BC$507,3,FALSE())
)</f>
        <v/>
      </c>
      <c r="BG54" s="97" t="str">
        <f aca="false">IF(AU54&gt;AT$7,
    "",
    VLOOKUP(AU54,AW$8:BC$507,4,FALSE())
)</f>
        <v/>
      </c>
      <c r="BH54" s="97" t="str">
        <f aca="false">IF(AU54&gt;AT$7,
    "",
    VLOOKUP(AU54,AW$8:BC$507,5,FALSE())
)</f>
        <v/>
      </c>
      <c r="BI54" s="98" t="str">
        <f aca="false">IF(AU54&gt;AT$7,
    "",
    VLOOKUP(AU54,AW$8:BC$507,6,FALSE())
)</f>
        <v/>
      </c>
      <c r="BJ54" s="46"/>
    </row>
    <row r="55" customFormat="false" ht="15.75" hidden="false" customHeight="false" outlineLevel="0" collapsed="false">
      <c r="A55" s="3"/>
      <c r="B55" s="105"/>
      <c r="C55" s="106"/>
      <c r="D55" s="99"/>
      <c r="E55" s="110"/>
      <c r="F55" s="107"/>
      <c r="G55" s="110"/>
      <c r="H55" s="103"/>
      <c r="I55" s="102"/>
      <c r="J55" s="103"/>
      <c r="K55" s="103"/>
      <c r="L55" s="85"/>
      <c r="M55" s="85" t="str">
        <f aca="false">IF(ISBLANK($C55),"",IF(ISBLANK(E55),0,E55))</f>
        <v/>
      </c>
      <c r="N55" s="85" t="str">
        <f aca="false">IF(ISBLANK($C55),"",IF(ISBLANK(F55),0,F55))</f>
        <v/>
      </c>
      <c r="O55" s="86" t="e">
        <f aca="false">IF(AND(NOT(ISBLANK($C55)),NOT($T55),COUNTA($E55:$K55)&gt;0),ISBLANK($F55),FALSE())</f>
        <v>#VALUE!</v>
      </c>
      <c r="P55" s="85" t="str">
        <f aca="false">IF(ISBLANK($C55),"",IF(G55=Constants!$B$9, TRUE(), IF(G55=Constants!$B$10, FALSE(), TRUE())))</f>
        <v/>
      </c>
      <c r="Q55" s="85" t="str">
        <f aca="false">IF(ISBLANK($C55),"",IF(H55=Constants!$B$9, TRUE(), IF(H55=Constants!$B$10, FALSE(), TRUE())))</f>
        <v/>
      </c>
      <c r="R55" s="85" t="str">
        <f aca="false">IF(ISBLANK($C55),"",IF(ISBLANK(I55),Constants!$B$3,I55))</f>
        <v/>
      </c>
      <c r="S55" s="85" t="str">
        <f aca="false">IF(ISBLANK($C55),"",IF(ISBLANK(J55),0,MIN(J55,Constants!$B$6)))</f>
        <v/>
      </c>
      <c r="T55" s="85" t="str">
        <f aca="false">IF(ISBLANK($C55),"",IF(K55=Constants!$B$9, TRUE(), IF(K55=Constants!$B$10, FALSE(),  FALSE())))</f>
        <v/>
      </c>
      <c r="U55" s="85" t="str">
        <f aca="false">IF(ISBLANK($C55),"",AND(R55=Constants!$B$4, S55&lt;Constants!$B$6))</f>
        <v/>
      </c>
      <c r="V55" s="85" t="str">
        <f aca="false">IF(ISBLANK(C55), "", IF(T55, Constants!$B$11, IF(COUNTA(E55:K55)=0, Constants!$B$12, IF(NOT(AND(P55,S55&lt;&gt;0)), Constants!$B$13, IF(O55, Constants!$B$15, Constants!$B$14)))))</f>
        <v/>
      </c>
      <c r="W55" s="85" t="str">
        <f aca="false">IF(OR(ISBLANK($C55), SUMPRODUCT(--(P55:T55&lt;&gt;""))=0), "", IF(V55&lt;&gt;Constants!$B$14, V55, IF(AND(NOT(ISBLANK(J55)),P55,Q55,R55&lt;&gt;Constants!$B$2), Constants!$B$7, IF(AND(P55,OR(NOT(Q55),R55=Constants!$B$2)), Constants!$B$8, "Error"))))</f>
        <v/>
      </c>
      <c r="X55" s="87" t="str">
        <f aca="false">IF(OR(W55=Constants!$B$7,W55=Constants!$B$8), MAX(0, MIN(Constants!$B$6, S55))+IF(AND(R55=Constants!$B$4, NOT(U55)), Constants!$B$5, 0), "")</f>
        <v/>
      </c>
      <c r="Y55" s="85" t="str">
        <f aca="false">IF(ISBLANK($C55),"",IF(AND(ISNUMBER(X55),N55&gt;0),X55/N55, "") )</f>
        <v/>
      </c>
      <c r="Z55" s="85" t="str">
        <f aca="false">IF(AND(NOT(ISBLANK($C55)), W55=Constants!$B$7), Y55, "")</f>
        <v/>
      </c>
      <c r="AA55" s="85" t="str">
        <f aca="false">IF(ISNUMBER(Z55), RANK(Z55,Z$8:Z$507), "")</f>
        <v/>
      </c>
      <c r="AB55" s="85" t="str">
        <f aca="false">IF(AND(NOT(ISBLANK($C55)), W55=Constants!$B$8), Y55, "")</f>
        <v/>
      </c>
      <c r="AC55" s="85" t="str">
        <f aca="false">IF(ISNUMBER(AB55), RANK(AB55,AB$8:AB$507), "")</f>
        <v/>
      </c>
      <c r="AD55" s="85" t="str">
        <f aca="false">IF(ISBLANK($C55),"",IF(V55&lt;&gt;Constants!$B$14, V55, IF(W55=Constants!$B$7, AA55, IF(W55=Constants!$B$8, COUNT($AA$8:$AA$507) + AC55, ""))))</f>
        <v/>
      </c>
      <c r="AE55" s="85" t="str">
        <f aca="false">N55</f>
        <v/>
      </c>
      <c r="AF55" s="85" t="str">
        <f aca="false">IF(ISNUMBER(AE55), RANK(AE55,AE$8:AE$507,1), "")</f>
        <v/>
      </c>
      <c r="AG55" s="88" t="str">
        <f aca="false">IF(ISBLANK(C55), "", ABS(M55-S55))</f>
        <v/>
      </c>
      <c r="AH55" s="85" t="str">
        <f aca="false">IF(ISNUMBER(AG55), RANK(AG55,AG$8:AG$507,1), "")</f>
        <v/>
      </c>
      <c r="AI55" s="85" t="str">
        <f aca="false">IF(ISBLANK(C55),"",IF(V55&lt;&gt;Constants!$B$14, V55, RANK(AD55, AD$8:AD$507, 1)+ SUMPRODUCT(--(AD$8:AD$507=AD55),--(AF55&gt;AF$8:AF$507)) + SUMPRODUCT(--(AD$8:AD$507=AD55),--(AF55=AF$8:AF$507),--(AH55&gt;AH$8:AH$507))))</f>
        <v/>
      </c>
      <c r="AJ55" s="85" t="str">
        <f aca="false">IF(ISBLANK(C55),"",IF(V55&lt;&gt;Constants!$B$14, V55, AD55-AI55))</f>
        <v/>
      </c>
      <c r="AK55" s="89"/>
      <c r="AL55" s="90" t="str">
        <f aca="false">IF(ISBLANK($C55),"",IF($V55&lt;&gt;Constants!$B$14,$V55,X55))</f>
        <v/>
      </c>
      <c r="AM55" s="90" t="str">
        <f aca="false">IF(ISBLANK($C55),"",IF($V55&lt;&gt;Constants!$B$14,$V55,N55))</f>
        <v/>
      </c>
      <c r="AN55" s="91" t="str">
        <f aca="false">IF(ISBLANK(C55),"",IF(V55&lt;&gt;Constants!$B$14, V55, IF(W55=Constants!$B$7,Z55,IF(W55=Constants!$B$8,AB55,""))))</f>
        <v/>
      </c>
      <c r="AO55" s="92" t="str">
        <f aca="false">IF(ISBLANK(C55),"",W55)</f>
        <v/>
      </c>
      <c r="AP55" s="92" t="str">
        <f aca="false">IF(ISBLANK(C55),"",AJ55)</f>
        <v/>
      </c>
      <c r="AQ55" s="92" t="str">
        <f aca="false">IF(ISBLANK(C55),"",AI55)</f>
        <v/>
      </c>
      <c r="AR55" s="93" t="str">
        <f aca="false">IF(ISBLANK(C55),
  "",
IF(AQ55=Constants!$B$11,COUNTA($C$8:$C$507)+2,IF(AQ55=Constants!$B$12,COUNTA($C$8:$C$507)+1,IF(AQ55=Constants!$B$13,COUNTA($C$8:$C$507),AQ55))))</f>
        <v/>
      </c>
      <c r="AS55" s="3"/>
      <c r="AT55" s="94" t="n">
        <f aca="false">IF(OR(ISNUMBER(AQ55),AQ55="DQ",AQ55="P",AQ55="NS"),
    1,
    0
)</f>
        <v>0</v>
      </c>
      <c r="AU55" s="94" t="n">
        <v>48</v>
      </c>
      <c r="AV55" s="94" t="str">
        <f aca="false">IF(ISBLANK($C55),
    "",
   IF(ISNUMBER(AR55),AR55+ROW($B55)/1000,"")
)</f>
        <v/>
      </c>
      <c r="AW55" s="94" t="str">
        <f aca="false">IF(ISNUMBER(AV55), RANK(AV55,AV$8:AV$507,1), "")</f>
        <v/>
      </c>
      <c r="AX55" s="94" t="str">
        <f aca="false">IF(ISBLANK($C55),
    "",
    $B55
)</f>
        <v/>
      </c>
      <c r="AY55" s="94" t="str">
        <f aca="false">IF(ISBLANK($C55),
    "",
    $C55
)</f>
        <v/>
      </c>
      <c r="AZ55" s="94" t="str">
        <f aca="false">IF(ISBLANK($C55),
    "",
    $D55
)</f>
        <v/>
      </c>
      <c r="BA55" s="94" t="str">
        <f aca="false">AO55</f>
        <v/>
      </c>
      <c r="BB55" s="95" t="str">
        <f aca="false">AN55</f>
        <v/>
      </c>
      <c r="BC55" s="94" t="str">
        <f aca="false">IF(ISBLANK($C55),
    "",
    AQ55
)</f>
        <v/>
      </c>
      <c r="BD55" s="96" t="str">
        <f aca="false">IF(AU55&gt;AT$7,
    "",
    VLOOKUP(AU55,AW$8:BC$507,7,FALSE())
)</f>
        <v/>
      </c>
      <c r="BE55" s="97" t="str">
        <f aca="false">IF(AU55&gt;AT$7,
    "",
    VLOOKUP(AU55,AW$8:BC$507,2,FALSE())
)</f>
        <v/>
      </c>
      <c r="BF55" s="97" t="str">
        <f aca="false">IF(AU55&gt;AT$7,
    "",
    VLOOKUP(AU55,AW$8:BC$507,3,FALSE())
)</f>
        <v/>
      </c>
      <c r="BG55" s="97" t="str">
        <f aca="false">IF(AU55&gt;AT$7,
    "",
    VLOOKUP(AU55,AW$8:BC$507,4,FALSE())
)</f>
        <v/>
      </c>
      <c r="BH55" s="97" t="str">
        <f aca="false">IF(AU55&gt;AT$7,
    "",
    VLOOKUP(AU55,AW$8:BC$507,5,FALSE())
)</f>
        <v/>
      </c>
      <c r="BI55" s="98" t="str">
        <f aca="false">IF(AU55&gt;AT$7,
    "",
    VLOOKUP(AU55,AW$8:BC$507,6,FALSE())
)</f>
        <v/>
      </c>
      <c r="BJ55" s="46"/>
    </row>
    <row r="56" customFormat="false" ht="15.75" hidden="false" customHeight="false" outlineLevel="0" collapsed="false">
      <c r="A56" s="3"/>
      <c r="B56" s="108"/>
      <c r="C56" s="70"/>
      <c r="D56" s="49"/>
      <c r="E56" s="109"/>
      <c r="F56" s="72"/>
      <c r="G56" s="109"/>
      <c r="H56" s="74"/>
      <c r="I56" s="104"/>
      <c r="J56" s="74"/>
      <c r="K56" s="74"/>
      <c r="L56" s="55"/>
      <c r="M56" s="55" t="str">
        <f aca="false">IF(ISBLANK($C56),"",IF(ISBLANK(E56),0,E56))</f>
        <v/>
      </c>
      <c r="N56" s="55" t="str">
        <f aca="false">IF(ISBLANK($C56),"",IF(ISBLANK(F56),0,F56))</f>
        <v/>
      </c>
      <c r="O56" s="55" t="e">
        <f aca="false">IF(AND(NOT(ISBLANK($C56)),NOT($T56),COUNTA($E56:$K56)&gt;0),ISBLANK($F56),FALSE())</f>
        <v>#VALUE!</v>
      </c>
      <c r="P56" s="55" t="str">
        <f aca="false">IF(ISBLANK($C56),"",IF(G56=Constants!$B$9, TRUE(), IF(G56=Constants!$B$10, FALSE(), TRUE())))</f>
        <v/>
      </c>
      <c r="Q56" s="55" t="str">
        <f aca="false">IF(ISBLANK($C56),"",IF(H56=Constants!$B$9, TRUE(), IF(H56=Constants!$B$10, FALSE(), TRUE())))</f>
        <v/>
      </c>
      <c r="R56" s="55" t="str">
        <f aca="false">IF(ISBLANK($C56),"",IF(ISBLANK(I56),Constants!$B$3,I56))</f>
        <v/>
      </c>
      <c r="S56" s="55" t="str">
        <f aca="false">IF(ISBLANK($C56),"",IF(ISBLANK(J56),0,MIN(J56,Constants!$B$6)))</f>
        <v/>
      </c>
      <c r="T56" s="55" t="str">
        <f aca="false">IF(ISBLANK($C56),"",IF(K56=Constants!$B$9, TRUE(), IF(K56=Constants!$B$10, FALSE(),  FALSE())))</f>
        <v/>
      </c>
      <c r="U56" s="55" t="str">
        <f aca="false">IF(ISBLANK($C56),"",AND(R56=Constants!$B$4, S56&lt;Constants!$B$6))</f>
        <v/>
      </c>
      <c r="V56" s="55" t="str">
        <f aca="false">IF(ISBLANK(C56), "", IF(T56, Constants!$B$11, IF(COUNTA(E56:K56)=0, Constants!$B$12, IF(NOT(AND(P56,S56&lt;&gt;0)), Constants!$B$13, IF(O56, Constants!$B$15, Constants!$B$14)))))</f>
        <v/>
      </c>
      <c r="W56" s="55" t="str">
        <f aca="false">IF(OR(ISBLANK($C56), SUMPRODUCT(--(P56:T56&lt;&gt;""))=0), "", IF(V56&lt;&gt;Constants!$B$14, V56, IF(AND(NOT(ISBLANK(J56)),P56,Q56,R56&lt;&gt;Constants!$B$2), Constants!$B$7, IF(AND(P56,OR(NOT(Q56),R56=Constants!$B$2)), Constants!$B$8, "Error"))))</f>
        <v/>
      </c>
      <c r="X56" s="56" t="str">
        <f aca="false">IF(OR(W56=Constants!$B$7,W56=Constants!$B$8), MAX(0, MIN(Constants!$B$6, S56))+IF(AND(R56=Constants!$B$4, NOT(U56)), Constants!$B$5, 0), "")</f>
        <v/>
      </c>
      <c r="Y56" s="55" t="str">
        <f aca="false">IF(ISBLANK($C56),"",IF(AND(ISNUMBER(X56),N56&gt;0),X56/N56, "") )</f>
        <v/>
      </c>
      <c r="Z56" s="55" t="str">
        <f aca="false">IF(AND(NOT(ISBLANK($C56)), W56=Constants!$B$7), Y56, "")</f>
        <v/>
      </c>
      <c r="AA56" s="55" t="str">
        <f aca="false">IF(ISNUMBER(Z56), RANK(Z56,Z$8:Z$507), "")</f>
        <v/>
      </c>
      <c r="AB56" s="55" t="str">
        <f aca="false">IF(AND(NOT(ISBLANK($C56)), W56=Constants!$B$8), Y56, "")</f>
        <v/>
      </c>
      <c r="AC56" s="55" t="str">
        <f aca="false">IF(ISNUMBER(AB56), RANK(AB56,AB$8:AB$507), "")</f>
        <v/>
      </c>
      <c r="AD56" s="55" t="str">
        <f aca="false">IF(ISBLANK($C56),"",IF(V56&lt;&gt;Constants!$B$14, V56, IF(W56=Constants!$B$7, AA56, IF(W56=Constants!$B$8, COUNT($AA$8:$AA$507) + AC56, ""))))</f>
        <v/>
      </c>
      <c r="AE56" s="55" t="str">
        <f aca="false">N56</f>
        <v/>
      </c>
      <c r="AF56" s="55" t="str">
        <f aca="false">IF(ISNUMBER(AE56), RANK(AE56,AE$8:AE$507,1), "")</f>
        <v/>
      </c>
      <c r="AG56" s="57" t="str">
        <f aca="false">IF(ISBLANK(C56), "", ABS(M56-S56))</f>
        <v/>
      </c>
      <c r="AH56" s="55" t="str">
        <f aca="false">IF(ISNUMBER(AG56), RANK(AG56,AG$8:AG$507,1), "")</f>
        <v/>
      </c>
      <c r="AI56" s="55" t="str">
        <f aca="false">IF(ISBLANK(C56),"",IF(V56&lt;&gt;Constants!$B$14, V56, RANK(AD56, AD$8:AD$507, 1)+ SUMPRODUCT(--(AD$8:AD$507=AD56),--(AF56&gt;AF$8:AF$507)) + SUMPRODUCT(--(AD$8:AD$507=AD56),--(AF56=AF$8:AF$507),--(AH56&gt;AH$8:AH$507))))</f>
        <v/>
      </c>
      <c r="AJ56" s="55" t="str">
        <f aca="false">IF(ISBLANK(C56),"",IF(V56&lt;&gt;Constants!$B$14, V56, AD56-AI56))</f>
        <v/>
      </c>
      <c r="AK56" s="59"/>
      <c r="AL56" s="60" t="str">
        <f aca="false">IF(ISBLANK($C56),"",IF($V56&lt;&gt;Constants!$B$14,$V56,X56))</f>
        <v/>
      </c>
      <c r="AM56" s="60" t="str">
        <f aca="false">IF(ISBLANK($C56),"",IF($V56&lt;&gt;Constants!$B$14,$V56,N56))</f>
        <v/>
      </c>
      <c r="AN56" s="62" t="str">
        <f aca="false">IF(ISBLANK(C56),"",IF(V56&lt;&gt;Constants!$B$14, V56, IF(W56=Constants!$B$7,Z56,IF(W56=Constants!$B$8,AB56,""))))</f>
        <v/>
      </c>
      <c r="AO56" s="63" t="str">
        <f aca="false">IF(ISBLANK(C56),"",W56)</f>
        <v/>
      </c>
      <c r="AP56" s="63" t="str">
        <f aca="false">IF(ISBLANK(C56),"",AJ56)</f>
        <v/>
      </c>
      <c r="AQ56" s="63" t="str">
        <f aca="false">IF(ISBLANK(C56),"",AI56)</f>
        <v/>
      </c>
      <c r="AR56" s="64" t="str">
        <f aca="false">IF(ISBLANK(C56),
  "",
IF(AQ56=Constants!$B$11,COUNTA($C$8:$C$507)+2,IF(AQ56=Constants!$B$12,COUNTA($C$8:$C$507)+1,IF(AQ56=Constants!$B$13,COUNTA($C$8:$C$507),AQ56))))</f>
        <v/>
      </c>
      <c r="AS56" s="3"/>
      <c r="AT56" s="65" t="n">
        <f aca="false">IF(OR(ISNUMBER(AQ56),AQ56="DQ",AQ56="P",AQ56="NS"),
    1,
    0
)</f>
        <v>0</v>
      </c>
      <c r="AU56" s="65" t="n">
        <v>49</v>
      </c>
      <c r="AV56" s="65" t="str">
        <f aca="false">IF(ISBLANK($C56),
    "",
   IF(ISNUMBER(AR56),AR56+ROW($B56)/1000,"")
)</f>
        <v/>
      </c>
      <c r="AW56" s="65" t="str">
        <f aca="false">IF(ISNUMBER(AV56), RANK(AV56,AV$8:AV$507,1), "")</f>
        <v/>
      </c>
      <c r="AX56" s="65" t="str">
        <f aca="false">IF(ISBLANK($C56),
    "",
    $B56
)</f>
        <v/>
      </c>
      <c r="AY56" s="65" t="str">
        <f aca="false">IF(ISBLANK($C56),
    "",
    $C56
)</f>
        <v/>
      </c>
      <c r="AZ56" s="65" t="str">
        <f aca="false">IF(ISBLANK($C56),
    "",
    $D56
)</f>
        <v/>
      </c>
      <c r="BA56" s="65" t="str">
        <f aca="false">AO56</f>
        <v/>
      </c>
      <c r="BB56" s="66" t="str">
        <f aca="false">AN56</f>
        <v/>
      </c>
      <c r="BC56" s="65" t="str">
        <f aca="false">IF(ISBLANK($C56),
    "",
    AQ56
)</f>
        <v/>
      </c>
      <c r="BD56" s="67" t="str">
        <f aca="false">IF(AU56&gt;AT$7,
    "",
    VLOOKUP(AU56,AW$8:BC$507,7,FALSE())
)</f>
        <v/>
      </c>
      <c r="BE56" s="68" t="str">
        <f aca="false">IF(AU56&gt;AT$7,
    "",
    VLOOKUP(AU56,AW$8:BC$507,2,FALSE())
)</f>
        <v/>
      </c>
      <c r="BF56" s="68" t="str">
        <f aca="false">IF(AU56&gt;AT$7,
    "",
    VLOOKUP(AU56,AW$8:BC$507,3,FALSE())
)</f>
        <v/>
      </c>
      <c r="BG56" s="68" t="str">
        <f aca="false">IF(AU56&gt;AT$7,
    "",
    VLOOKUP(AU56,AW$8:BC$507,4,FALSE())
)</f>
        <v/>
      </c>
      <c r="BH56" s="68" t="str">
        <f aca="false">IF(AU56&gt;AT$7,
    "",
    VLOOKUP(AU56,AW$8:BC$507,5,FALSE())
)</f>
        <v/>
      </c>
      <c r="BI56" s="69" t="str">
        <f aca="false">IF(AU56&gt;AT$7,
    "",
    VLOOKUP(AU56,AW$8:BC$507,6,FALSE())
)</f>
        <v/>
      </c>
      <c r="BJ56" s="46"/>
    </row>
    <row r="57" customFormat="false" ht="15.75" hidden="false" customHeight="false" outlineLevel="0" collapsed="false">
      <c r="A57" s="3"/>
      <c r="B57" s="108"/>
      <c r="C57" s="70"/>
      <c r="D57" s="49"/>
      <c r="E57" s="109"/>
      <c r="F57" s="72"/>
      <c r="G57" s="109"/>
      <c r="H57" s="74"/>
      <c r="I57" s="104"/>
      <c r="J57" s="74"/>
      <c r="K57" s="74"/>
      <c r="L57" s="55"/>
      <c r="M57" s="55" t="str">
        <f aca="false">IF(ISBLANK($C57),"",IF(ISBLANK(E57),0,E57))</f>
        <v/>
      </c>
      <c r="N57" s="55" t="str">
        <f aca="false">IF(ISBLANK($C57),"",IF(ISBLANK(F57),0,F57))</f>
        <v/>
      </c>
      <c r="O57" s="55" t="e">
        <f aca="false">IF(AND(NOT(ISBLANK($C57)),NOT($T57),COUNTA($E57:$K57)&gt;0),ISBLANK($F57),FALSE())</f>
        <v>#VALUE!</v>
      </c>
      <c r="P57" s="55" t="str">
        <f aca="false">IF(ISBLANK($C57),"",IF(G57=Constants!$B$9, TRUE(), IF(G57=Constants!$B$10, FALSE(), TRUE())))</f>
        <v/>
      </c>
      <c r="Q57" s="55" t="str">
        <f aca="false">IF(ISBLANK($C57),"",IF(H57=Constants!$B$9, TRUE(), IF(H57=Constants!$B$10, FALSE(), TRUE())))</f>
        <v/>
      </c>
      <c r="R57" s="55" t="str">
        <f aca="false">IF(ISBLANK($C57),"",IF(ISBLANK(I57),Constants!$B$3,I57))</f>
        <v/>
      </c>
      <c r="S57" s="55" t="str">
        <f aca="false">IF(ISBLANK($C57),"",IF(ISBLANK(J57),0,MIN(J57,Constants!$B$6)))</f>
        <v/>
      </c>
      <c r="T57" s="55" t="str">
        <f aca="false">IF(ISBLANK($C57),"",IF(K57=Constants!$B$9, TRUE(), IF(K57=Constants!$B$10, FALSE(),  FALSE())))</f>
        <v/>
      </c>
      <c r="U57" s="55" t="str">
        <f aca="false">IF(ISBLANK($C57),"",AND(R57=Constants!$B$4, S57&lt;Constants!$B$6))</f>
        <v/>
      </c>
      <c r="V57" s="55" t="str">
        <f aca="false">IF(ISBLANK(C57), "", IF(T57, Constants!$B$11, IF(COUNTA(E57:K57)=0, Constants!$B$12, IF(NOT(AND(P57,S57&lt;&gt;0)), Constants!$B$13, IF(O57, Constants!$B$15, Constants!$B$14)))))</f>
        <v/>
      </c>
      <c r="W57" s="55" t="str">
        <f aca="false">IF(OR(ISBLANK($C57), SUMPRODUCT(--(P57:T57&lt;&gt;""))=0), "", IF(V57&lt;&gt;Constants!$B$14, V57, IF(AND(NOT(ISBLANK(J57)),P57,Q57,R57&lt;&gt;Constants!$B$2), Constants!$B$7, IF(AND(P57,OR(NOT(Q57),R57=Constants!$B$2)), Constants!$B$8, "Error"))))</f>
        <v/>
      </c>
      <c r="X57" s="56" t="str">
        <f aca="false">IF(OR(W57=Constants!$B$7,W57=Constants!$B$8), MAX(0, MIN(Constants!$B$6, S57))+IF(AND(R57=Constants!$B$4, NOT(U57)), Constants!$B$5, 0), "")</f>
        <v/>
      </c>
      <c r="Y57" s="55" t="str">
        <f aca="false">IF(ISBLANK($C57),"",IF(AND(ISNUMBER(X57),N57&gt;0),X57/N57, "") )</f>
        <v/>
      </c>
      <c r="Z57" s="55" t="str">
        <f aca="false">IF(AND(NOT(ISBLANK($C57)), W57=Constants!$B$7), Y57, "")</f>
        <v/>
      </c>
      <c r="AA57" s="55" t="str">
        <f aca="false">IF(ISNUMBER(Z57), RANK(Z57,Z$8:Z$507), "")</f>
        <v/>
      </c>
      <c r="AB57" s="55" t="str">
        <f aca="false">IF(AND(NOT(ISBLANK($C57)), W57=Constants!$B$8), Y57, "")</f>
        <v/>
      </c>
      <c r="AC57" s="55" t="str">
        <f aca="false">IF(ISNUMBER(AB57), RANK(AB57,AB$8:AB$507), "")</f>
        <v/>
      </c>
      <c r="AD57" s="55" t="str">
        <f aca="false">IF(ISBLANK($C57),"",IF(V57&lt;&gt;Constants!$B$14, V57, IF(W57=Constants!$B$7, AA57, IF(W57=Constants!$B$8, COUNT($AA$8:$AA$507) + AC57, ""))))</f>
        <v/>
      </c>
      <c r="AE57" s="55" t="str">
        <f aca="false">N57</f>
        <v/>
      </c>
      <c r="AF57" s="55" t="str">
        <f aca="false">IF(ISNUMBER(AE57), RANK(AE57,AE$8:AE$507,1), "")</f>
        <v/>
      </c>
      <c r="AG57" s="57" t="str">
        <f aca="false">IF(ISBLANK(C57), "", ABS(M57-S57))</f>
        <v/>
      </c>
      <c r="AH57" s="55" t="str">
        <f aca="false">IF(ISNUMBER(AG57), RANK(AG57,AG$8:AG$507,1), "")</f>
        <v/>
      </c>
      <c r="AI57" s="55" t="str">
        <f aca="false">IF(ISBLANK(C57),"",IF(V57&lt;&gt;Constants!$B$14, V57, RANK(AD57, AD$8:AD$507, 1)+ SUMPRODUCT(--(AD$8:AD$507=AD57),--(AF57&gt;AF$8:AF$507)) + SUMPRODUCT(--(AD$8:AD$507=AD57),--(AF57=AF$8:AF$507),--(AH57&gt;AH$8:AH$507))))</f>
        <v/>
      </c>
      <c r="AJ57" s="55" t="str">
        <f aca="false">IF(ISBLANK(C57),"",IF(V57&lt;&gt;Constants!$B$14, V57, AD57-AI57))</f>
        <v/>
      </c>
      <c r="AK57" s="59"/>
      <c r="AL57" s="60" t="str">
        <f aca="false">IF(ISBLANK($C57),"",IF($V57&lt;&gt;Constants!$B$14,$V57,X57))</f>
        <v/>
      </c>
      <c r="AM57" s="60" t="str">
        <f aca="false">IF(ISBLANK($C57),"",IF($V57&lt;&gt;Constants!$B$14,$V57,N57))</f>
        <v/>
      </c>
      <c r="AN57" s="62" t="str">
        <f aca="false">IF(ISBLANK(C57),"",IF(V57&lt;&gt;Constants!$B$14, V57, IF(W57=Constants!$B$7,Z57,IF(W57=Constants!$B$8,AB57,""))))</f>
        <v/>
      </c>
      <c r="AO57" s="63" t="str">
        <f aca="false">IF(ISBLANK(C57),"",W57)</f>
        <v/>
      </c>
      <c r="AP57" s="63" t="str">
        <f aca="false">IF(ISBLANK(C57),"",AJ57)</f>
        <v/>
      </c>
      <c r="AQ57" s="63" t="str">
        <f aca="false">IF(ISBLANK(C57),"",AI57)</f>
        <v/>
      </c>
      <c r="AR57" s="64" t="str">
        <f aca="false">IF(ISBLANK(C57),
  "",
IF(AQ57=Constants!$B$11,COUNTA($C$8:$C$507)+2,IF(AQ57=Constants!$B$12,COUNTA($C$8:$C$507)+1,IF(AQ57=Constants!$B$13,COUNTA($C$8:$C$507),AQ57))))</f>
        <v/>
      </c>
      <c r="AS57" s="3"/>
      <c r="AT57" s="65" t="n">
        <f aca="false">IF(OR(ISNUMBER(AQ57),AQ57="DQ",AQ57="P",AQ57="NS"),
    1,
    0
)</f>
        <v>0</v>
      </c>
      <c r="AU57" s="65" t="n">
        <v>50</v>
      </c>
      <c r="AV57" s="65" t="str">
        <f aca="false">IF(ISBLANK($C57),
    "",
   IF(ISNUMBER(AR57),AR57+ROW($B57)/1000,"")
)</f>
        <v/>
      </c>
      <c r="AW57" s="65" t="str">
        <f aca="false">IF(ISNUMBER(AV57), RANK(AV57,AV$8:AV$507,1), "")</f>
        <v/>
      </c>
      <c r="AX57" s="65" t="str">
        <f aca="false">IF(ISBLANK($C57),
    "",
    $B57
)</f>
        <v/>
      </c>
      <c r="AY57" s="65" t="str">
        <f aca="false">IF(ISBLANK($C57),
    "",
    $C57
)</f>
        <v/>
      </c>
      <c r="AZ57" s="65" t="str">
        <f aca="false">IF(ISBLANK($C57),
    "",
    $D57
)</f>
        <v/>
      </c>
      <c r="BA57" s="65" t="str">
        <f aca="false">AO57</f>
        <v/>
      </c>
      <c r="BB57" s="66" t="str">
        <f aca="false">AN57</f>
        <v/>
      </c>
      <c r="BC57" s="65" t="str">
        <f aca="false">IF(ISBLANK($C57),
    "",
    AQ57
)</f>
        <v/>
      </c>
      <c r="BD57" s="67" t="str">
        <f aca="false">IF(AU57&gt;AT$7,
    "",
    VLOOKUP(AU57,AW$8:BC$507,7,FALSE())
)</f>
        <v/>
      </c>
      <c r="BE57" s="68" t="str">
        <f aca="false">IF(AU57&gt;AT$7,
    "",
    VLOOKUP(AU57,AW$8:BC$507,2,FALSE())
)</f>
        <v/>
      </c>
      <c r="BF57" s="68" t="str">
        <f aca="false">IF(AU57&gt;AT$7,
    "",
    VLOOKUP(AU57,AW$8:BC$507,3,FALSE())
)</f>
        <v/>
      </c>
      <c r="BG57" s="68" t="str">
        <f aca="false">IF(AU57&gt;AT$7,
    "",
    VLOOKUP(AU57,AW$8:BC$507,4,FALSE())
)</f>
        <v/>
      </c>
      <c r="BH57" s="68" t="str">
        <f aca="false">IF(AU57&gt;AT$7,
    "",
    VLOOKUP(AU57,AW$8:BC$507,5,FALSE())
)</f>
        <v/>
      </c>
      <c r="BI57" s="69" t="str">
        <f aca="false">IF(AU57&gt;AT$7,
    "",
    VLOOKUP(AU57,AW$8:BC$507,6,FALSE())
)</f>
        <v/>
      </c>
      <c r="BJ57" s="46"/>
    </row>
    <row r="58" customFormat="false" ht="15.75" hidden="false" customHeight="false" outlineLevel="0" collapsed="false">
      <c r="A58" s="3"/>
      <c r="B58" s="108"/>
      <c r="C58" s="70"/>
      <c r="D58" s="49"/>
      <c r="E58" s="109"/>
      <c r="F58" s="72"/>
      <c r="G58" s="109"/>
      <c r="H58" s="74"/>
      <c r="I58" s="104"/>
      <c r="J58" s="74"/>
      <c r="K58" s="74"/>
      <c r="L58" s="55"/>
      <c r="M58" s="55" t="str">
        <f aca="false">IF(ISBLANK($C58),"",IF(ISBLANK(E58),0,E58))</f>
        <v/>
      </c>
      <c r="N58" s="55" t="str">
        <f aca="false">IF(ISBLANK($C58),"",IF(ISBLANK(F58),0,F58))</f>
        <v/>
      </c>
      <c r="O58" s="55" t="e">
        <f aca="false">IF(AND(NOT(ISBLANK($C58)),NOT($T58),COUNTA($E58:$K58)&gt;0),ISBLANK($F58),FALSE())</f>
        <v>#VALUE!</v>
      </c>
      <c r="P58" s="55" t="str">
        <f aca="false">IF(ISBLANK($C58),"",IF(G58=Constants!$B$9, TRUE(), IF(G58=Constants!$B$10, FALSE(), TRUE())))</f>
        <v/>
      </c>
      <c r="Q58" s="55" t="str">
        <f aca="false">IF(ISBLANK($C58),"",IF(H58=Constants!$B$9, TRUE(), IF(H58=Constants!$B$10, FALSE(), TRUE())))</f>
        <v/>
      </c>
      <c r="R58" s="55" t="str">
        <f aca="false">IF(ISBLANK($C58),"",IF(ISBLANK(I58),Constants!$B$3,I58))</f>
        <v/>
      </c>
      <c r="S58" s="55" t="str">
        <f aca="false">IF(ISBLANK($C58),"",IF(ISBLANK(J58),0,MIN(J58,Constants!$B$6)))</f>
        <v/>
      </c>
      <c r="T58" s="55" t="str">
        <f aca="false">IF(ISBLANK($C58),"",IF(K58=Constants!$B$9, TRUE(), IF(K58=Constants!$B$10, FALSE(),  FALSE())))</f>
        <v/>
      </c>
      <c r="U58" s="55" t="str">
        <f aca="false">IF(ISBLANK($C58),"",AND(R58=Constants!$B$4, S58&lt;Constants!$B$6))</f>
        <v/>
      </c>
      <c r="V58" s="55" t="str">
        <f aca="false">IF(ISBLANK(C58), "", IF(T58, Constants!$B$11, IF(COUNTA(E58:K58)=0, Constants!$B$12, IF(NOT(AND(P58,S58&lt;&gt;0)), Constants!$B$13, IF(O58, Constants!$B$15, Constants!$B$14)))))</f>
        <v/>
      </c>
      <c r="W58" s="55" t="str">
        <f aca="false">IF(OR(ISBLANK($C58), SUMPRODUCT(--(P58:T58&lt;&gt;""))=0), "", IF(V58&lt;&gt;Constants!$B$14, V58, IF(AND(NOT(ISBLANK(J58)),P58,Q58,R58&lt;&gt;Constants!$B$2), Constants!$B$7, IF(AND(P58,OR(NOT(Q58),R58=Constants!$B$2)), Constants!$B$8, "Error"))))</f>
        <v/>
      </c>
      <c r="X58" s="56" t="str">
        <f aca="false">IF(OR(W58=Constants!$B$7,W58=Constants!$B$8), MAX(0, MIN(Constants!$B$6, S58))+IF(AND(R58=Constants!$B$4, NOT(U58)), Constants!$B$5, 0), "")</f>
        <v/>
      </c>
      <c r="Y58" s="55" t="str">
        <f aca="false">IF(ISBLANK($C58),"",IF(AND(ISNUMBER(X58),N58&gt;0),X58/N58, "") )</f>
        <v/>
      </c>
      <c r="Z58" s="55" t="str">
        <f aca="false">IF(AND(NOT(ISBLANK($C58)), W58=Constants!$B$7), Y58, "")</f>
        <v/>
      </c>
      <c r="AA58" s="55" t="str">
        <f aca="false">IF(ISNUMBER(Z58), RANK(Z58,Z$8:Z$507), "")</f>
        <v/>
      </c>
      <c r="AB58" s="55" t="str">
        <f aca="false">IF(AND(NOT(ISBLANK($C58)), W58=Constants!$B$8), Y58, "")</f>
        <v/>
      </c>
      <c r="AC58" s="55" t="str">
        <f aca="false">IF(ISNUMBER(AB58), RANK(AB58,AB$8:AB$507), "")</f>
        <v/>
      </c>
      <c r="AD58" s="55" t="str">
        <f aca="false">IF(ISBLANK($C58),"",IF(V58&lt;&gt;Constants!$B$14, V58, IF(W58=Constants!$B$7, AA58, IF(W58=Constants!$B$8, COUNT($AA$8:$AA$507) + AC58, ""))))</f>
        <v/>
      </c>
      <c r="AE58" s="55" t="str">
        <f aca="false">N58</f>
        <v/>
      </c>
      <c r="AF58" s="55" t="str">
        <f aca="false">IF(ISNUMBER(AE58), RANK(AE58,AE$8:AE$507,1), "")</f>
        <v/>
      </c>
      <c r="AG58" s="57" t="str">
        <f aca="false">IF(ISBLANK(C58), "", ABS(M58-S58))</f>
        <v/>
      </c>
      <c r="AH58" s="55" t="str">
        <f aca="false">IF(ISNUMBER(AG58), RANK(AG58,AG$8:AG$507,1), "")</f>
        <v/>
      </c>
      <c r="AI58" s="55" t="str">
        <f aca="false">IF(ISBLANK(C58),"",IF(V58&lt;&gt;Constants!$B$14, V58, RANK(AD58, AD$8:AD$507, 1)+ SUMPRODUCT(--(AD$8:AD$507=AD58),--(AF58&gt;AF$8:AF$507)) + SUMPRODUCT(--(AD$8:AD$507=AD58),--(AF58=AF$8:AF$507),--(AH58&gt;AH$8:AH$507))))</f>
        <v/>
      </c>
      <c r="AJ58" s="55" t="str">
        <f aca="false">IF(ISBLANK(C58),"",IF(V58&lt;&gt;Constants!$B$14, V58, AD58-AI58))</f>
        <v/>
      </c>
      <c r="AK58" s="59"/>
      <c r="AL58" s="60" t="str">
        <f aca="false">IF(ISBLANK($C58),"",IF($V58&lt;&gt;Constants!$B$14,$V58,X58))</f>
        <v/>
      </c>
      <c r="AM58" s="60" t="str">
        <f aca="false">IF(ISBLANK($C58),"",IF($V58&lt;&gt;Constants!$B$14,$V58,N58))</f>
        <v/>
      </c>
      <c r="AN58" s="62" t="str">
        <f aca="false">IF(ISBLANK(C58),"",IF(V58&lt;&gt;Constants!$B$14, V58, IF(W58=Constants!$B$7,Z58,IF(W58=Constants!$B$8,AB58,""))))</f>
        <v/>
      </c>
      <c r="AO58" s="63" t="str">
        <f aca="false">IF(ISBLANK(C58),"",W58)</f>
        <v/>
      </c>
      <c r="AP58" s="63" t="str">
        <f aca="false">IF(ISBLANK(C58),"",AJ58)</f>
        <v/>
      </c>
      <c r="AQ58" s="63" t="str">
        <f aca="false">IF(ISBLANK(C58),"",AI58)</f>
        <v/>
      </c>
      <c r="AR58" s="64" t="str">
        <f aca="false">IF(ISBLANK(C58),
  "",
IF(AQ58=Constants!$B$11,COUNTA($C$8:$C$507)+2,IF(AQ58=Constants!$B$12,COUNTA($C$8:$C$507)+1,IF(AQ58=Constants!$B$13,COUNTA($C$8:$C$507),AQ58))))</f>
        <v/>
      </c>
      <c r="AS58" s="3"/>
      <c r="AT58" s="65" t="n">
        <f aca="false">IF(OR(ISNUMBER(AQ58),AQ58="DQ",AQ58="P",AQ58="NS"),
    1,
    0
)</f>
        <v>0</v>
      </c>
      <c r="AU58" s="65" t="n">
        <v>51</v>
      </c>
      <c r="AV58" s="65" t="str">
        <f aca="false">IF(ISBLANK($C58),
    "",
   IF(ISNUMBER(AR58),AR58+ROW($B58)/1000,"")
)</f>
        <v/>
      </c>
      <c r="AW58" s="65" t="str">
        <f aca="false">IF(ISNUMBER(AV58), RANK(AV58,AV$8:AV$507,1), "")</f>
        <v/>
      </c>
      <c r="AX58" s="65" t="str">
        <f aca="false">IF(ISBLANK($C58),
    "",
    $B58
)</f>
        <v/>
      </c>
      <c r="AY58" s="65" t="str">
        <f aca="false">IF(ISBLANK($C58),
    "",
    $C58
)</f>
        <v/>
      </c>
      <c r="AZ58" s="65" t="str">
        <f aca="false">IF(ISBLANK($C58),
    "",
    $D58
)</f>
        <v/>
      </c>
      <c r="BA58" s="65" t="str">
        <f aca="false">AO58</f>
        <v/>
      </c>
      <c r="BB58" s="66" t="str">
        <f aca="false">AN58</f>
        <v/>
      </c>
      <c r="BC58" s="65" t="str">
        <f aca="false">IF(ISBLANK($C58),
    "",
    AQ58
)</f>
        <v/>
      </c>
      <c r="BD58" s="67" t="str">
        <f aca="false">IF(AU58&gt;AT$7,
    "",
    VLOOKUP(AU58,AW$8:BC$507,7,FALSE())
)</f>
        <v/>
      </c>
      <c r="BE58" s="68" t="str">
        <f aca="false">IF(AU58&gt;AT$7,
    "",
    VLOOKUP(AU58,AW$8:BC$507,2,FALSE())
)</f>
        <v/>
      </c>
      <c r="BF58" s="68" t="str">
        <f aca="false">IF(AU58&gt;AT$7,
    "",
    VLOOKUP(AU58,AW$8:BC$507,3,FALSE())
)</f>
        <v/>
      </c>
      <c r="BG58" s="68" t="str">
        <f aca="false">IF(AU58&gt;AT$7,
    "",
    VLOOKUP(AU58,AW$8:BC$507,4,FALSE())
)</f>
        <v/>
      </c>
      <c r="BH58" s="68" t="str">
        <f aca="false">IF(AU58&gt;AT$7,
    "",
    VLOOKUP(AU58,AW$8:BC$507,5,FALSE())
)</f>
        <v/>
      </c>
      <c r="BI58" s="69" t="str">
        <f aca="false">IF(AU58&gt;AT$7,
    "",
    VLOOKUP(AU58,AW$8:BC$507,6,FALSE())
)</f>
        <v/>
      </c>
      <c r="BJ58" s="46"/>
    </row>
    <row r="59" customFormat="false" ht="15.75" hidden="false" customHeight="false" outlineLevel="0" collapsed="false">
      <c r="A59" s="3"/>
      <c r="B59" s="105"/>
      <c r="C59" s="106"/>
      <c r="D59" s="99"/>
      <c r="E59" s="110"/>
      <c r="F59" s="107"/>
      <c r="G59" s="110"/>
      <c r="H59" s="103"/>
      <c r="I59" s="102"/>
      <c r="J59" s="103"/>
      <c r="K59" s="103"/>
      <c r="L59" s="85"/>
      <c r="M59" s="85" t="str">
        <f aca="false">IF(ISBLANK($C59),"",IF(ISBLANK(E59),0,E59))</f>
        <v/>
      </c>
      <c r="N59" s="85" t="str">
        <f aca="false">IF(ISBLANK($C59),"",IF(ISBLANK(F59),0,F59))</f>
        <v/>
      </c>
      <c r="O59" s="86" t="e">
        <f aca="false">IF(AND(NOT(ISBLANK($C59)),NOT($T59),COUNTA($E59:$K59)&gt;0),ISBLANK($F59),FALSE())</f>
        <v>#VALUE!</v>
      </c>
      <c r="P59" s="85" t="str">
        <f aca="false">IF(ISBLANK($C59),"",IF(G59=Constants!$B$9, TRUE(), IF(G59=Constants!$B$10, FALSE(), TRUE())))</f>
        <v/>
      </c>
      <c r="Q59" s="85" t="str">
        <f aca="false">IF(ISBLANK($C59),"",IF(H59=Constants!$B$9, TRUE(), IF(H59=Constants!$B$10, FALSE(), TRUE())))</f>
        <v/>
      </c>
      <c r="R59" s="85" t="str">
        <f aca="false">IF(ISBLANK($C59),"",IF(ISBLANK(I59),Constants!$B$3,I59))</f>
        <v/>
      </c>
      <c r="S59" s="85" t="str">
        <f aca="false">IF(ISBLANK($C59),"",IF(ISBLANK(J59),0,MIN(J59,Constants!$B$6)))</f>
        <v/>
      </c>
      <c r="T59" s="85" t="str">
        <f aca="false">IF(ISBLANK($C59),"",IF(K59=Constants!$B$9, TRUE(), IF(K59=Constants!$B$10, FALSE(),  FALSE())))</f>
        <v/>
      </c>
      <c r="U59" s="85" t="str">
        <f aca="false">IF(ISBLANK($C59),"",AND(R59=Constants!$B$4, S59&lt;Constants!$B$6))</f>
        <v/>
      </c>
      <c r="V59" s="85" t="str">
        <f aca="false">IF(ISBLANK(C59), "", IF(T59, Constants!$B$11, IF(COUNTA(E59:K59)=0, Constants!$B$12, IF(NOT(AND(P59,S59&lt;&gt;0)), Constants!$B$13, IF(O59, Constants!$B$15, Constants!$B$14)))))</f>
        <v/>
      </c>
      <c r="W59" s="85" t="str">
        <f aca="false">IF(OR(ISBLANK($C59), SUMPRODUCT(--(P59:T59&lt;&gt;""))=0), "", IF(V59&lt;&gt;Constants!$B$14, V59, IF(AND(NOT(ISBLANK(J59)),P59,Q59,R59&lt;&gt;Constants!$B$2), Constants!$B$7, IF(AND(P59,OR(NOT(Q59),R59=Constants!$B$2)), Constants!$B$8, "Error"))))</f>
        <v/>
      </c>
      <c r="X59" s="87" t="str">
        <f aca="false">IF(OR(W59=Constants!$B$7,W59=Constants!$B$8), MAX(0, MIN(Constants!$B$6, S59))+IF(AND(R59=Constants!$B$4, NOT(U59)), Constants!$B$5, 0), "")</f>
        <v/>
      </c>
      <c r="Y59" s="85" t="str">
        <f aca="false">IF(ISBLANK($C59),"",IF(AND(ISNUMBER(X59),N59&gt;0),X59/N59, "") )</f>
        <v/>
      </c>
      <c r="Z59" s="85" t="str">
        <f aca="false">IF(AND(NOT(ISBLANK($C59)), W59=Constants!$B$7), Y59, "")</f>
        <v/>
      </c>
      <c r="AA59" s="85" t="str">
        <f aca="false">IF(ISNUMBER(Z59), RANK(Z59,Z$8:Z$507), "")</f>
        <v/>
      </c>
      <c r="AB59" s="85" t="str">
        <f aca="false">IF(AND(NOT(ISBLANK($C59)), W59=Constants!$B$8), Y59, "")</f>
        <v/>
      </c>
      <c r="AC59" s="85" t="str">
        <f aca="false">IF(ISNUMBER(AB59), RANK(AB59,AB$8:AB$507), "")</f>
        <v/>
      </c>
      <c r="AD59" s="85" t="str">
        <f aca="false">IF(ISBLANK($C59),"",IF(V59&lt;&gt;Constants!$B$14, V59, IF(W59=Constants!$B$7, AA59, IF(W59=Constants!$B$8, COUNT($AA$8:$AA$507) + AC59, ""))))</f>
        <v/>
      </c>
      <c r="AE59" s="85" t="str">
        <f aca="false">N59</f>
        <v/>
      </c>
      <c r="AF59" s="85" t="str">
        <f aca="false">IF(ISNUMBER(AE59), RANK(AE59,AE$8:AE$507,1), "")</f>
        <v/>
      </c>
      <c r="AG59" s="88" t="str">
        <f aca="false">IF(ISBLANK(C59), "", ABS(M59-S59))</f>
        <v/>
      </c>
      <c r="AH59" s="85" t="str">
        <f aca="false">IF(ISNUMBER(AG59), RANK(AG59,AG$8:AG$507,1), "")</f>
        <v/>
      </c>
      <c r="AI59" s="85" t="str">
        <f aca="false">IF(ISBLANK(C59),"",IF(V59&lt;&gt;Constants!$B$14, V59, RANK(AD59, AD$8:AD$507, 1)+ SUMPRODUCT(--(AD$8:AD$507=AD59),--(AF59&gt;AF$8:AF$507)) + SUMPRODUCT(--(AD$8:AD$507=AD59),--(AF59=AF$8:AF$507),--(AH59&gt;AH$8:AH$507))))</f>
        <v/>
      </c>
      <c r="AJ59" s="85" t="str">
        <f aca="false">IF(ISBLANK(C59),"",IF(V59&lt;&gt;Constants!$B$14, V59, AD59-AI59))</f>
        <v/>
      </c>
      <c r="AK59" s="89"/>
      <c r="AL59" s="90" t="str">
        <f aca="false">IF(ISBLANK($C59),"",IF($V59&lt;&gt;Constants!$B$14,$V59,X59))</f>
        <v/>
      </c>
      <c r="AM59" s="90" t="str">
        <f aca="false">IF(ISBLANK($C59),"",IF($V59&lt;&gt;Constants!$B$14,$V59,N59))</f>
        <v/>
      </c>
      <c r="AN59" s="91" t="str">
        <f aca="false">IF(ISBLANK(C59),"",IF(V59&lt;&gt;Constants!$B$14, V59, IF(W59=Constants!$B$7,Z59,IF(W59=Constants!$B$8,AB59,""))))</f>
        <v/>
      </c>
      <c r="AO59" s="92" t="str">
        <f aca="false">IF(ISBLANK(C59),"",W59)</f>
        <v/>
      </c>
      <c r="AP59" s="92" t="str">
        <f aca="false">IF(ISBLANK(C59),"",AJ59)</f>
        <v/>
      </c>
      <c r="AQ59" s="92" t="str">
        <f aca="false">IF(ISBLANK(C59),"",AI59)</f>
        <v/>
      </c>
      <c r="AR59" s="93" t="str">
        <f aca="false">IF(ISBLANK(C59),
  "",
IF(AQ59=Constants!$B$11,COUNTA($C$8:$C$507)+2,IF(AQ59=Constants!$B$12,COUNTA($C$8:$C$507)+1,IF(AQ59=Constants!$B$13,COUNTA($C$8:$C$507),AQ59))))</f>
        <v/>
      </c>
      <c r="AS59" s="3"/>
      <c r="AT59" s="94" t="n">
        <f aca="false">IF(OR(ISNUMBER(AQ59),AQ59="DQ",AQ59="P",AQ59="NS"),
    1,
    0
)</f>
        <v>0</v>
      </c>
      <c r="AU59" s="94" t="n">
        <v>52</v>
      </c>
      <c r="AV59" s="94" t="str">
        <f aca="false">IF(ISBLANK($C59),
    "",
   IF(ISNUMBER(AR59),AR59+ROW($B59)/1000,"")
)</f>
        <v/>
      </c>
      <c r="AW59" s="94" t="str">
        <f aca="false">IF(ISNUMBER(AV59), RANK(AV59,AV$8:AV$507,1), "")</f>
        <v/>
      </c>
      <c r="AX59" s="94" t="str">
        <f aca="false">IF(ISBLANK($C59),
    "",
    $B59
)</f>
        <v/>
      </c>
      <c r="AY59" s="94" t="str">
        <f aca="false">IF(ISBLANK($C59),
    "",
    $C59
)</f>
        <v/>
      </c>
      <c r="AZ59" s="94" t="str">
        <f aca="false">IF(ISBLANK($C59),
    "",
    $D59
)</f>
        <v/>
      </c>
      <c r="BA59" s="94" t="str">
        <f aca="false">AO59</f>
        <v/>
      </c>
      <c r="BB59" s="95" t="str">
        <f aca="false">AN59</f>
        <v/>
      </c>
      <c r="BC59" s="94" t="str">
        <f aca="false">IF(ISBLANK($C59),
    "",
    AQ59
)</f>
        <v/>
      </c>
      <c r="BD59" s="96" t="str">
        <f aca="false">IF(AU59&gt;AT$7,
    "",
    VLOOKUP(AU59,AW$8:BC$507,7,FALSE())
)</f>
        <v/>
      </c>
      <c r="BE59" s="97" t="str">
        <f aca="false">IF(AU59&gt;AT$7,
    "",
    VLOOKUP(AU59,AW$8:BC$507,2,FALSE())
)</f>
        <v/>
      </c>
      <c r="BF59" s="97" t="str">
        <f aca="false">IF(AU59&gt;AT$7,
    "",
    VLOOKUP(AU59,AW$8:BC$507,3,FALSE())
)</f>
        <v/>
      </c>
      <c r="BG59" s="97" t="str">
        <f aca="false">IF(AU59&gt;AT$7,
    "",
    VLOOKUP(AU59,AW$8:BC$507,4,FALSE())
)</f>
        <v/>
      </c>
      <c r="BH59" s="97" t="str">
        <f aca="false">IF(AU59&gt;AT$7,
    "",
    VLOOKUP(AU59,AW$8:BC$507,5,FALSE())
)</f>
        <v/>
      </c>
      <c r="BI59" s="98" t="str">
        <f aca="false">IF(AU59&gt;AT$7,
    "",
    VLOOKUP(AU59,AW$8:BC$507,6,FALSE())
)</f>
        <v/>
      </c>
      <c r="BJ59" s="46"/>
    </row>
    <row r="60" customFormat="false" ht="15.75" hidden="false" customHeight="false" outlineLevel="0" collapsed="false">
      <c r="A60" s="3"/>
      <c r="B60" s="105"/>
      <c r="C60" s="106"/>
      <c r="D60" s="99"/>
      <c r="E60" s="110"/>
      <c r="F60" s="107"/>
      <c r="G60" s="110"/>
      <c r="H60" s="103"/>
      <c r="I60" s="102"/>
      <c r="J60" s="103"/>
      <c r="K60" s="103"/>
      <c r="L60" s="85"/>
      <c r="M60" s="85" t="str">
        <f aca="false">IF(ISBLANK($C60),"",IF(ISBLANK(E60),0,E60))</f>
        <v/>
      </c>
      <c r="N60" s="85" t="str">
        <f aca="false">IF(ISBLANK($C60),"",IF(ISBLANK(F60),0,F60))</f>
        <v/>
      </c>
      <c r="O60" s="86" t="e">
        <f aca="false">IF(AND(NOT(ISBLANK($C60)),NOT($T60),COUNTA($E60:$K60)&gt;0),ISBLANK($F60),FALSE())</f>
        <v>#VALUE!</v>
      </c>
      <c r="P60" s="85" t="str">
        <f aca="false">IF(ISBLANK($C60),"",IF(G60=Constants!$B$9, TRUE(), IF(G60=Constants!$B$10, FALSE(), TRUE())))</f>
        <v/>
      </c>
      <c r="Q60" s="85" t="str">
        <f aca="false">IF(ISBLANK($C60),"",IF(H60=Constants!$B$9, TRUE(), IF(H60=Constants!$B$10, FALSE(), TRUE())))</f>
        <v/>
      </c>
      <c r="R60" s="85" t="str">
        <f aca="false">IF(ISBLANK($C60),"",IF(ISBLANK(I60),Constants!$B$3,I60))</f>
        <v/>
      </c>
      <c r="S60" s="85" t="str">
        <f aca="false">IF(ISBLANK($C60),"",IF(ISBLANK(J60),0,MIN(J60,Constants!$B$6)))</f>
        <v/>
      </c>
      <c r="T60" s="85" t="str">
        <f aca="false">IF(ISBLANK($C60),"",IF(K60=Constants!$B$9, TRUE(), IF(K60=Constants!$B$10, FALSE(),  FALSE())))</f>
        <v/>
      </c>
      <c r="U60" s="85" t="str">
        <f aca="false">IF(ISBLANK($C60),"",AND(R60=Constants!$B$4, S60&lt;Constants!$B$6))</f>
        <v/>
      </c>
      <c r="V60" s="85" t="str">
        <f aca="false">IF(ISBLANK(C60), "", IF(T60, Constants!$B$11, IF(COUNTA(E60:K60)=0, Constants!$B$12, IF(NOT(AND(P60,S60&lt;&gt;0)), Constants!$B$13, IF(O60, Constants!$B$15, Constants!$B$14)))))</f>
        <v/>
      </c>
      <c r="W60" s="85" t="str">
        <f aca="false">IF(OR(ISBLANK($C60), SUMPRODUCT(--(P60:T60&lt;&gt;""))=0), "", IF(V60&lt;&gt;Constants!$B$14, V60, IF(AND(NOT(ISBLANK(J60)),P60,Q60,R60&lt;&gt;Constants!$B$2), Constants!$B$7, IF(AND(P60,OR(NOT(Q60),R60=Constants!$B$2)), Constants!$B$8, "Error"))))</f>
        <v/>
      </c>
      <c r="X60" s="87" t="str">
        <f aca="false">IF(OR(W60=Constants!$B$7,W60=Constants!$B$8), MAX(0, MIN(Constants!$B$6, S60))+IF(AND(R60=Constants!$B$4, NOT(U60)), Constants!$B$5, 0), "")</f>
        <v/>
      </c>
      <c r="Y60" s="85" t="str">
        <f aca="false">IF(ISBLANK($C60),"",IF(AND(ISNUMBER(X60),N60&gt;0),X60/N60, "") )</f>
        <v/>
      </c>
      <c r="Z60" s="85" t="str">
        <f aca="false">IF(AND(NOT(ISBLANK($C60)), W60=Constants!$B$7), Y60, "")</f>
        <v/>
      </c>
      <c r="AA60" s="85" t="str">
        <f aca="false">IF(ISNUMBER(Z60), RANK(Z60,Z$8:Z$507), "")</f>
        <v/>
      </c>
      <c r="AB60" s="85" t="str">
        <f aca="false">IF(AND(NOT(ISBLANK($C60)), W60=Constants!$B$8), Y60, "")</f>
        <v/>
      </c>
      <c r="AC60" s="85" t="str">
        <f aca="false">IF(ISNUMBER(AB60), RANK(AB60,AB$8:AB$507), "")</f>
        <v/>
      </c>
      <c r="AD60" s="85" t="str">
        <f aca="false">IF(ISBLANK($C60),"",IF(V60&lt;&gt;Constants!$B$14, V60, IF(W60=Constants!$B$7, AA60, IF(W60=Constants!$B$8, COUNT($AA$8:$AA$507) + AC60, ""))))</f>
        <v/>
      </c>
      <c r="AE60" s="85" t="str">
        <f aca="false">N60</f>
        <v/>
      </c>
      <c r="AF60" s="85" t="str">
        <f aca="false">IF(ISNUMBER(AE60), RANK(AE60,AE$8:AE$507,1), "")</f>
        <v/>
      </c>
      <c r="AG60" s="88" t="str">
        <f aca="false">IF(ISBLANK(C60), "", ABS(M60-S60))</f>
        <v/>
      </c>
      <c r="AH60" s="85" t="str">
        <f aca="false">IF(ISNUMBER(AG60), RANK(AG60,AG$8:AG$507,1), "")</f>
        <v/>
      </c>
      <c r="AI60" s="85" t="str">
        <f aca="false">IF(ISBLANK(C60),"",IF(V60&lt;&gt;Constants!$B$14, V60, RANK(AD60, AD$8:AD$507, 1)+ SUMPRODUCT(--(AD$8:AD$507=AD60),--(AF60&gt;AF$8:AF$507)) + SUMPRODUCT(--(AD$8:AD$507=AD60),--(AF60=AF$8:AF$507),--(AH60&gt;AH$8:AH$507))))</f>
        <v/>
      </c>
      <c r="AJ60" s="85" t="str">
        <f aca="false">IF(ISBLANK(C60),"",IF(V60&lt;&gt;Constants!$B$14, V60, AD60-AI60))</f>
        <v/>
      </c>
      <c r="AK60" s="89"/>
      <c r="AL60" s="90" t="str">
        <f aca="false">IF(ISBLANK($C60),"",IF($V60&lt;&gt;Constants!$B$14,$V60,X60))</f>
        <v/>
      </c>
      <c r="AM60" s="90" t="str">
        <f aca="false">IF(ISBLANK($C60),"",IF($V60&lt;&gt;Constants!$B$14,$V60,N60))</f>
        <v/>
      </c>
      <c r="AN60" s="91" t="str">
        <f aca="false">IF(ISBLANK(C60),"",IF(V60&lt;&gt;Constants!$B$14, V60, IF(W60=Constants!$B$7,Z60,IF(W60=Constants!$B$8,AB60,""))))</f>
        <v/>
      </c>
      <c r="AO60" s="92" t="str">
        <f aca="false">IF(ISBLANK(C60),"",W60)</f>
        <v/>
      </c>
      <c r="AP60" s="92" t="str">
        <f aca="false">IF(ISBLANK(C60),"",AJ60)</f>
        <v/>
      </c>
      <c r="AQ60" s="92" t="str">
        <f aca="false">IF(ISBLANK(C60),"",AI60)</f>
        <v/>
      </c>
      <c r="AR60" s="93" t="str">
        <f aca="false">IF(ISBLANK(C60),
  "",
IF(AQ60=Constants!$B$11,COUNTA($C$8:$C$507)+2,IF(AQ60=Constants!$B$12,COUNTA($C$8:$C$507)+1,IF(AQ60=Constants!$B$13,COUNTA($C$8:$C$507),AQ60))))</f>
        <v/>
      </c>
      <c r="AS60" s="3"/>
      <c r="AT60" s="94" t="n">
        <f aca="false">IF(OR(ISNUMBER(AQ60),AQ60="DQ",AQ60="P",AQ60="NS"),
    1,
    0
)</f>
        <v>0</v>
      </c>
      <c r="AU60" s="94" t="n">
        <v>53</v>
      </c>
      <c r="AV60" s="94" t="str">
        <f aca="false">IF(ISBLANK($C60),
    "",
   IF(ISNUMBER(AR60),AR60+ROW($B60)/1000,"")
)</f>
        <v/>
      </c>
      <c r="AW60" s="94" t="str">
        <f aca="false">IF(ISNUMBER(AV60), RANK(AV60,AV$8:AV$507,1), "")</f>
        <v/>
      </c>
      <c r="AX60" s="94" t="str">
        <f aca="false">IF(ISBLANK($C60),
    "",
    $B60
)</f>
        <v/>
      </c>
      <c r="AY60" s="94" t="str">
        <f aca="false">IF(ISBLANK($C60),
    "",
    $C60
)</f>
        <v/>
      </c>
      <c r="AZ60" s="94" t="str">
        <f aca="false">IF(ISBLANK($C60),
    "",
    $D60
)</f>
        <v/>
      </c>
      <c r="BA60" s="94" t="str">
        <f aca="false">AO60</f>
        <v/>
      </c>
      <c r="BB60" s="95" t="str">
        <f aca="false">AN60</f>
        <v/>
      </c>
      <c r="BC60" s="94" t="str">
        <f aca="false">IF(ISBLANK($C60),
    "",
    AQ60
)</f>
        <v/>
      </c>
      <c r="BD60" s="96" t="str">
        <f aca="false">IF(AU60&gt;AT$7,
    "",
    VLOOKUP(AU60,AW$8:BC$507,7,FALSE())
)</f>
        <v/>
      </c>
      <c r="BE60" s="97" t="str">
        <f aca="false">IF(AU60&gt;AT$7,
    "",
    VLOOKUP(AU60,AW$8:BC$507,2,FALSE())
)</f>
        <v/>
      </c>
      <c r="BF60" s="97" t="str">
        <f aca="false">IF(AU60&gt;AT$7,
    "",
    VLOOKUP(AU60,AW$8:BC$507,3,FALSE())
)</f>
        <v/>
      </c>
      <c r="BG60" s="97" t="str">
        <f aca="false">IF(AU60&gt;AT$7,
    "",
    VLOOKUP(AU60,AW$8:BC$507,4,FALSE())
)</f>
        <v/>
      </c>
      <c r="BH60" s="97" t="str">
        <f aca="false">IF(AU60&gt;AT$7,
    "",
    VLOOKUP(AU60,AW$8:BC$507,5,FALSE())
)</f>
        <v/>
      </c>
      <c r="BI60" s="98" t="str">
        <f aca="false">IF(AU60&gt;AT$7,
    "",
    VLOOKUP(AU60,AW$8:BC$507,6,FALSE())
)</f>
        <v/>
      </c>
      <c r="BJ60" s="46"/>
    </row>
    <row r="61" customFormat="false" ht="15.75" hidden="false" customHeight="false" outlineLevel="0" collapsed="false">
      <c r="A61" s="3"/>
      <c r="B61" s="105"/>
      <c r="C61" s="106"/>
      <c r="D61" s="99"/>
      <c r="E61" s="110"/>
      <c r="F61" s="107"/>
      <c r="G61" s="110"/>
      <c r="H61" s="103"/>
      <c r="I61" s="102"/>
      <c r="J61" s="103"/>
      <c r="K61" s="103"/>
      <c r="L61" s="85"/>
      <c r="M61" s="85" t="str">
        <f aca="false">IF(ISBLANK($C61),"",IF(ISBLANK(E61),0,E61))</f>
        <v/>
      </c>
      <c r="N61" s="85" t="str">
        <f aca="false">IF(ISBLANK($C61),"",IF(ISBLANK(F61),0,F61))</f>
        <v/>
      </c>
      <c r="O61" s="86" t="e">
        <f aca="false">IF(AND(NOT(ISBLANK($C61)),NOT($T61),COUNTA($E61:$K61)&gt;0),ISBLANK($F61),FALSE())</f>
        <v>#VALUE!</v>
      </c>
      <c r="P61" s="85" t="str">
        <f aca="false">IF(ISBLANK($C61),"",IF(G61=Constants!$B$9, TRUE(), IF(G61=Constants!$B$10, FALSE(), TRUE())))</f>
        <v/>
      </c>
      <c r="Q61" s="85" t="str">
        <f aca="false">IF(ISBLANK($C61),"",IF(H61=Constants!$B$9, TRUE(), IF(H61=Constants!$B$10, FALSE(), TRUE())))</f>
        <v/>
      </c>
      <c r="R61" s="85" t="str">
        <f aca="false">IF(ISBLANK($C61),"",IF(ISBLANK(I61),Constants!$B$3,I61))</f>
        <v/>
      </c>
      <c r="S61" s="85" t="str">
        <f aca="false">IF(ISBLANK($C61),"",IF(ISBLANK(J61),0,MIN(J61,Constants!$B$6)))</f>
        <v/>
      </c>
      <c r="T61" s="85" t="str">
        <f aca="false">IF(ISBLANK($C61),"",IF(K61=Constants!$B$9, TRUE(), IF(K61=Constants!$B$10, FALSE(),  FALSE())))</f>
        <v/>
      </c>
      <c r="U61" s="85" t="str">
        <f aca="false">IF(ISBLANK($C61),"",AND(R61=Constants!$B$4, S61&lt;Constants!$B$6))</f>
        <v/>
      </c>
      <c r="V61" s="85" t="str">
        <f aca="false">IF(ISBLANK(C61), "", IF(T61, Constants!$B$11, IF(COUNTA(E61:K61)=0, Constants!$B$12, IF(NOT(AND(P61,S61&lt;&gt;0)), Constants!$B$13, IF(O61, Constants!$B$15, Constants!$B$14)))))</f>
        <v/>
      </c>
      <c r="W61" s="85" t="str">
        <f aca="false">IF(OR(ISBLANK($C61), SUMPRODUCT(--(P61:T61&lt;&gt;""))=0), "", IF(V61&lt;&gt;Constants!$B$14, V61, IF(AND(NOT(ISBLANK(J61)),P61,Q61,R61&lt;&gt;Constants!$B$2), Constants!$B$7, IF(AND(P61,OR(NOT(Q61),R61=Constants!$B$2)), Constants!$B$8, "Error"))))</f>
        <v/>
      </c>
      <c r="X61" s="87" t="str">
        <f aca="false">IF(OR(W61=Constants!$B$7,W61=Constants!$B$8), MAX(0, MIN(Constants!$B$6, S61))+IF(AND(R61=Constants!$B$4, NOT(U61)), Constants!$B$5, 0), "")</f>
        <v/>
      </c>
      <c r="Y61" s="85" t="str">
        <f aca="false">IF(ISBLANK($C61),"",IF(AND(ISNUMBER(X61),N61&gt;0),X61/N61, "") )</f>
        <v/>
      </c>
      <c r="Z61" s="85" t="str">
        <f aca="false">IF(AND(NOT(ISBLANK($C61)), W61=Constants!$B$7), Y61, "")</f>
        <v/>
      </c>
      <c r="AA61" s="85" t="str">
        <f aca="false">IF(ISNUMBER(Z61), RANK(Z61,Z$8:Z$507), "")</f>
        <v/>
      </c>
      <c r="AB61" s="85" t="str">
        <f aca="false">IF(AND(NOT(ISBLANK($C61)), W61=Constants!$B$8), Y61, "")</f>
        <v/>
      </c>
      <c r="AC61" s="85" t="str">
        <f aca="false">IF(ISNUMBER(AB61), RANK(AB61,AB$8:AB$507), "")</f>
        <v/>
      </c>
      <c r="AD61" s="85" t="str">
        <f aca="false">IF(ISBLANK($C61),"",IF(V61&lt;&gt;Constants!$B$14, V61, IF(W61=Constants!$B$7, AA61, IF(W61=Constants!$B$8, COUNT($AA$8:$AA$507) + AC61, ""))))</f>
        <v/>
      </c>
      <c r="AE61" s="85" t="str">
        <f aca="false">N61</f>
        <v/>
      </c>
      <c r="AF61" s="85" t="str">
        <f aca="false">IF(ISNUMBER(AE61), RANK(AE61,AE$8:AE$507,1), "")</f>
        <v/>
      </c>
      <c r="AG61" s="88" t="str">
        <f aca="false">IF(ISBLANK(C61), "", ABS(M61-S61))</f>
        <v/>
      </c>
      <c r="AH61" s="85" t="str">
        <f aca="false">IF(ISNUMBER(AG61), RANK(AG61,AG$8:AG$507,1), "")</f>
        <v/>
      </c>
      <c r="AI61" s="85" t="str">
        <f aca="false">IF(ISBLANK(C61),"",IF(V61&lt;&gt;Constants!$B$14, V61, RANK(AD61, AD$8:AD$507, 1)+ SUMPRODUCT(--(AD$8:AD$507=AD61),--(AF61&gt;AF$8:AF$507)) + SUMPRODUCT(--(AD$8:AD$507=AD61),--(AF61=AF$8:AF$507),--(AH61&gt;AH$8:AH$507))))</f>
        <v/>
      </c>
      <c r="AJ61" s="85" t="str">
        <f aca="false">IF(ISBLANK(C61),"",IF(V61&lt;&gt;Constants!$B$14, V61, AD61-AI61))</f>
        <v/>
      </c>
      <c r="AK61" s="89"/>
      <c r="AL61" s="90" t="str">
        <f aca="false">IF(ISBLANK($C61),"",IF($V61&lt;&gt;Constants!$B$14,$V61,X61))</f>
        <v/>
      </c>
      <c r="AM61" s="90" t="str">
        <f aca="false">IF(ISBLANK($C61),"",IF($V61&lt;&gt;Constants!$B$14,$V61,N61))</f>
        <v/>
      </c>
      <c r="AN61" s="91" t="str">
        <f aca="false">IF(ISBLANK(C61),"",IF(V61&lt;&gt;Constants!$B$14, V61, IF(W61=Constants!$B$7,Z61,IF(W61=Constants!$B$8,AB61,""))))</f>
        <v/>
      </c>
      <c r="AO61" s="92" t="str">
        <f aca="false">IF(ISBLANK(C61),"",W61)</f>
        <v/>
      </c>
      <c r="AP61" s="92" t="str">
        <f aca="false">IF(ISBLANK(C61),"",AJ61)</f>
        <v/>
      </c>
      <c r="AQ61" s="92" t="str">
        <f aca="false">IF(ISBLANK(C61),"",AI61)</f>
        <v/>
      </c>
      <c r="AR61" s="93" t="str">
        <f aca="false">IF(ISBLANK(C61),
  "",
IF(AQ61=Constants!$B$11,COUNTA($C$8:$C$507)+2,IF(AQ61=Constants!$B$12,COUNTA($C$8:$C$507)+1,IF(AQ61=Constants!$B$13,COUNTA($C$8:$C$507),AQ61))))</f>
        <v/>
      </c>
      <c r="AS61" s="3"/>
      <c r="AT61" s="94" t="n">
        <f aca="false">IF(OR(ISNUMBER(AQ61),AQ61="DQ",AQ61="P",AQ61="NS"),
    1,
    0
)</f>
        <v>0</v>
      </c>
      <c r="AU61" s="94" t="n">
        <v>54</v>
      </c>
      <c r="AV61" s="94" t="str">
        <f aca="false">IF(ISBLANK($C61),
    "",
   IF(ISNUMBER(AR61),AR61+ROW($B61)/1000,"")
)</f>
        <v/>
      </c>
      <c r="AW61" s="94" t="str">
        <f aca="false">IF(ISNUMBER(AV61), RANK(AV61,AV$8:AV$507,1), "")</f>
        <v/>
      </c>
      <c r="AX61" s="94" t="str">
        <f aca="false">IF(ISBLANK($C61),
    "",
    $B61
)</f>
        <v/>
      </c>
      <c r="AY61" s="94" t="str">
        <f aca="false">IF(ISBLANK($C61),
    "",
    $C61
)</f>
        <v/>
      </c>
      <c r="AZ61" s="94" t="str">
        <f aca="false">IF(ISBLANK($C61),
    "",
    $D61
)</f>
        <v/>
      </c>
      <c r="BA61" s="94" t="str">
        <f aca="false">AO61</f>
        <v/>
      </c>
      <c r="BB61" s="95" t="str">
        <f aca="false">AN61</f>
        <v/>
      </c>
      <c r="BC61" s="94" t="str">
        <f aca="false">IF(ISBLANK($C61),
    "",
    AQ61
)</f>
        <v/>
      </c>
      <c r="BD61" s="96" t="str">
        <f aca="false">IF(AU61&gt;AT$7,
    "",
    VLOOKUP(AU61,AW$8:BC$507,7,FALSE())
)</f>
        <v/>
      </c>
      <c r="BE61" s="97" t="str">
        <f aca="false">IF(AU61&gt;AT$7,
    "",
    VLOOKUP(AU61,AW$8:BC$507,2,FALSE())
)</f>
        <v/>
      </c>
      <c r="BF61" s="97" t="str">
        <f aca="false">IF(AU61&gt;AT$7,
    "",
    VLOOKUP(AU61,AW$8:BC$507,3,FALSE())
)</f>
        <v/>
      </c>
      <c r="BG61" s="97" t="str">
        <f aca="false">IF(AU61&gt;AT$7,
    "",
    VLOOKUP(AU61,AW$8:BC$507,4,FALSE())
)</f>
        <v/>
      </c>
      <c r="BH61" s="97" t="str">
        <f aca="false">IF(AU61&gt;AT$7,
    "",
    VLOOKUP(AU61,AW$8:BC$507,5,FALSE())
)</f>
        <v/>
      </c>
      <c r="BI61" s="98" t="str">
        <f aca="false">IF(AU61&gt;AT$7,
    "",
    VLOOKUP(AU61,AW$8:BC$507,6,FALSE())
)</f>
        <v/>
      </c>
      <c r="BJ61" s="46"/>
    </row>
    <row r="62" customFormat="false" ht="15.75" hidden="false" customHeight="false" outlineLevel="0" collapsed="false">
      <c r="A62" s="3"/>
      <c r="B62" s="108"/>
      <c r="C62" s="70"/>
      <c r="D62" s="49"/>
      <c r="E62" s="109"/>
      <c r="F62" s="72"/>
      <c r="G62" s="109"/>
      <c r="H62" s="74"/>
      <c r="I62" s="104"/>
      <c r="J62" s="74"/>
      <c r="K62" s="74"/>
      <c r="L62" s="55"/>
      <c r="M62" s="55" t="str">
        <f aca="false">IF(ISBLANK($C62),"",IF(ISBLANK(E62),0,E62))</f>
        <v/>
      </c>
      <c r="N62" s="55" t="str">
        <f aca="false">IF(ISBLANK($C62),"",IF(ISBLANK(F62),0,F62))</f>
        <v/>
      </c>
      <c r="O62" s="55" t="e">
        <f aca="false">IF(AND(NOT(ISBLANK($C62)),NOT($T62),COUNTA($E62:$K62)&gt;0),ISBLANK($F62),FALSE())</f>
        <v>#VALUE!</v>
      </c>
      <c r="P62" s="55" t="str">
        <f aca="false">IF(ISBLANK($C62),"",IF(G62=Constants!$B$9, TRUE(), IF(G62=Constants!$B$10, FALSE(), TRUE())))</f>
        <v/>
      </c>
      <c r="Q62" s="55" t="str">
        <f aca="false">IF(ISBLANK($C62),"",IF(H62=Constants!$B$9, TRUE(), IF(H62=Constants!$B$10, FALSE(), TRUE())))</f>
        <v/>
      </c>
      <c r="R62" s="55" t="str">
        <f aca="false">IF(ISBLANK($C62),"",IF(ISBLANK(I62),Constants!$B$3,I62))</f>
        <v/>
      </c>
      <c r="S62" s="55" t="str">
        <f aca="false">IF(ISBLANK($C62),"",IF(ISBLANK(J62),0,MIN(J62,Constants!$B$6)))</f>
        <v/>
      </c>
      <c r="T62" s="55" t="str">
        <f aca="false">IF(ISBLANK($C62),"",IF(K62=Constants!$B$9, TRUE(), IF(K62=Constants!$B$10, FALSE(),  FALSE())))</f>
        <v/>
      </c>
      <c r="U62" s="55" t="str">
        <f aca="false">IF(ISBLANK($C62),"",AND(R62=Constants!$B$4, S62&lt;Constants!$B$6))</f>
        <v/>
      </c>
      <c r="V62" s="55" t="str">
        <f aca="false">IF(ISBLANK(C62), "", IF(T62, Constants!$B$11, IF(COUNTA(E62:K62)=0, Constants!$B$12, IF(NOT(AND(P62,S62&lt;&gt;0)), Constants!$B$13, IF(O62, Constants!$B$15, Constants!$B$14)))))</f>
        <v/>
      </c>
      <c r="W62" s="55" t="str">
        <f aca="false">IF(OR(ISBLANK($C62), SUMPRODUCT(--(P62:T62&lt;&gt;""))=0), "", IF(V62&lt;&gt;Constants!$B$14, V62, IF(AND(NOT(ISBLANK(J62)),P62,Q62,R62&lt;&gt;Constants!$B$2), Constants!$B$7, IF(AND(P62,OR(NOT(Q62),R62=Constants!$B$2)), Constants!$B$8, "Error"))))</f>
        <v/>
      </c>
      <c r="X62" s="56" t="str">
        <f aca="false">IF(OR(W62=Constants!$B$7,W62=Constants!$B$8), MAX(0, MIN(Constants!$B$6, S62))+IF(AND(R62=Constants!$B$4, NOT(U62)), Constants!$B$5, 0), "")</f>
        <v/>
      </c>
      <c r="Y62" s="55" t="str">
        <f aca="false">IF(ISBLANK($C62),"",IF(AND(ISNUMBER(X62),N62&gt;0),X62/N62, "") )</f>
        <v/>
      </c>
      <c r="Z62" s="55" t="str">
        <f aca="false">IF(AND(NOT(ISBLANK($C62)), W62=Constants!$B$7), Y62, "")</f>
        <v/>
      </c>
      <c r="AA62" s="55" t="str">
        <f aca="false">IF(ISNUMBER(Z62), RANK(Z62,Z$8:Z$507), "")</f>
        <v/>
      </c>
      <c r="AB62" s="55" t="str">
        <f aca="false">IF(AND(NOT(ISBLANK($C62)), W62=Constants!$B$8), Y62, "")</f>
        <v/>
      </c>
      <c r="AC62" s="55" t="str">
        <f aca="false">IF(ISNUMBER(AB62), RANK(AB62,AB$8:AB$507), "")</f>
        <v/>
      </c>
      <c r="AD62" s="55" t="str">
        <f aca="false">IF(ISBLANK($C62),"",IF(V62&lt;&gt;Constants!$B$14, V62, IF(W62=Constants!$B$7, AA62, IF(W62=Constants!$B$8, COUNT($AA$8:$AA$507) + AC62, ""))))</f>
        <v/>
      </c>
      <c r="AE62" s="55" t="str">
        <f aca="false">N62</f>
        <v/>
      </c>
      <c r="AF62" s="55" t="str">
        <f aca="false">IF(ISNUMBER(AE62), RANK(AE62,AE$8:AE$507,1), "")</f>
        <v/>
      </c>
      <c r="AG62" s="57" t="str">
        <f aca="false">IF(ISBLANK(C62), "", ABS(M62-S62))</f>
        <v/>
      </c>
      <c r="AH62" s="55" t="str">
        <f aca="false">IF(ISNUMBER(AG62), RANK(AG62,AG$8:AG$507,1), "")</f>
        <v/>
      </c>
      <c r="AI62" s="55" t="str">
        <f aca="false">IF(ISBLANK(C62),"",IF(V62&lt;&gt;Constants!$B$14, V62, RANK(AD62, AD$8:AD$507, 1)+ SUMPRODUCT(--(AD$8:AD$507=AD62),--(AF62&gt;AF$8:AF$507)) + SUMPRODUCT(--(AD$8:AD$507=AD62),--(AF62=AF$8:AF$507),--(AH62&gt;AH$8:AH$507))))</f>
        <v/>
      </c>
      <c r="AJ62" s="55" t="str">
        <f aca="false">IF(ISBLANK(C62),"",IF(V62&lt;&gt;Constants!$B$14, V62, AD62-AI62))</f>
        <v/>
      </c>
      <c r="AK62" s="59"/>
      <c r="AL62" s="60" t="str">
        <f aca="false">IF(ISBLANK($C62),"",IF($V62&lt;&gt;Constants!$B$14,$V62,X62))</f>
        <v/>
      </c>
      <c r="AM62" s="60" t="str">
        <f aca="false">IF(ISBLANK($C62),"",IF($V62&lt;&gt;Constants!$B$14,$V62,N62))</f>
        <v/>
      </c>
      <c r="AN62" s="62" t="str">
        <f aca="false">IF(ISBLANK(C62),"",IF(V62&lt;&gt;Constants!$B$14, V62, IF(W62=Constants!$B$7,Z62,IF(W62=Constants!$B$8,AB62,""))))</f>
        <v/>
      </c>
      <c r="AO62" s="63" t="str">
        <f aca="false">IF(ISBLANK(C62),"",W62)</f>
        <v/>
      </c>
      <c r="AP62" s="63" t="str">
        <f aca="false">IF(ISBLANK(C62),"",AJ62)</f>
        <v/>
      </c>
      <c r="AQ62" s="63" t="str">
        <f aca="false">IF(ISBLANK(C62),"",AI62)</f>
        <v/>
      </c>
      <c r="AR62" s="64" t="str">
        <f aca="false">IF(ISBLANK(C62),
  "",
IF(AQ62=Constants!$B$11,COUNTA($C$8:$C$507)+2,IF(AQ62=Constants!$B$12,COUNTA($C$8:$C$507)+1,IF(AQ62=Constants!$B$13,COUNTA($C$8:$C$507),AQ62))))</f>
        <v/>
      </c>
      <c r="AS62" s="3"/>
      <c r="AT62" s="65" t="n">
        <f aca="false">IF(OR(ISNUMBER(AQ62),AQ62="DQ",AQ62="P",AQ62="NS"),
    1,
    0
)</f>
        <v>0</v>
      </c>
      <c r="AU62" s="65" t="n">
        <v>55</v>
      </c>
      <c r="AV62" s="65" t="str">
        <f aca="false">IF(ISBLANK($C62),
    "",
   IF(ISNUMBER(AR62),AR62+ROW($B62)/1000,"")
)</f>
        <v/>
      </c>
      <c r="AW62" s="65" t="str">
        <f aca="false">IF(ISNUMBER(AV62), RANK(AV62,AV$8:AV$507,1), "")</f>
        <v/>
      </c>
      <c r="AX62" s="65" t="str">
        <f aca="false">IF(ISBLANK($C62),
    "",
    $B62
)</f>
        <v/>
      </c>
      <c r="AY62" s="65" t="str">
        <f aca="false">IF(ISBLANK($C62),
    "",
    $C62
)</f>
        <v/>
      </c>
      <c r="AZ62" s="65" t="str">
        <f aca="false">IF(ISBLANK($C62),
    "",
    $D62
)</f>
        <v/>
      </c>
      <c r="BA62" s="65" t="str">
        <f aca="false">AO62</f>
        <v/>
      </c>
      <c r="BB62" s="66" t="str">
        <f aca="false">AN62</f>
        <v/>
      </c>
      <c r="BC62" s="65" t="str">
        <f aca="false">IF(ISBLANK($C62),
    "",
    AQ62
)</f>
        <v/>
      </c>
      <c r="BD62" s="67" t="str">
        <f aca="false">IF(AU62&gt;AT$7,
    "",
    VLOOKUP(AU62,AW$8:BC$507,7,FALSE())
)</f>
        <v/>
      </c>
      <c r="BE62" s="68" t="str">
        <f aca="false">IF(AU62&gt;AT$7,
    "",
    VLOOKUP(AU62,AW$8:BC$507,2,FALSE())
)</f>
        <v/>
      </c>
      <c r="BF62" s="68" t="str">
        <f aca="false">IF(AU62&gt;AT$7,
    "",
    VLOOKUP(AU62,AW$8:BC$507,3,FALSE())
)</f>
        <v/>
      </c>
      <c r="BG62" s="68" t="str">
        <f aca="false">IF(AU62&gt;AT$7,
    "",
    VLOOKUP(AU62,AW$8:BC$507,4,FALSE())
)</f>
        <v/>
      </c>
      <c r="BH62" s="68" t="str">
        <f aca="false">IF(AU62&gt;AT$7,
    "",
    VLOOKUP(AU62,AW$8:BC$507,5,FALSE())
)</f>
        <v/>
      </c>
      <c r="BI62" s="69" t="str">
        <f aca="false">IF(AU62&gt;AT$7,
    "",
    VLOOKUP(AU62,AW$8:BC$507,6,FALSE())
)</f>
        <v/>
      </c>
      <c r="BJ62" s="46"/>
    </row>
    <row r="63" customFormat="false" ht="15.75" hidden="false" customHeight="false" outlineLevel="0" collapsed="false">
      <c r="A63" s="3"/>
      <c r="B63" s="108"/>
      <c r="C63" s="70"/>
      <c r="D63" s="49"/>
      <c r="E63" s="109"/>
      <c r="F63" s="72"/>
      <c r="G63" s="109"/>
      <c r="H63" s="74"/>
      <c r="I63" s="104"/>
      <c r="J63" s="74"/>
      <c r="K63" s="74"/>
      <c r="L63" s="55"/>
      <c r="M63" s="55" t="str">
        <f aca="false">IF(ISBLANK($C63),"",IF(ISBLANK(E63),0,E63))</f>
        <v/>
      </c>
      <c r="N63" s="55" t="str">
        <f aca="false">IF(ISBLANK($C63),"",IF(ISBLANK(F63),0,F63))</f>
        <v/>
      </c>
      <c r="O63" s="55" t="e">
        <f aca="false">IF(AND(NOT(ISBLANK($C63)),NOT($T63),COUNTA($E63:$K63)&gt;0),ISBLANK($F63),FALSE())</f>
        <v>#VALUE!</v>
      </c>
      <c r="P63" s="55" t="str">
        <f aca="false">IF(ISBLANK($C63),"",IF(G63=Constants!$B$9, TRUE(), IF(G63=Constants!$B$10, FALSE(), TRUE())))</f>
        <v/>
      </c>
      <c r="Q63" s="55" t="str">
        <f aca="false">IF(ISBLANK($C63),"",IF(H63=Constants!$B$9, TRUE(), IF(H63=Constants!$B$10, FALSE(), TRUE())))</f>
        <v/>
      </c>
      <c r="R63" s="55" t="str">
        <f aca="false">IF(ISBLANK($C63),"",IF(ISBLANK(I63),Constants!$B$3,I63))</f>
        <v/>
      </c>
      <c r="S63" s="55" t="str">
        <f aca="false">IF(ISBLANK($C63),"",IF(ISBLANK(J63),0,MIN(J63,Constants!$B$6)))</f>
        <v/>
      </c>
      <c r="T63" s="55" t="str">
        <f aca="false">IF(ISBLANK($C63),"",IF(K63=Constants!$B$9, TRUE(), IF(K63=Constants!$B$10, FALSE(),  FALSE())))</f>
        <v/>
      </c>
      <c r="U63" s="55" t="str">
        <f aca="false">IF(ISBLANK($C63),"",AND(R63=Constants!$B$4, S63&lt;Constants!$B$6))</f>
        <v/>
      </c>
      <c r="V63" s="55" t="str">
        <f aca="false">IF(ISBLANK(C63), "", IF(T63, Constants!$B$11, IF(COUNTA(E63:K63)=0, Constants!$B$12, IF(NOT(AND(P63,S63&lt;&gt;0)), Constants!$B$13, IF(O63, Constants!$B$15, Constants!$B$14)))))</f>
        <v/>
      </c>
      <c r="W63" s="55" t="str">
        <f aca="false">IF(OR(ISBLANK($C63), SUMPRODUCT(--(P63:T63&lt;&gt;""))=0), "", IF(V63&lt;&gt;Constants!$B$14, V63, IF(AND(NOT(ISBLANK(J63)),P63,Q63,R63&lt;&gt;Constants!$B$2), Constants!$B$7, IF(AND(P63,OR(NOT(Q63),R63=Constants!$B$2)), Constants!$B$8, "Error"))))</f>
        <v/>
      </c>
      <c r="X63" s="56" t="str">
        <f aca="false">IF(OR(W63=Constants!$B$7,W63=Constants!$B$8), MAX(0, MIN(Constants!$B$6, S63))+IF(AND(R63=Constants!$B$4, NOT(U63)), Constants!$B$5, 0), "")</f>
        <v/>
      </c>
      <c r="Y63" s="55" t="str">
        <f aca="false">IF(ISBLANK($C63),"",IF(AND(ISNUMBER(X63),N63&gt;0),X63/N63, "") )</f>
        <v/>
      </c>
      <c r="Z63" s="55" t="str">
        <f aca="false">IF(AND(NOT(ISBLANK($C63)), W63=Constants!$B$7), Y63, "")</f>
        <v/>
      </c>
      <c r="AA63" s="55" t="str">
        <f aca="false">IF(ISNUMBER(Z63), RANK(Z63,Z$8:Z$507), "")</f>
        <v/>
      </c>
      <c r="AB63" s="55" t="str">
        <f aca="false">IF(AND(NOT(ISBLANK($C63)), W63=Constants!$B$8), Y63, "")</f>
        <v/>
      </c>
      <c r="AC63" s="55" t="str">
        <f aca="false">IF(ISNUMBER(AB63), RANK(AB63,AB$8:AB$507), "")</f>
        <v/>
      </c>
      <c r="AD63" s="55" t="str">
        <f aca="false">IF(ISBLANK($C63),"",IF(V63&lt;&gt;Constants!$B$14, V63, IF(W63=Constants!$B$7, AA63, IF(W63=Constants!$B$8, COUNT($AA$8:$AA$507) + AC63, ""))))</f>
        <v/>
      </c>
      <c r="AE63" s="55" t="str">
        <f aca="false">N63</f>
        <v/>
      </c>
      <c r="AF63" s="55" t="str">
        <f aca="false">IF(ISNUMBER(AE63), RANK(AE63,AE$8:AE$507,1), "")</f>
        <v/>
      </c>
      <c r="AG63" s="57" t="str">
        <f aca="false">IF(ISBLANK(C63), "", ABS(M63-S63))</f>
        <v/>
      </c>
      <c r="AH63" s="55" t="str">
        <f aca="false">IF(ISNUMBER(AG63), RANK(AG63,AG$8:AG$507,1), "")</f>
        <v/>
      </c>
      <c r="AI63" s="55" t="str">
        <f aca="false">IF(ISBLANK(C63),"",IF(V63&lt;&gt;Constants!$B$14, V63, RANK(AD63, AD$8:AD$507, 1)+ SUMPRODUCT(--(AD$8:AD$507=AD63),--(AF63&gt;AF$8:AF$507)) + SUMPRODUCT(--(AD$8:AD$507=AD63),--(AF63=AF$8:AF$507),--(AH63&gt;AH$8:AH$507))))</f>
        <v/>
      </c>
      <c r="AJ63" s="55" t="str">
        <f aca="false">IF(ISBLANK(C63),"",IF(V63&lt;&gt;Constants!$B$14, V63, AD63-AI63))</f>
        <v/>
      </c>
      <c r="AK63" s="59"/>
      <c r="AL63" s="60" t="str">
        <f aca="false">IF(ISBLANK($C63),"",IF($V63&lt;&gt;Constants!$B$14,$V63,X63))</f>
        <v/>
      </c>
      <c r="AM63" s="60" t="str">
        <f aca="false">IF(ISBLANK($C63),"",IF($V63&lt;&gt;Constants!$B$14,$V63,N63))</f>
        <v/>
      </c>
      <c r="AN63" s="62" t="str">
        <f aca="false">IF(ISBLANK(C63),"",IF(V63&lt;&gt;Constants!$B$14, V63, IF(W63=Constants!$B$7,Z63,IF(W63=Constants!$B$8,AB63,""))))</f>
        <v/>
      </c>
      <c r="AO63" s="63" t="str">
        <f aca="false">IF(ISBLANK(C63),"",W63)</f>
        <v/>
      </c>
      <c r="AP63" s="63" t="str">
        <f aca="false">IF(ISBLANK(C63),"",AJ63)</f>
        <v/>
      </c>
      <c r="AQ63" s="63" t="str">
        <f aca="false">IF(ISBLANK(C63),"",AI63)</f>
        <v/>
      </c>
      <c r="AR63" s="64" t="str">
        <f aca="false">IF(ISBLANK(C63),
  "",
IF(AQ63=Constants!$B$11,COUNTA($C$8:$C$507)+2,IF(AQ63=Constants!$B$12,COUNTA($C$8:$C$507)+1,IF(AQ63=Constants!$B$13,COUNTA($C$8:$C$507),AQ63))))</f>
        <v/>
      </c>
      <c r="AS63" s="3"/>
      <c r="AT63" s="65" t="n">
        <f aca="false">IF(OR(ISNUMBER(AQ63),AQ63="DQ",AQ63="P",AQ63="NS"),
    1,
    0
)</f>
        <v>0</v>
      </c>
      <c r="AU63" s="65" t="n">
        <v>56</v>
      </c>
      <c r="AV63" s="65" t="str">
        <f aca="false">IF(ISBLANK($C63),
    "",
   IF(ISNUMBER(AR63),AR63+ROW($B63)/1000,"")
)</f>
        <v/>
      </c>
      <c r="AW63" s="65" t="str">
        <f aca="false">IF(ISNUMBER(AV63), RANK(AV63,AV$8:AV$507,1), "")</f>
        <v/>
      </c>
      <c r="AX63" s="65" t="str">
        <f aca="false">IF(ISBLANK($C63),
    "",
    $B63
)</f>
        <v/>
      </c>
      <c r="AY63" s="65" t="str">
        <f aca="false">IF(ISBLANK($C63),
    "",
    $C63
)</f>
        <v/>
      </c>
      <c r="AZ63" s="65" t="str">
        <f aca="false">IF(ISBLANK($C63),
    "",
    $D63
)</f>
        <v/>
      </c>
      <c r="BA63" s="65" t="str">
        <f aca="false">AO63</f>
        <v/>
      </c>
      <c r="BB63" s="66" t="str">
        <f aca="false">AN63</f>
        <v/>
      </c>
      <c r="BC63" s="65" t="str">
        <f aca="false">IF(ISBLANK($C63),
    "",
    AQ63
)</f>
        <v/>
      </c>
      <c r="BD63" s="67" t="str">
        <f aca="false">IF(AU63&gt;AT$7,
    "",
    VLOOKUP(AU63,AW$8:BC$507,7,FALSE())
)</f>
        <v/>
      </c>
      <c r="BE63" s="68" t="str">
        <f aca="false">IF(AU63&gt;AT$7,
    "",
    VLOOKUP(AU63,AW$8:BC$507,2,FALSE())
)</f>
        <v/>
      </c>
      <c r="BF63" s="68" t="str">
        <f aca="false">IF(AU63&gt;AT$7,
    "",
    VLOOKUP(AU63,AW$8:BC$507,3,FALSE())
)</f>
        <v/>
      </c>
      <c r="BG63" s="68" t="str">
        <f aca="false">IF(AU63&gt;AT$7,
    "",
    VLOOKUP(AU63,AW$8:BC$507,4,FALSE())
)</f>
        <v/>
      </c>
      <c r="BH63" s="68" t="str">
        <f aca="false">IF(AU63&gt;AT$7,
    "",
    VLOOKUP(AU63,AW$8:BC$507,5,FALSE())
)</f>
        <v/>
      </c>
      <c r="BI63" s="69" t="str">
        <f aca="false">IF(AU63&gt;AT$7,
    "",
    VLOOKUP(AU63,AW$8:BC$507,6,FALSE())
)</f>
        <v/>
      </c>
      <c r="BJ63" s="46"/>
    </row>
    <row r="64" customFormat="false" ht="15.75" hidden="false" customHeight="false" outlineLevel="0" collapsed="false">
      <c r="A64" s="3"/>
      <c r="B64" s="108"/>
      <c r="C64" s="70"/>
      <c r="D64" s="49"/>
      <c r="E64" s="109"/>
      <c r="F64" s="72"/>
      <c r="G64" s="109"/>
      <c r="H64" s="74"/>
      <c r="I64" s="104"/>
      <c r="J64" s="74"/>
      <c r="K64" s="74"/>
      <c r="L64" s="55"/>
      <c r="M64" s="55" t="str">
        <f aca="false">IF(ISBLANK($C64),"",IF(ISBLANK(E64),0,E64))</f>
        <v/>
      </c>
      <c r="N64" s="55" t="str">
        <f aca="false">IF(ISBLANK($C64),"",IF(ISBLANK(F64),0,F64))</f>
        <v/>
      </c>
      <c r="O64" s="55" t="e">
        <f aca="false">IF(AND(NOT(ISBLANK($C64)),NOT($T64),COUNTA($E64:$K64)&gt;0),ISBLANK($F64),FALSE())</f>
        <v>#VALUE!</v>
      </c>
      <c r="P64" s="55" t="str">
        <f aca="false">IF(ISBLANK($C64),"",IF(G64=Constants!$B$9, TRUE(), IF(G64=Constants!$B$10, FALSE(), TRUE())))</f>
        <v/>
      </c>
      <c r="Q64" s="55" t="str">
        <f aca="false">IF(ISBLANK($C64),"",IF(H64=Constants!$B$9, TRUE(), IF(H64=Constants!$B$10, FALSE(), TRUE())))</f>
        <v/>
      </c>
      <c r="R64" s="55" t="str">
        <f aca="false">IF(ISBLANK($C64),"",IF(ISBLANK(I64),Constants!$B$3,I64))</f>
        <v/>
      </c>
      <c r="S64" s="55" t="str">
        <f aca="false">IF(ISBLANK($C64),"",IF(ISBLANK(J64),0,MIN(J64,Constants!$B$6)))</f>
        <v/>
      </c>
      <c r="T64" s="55" t="str">
        <f aca="false">IF(ISBLANK($C64),"",IF(K64=Constants!$B$9, TRUE(), IF(K64=Constants!$B$10, FALSE(),  FALSE())))</f>
        <v/>
      </c>
      <c r="U64" s="55" t="str">
        <f aca="false">IF(ISBLANK($C64),"",AND(R64=Constants!$B$4, S64&lt;Constants!$B$6))</f>
        <v/>
      </c>
      <c r="V64" s="55" t="str">
        <f aca="false">IF(ISBLANK(C64), "", IF(T64, Constants!$B$11, IF(COUNTA(E64:K64)=0, Constants!$B$12, IF(NOT(AND(P64,S64&lt;&gt;0)), Constants!$B$13, IF(O64, Constants!$B$15, Constants!$B$14)))))</f>
        <v/>
      </c>
      <c r="W64" s="55" t="str">
        <f aca="false">IF(OR(ISBLANK($C64), SUMPRODUCT(--(P64:T64&lt;&gt;""))=0), "", IF(V64&lt;&gt;Constants!$B$14, V64, IF(AND(NOT(ISBLANK(J64)),P64,Q64,R64&lt;&gt;Constants!$B$2), Constants!$B$7, IF(AND(P64,OR(NOT(Q64),R64=Constants!$B$2)), Constants!$B$8, "Error"))))</f>
        <v/>
      </c>
      <c r="X64" s="56" t="str">
        <f aca="false">IF(OR(W64=Constants!$B$7,W64=Constants!$B$8), MAX(0, MIN(Constants!$B$6, S64))+IF(AND(R64=Constants!$B$4, NOT(U64)), Constants!$B$5, 0), "")</f>
        <v/>
      </c>
      <c r="Y64" s="55" t="str">
        <f aca="false">IF(ISBLANK($C64),"",IF(AND(ISNUMBER(X64),N64&gt;0),X64/N64, "") )</f>
        <v/>
      </c>
      <c r="Z64" s="55" t="str">
        <f aca="false">IF(AND(NOT(ISBLANK($C64)), W64=Constants!$B$7), Y64, "")</f>
        <v/>
      </c>
      <c r="AA64" s="55" t="str">
        <f aca="false">IF(ISNUMBER(Z64), RANK(Z64,Z$8:Z$507), "")</f>
        <v/>
      </c>
      <c r="AB64" s="55" t="str">
        <f aca="false">IF(AND(NOT(ISBLANK($C64)), W64=Constants!$B$8), Y64, "")</f>
        <v/>
      </c>
      <c r="AC64" s="55" t="str">
        <f aca="false">IF(ISNUMBER(AB64), RANK(AB64,AB$8:AB$507), "")</f>
        <v/>
      </c>
      <c r="AD64" s="55" t="str">
        <f aca="false">IF(ISBLANK($C64),"",IF(V64&lt;&gt;Constants!$B$14, V64, IF(W64=Constants!$B$7, AA64, IF(W64=Constants!$B$8, COUNT($AA$8:$AA$507) + AC64, ""))))</f>
        <v/>
      </c>
      <c r="AE64" s="55" t="str">
        <f aca="false">N64</f>
        <v/>
      </c>
      <c r="AF64" s="55" t="str">
        <f aca="false">IF(ISNUMBER(AE64), RANK(AE64,AE$8:AE$507,1), "")</f>
        <v/>
      </c>
      <c r="AG64" s="57" t="str">
        <f aca="false">IF(ISBLANK(C64), "", ABS(M64-S64))</f>
        <v/>
      </c>
      <c r="AH64" s="55" t="str">
        <f aca="false">IF(ISNUMBER(AG64), RANK(AG64,AG$8:AG$507,1), "")</f>
        <v/>
      </c>
      <c r="AI64" s="55" t="str">
        <f aca="false">IF(ISBLANK(C64),"",IF(V64&lt;&gt;Constants!$B$14, V64, RANK(AD64, AD$8:AD$507, 1)+ SUMPRODUCT(--(AD$8:AD$507=AD64),--(AF64&gt;AF$8:AF$507)) + SUMPRODUCT(--(AD$8:AD$507=AD64),--(AF64=AF$8:AF$507),--(AH64&gt;AH$8:AH$507))))</f>
        <v/>
      </c>
      <c r="AJ64" s="55" t="str">
        <f aca="false">IF(ISBLANK(C64),"",IF(V64&lt;&gt;Constants!$B$14, V64, AD64-AI64))</f>
        <v/>
      </c>
      <c r="AK64" s="59"/>
      <c r="AL64" s="60" t="str">
        <f aca="false">IF(ISBLANK($C64),"",IF($V64&lt;&gt;Constants!$B$14,$V64,X64))</f>
        <v/>
      </c>
      <c r="AM64" s="60" t="str">
        <f aca="false">IF(ISBLANK($C64),"",IF($V64&lt;&gt;Constants!$B$14,$V64,N64))</f>
        <v/>
      </c>
      <c r="AN64" s="62" t="str">
        <f aca="false">IF(ISBLANK(C64),"",IF(V64&lt;&gt;Constants!$B$14, V64, IF(W64=Constants!$B$7,Z64,IF(W64=Constants!$B$8,AB64,""))))</f>
        <v/>
      </c>
      <c r="AO64" s="63" t="str">
        <f aca="false">IF(ISBLANK(C64),"",W64)</f>
        <v/>
      </c>
      <c r="AP64" s="63" t="str">
        <f aca="false">IF(ISBLANK(C64),"",AJ64)</f>
        <v/>
      </c>
      <c r="AQ64" s="63" t="str">
        <f aca="false">IF(ISBLANK(C64),"",AI64)</f>
        <v/>
      </c>
      <c r="AR64" s="64" t="str">
        <f aca="false">IF(ISBLANK(C64),
  "",
IF(AQ64=Constants!$B$11,COUNTA($C$8:$C$507)+2,IF(AQ64=Constants!$B$12,COUNTA($C$8:$C$507)+1,IF(AQ64=Constants!$B$13,COUNTA($C$8:$C$507),AQ64))))</f>
        <v/>
      </c>
      <c r="AS64" s="3"/>
      <c r="AT64" s="65" t="n">
        <f aca="false">IF(OR(ISNUMBER(AQ64),AQ64="DQ",AQ64="P",AQ64="NS"),
    1,
    0
)</f>
        <v>0</v>
      </c>
      <c r="AU64" s="65" t="n">
        <v>57</v>
      </c>
      <c r="AV64" s="65" t="str">
        <f aca="false">IF(ISBLANK($C64),
    "",
   IF(ISNUMBER(AR64),AR64+ROW($B64)/1000,"")
)</f>
        <v/>
      </c>
      <c r="AW64" s="65" t="str">
        <f aca="false">IF(ISNUMBER(AV64), RANK(AV64,AV$8:AV$507,1), "")</f>
        <v/>
      </c>
      <c r="AX64" s="65" t="str">
        <f aca="false">IF(ISBLANK($C64),
    "",
    $B64
)</f>
        <v/>
      </c>
      <c r="AY64" s="65" t="str">
        <f aca="false">IF(ISBLANK($C64),
    "",
    $C64
)</f>
        <v/>
      </c>
      <c r="AZ64" s="65" t="str">
        <f aca="false">IF(ISBLANK($C64),
    "",
    $D64
)</f>
        <v/>
      </c>
      <c r="BA64" s="65" t="str">
        <f aca="false">AO64</f>
        <v/>
      </c>
      <c r="BB64" s="66" t="str">
        <f aca="false">AN64</f>
        <v/>
      </c>
      <c r="BC64" s="65" t="str">
        <f aca="false">IF(ISBLANK($C64),
    "",
    AQ64
)</f>
        <v/>
      </c>
      <c r="BD64" s="67" t="str">
        <f aca="false">IF(AU64&gt;AT$7,
    "",
    VLOOKUP(AU64,AW$8:BC$507,7,FALSE())
)</f>
        <v/>
      </c>
      <c r="BE64" s="68" t="str">
        <f aca="false">IF(AU64&gt;AT$7,
    "",
    VLOOKUP(AU64,AW$8:BC$507,2,FALSE())
)</f>
        <v/>
      </c>
      <c r="BF64" s="68" t="str">
        <f aca="false">IF(AU64&gt;AT$7,
    "",
    VLOOKUP(AU64,AW$8:BC$507,3,FALSE())
)</f>
        <v/>
      </c>
      <c r="BG64" s="68" t="str">
        <f aca="false">IF(AU64&gt;AT$7,
    "",
    VLOOKUP(AU64,AW$8:BC$507,4,FALSE())
)</f>
        <v/>
      </c>
      <c r="BH64" s="68" t="str">
        <f aca="false">IF(AU64&gt;AT$7,
    "",
    VLOOKUP(AU64,AW$8:BC$507,5,FALSE())
)</f>
        <v/>
      </c>
      <c r="BI64" s="69" t="str">
        <f aca="false">IF(AU64&gt;AT$7,
    "",
    VLOOKUP(AU64,AW$8:BC$507,6,FALSE())
)</f>
        <v/>
      </c>
      <c r="BJ64" s="46"/>
    </row>
    <row r="65" customFormat="false" ht="15.75" hidden="false" customHeight="false" outlineLevel="0" collapsed="false">
      <c r="A65" s="3"/>
      <c r="B65" s="105"/>
      <c r="C65" s="106"/>
      <c r="D65" s="99"/>
      <c r="E65" s="110"/>
      <c r="F65" s="107"/>
      <c r="G65" s="110"/>
      <c r="H65" s="103"/>
      <c r="I65" s="102"/>
      <c r="J65" s="103"/>
      <c r="K65" s="103"/>
      <c r="L65" s="85"/>
      <c r="M65" s="85" t="str">
        <f aca="false">IF(ISBLANK($C65),"",IF(ISBLANK(E65),0,E65))</f>
        <v/>
      </c>
      <c r="N65" s="85" t="str">
        <f aca="false">IF(ISBLANK($C65),"",IF(ISBLANK(F65),0,F65))</f>
        <v/>
      </c>
      <c r="O65" s="86" t="e">
        <f aca="false">IF(AND(NOT(ISBLANK($C65)),NOT($T65),COUNTA($E65:$K65)&gt;0),ISBLANK($F65),FALSE())</f>
        <v>#VALUE!</v>
      </c>
      <c r="P65" s="85" t="str">
        <f aca="false">IF(ISBLANK($C65),"",IF(G65=Constants!$B$9, TRUE(), IF(G65=Constants!$B$10, FALSE(), TRUE())))</f>
        <v/>
      </c>
      <c r="Q65" s="85" t="str">
        <f aca="false">IF(ISBLANK($C65),"",IF(H65=Constants!$B$9, TRUE(), IF(H65=Constants!$B$10, FALSE(), TRUE())))</f>
        <v/>
      </c>
      <c r="R65" s="85" t="str">
        <f aca="false">IF(ISBLANK($C65),"",IF(ISBLANK(I65),Constants!$B$3,I65))</f>
        <v/>
      </c>
      <c r="S65" s="85" t="str">
        <f aca="false">IF(ISBLANK($C65),"",IF(ISBLANK(J65),0,MIN(J65,Constants!$B$6)))</f>
        <v/>
      </c>
      <c r="T65" s="85" t="str">
        <f aca="false">IF(ISBLANK($C65),"",IF(K65=Constants!$B$9, TRUE(), IF(K65=Constants!$B$10, FALSE(),  FALSE())))</f>
        <v/>
      </c>
      <c r="U65" s="85" t="str">
        <f aca="false">IF(ISBLANK($C65),"",AND(R65=Constants!$B$4, S65&lt;Constants!$B$6))</f>
        <v/>
      </c>
      <c r="V65" s="85" t="str">
        <f aca="false">IF(ISBLANK(C65), "", IF(T65, Constants!$B$11, IF(COUNTA(E65:K65)=0, Constants!$B$12, IF(NOT(AND(P65,S65&lt;&gt;0)), Constants!$B$13, IF(O65, Constants!$B$15, Constants!$B$14)))))</f>
        <v/>
      </c>
      <c r="W65" s="85" t="str">
        <f aca="false">IF(OR(ISBLANK($C65), SUMPRODUCT(--(P65:T65&lt;&gt;""))=0), "", IF(V65&lt;&gt;Constants!$B$14, V65, IF(AND(NOT(ISBLANK(J65)),P65,Q65,R65&lt;&gt;Constants!$B$2), Constants!$B$7, IF(AND(P65,OR(NOT(Q65),R65=Constants!$B$2)), Constants!$B$8, "Error"))))</f>
        <v/>
      </c>
      <c r="X65" s="87" t="str">
        <f aca="false">IF(OR(W65=Constants!$B$7,W65=Constants!$B$8), MAX(0, MIN(Constants!$B$6, S65))+IF(AND(R65=Constants!$B$4, NOT(U65)), Constants!$B$5, 0), "")</f>
        <v/>
      </c>
      <c r="Y65" s="85" t="str">
        <f aca="false">IF(ISBLANK($C65),"",IF(AND(ISNUMBER(X65),N65&gt;0),X65/N65, "") )</f>
        <v/>
      </c>
      <c r="Z65" s="85" t="str">
        <f aca="false">IF(AND(NOT(ISBLANK($C65)), W65=Constants!$B$7), Y65, "")</f>
        <v/>
      </c>
      <c r="AA65" s="85" t="str">
        <f aca="false">IF(ISNUMBER(Z65), RANK(Z65,Z$8:Z$507), "")</f>
        <v/>
      </c>
      <c r="AB65" s="85" t="str">
        <f aca="false">IF(AND(NOT(ISBLANK($C65)), W65=Constants!$B$8), Y65, "")</f>
        <v/>
      </c>
      <c r="AC65" s="85" t="str">
        <f aca="false">IF(ISNUMBER(AB65), RANK(AB65,AB$8:AB$507), "")</f>
        <v/>
      </c>
      <c r="AD65" s="85" t="str">
        <f aca="false">IF(ISBLANK($C65),"",IF(V65&lt;&gt;Constants!$B$14, V65, IF(W65=Constants!$B$7, AA65, IF(W65=Constants!$B$8, COUNT($AA$8:$AA$507) + AC65, ""))))</f>
        <v/>
      </c>
      <c r="AE65" s="85" t="str">
        <f aca="false">N65</f>
        <v/>
      </c>
      <c r="AF65" s="85" t="str">
        <f aca="false">IF(ISNUMBER(AE65), RANK(AE65,AE$8:AE$507,1), "")</f>
        <v/>
      </c>
      <c r="AG65" s="88" t="str">
        <f aca="false">IF(ISBLANK(C65), "", ABS(M65-S65))</f>
        <v/>
      </c>
      <c r="AH65" s="85" t="str">
        <f aca="false">IF(ISNUMBER(AG65), RANK(AG65,AG$8:AG$507,1), "")</f>
        <v/>
      </c>
      <c r="AI65" s="85" t="str">
        <f aca="false">IF(ISBLANK(C65),"",IF(V65&lt;&gt;Constants!$B$14, V65, RANK(AD65, AD$8:AD$507, 1)+ SUMPRODUCT(--(AD$8:AD$507=AD65),--(AF65&gt;AF$8:AF$507)) + SUMPRODUCT(--(AD$8:AD$507=AD65),--(AF65=AF$8:AF$507),--(AH65&gt;AH$8:AH$507))))</f>
        <v/>
      </c>
      <c r="AJ65" s="85" t="str">
        <f aca="false">IF(ISBLANK(C65),"",IF(V65&lt;&gt;Constants!$B$14, V65, AD65-AI65))</f>
        <v/>
      </c>
      <c r="AK65" s="89"/>
      <c r="AL65" s="90" t="str">
        <f aca="false">IF(ISBLANK($C65),"",IF($V65&lt;&gt;Constants!$B$14,$V65,X65))</f>
        <v/>
      </c>
      <c r="AM65" s="90" t="str">
        <f aca="false">IF(ISBLANK($C65),"",IF($V65&lt;&gt;Constants!$B$14,$V65,N65))</f>
        <v/>
      </c>
      <c r="AN65" s="91" t="str">
        <f aca="false">IF(ISBLANK(C65),"",IF(V65&lt;&gt;Constants!$B$14, V65, IF(W65=Constants!$B$7,Z65,IF(W65=Constants!$B$8,AB65,""))))</f>
        <v/>
      </c>
      <c r="AO65" s="92" t="str">
        <f aca="false">IF(ISBLANK(C65),"",W65)</f>
        <v/>
      </c>
      <c r="AP65" s="92" t="str">
        <f aca="false">IF(ISBLANK(C65),"",AJ65)</f>
        <v/>
      </c>
      <c r="AQ65" s="92" t="str">
        <f aca="false">IF(ISBLANK(C65),"",AI65)</f>
        <v/>
      </c>
      <c r="AR65" s="93" t="str">
        <f aca="false">IF(ISBLANK(C65),
  "",
IF(AQ65=Constants!$B$11,COUNTA($C$8:$C$507)+2,IF(AQ65=Constants!$B$12,COUNTA($C$8:$C$507)+1,IF(AQ65=Constants!$B$13,COUNTA($C$8:$C$507),AQ65))))</f>
        <v/>
      </c>
      <c r="AS65" s="3"/>
      <c r="AT65" s="94" t="n">
        <f aca="false">IF(OR(ISNUMBER(AQ65),AQ65="DQ",AQ65="P",AQ65="NS"),
    1,
    0
)</f>
        <v>0</v>
      </c>
      <c r="AU65" s="94" t="n">
        <v>58</v>
      </c>
      <c r="AV65" s="94" t="str">
        <f aca="false">IF(ISBLANK($C65),
    "",
   IF(ISNUMBER(AR65),AR65+ROW($B65)/1000,"")
)</f>
        <v/>
      </c>
      <c r="AW65" s="94" t="str">
        <f aca="false">IF(ISNUMBER(AV65), RANK(AV65,AV$8:AV$507,1), "")</f>
        <v/>
      </c>
      <c r="AX65" s="94" t="str">
        <f aca="false">IF(ISBLANK($C65),
    "",
    $B65
)</f>
        <v/>
      </c>
      <c r="AY65" s="94" t="str">
        <f aca="false">IF(ISBLANK($C65),
    "",
    $C65
)</f>
        <v/>
      </c>
      <c r="AZ65" s="94" t="str">
        <f aca="false">IF(ISBLANK($C65),
    "",
    $D65
)</f>
        <v/>
      </c>
      <c r="BA65" s="94" t="str">
        <f aca="false">AO65</f>
        <v/>
      </c>
      <c r="BB65" s="95" t="str">
        <f aca="false">AN65</f>
        <v/>
      </c>
      <c r="BC65" s="94" t="str">
        <f aca="false">IF(ISBLANK($C65),
    "",
    AQ65
)</f>
        <v/>
      </c>
      <c r="BD65" s="96" t="str">
        <f aca="false">IF(AU65&gt;AT$7,
    "",
    VLOOKUP(AU65,AW$8:BC$507,7,FALSE())
)</f>
        <v/>
      </c>
      <c r="BE65" s="97" t="str">
        <f aca="false">IF(AU65&gt;AT$7,
    "",
    VLOOKUP(AU65,AW$8:BC$507,2,FALSE())
)</f>
        <v/>
      </c>
      <c r="BF65" s="97" t="str">
        <f aca="false">IF(AU65&gt;AT$7,
    "",
    VLOOKUP(AU65,AW$8:BC$507,3,FALSE())
)</f>
        <v/>
      </c>
      <c r="BG65" s="97" t="str">
        <f aca="false">IF(AU65&gt;AT$7,
    "",
    VLOOKUP(AU65,AW$8:BC$507,4,FALSE())
)</f>
        <v/>
      </c>
      <c r="BH65" s="97" t="str">
        <f aca="false">IF(AU65&gt;AT$7,
    "",
    VLOOKUP(AU65,AW$8:BC$507,5,FALSE())
)</f>
        <v/>
      </c>
      <c r="BI65" s="98" t="str">
        <f aca="false">IF(AU65&gt;AT$7,
    "",
    VLOOKUP(AU65,AW$8:BC$507,6,FALSE())
)</f>
        <v/>
      </c>
      <c r="BJ65" s="46"/>
    </row>
    <row r="66" customFormat="false" ht="15.75" hidden="false" customHeight="false" outlineLevel="0" collapsed="false">
      <c r="A66" s="3"/>
      <c r="B66" s="105"/>
      <c r="C66" s="106"/>
      <c r="D66" s="99"/>
      <c r="E66" s="110"/>
      <c r="F66" s="107"/>
      <c r="G66" s="110"/>
      <c r="H66" s="103"/>
      <c r="I66" s="102"/>
      <c r="J66" s="103"/>
      <c r="K66" s="103"/>
      <c r="L66" s="85"/>
      <c r="M66" s="85" t="str">
        <f aca="false">IF(ISBLANK($C66),"",IF(ISBLANK(E66),0,E66))</f>
        <v/>
      </c>
      <c r="N66" s="85" t="str">
        <f aca="false">IF(ISBLANK($C66),"",IF(ISBLANK(F66),0,F66))</f>
        <v/>
      </c>
      <c r="O66" s="86" t="e">
        <f aca="false">IF(AND(NOT(ISBLANK($C66)),NOT($T66),COUNTA($E66:$K66)&gt;0),ISBLANK($F66),FALSE())</f>
        <v>#VALUE!</v>
      </c>
      <c r="P66" s="85" t="str">
        <f aca="false">IF(ISBLANK($C66),"",IF(G66=Constants!$B$9, TRUE(), IF(G66=Constants!$B$10, FALSE(), TRUE())))</f>
        <v/>
      </c>
      <c r="Q66" s="85" t="str">
        <f aca="false">IF(ISBLANK($C66),"",IF(H66=Constants!$B$9, TRUE(), IF(H66=Constants!$B$10, FALSE(), TRUE())))</f>
        <v/>
      </c>
      <c r="R66" s="85" t="str">
        <f aca="false">IF(ISBLANK($C66),"",IF(ISBLANK(I66),Constants!$B$3,I66))</f>
        <v/>
      </c>
      <c r="S66" s="85" t="str">
        <f aca="false">IF(ISBLANK($C66),"",IF(ISBLANK(J66),0,MIN(J66,Constants!$B$6)))</f>
        <v/>
      </c>
      <c r="T66" s="85" t="str">
        <f aca="false">IF(ISBLANK($C66),"",IF(K66=Constants!$B$9, TRUE(), IF(K66=Constants!$B$10, FALSE(),  FALSE())))</f>
        <v/>
      </c>
      <c r="U66" s="85" t="str">
        <f aca="false">IF(ISBLANK($C66),"",AND(R66=Constants!$B$4, S66&lt;Constants!$B$6))</f>
        <v/>
      </c>
      <c r="V66" s="85" t="str">
        <f aca="false">IF(ISBLANK(C66), "", IF(T66, Constants!$B$11, IF(COUNTA(E66:K66)=0, Constants!$B$12, IF(NOT(AND(P66,S66&lt;&gt;0)), Constants!$B$13, IF(O66, Constants!$B$15, Constants!$B$14)))))</f>
        <v/>
      </c>
      <c r="W66" s="85" t="str">
        <f aca="false">IF(OR(ISBLANK($C66), SUMPRODUCT(--(P66:T66&lt;&gt;""))=0), "", IF(V66&lt;&gt;Constants!$B$14, V66, IF(AND(NOT(ISBLANK(J66)),P66,Q66,R66&lt;&gt;Constants!$B$2), Constants!$B$7, IF(AND(P66,OR(NOT(Q66),R66=Constants!$B$2)), Constants!$B$8, "Error"))))</f>
        <v/>
      </c>
      <c r="X66" s="87" t="str">
        <f aca="false">IF(OR(W66=Constants!$B$7,W66=Constants!$B$8), MAX(0, MIN(Constants!$B$6, S66))+IF(AND(R66=Constants!$B$4, NOT(U66)), Constants!$B$5, 0), "")</f>
        <v/>
      </c>
      <c r="Y66" s="85" t="str">
        <f aca="false">IF(ISBLANK($C66),"",IF(AND(ISNUMBER(X66),N66&gt;0),X66/N66, "") )</f>
        <v/>
      </c>
      <c r="Z66" s="85" t="str">
        <f aca="false">IF(AND(NOT(ISBLANK($C66)), W66=Constants!$B$7), Y66, "")</f>
        <v/>
      </c>
      <c r="AA66" s="85" t="str">
        <f aca="false">IF(ISNUMBER(Z66), RANK(Z66,Z$8:Z$507), "")</f>
        <v/>
      </c>
      <c r="AB66" s="85" t="str">
        <f aca="false">IF(AND(NOT(ISBLANK($C66)), W66=Constants!$B$8), Y66, "")</f>
        <v/>
      </c>
      <c r="AC66" s="85" t="str">
        <f aca="false">IF(ISNUMBER(AB66), RANK(AB66,AB$8:AB$507), "")</f>
        <v/>
      </c>
      <c r="AD66" s="85" t="str">
        <f aca="false">IF(ISBLANK($C66),"",IF(V66&lt;&gt;Constants!$B$14, V66, IF(W66=Constants!$B$7, AA66, IF(W66=Constants!$B$8, COUNT($AA$8:$AA$507) + AC66, ""))))</f>
        <v/>
      </c>
      <c r="AE66" s="85" t="str">
        <f aca="false">N66</f>
        <v/>
      </c>
      <c r="AF66" s="85" t="str">
        <f aca="false">IF(ISNUMBER(AE66), RANK(AE66,AE$8:AE$507,1), "")</f>
        <v/>
      </c>
      <c r="AG66" s="88" t="str">
        <f aca="false">IF(ISBLANK(C66), "", ABS(M66-S66))</f>
        <v/>
      </c>
      <c r="AH66" s="85" t="str">
        <f aca="false">IF(ISNUMBER(AG66), RANK(AG66,AG$8:AG$507,1), "")</f>
        <v/>
      </c>
      <c r="AI66" s="85" t="str">
        <f aca="false">IF(ISBLANK(C66),"",IF(V66&lt;&gt;Constants!$B$14, V66, RANK(AD66, AD$8:AD$507, 1)+ SUMPRODUCT(--(AD$8:AD$507=AD66),--(AF66&gt;AF$8:AF$507)) + SUMPRODUCT(--(AD$8:AD$507=AD66),--(AF66=AF$8:AF$507),--(AH66&gt;AH$8:AH$507))))</f>
        <v/>
      </c>
      <c r="AJ66" s="85" t="str">
        <f aca="false">IF(ISBLANK(C66),"",IF(V66&lt;&gt;Constants!$B$14, V66, AD66-AI66))</f>
        <v/>
      </c>
      <c r="AK66" s="89"/>
      <c r="AL66" s="90" t="str">
        <f aca="false">IF(ISBLANK($C66),"",IF($V66&lt;&gt;Constants!$B$14,$V66,X66))</f>
        <v/>
      </c>
      <c r="AM66" s="90" t="str">
        <f aca="false">IF(ISBLANK($C66),"",IF($V66&lt;&gt;Constants!$B$14,$V66,N66))</f>
        <v/>
      </c>
      <c r="AN66" s="91" t="str">
        <f aca="false">IF(ISBLANK(C66),"",IF(V66&lt;&gt;Constants!$B$14, V66, IF(W66=Constants!$B$7,Z66,IF(W66=Constants!$B$8,AB66,""))))</f>
        <v/>
      </c>
      <c r="AO66" s="92" t="str">
        <f aca="false">IF(ISBLANK(C66),"",W66)</f>
        <v/>
      </c>
      <c r="AP66" s="92" t="str">
        <f aca="false">IF(ISBLANK(C66),"",AJ66)</f>
        <v/>
      </c>
      <c r="AQ66" s="92" t="str">
        <f aca="false">IF(ISBLANK(C66),"",AI66)</f>
        <v/>
      </c>
      <c r="AR66" s="93" t="str">
        <f aca="false">IF(ISBLANK(C66),
  "",
IF(AQ66=Constants!$B$11,COUNTA($C$8:$C$507)+2,IF(AQ66=Constants!$B$12,COUNTA($C$8:$C$507)+1,IF(AQ66=Constants!$B$13,COUNTA($C$8:$C$507),AQ66))))</f>
        <v/>
      </c>
      <c r="AS66" s="3"/>
      <c r="AT66" s="94" t="n">
        <f aca="false">IF(OR(ISNUMBER(AQ66),AQ66="DQ",AQ66="P",AQ66="NS"),
    1,
    0
)</f>
        <v>0</v>
      </c>
      <c r="AU66" s="94" t="n">
        <v>59</v>
      </c>
      <c r="AV66" s="94" t="str">
        <f aca="false">IF(ISBLANK($C66),
    "",
   IF(ISNUMBER(AR66),AR66+ROW($B66)/1000,"")
)</f>
        <v/>
      </c>
      <c r="AW66" s="94" t="str">
        <f aca="false">IF(ISNUMBER(AV66), RANK(AV66,AV$8:AV$507,1), "")</f>
        <v/>
      </c>
      <c r="AX66" s="94" t="str">
        <f aca="false">IF(ISBLANK($C66),
    "",
    $B66
)</f>
        <v/>
      </c>
      <c r="AY66" s="94" t="str">
        <f aca="false">IF(ISBLANK($C66),
    "",
    $C66
)</f>
        <v/>
      </c>
      <c r="AZ66" s="94" t="str">
        <f aca="false">IF(ISBLANK($C66),
    "",
    $D66
)</f>
        <v/>
      </c>
      <c r="BA66" s="94" t="str">
        <f aca="false">AO66</f>
        <v/>
      </c>
      <c r="BB66" s="95" t="str">
        <f aca="false">AN66</f>
        <v/>
      </c>
      <c r="BC66" s="94" t="str">
        <f aca="false">IF(ISBLANK($C66),
    "",
    AQ66
)</f>
        <v/>
      </c>
      <c r="BD66" s="96" t="str">
        <f aca="false">IF(AU66&gt;AT$7,
    "",
    VLOOKUP(AU66,AW$8:BC$507,7,FALSE())
)</f>
        <v/>
      </c>
      <c r="BE66" s="97" t="str">
        <f aca="false">IF(AU66&gt;AT$7,
    "",
    VLOOKUP(AU66,AW$8:BC$507,2,FALSE())
)</f>
        <v/>
      </c>
      <c r="BF66" s="97" t="str">
        <f aca="false">IF(AU66&gt;AT$7,
    "",
    VLOOKUP(AU66,AW$8:BC$507,3,FALSE())
)</f>
        <v/>
      </c>
      <c r="BG66" s="97" t="str">
        <f aca="false">IF(AU66&gt;AT$7,
    "",
    VLOOKUP(AU66,AW$8:BC$507,4,FALSE())
)</f>
        <v/>
      </c>
      <c r="BH66" s="97" t="str">
        <f aca="false">IF(AU66&gt;AT$7,
    "",
    VLOOKUP(AU66,AW$8:BC$507,5,FALSE())
)</f>
        <v/>
      </c>
      <c r="BI66" s="98" t="str">
        <f aca="false">IF(AU66&gt;AT$7,
    "",
    VLOOKUP(AU66,AW$8:BC$507,6,FALSE())
)</f>
        <v/>
      </c>
      <c r="BJ66" s="46"/>
    </row>
    <row r="67" customFormat="false" ht="15.75" hidden="false" customHeight="false" outlineLevel="0" collapsed="false">
      <c r="A67" s="3"/>
      <c r="B67" s="105"/>
      <c r="C67" s="106"/>
      <c r="D67" s="99"/>
      <c r="E67" s="110"/>
      <c r="F67" s="107"/>
      <c r="G67" s="110"/>
      <c r="H67" s="103"/>
      <c r="I67" s="102"/>
      <c r="J67" s="103"/>
      <c r="K67" s="103"/>
      <c r="L67" s="85"/>
      <c r="M67" s="85" t="str">
        <f aca="false">IF(ISBLANK($C67),"",IF(ISBLANK(E67),0,E67))</f>
        <v/>
      </c>
      <c r="N67" s="85" t="str">
        <f aca="false">IF(ISBLANK($C67),"",IF(ISBLANK(F67),0,F67))</f>
        <v/>
      </c>
      <c r="O67" s="86" t="e">
        <f aca="false">IF(AND(NOT(ISBLANK($C67)),NOT($T67),COUNTA($E67:$K67)&gt;0),ISBLANK($F67),FALSE())</f>
        <v>#VALUE!</v>
      </c>
      <c r="P67" s="85" t="str">
        <f aca="false">IF(ISBLANK($C67),"",IF(G67=Constants!$B$9, TRUE(), IF(G67=Constants!$B$10, FALSE(), TRUE())))</f>
        <v/>
      </c>
      <c r="Q67" s="85" t="str">
        <f aca="false">IF(ISBLANK($C67),"",IF(H67=Constants!$B$9, TRUE(), IF(H67=Constants!$B$10, FALSE(), TRUE())))</f>
        <v/>
      </c>
      <c r="R67" s="85" t="str">
        <f aca="false">IF(ISBLANK($C67),"",IF(ISBLANK(I67),Constants!$B$3,I67))</f>
        <v/>
      </c>
      <c r="S67" s="85" t="str">
        <f aca="false">IF(ISBLANK($C67),"",IF(ISBLANK(J67),0,MIN(J67,Constants!$B$6)))</f>
        <v/>
      </c>
      <c r="T67" s="85" t="str">
        <f aca="false">IF(ISBLANK($C67),"",IF(K67=Constants!$B$9, TRUE(), IF(K67=Constants!$B$10, FALSE(),  FALSE())))</f>
        <v/>
      </c>
      <c r="U67" s="85" t="str">
        <f aca="false">IF(ISBLANK($C67),"",AND(R67=Constants!$B$4, S67&lt;Constants!$B$6))</f>
        <v/>
      </c>
      <c r="V67" s="85" t="str">
        <f aca="false">IF(ISBLANK(C67), "", IF(T67, Constants!$B$11, IF(COUNTA(E67:K67)=0, Constants!$B$12, IF(NOT(AND(P67,S67&lt;&gt;0)), Constants!$B$13, IF(O67, Constants!$B$15, Constants!$B$14)))))</f>
        <v/>
      </c>
      <c r="W67" s="85" t="str">
        <f aca="false">IF(OR(ISBLANK($C67), SUMPRODUCT(--(P67:T67&lt;&gt;""))=0), "", IF(V67&lt;&gt;Constants!$B$14, V67, IF(AND(NOT(ISBLANK(J67)),P67,Q67,R67&lt;&gt;Constants!$B$2), Constants!$B$7, IF(AND(P67,OR(NOT(Q67),R67=Constants!$B$2)), Constants!$B$8, "Error"))))</f>
        <v/>
      </c>
      <c r="X67" s="87" t="str">
        <f aca="false">IF(OR(W67=Constants!$B$7,W67=Constants!$B$8), MAX(0, MIN(Constants!$B$6, S67))+IF(AND(R67=Constants!$B$4, NOT(U67)), Constants!$B$5, 0), "")</f>
        <v/>
      </c>
      <c r="Y67" s="85" t="str">
        <f aca="false">IF(ISBLANK($C67),"",IF(AND(ISNUMBER(X67),N67&gt;0),X67/N67, "") )</f>
        <v/>
      </c>
      <c r="Z67" s="85" t="str">
        <f aca="false">IF(AND(NOT(ISBLANK($C67)), W67=Constants!$B$7), Y67, "")</f>
        <v/>
      </c>
      <c r="AA67" s="85" t="str">
        <f aca="false">IF(ISNUMBER(Z67), RANK(Z67,Z$8:Z$507), "")</f>
        <v/>
      </c>
      <c r="AB67" s="85" t="str">
        <f aca="false">IF(AND(NOT(ISBLANK($C67)), W67=Constants!$B$8), Y67, "")</f>
        <v/>
      </c>
      <c r="AC67" s="85" t="str">
        <f aca="false">IF(ISNUMBER(AB67), RANK(AB67,AB$8:AB$507), "")</f>
        <v/>
      </c>
      <c r="AD67" s="85" t="str">
        <f aca="false">IF(ISBLANK($C67),"",IF(V67&lt;&gt;Constants!$B$14, V67, IF(W67=Constants!$B$7, AA67, IF(W67=Constants!$B$8, COUNT($AA$8:$AA$507) + AC67, ""))))</f>
        <v/>
      </c>
      <c r="AE67" s="85" t="str">
        <f aca="false">N67</f>
        <v/>
      </c>
      <c r="AF67" s="85" t="str">
        <f aca="false">IF(ISNUMBER(AE67), RANK(AE67,AE$8:AE$507,1), "")</f>
        <v/>
      </c>
      <c r="AG67" s="88" t="str">
        <f aca="false">IF(ISBLANK(C67), "", ABS(M67-S67))</f>
        <v/>
      </c>
      <c r="AH67" s="85" t="str">
        <f aca="false">IF(ISNUMBER(AG67), RANK(AG67,AG$8:AG$507,1), "")</f>
        <v/>
      </c>
      <c r="AI67" s="85" t="str">
        <f aca="false">IF(ISBLANK(C67),"",IF(V67&lt;&gt;Constants!$B$14, V67, RANK(AD67, AD$8:AD$507, 1)+ SUMPRODUCT(--(AD$8:AD$507=AD67),--(AF67&gt;AF$8:AF$507)) + SUMPRODUCT(--(AD$8:AD$507=AD67),--(AF67=AF$8:AF$507),--(AH67&gt;AH$8:AH$507))))</f>
        <v/>
      </c>
      <c r="AJ67" s="85" t="str">
        <f aca="false">IF(ISBLANK(C67),"",IF(V67&lt;&gt;Constants!$B$14, V67, AD67-AI67))</f>
        <v/>
      </c>
      <c r="AK67" s="89"/>
      <c r="AL67" s="90" t="str">
        <f aca="false">IF(ISBLANK($C67),"",IF($V67&lt;&gt;Constants!$B$14,$V67,X67))</f>
        <v/>
      </c>
      <c r="AM67" s="90" t="str">
        <f aca="false">IF(ISBLANK($C67),"",IF($V67&lt;&gt;Constants!$B$14,$V67,N67))</f>
        <v/>
      </c>
      <c r="AN67" s="91" t="str">
        <f aca="false">IF(ISBLANK(C67),"",IF(V67&lt;&gt;Constants!$B$14, V67, IF(W67=Constants!$B$7,Z67,IF(W67=Constants!$B$8,AB67,""))))</f>
        <v/>
      </c>
      <c r="AO67" s="92" t="str">
        <f aca="false">IF(ISBLANK(C67),"",W67)</f>
        <v/>
      </c>
      <c r="AP67" s="92" t="str">
        <f aca="false">IF(ISBLANK(C67),"",AJ67)</f>
        <v/>
      </c>
      <c r="AQ67" s="92" t="str">
        <f aca="false">IF(ISBLANK(C67),"",AI67)</f>
        <v/>
      </c>
      <c r="AR67" s="93" t="str">
        <f aca="false">IF(ISBLANK(C67),
  "",
IF(AQ67=Constants!$B$11,COUNTA($C$8:$C$507)+2,IF(AQ67=Constants!$B$12,COUNTA($C$8:$C$507)+1,IF(AQ67=Constants!$B$13,COUNTA($C$8:$C$507),AQ67))))</f>
        <v/>
      </c>
      <c r="AS67" s="3"/>
      <c r="AT67" s="94" t="n">
        <f aca="false">IF(OR(ISNUMBER(AQ67),AQ67="DQ",AQ67="P",AQ67="NS"),
    1,
    0
)</f>
        <v>0</v>
      </c>
      <c r="AU67" s="94" t="n">
        <v>60</v>
      </c>
      <c r="AV67" s="94" t="str">
        <f aca="false">IF(ISBLANK($C67),
    "",
   IF(ISNUMBER(AR67),AR67+ROW($B67)/1000,"")
)</f>
        <v/>
      </c>
      <c r="AW67" s="94" t="str">
        <f aca="false">IF(ISNUMBER(AV67), RANK(AV67,AV$8:AV$507,1), "")</f>
        <v/>
      </c>
      <c r="AX67" s="94" t="str">
        <f aca="false">IF(ISBLANK($C67),
    "",
    $B67
)</f>
        <v/>
      </c>
      <c r="AY67" s="94" t="str">
        <f aca="false">IF(ISBLANK($C67),
    "",
    $C67
)</f>
        <v/>
      </c>
      <c r="AZ67" s="94" t="str">
        <f aca="false">IF(ISBLANK($C67),
    "",
    $D67
)</f>
        <v/>
      </c>
      <c r="BA67" s="94" t="str">
        <f aca="false">AO67</f>
        <v/>
      </c>
      <c r="BB67" s="95" t="str">
        <f aca="false">AN67</f>
        <v/>
      </c>
      <c r="BC67" s="94" t="str">
        <f aca="false">IF(ISBLANK($C67),
    "",
    AQ67
)</f>
        <v/>
      </c>
      <c r="BD67" s="96" t="str">
        <f aca="false">IF(AU67&gt;AT$7,
    "",
    VLOOKUP(AU67,AW$8:BC$507,7,FALSE())
)</f>
        <v/>
      </c>
      <c r="BE67" s="97" t="str">
        <f aca="false">IF(AU67&gt;AT$7,
    "",
    VLOOKUP(AU67,AW$8:BC$507,2,FALSE())
)</f>
        <v/>
      </c>
      <c r="BF67" s="97" t="str">
        <f aca="false">IF(AU67&gt;AT$7,
    "",
    VLOOKUP(AU67,AW$8:BC$507,3,FALSE())
)</f>
        <v/>
      </c>
      <c r="BG67" s="97" t="str">
        <f aca="false">IF(AU67&gt;AT$7,
    "",
    VLOOKUP(AU67,AW$8:BC$507,4,FALSE())
)</f>
        <v/>
      </c>
      <c r="BH67" s="97" t="str">
        <f aca="false">IF(AU67&gt;AT$7,
    "",
    VLOOKUP(AU67,AW$8:BC$507,5,FALSE())
)</f>
        <v/>
      </c>
      <c r="BI67" s="98" t="str">
        <f aca="false">IF(AU67&gt;AT$7,
    "",
    VLOOKUP(AU67,AW$8:BC$507,6,FALSE())
)</f>
        <v/>
      </c>
      <c r="BJ67" s="46"/>
    </row>
    <row r="68" customFormat="false" ht="15.75" hidden="false" customHeight="false" outlineLevel="0" collapsed="false">
      <c r="A68" s="3"/>
      <c r="B68" s="108"/>
      <c r="C68" s="70"/>
      <c r="D68" s="49"/>
      <c r="E68" s="109"/>
      <c r="F68" s="72"/>
      <c r="G68" s="109"/>
      <c r="H68" s="74"/>
      <c r="I68" s="104"/>
      <c r="J68" s="74"/>
      <c r="K68" s="74"/>
      <c r="L68" s="55"/>
      <c r="M68" s="55" t="str">
        <f aca="false">IF(ISBLANK($C68),"",IF(ISBLANK(E68),0,E68))</f>
        <v/>
      </c>
      <c r="N68" s="55" t="str">
        <f aca="false">IF(ISBLANK($C68),"",IF(ISBLANK(F68),0,F68))</f>
        <v/>
      </c>
      <c r="O68" s="55" t="e">
        <f aca="false">IF(AND(NOT(ISBLANK($C68)),NOT($T68),COUNTA($E68:$K68)&gt;0),ISBLANK($F68),FALSE())</f>
        <v>#VALUE!</v>
      </c>
      <c r="P68" s="55" t="str">
        <f aca="false">IF(ISBLANK($C68),"",IF(G68=Constants!$B$9, TRUE(), IF(G68=Constants!$B$10, FALSE(), TRUE())))</f>
        <v/>
      </c>
      <c r="Q68" s="55" t="str">
        <f aca="false">IF(ISBLANK($C68),"",IF(H68=Constants!$B$9, TRUE(), IF(H68=Constants!$B$10, FALSE(), TRUE())))</f>
        <v/>
      </c>
      <c r="R68" s="55" t="str">
        <f aca="false">IF(ISBLANK($C68),"",IF(ISBLANK(I68),Constants!$B$3,I68))</f>
        <v/>
      </c>
      <c r="S68" s="55" t="str">
        <f aca="false">IF(ISBLANK($C68),"",IF(ISBLANK(J68),0,MIN(J68,Constants!$B$6)))</f>
        <v/>
      </c>
      <c r="T68" s="55" t="str">
        <f aca="false">IF(ISBLANK($C68),"",IF(K68=Constants!$B$9, TRUE(), IF(K68=Constants!$B$10, FALSE(),  FALSE())))</f>
        <v/>
      </c>
      <c r="U68" s="55" t="str">
        <f aca="false">IF(ISBLANK($C68),"",AND(R68=Constants!$B$4, S68&lt;Constants!$B$6))</f>
        <v/>
      </c>
      <c r="V68" s="55" t="str">
        <f aca="false">IF(ISBLANK(C68), "", IF(T68, Constants!$B$11, IF(COUNTA(E68:K68)=0, Constants!$B$12, IF(NOT(AND(P68,S68&lt;&gt;0)), Constants!$B$13, IF(O68, Constants!$B$15, Constants!$B$14)))))</f>
        <v/>
      </c>
      <c r="W68" s="55" t="str">
        <f aca="false">IF(OR(ISBLANK($C68), SUMPRODUCT(--(P68:T68&lt;&gt;""))=0), "", IF(V68&lt;&gt;Constants!$B$14, V68, IF(AND(NOT(ISBLANK(J68)),P68,Q68,R68&lt;&gt;Constants!$B$2), Constants!$B$7, IF(AND(P68,OR(NOT(Q68),R68=Constants!$B$2)), Constants!$B$8, "Error"))))</f>
        <v/>
      </c>
      <c r="X68" s="56" t="str">
        <f aca="false">IF(OR(W68=Constants!$B$7,W68=Constants!$B$8), MAX(0, MIN(Constants!$B$6, S68))+IF(AND(R68=Constants!$B$4, NOT(U68)), Constants!$B$5, 0), "")</f>
        <v/>
      </c>
      <c r="Y68" s="55" t="str">
        <f aca="false">IF(ISBLANK($C68),"",IF(AND(ISNUMBER(X68),N68&gt;0),X68/N68, "") )</f>
        <v/>
      </c>
      <c r="Z68" s="55" t="str">
        <f aca="false">IF(AND(NOT(ISBLANK($C68)), W68=Constants!$B$7), Y68, "")</f>
        <v/>
      </c>
      <c r="AA68" s="55" t="str">
        <f aca="false">IF(ISNUMBER(Z68), RANK(Z68,Z$8:Z$507), "")</f>
        <v/>
      </c>
      <c r="AB68" s="55" t="str">
        <f aca="false">IF(AND(NOT(ISBLANK($C68)), W68=Constants!$B$8), Y68, "")</f>
        <v/>
      </c>
      <c r="AC68" s="55" t="str">
        <f aca="false">IF(ISNUMBER(AB68), RANK(AB68,AB$8:AB$507), "")</f>
        <v/>
      </c>
      <c r="AD68" s="55" t="str">
        <f aca="false">IF(ISBLANK($C68),"",IF(V68&lt;&gt;Constants!$B$14, V68, IF(W68=Constants!$B$7, AA68, IF(W68=Constants!$B$8, COUNT($AA$8:$AA$507) + AC68, ""))))</f>
        <v/>
      </c>
      <c r="AE68" s="55" t="str">
        <f aca="false">N68</f>
        <v/>
      </c>
      <c r="AF68" s="55" t="str">
        <f aca="false">IF(ISNUMBER(AE68), RANK(AE68,AE$8:AE$507,1), "")</f>
        <v/>
      </c>
      <c r="AG68" s="57" t="str">
        <f aca="false">IF(ISBLANK(C68), "", ABS(M68-S68))</f>
        <v/>
      </c>
      <c r="AH68" s="55" t="str">
        <f aca="false">IF(ISNUMBER(AG68), RANK(AG68,AG$8:AG$507,1), "")</f>
        <v/>
      </c>
      <c r="AI68" s="55" t="str">
        <f aca="false">IF(ISBLANK(C68),"",IF(V68&lt;&gt;Constants!$B$14, V68, RANK(AD68, AD$8:AD$507, 1)+ SUMPRODUCT(--(AD$8:AD$507=AD68),--(AF68&gt;AF$8:AF$507)) + SUMPRODUCT(--(AD$8:AD$507=AD68),--(AF68=AF$8:AF$507),--(AH68&gt;AH$8:AH$507))))</f>
        <v/>
      </c>
      <c r="AJ68" s="55" t="str">
        <f aca="false">IF(ISBLANK(C68),"",IF(V68&lt;&gt;Constants!$B$14, V68, AD68-AI68))</f>
        <v/>
      </c>
      <c r="AK68" s="59"/>
      <c r="AL68" s="60" t="str">
        <f aca="false">IF(ISBLANK($C68),"",IF($V68&lt;&gt;Constants!$B$14,$V68,X68))</f>
        <v/>
      </c>
      <c r="AM68" s="60" t="str">
        <f aca="false">IF(ISBLANK($C68),"",IF($V68&lt;&gt;Constants!$B$14,$V68,N68))</f>
        <v/>
      </c>
      <c r="AN68" s="62" t="str">
        <f aca="false">IF(ISBLANK(C68),"",IF(V68&lt;&gt;Constants!$B$14, V68, IF(W68=Constants!$B$7,Z68,IF(W68=Constants!$B$8,AB68,""))))</f>
        <v/>
      </c>
      <c r="AO68" s="63" t="str">
        <f aca="false">IF(ISBLANK(C68),"",W68)</f>
        <v/>
      </c>
      <c r="AP68" s="63" t="str">
        <f aca="false">IF(ISBLANK(C68),"",AJ68)</f>
        <v/>
      </c>
      <c r="AQ68" s="63" t="str">
        <f aca="false">IF(ISBLANK(C68),"",AI68)</f>
        <v/>
      </c>
      <c r="AR68" s="64" t="str">
        <f aca="false">IF(ISBLANK(C68),
  "",
IF(AQ68=Constants!$B$11,COUNTA($C$8:$C$507)+2,IF(AQ68=Constants!$B$12,COUNTA($C$8:$C$507)+1,IF(AQ68=Constants!$B$13,COUNTA($C$8:$C$507),AQ68))))</f>
        <v/>
      </c>
      <c r="AS68" s="3"/>
      <c r="AT68" s="65" t="n">
        <f aca="false">IF(OR(ISNUMBER(AQ68),AQ68="DQ",AQ68="P",AQ68="NS"),
    1,
    0
)</f>
        <v>0</v>
      </c>
      <c r="AU68" s="65" t="n">
        <v>61</v>
      </c>
      <c r="AV68" s="65" t="str">
        <f aca="false">IF(ISBLANK($C68),
    "",
   IF(ISNUMBER(AR68),AR68+ROW($B68)/1000,"")
)</f>
        <v/>
      </c>
      <c r="AW68" s="65" t="str">
        <f aca="false">IF(ISNUMBER(AV68), RANK(AV68,AV$8:AV$507,1), "")</f>
        <v/>
      </c>
      <c r="AX68" s="65" t="str">
        <f aca="false">IF(ISBLANK($C68),
    "",
    $B68
)</f>
        <v/>
      </c>
      <c r="AY68" s="65" t="str">
        <f aca="false">IF(ISBLANK($C68),
    "",
    $C68
)</f>
        <v/>
      </c>
      <c r="AZ68" s="65" t="str">
        <f aca="false">IF(ISBLANK($C68),
    "",
    $D68
)</f>
        <v/>
      </c>
      <c r="BA68" s="65" t="str">
        <f aca="false">AO68</f>
        <v/>
      </c>
      <c r="BB68" s="66" t="str">
        <f aca="false">AN68</f>
        <v/>
      </c>
      <c r="BC68" s="65" t="str">
        <f aca="false">IF(ISBLANK($C68),
    "",
    AQ68
)</f>
        <v/>
      </c>
      <c r="BD68" s="67" t="str">
        <f aca="false">IF(AU68&gt;AT$7,
    "",
    VLOOKUP(AU68,AW$8:BC$507,7,FALSE())
)</f>
        <v/>
      </c>
      <c r="BE68" s="68" t="str">
        <f aca="false">IF(AU68&gt;AT$7,
    "",
    VLOOKUP(AU68,AW$8:BC$507,2,FALSE())
)</f>
        <v/>
      </c>
      <c r="BF68" s="68" t="str">
        <f aca="false">IF(AU68&gt;AT$7,
    "",
    VLOOKUP(AU68,AW$8:BC$507,3,FALSE())
)</f>
        <v/>
      </c>
      <c r="BG68" s="68" t="str">
        <f aca="false">IF(AU68&gt;AT$7,
    "",
    VLOOKUP(AU68,AW$8:BC$507,4,FALSE())
)</f>
        <v/>
      </c>
      <c r="BH68" s="68" t="str">
        <f aca="false">IF(AU68&gt;AT$7,
    "",
    VLOOKUP(AU68,AW$8:BC$507,5,FALSE())
)</f>
        <v/>
      </c>
      <c r="BI68" s="69" t="str">
        <f aca="false">IF(AU68&gt;AT$7,
    "",
    VLOOKUP(AU68,AW$8:BC$507,6,FALSE())
)</f>
        <v/>
      </c>
      <c r="BJ68" s="46"/>
    </row>
    <row r="69" customFormat="false" ht="15.75" hidden="false" customHeight="false" outlineLevel="0" collapsed="false">
      <c r="A69" s="3"/>
      <c r="B69" s="108"/>
      <c r="C69" s="70"/>
      <c r="D69" s="49"/>
      <c r="E69" s="109"/>
      <c r="F69" s="72"/>
      <c r="G69" s="109"/>
      <c r="H69" s="74"/>
      <c r="I69" s="104"/>
      <c r="J69" s="74"/>
      <c r="K69" s="74"/>
      <c r="L69" s="55"/>
      <c r="M69" s="55" t="str">
        <f aca="false">IF(ISBLANK($C69),"",IF(ISBLANK(E69),0,E69))</f>
        <v/>
      </c>
      <c r="N69" s="55" t="str">
        <f aca="false">IF(ISBLANK($C69),"",IF(ISBLANK(F69),0,F69))</f>
        <v/>
      </c>
      <c r="O69" s="55" t="e">
        <f aca="false">IF(AND(NOT(ISBLANK($C69)),NOT($T69),COUNTA($E69:$K69)&gt;0),ISBLANK($F69),FALSE())</f>
        <v>#VALUE!</v>
      </c>
      <c r="P69" s="55" t="str">
        <f aca="false">IF(ISBLANK($C69),"",IF(G69=Constants!$B$9, TRUE(), IF(G69=Constants!$B$10, FALSE(), TRUE())))</f>
        <v/>
      </c>
      <c r="Q69" s="55" t="str">
        <f aca="false">IF(ISBLANK($C69),"",IF(H69=Constants!$B$9, TRUE(), IF(H69=Constants!$B$10, FALSE(), TRUE())))</f>
        <v/>
      </c>
      <c r="R69" s="55" t="str">
        <f aca="false">IF(ISBLANK($C69),"",IF(ISBLANK(I69),Constants!$B$3,I69))</f>
        <v/>
      </c>
      <c r="S69" s="55" t="str">
        <f aca="false">IF(ISBLANK($C69),"",IF(ISBLANK(J69),0,MIN(J69,Constants!$B$6)))</f>
        <v/>
      </c>
      <c r="T69" s="55" t="str">
        <f aca="false">IF(ISBLANK($C69),"",IF(K69=Constants!$B$9, TRUE(), IF(K69=Constants!$B$10, FALSE(),  FALSE())))</f>
        <v/>
      </c>
      <c r="U69" s="55" t="str">
        <f aca="false">IF(ISBLANK($C69),"",AND(R69=Constants!$B$4, S69&lt;Constants!$B$6))</f>
        <v/>
      </c>
      <c r="V69" s="55" t="str">
        <f aca="false">IF(ISBLANK(C69), "", IF(T69, Constants!$B$11, IF(COUNTA(E69:K69)=0, Constants!$B$12, IF(NOT(AND(P69,S69&lt;&gt;0)), Constants!$B$13, IF(O69, Constants!$B$15, Constants!$B$14)))))</f>
        <v/>
      </c>
      <c r="W69" s="55" t="str">
        <f aca="false">IF(OR(ISBLANK($C69), SUMPRODUCT(--(P69:T69&lt;&gt;""))=0), "", IF(V69&lt;&gt;Constants!$B$14, V69, IF(AND(NOT(ISBLANK(J69)),P69,Q69,R69&lt;&gt;Constants!$B$2), Constants!$B$7, IF(AND(P69,OR(NOT(Q69),R69=Constants!$B$2)), Constants!$B$8, "Error"))))</f>
        <v/>
      </c>
      <c r="X69" s="56" t="str">
        <f aca="false">IF(OR(W69=Constants!$B$7,W69=Constants!$B$8), MAX(0, MIN(Constants!$B$6, S69))+IF(AND(R69=Constants!$B$4, NOT(U69)), Constants!$B$5, 0), "")</f>
        <v/>
      </c>
      <c r="Y69" s="55" t="str">
        <f aca="false">IF(ISBLANK($C69),"",IF(AND(ISNUMBER(X69),N69&gt;0),X69/N69, "") )</f>
        <v/>
      </c>
      <c r="Z69" s="55" t="str">
        <f aca="false">IF(AND(NOT(ISBLANK($C69)), W69=Constants!$B$7), Y69, "")</f>
        <v/>
      </c>
      <c r="AA69" s="55" t="str">
        <f aca="false">IF(ISNUMBER(Z69), RANK(Z69,Z$8:Z$507), "")</f>
        <v/>
      </c>
      <c r="AB69" s="55" t="str">
        <f aca="false">IF(AND(NOT(ISBLANK($C69)), W69=Constants!$B$8), Y69, "")</f>
        <v/>
      </c>
      <c r="AC69" s="55" t="str">
        <f aca="false">IF(ISNUMBER(AB69), RANK(AB69,AB$8:AB$507), "")</f>
        <v/>
      </c>
      <c r="AD69" s="55" t="str">
        <f aca="false">IF(ISBLANK($C69),"",IF(V69&lt;&gt;Constants!$B$14, V69, IF(W69=Constants!$B$7, AA69, IF(W69=Constants!$B$8, COUNT($AA$8:$AA$507) + AC69, ""))))</f>
        <v/>
      </c>
      <c r="AE69" s="55" t="str">
        <f aca="false">N69</f>
        <v/>
      </c>
      <c r="AF69" s="55" t="str">
        <f aca="false">IF(ISNUMBER(AE69), RANK(AE69,AE$8:AE$507,1), "")</f>
        <v/>
      </c>
      <c r="AG69" s="57" t="str">
        <f aca="false">IF(ISBLANK(C69), "", ABS(M69-S69))</f>
        <v/>
      </c>
      <c r="AH69" s="55" t="str">
        <f aca="false">IF(ISNUMBER(AG69), RANK(AG69,AG$8:AG$507,1), "")</f>
        <v/>
      </c>
      <c r="AI69" s="55" t="str">
        <f aca="false">IF(ISBLANK(C69),"",IF(V69&lt;&gt;Constants!$B$14, V69, RANK(AD69, AD$8:AD$507, 1)+ SUMPRODUCT(--(AD$8:AD$507=AD69),--(AF69&gt;AF$8:AF$507)) + SUMPRODUCT(--(AD$8:AD$507=AD69),--(AF69=AF$8:AF$507),--(AH69&gt;AH$8:AH$507))))</f>
        <v/>
      </c>
      <c r="AJ69" s="55" t="str">
        <f aca="false">IF(ISBLANK(C69),"",IF(V69&lt;&gt;Constants!$B$14, V69, AD69-AI69))</f>
        <v/>
      </c>
      <c r="AK69" s="59"/>
      <c r="AL69" s="60" t="str">
        <f aca="false">IF(ISBLANK($C69),"",IF($V69&lt;&gt;Constants!$B$14,$V69,X69))</f>
        <v/>
      </c>
      <c r="AM69" s="60" t="str">
        <f aca="false">IF(ISBLANK($C69),"",IF($V69&lt;&gt;Constants!$B$14,$V69,N69))</f>
        <v/>
      </c>
      <c r="AN69" s="62" t="str">
        <f aca="false">IF(ISBLANK(C69),"",IF(V69&lt;&gt;Constants!$B$14, V69, IF(W69=Constants!$B$7,Z69,IF(W69=Constants!$B$8,AB69,""))))</f>
        <v/>
      </c>
      <c r="AO69" s="63" t="str">
        <f aca="false">IF(ISBLANK(C69),"",W69)</f>
        <v/>
      </c>
      <c r="AP69" s="63" t="str">
        <f aca="false">IF(ISBLANK(C69),"",AJ69)</f>
        <v/>
      </c>
      <c r="AQ69" s="63" t="str">
        <f aca="false">IF(ISBLANK(C69),"",AI69)</f>
        <v/>
      </c>
      <c r="AR69" s="64" t="str">
        <f aca="false">IF(ISBLANK(C69),
  "",
IF(AQ69=Constants!$B$11,COUNTA($C$8:$C$507)+2,IF(AQ69=Constants!$B$12,COUNTA($C$8:$C$507)+1,IF(AQ69=Constants!$B$13,COUNTA($C$8:$C$507),AQ69))))</f>
        <v/>
      </c>
      <c r="AS69" s="3"/>
      <c r="AT69" s="65" t="n">
        <f aca="false">IF(OR(ISNUMBER(AQ69),AQ69="DQ",AQ69="P",AQ69="NS"),
    1,
    0
)</f>
        <v>0</v>
      </c>
      <c r="AU69" s="65" t="n">
        <v>62</v>
      </c>
      <c r="AV69" s="65" t="str">
        <f aca="false">IF(ISBLANK($C69),
    "",
   IF(ISNUMBER(AR69),AR69+ROW($B69)/1000,"")
)</f>
        <v/>
      </c>
      <c r="AW69" s="65" t="str">
        <f aca="false">IF(ISNUMBER(AV69), RANK(AV69,AV$8:AV$507,1), "")</f>
        <v/>
      </c>
      <c r="AX69" s="65" t="str">
        <f aca="false">IF(ISBLANK($C69),
    "",
    $B69
)</f>
        <v/>
      </c>
      <c r="AY69" s="65" t="str">
        <f aca="false">IF(ISBLANK($C69),
    "",
    $C69
)</f>
        <v/>
      </c>
      <c r="AZ69" s="65" t="str">
        <f aca="false">IF(ISBLANK($C69),
    "",
    $D69
)</f>
        <v/>
      </c>
      <c r="BA69" s="65" t="str">
        <f aca="false">AO69</f>
        <v/>
      </c>
      <c r="BB69" s="66" t="str">
        <f aca="false">AN69</f>
        <v/>
      </c>
      <c r="BC69" s="65" t="str">
        <f aca="false">IF(ISBLANK($C69),
    "",
    AQ69
)</f>
        <v/>
      </c>
      <c r="BD69" s="67" t="str">
        <f aca="false">IF(AU69&gt;AT$7,
    "",
    VLOOKUP(AU69,AW$8:BC$507,7,FALSE())
)</f>
        <v/>
      </c>
      <c r="BE69" s="68" t="str">
        <f aca="false">IF(AU69&gt;AT$7,
    "",
    VLOOKUP(AU69,AW$8:BC$507,2,FALSE())
)</f>
        <v/>
      </c>
      <c r="BF69" s="68" t="str">
        <f aca="false">IF(AU69&gt;AT$7,
    "",
    VLOOKUP(AU69,AW$8:BC$507,3,FALSE())
)</f>
        <v/>
      </c>
      <c r="BG69" s="68" t="str">
        <f aca="false">IF(AU69&gt;AT$7,
    "",
    VLOOKUP(AU69,AW$8:BC$507,4,FALSE())
)</f>
        <v/>
      </c>
      <c r="BH69" s="68" t="str">
        <f aca="false">IF(AU69&gt;AT$7,
    "",
    VLOOKUP(AU69,AW$8:BC$507,5,FALSE())
)</f>
        <v/>
      </c>
      <c r="BI69" s="69" t="str">
        <f aca="false">IF(AU69&gt;AT$7,
    "",
    VLOOKUP(AU69,AW$8:BC$507,6,FALSE())
)</f>
        <v/>
      </c>
      <c r="BJ69" s="46"/>
    </row>
    <row r="70" customFormat="false" ht="15.75" hidden="false" customHeight="false" outlineLevel="0" collapsed="false">
      <c r="A70" s="3"/>
      <c r="B70" s="108"/>
      <c r="C70" s="70"/>
      <c r="D70" s="49"/>
      <c r="E70" s="109"/>
      <c r="F70" s="72"/>
      <c r="G70" s="109"/>
      <c r="H70" s="74"/>
      <c r="I70" s="104"/>
      <c r="J70" s="74"/>
      <c r="K70" s="74"/>
      <c r="L70" s="55"/>
      <c r="M70" s="55" t="str">
        <f aca="false">IF(ISBLANK($C70),"",IF(ISBLANK(E70),0,E70))</f>
        <v/>
      </c>
      <c r="N70" s="55" t="str">
        <f aca="false">IF(ISBLANK($C70),"",IF(ISBLANK(F70),0,F70))</f>
        <v/>
      </c>
      <c r="O70" s="55" t="e">
        <f aca="false">IF(AND(NOT(ISBLANK($C70)),NOT($T70),COUNTA($E70:$K70)&gt;0),ISBLANK($F70),FALSE())</f>
        <v>#VALUE!</v>
      </c>
      <c r="P70" s="55" t="str">
        <f aca="false">IF(ISBLANK($C70),"",IF(G70=Constants!$B$9, TRUE(), IF(G70=Constants!$B$10, FALSE(), TRUE())))</f>
        <v/>
      </c>
      <c r="Q70" s="55" t="str">
        <f aca="false">IF(ISBLANK($C70),"",IF(H70=Constants!$B$9, TRUE(), IF(H70=Constants!$B$10, FALSE(), TRUE())))</f>
        <v/>
      </c>
      <c r="R70" s="55" t="str">
        <f aca="false">IF(ISBLANK($C70),"",IF(ISBLANK(I70),Constants!$B$3,I70))</f>
        <v/>
      </c>
      <c r="S70" s="55" t="str">
        <f aca="false">IF(ISBLANK($C70),"",IF(ISBLANK(J70),0,MIN(J70,Constants!$B$6)))</f>
        <v/>
      </c>
      <c r="T70" s="55" t="str">
        <f aca="false">IF(ISBLANK($C70),"",IF(K70=Constants!$B$9, TRUE(), IF(K70=Constants!$B$10, FALSE(),  FALSE())))</f>
        <v/>
      </c>
      <c r="U70" s="55" t="str">
        <f aca="false">IF(ISBLANK($C70),"",AND(R70=Constants!$B$4, S70&lt;Constants!$B$6))</f>
        <v/>
      </c>
      <c r="V70" s="55" t="str">
        <f aca="false">IF(ISBLANK(C70), "", IF(T70, Constants!$B$11, IF(COUNTA(E70:K70)=0, Constants!$B$12, IF(NOT(AND(P70,S70&lt;&gt;0)), Constants!$B$13, IF(O70, Constants!$B$15, Constants!$B$14)))))</f>
        <v/>
      </c>
      <c r="W70" s="55" t="str">
        <f aca="false">IF(OR(ISBLANK($C70), SUMPRODUCT(--(P70:T70&lt;&gt;""))=0), "", IF(V70&lt;&gt;Constants!$B$14, V70, IF(AND(NOT(ISBLANK(J70)),P70,Q70,R70&lt;&gt;Constants!$B$2), Constants!$B$7, IF(AND(P70,OR(NOT(Q70),R70=Constants!$B$2)), Constants!$B$8, "Error"))))</f>
        <v/>
      </c>
      <c r="X70" s="56" t="str">
        <f aca="false">IF(OR(W70=Constants!$B$7,W70=Constants!$B$8), MAX(0, MIN(Constants!$B$6, S70))+IF(AND(R70=Constants!$B$4, NOT(U70)), Constants!$B$5, 0), "")</f>
        <v/>
      </c>
      <c r="Y70" s="55" t="str">
        <f aca="false">IF(ISBLANK($C70),"",IF(AND(ISNUMBER(X70),N70&gt;0),X70/N70, "") )</f>
        <v/>
      </c>
      <c r="Z70" s="55" t="str">
        <f aca="false">IF(AND(NOT(ISBLANK($C70)), W70=Constants!$B$7), Y70, "")</f>
        <v/>
      </c>
      <c r="AA70" s="55" t="str">
        <f aca="false">IF(ISNUMBER(Z70), RANK(Z70,Z$8:Z$507), "")</f>
        <v/>
      </c>
      <c r="AB70" s="55" t="str">
        <f aca="false">IF(AND(NOT(ISBLANK($C70)), W70=Constants!$B$8), Y70, "")</f>
        <v/>
      </c>
      <c r="AC70" s="55" t="str">
        <f aca="false">IF(ISNUMBER(AB70), RANK(AB70,AB$8:AB$507), "")</f>
        <v/>
      </c>
      <c r="AD70" s="55" t="str">
        <f aca="false">IF(ISBLANK($C70),"",IF(V70&lt;&gt;Constants!$B$14, V70, IF(W70=Constants!$B$7, AA70, IF(W70=Constants!$B$8, COUNT($AA$8:$AA$507) + AC70, ""))))</f>
        <v/>
      </c>
      <c r="AE70" s="55" t="str">
        <f aca="false">N70</f>
        <v/>
      </c>
      <c r="AF70" s="55" t="str">
        <f aca="false">IF(ISNUMBER(AE70), RANK(AE70,AE$8:AE$507,1), "")</f>
        <v/>
      </c>
      <c r="AG70" s="57" t="str">
        <f aca="false">IF(ISBLANK(C70), "", ABS(M70-S70))</f>
        <v/>
      </c>
      <c r="AH70" s="55" t="str">
        <f aca="false">IF(ISNUMBER(AG70), RANK(AG70,AG$8:AG$507,1), "")</f>
        <v/>
      </c>
      <c r="AI70" s="55" t="str">
        <f aca="false">IF(ISBLANK(C70),"",IF(V70&lt;&gt;Constants!$B$14, V70, RANK(AD70, AD$8:AD$507, 1)+ SUMPRODUCT(--(AD$8:AD$507=AD70),--(AF70&gt;AF$8:AF$507)) + SUMPRODUCT(--(AD$8:AD$507=AD70),--(AF70=AF$8:AF$507),--(AH70&gt;AH$8:AH$507))))</f>
        <v/>
      </c>
      <c r="AJ70" s="55" t="str">
        <f aca="false">IF(ISBLANK(C70),"",IF(V70&lt;&gt;Constants!$B$14, V70, AD70-AI70))</f>
        <v/>
      </c>
      <c r="AK70" s="59"/>
      <c r="AL70" s="60" t="str">
        <f aca="false">IF(ISBLANK($C70),"",IF($V70&lt;&gt;Constants!$B$14,$V70,X70))</f>
        <v/>
      </c>
      <c r="AM70" s="60" t="str">
        <f aca="false">IF(ISBLANK($C70),"",IF($V70&lt;&gt;Constants!$B$14,$V70,N70))</f>
        <v/>
      </c>
      <c r="AN70" s="62" t="str">
        <f aca="false">IF(ISBLANK(C70),"",IF(V70&lt;&gt;Constants!$B$14, V70, IF(W70=Constants!$B$7,Z70,IF(W70=Constants!$B$8,AB70,""))))</f>
        <v/>
      </c>
      <c r="AO70" s="63" t="str">
        <f aca="false">IF(ISBLANK(C70),"",W70)</f>
        <v/>
      </c>
      <c r="AP70" s="63" t="str">
        <f aca="false">IF(ISBLANK(C70),"",AJ70)</f>
        <v/>
      </c>
      <c r="AQ70" s="63" t="str">
        <f aca="false">IF(ISBLANK(C70),"",AI70)</f>
        <v/>
      </c>
      <c r="AR70" s="64" t="str">
        <f aca="false">IF(ISBLANK(C70),
  "",
IF(AQ70=Constants!$B$11,COUNTA($C$8:$C$507)+2,IF(AQ70=Constants!$B$12,COUNTA($C$8:$C$507)+1,IF(AQ70=Constants!$B$13,COUNTA($C$8:$C$507),AQ70))))</f>
        <v/>
      </c>
      <c r="AS70" s="3"/>
      <c r="AT70" s="65" t="n">
        <f aca="false">IF(OR(ISNUMBER(AQ70),AQ70="DQ",AQ70="P",AQ70="NS"),
    1,
    0
)</f>
        <v>0</v>
      </c>
      <c r="AU70" s="65" t="n">
        <v>63</v>
      </c>
      <c r="AV70" s="65" t="str">
        <f aca="false">IF(ISBLANK($C70),
    "",
   IF(ISNUMBER(AR70),AR70+ROW($B70)/1000,"")
)</f>
        <v/>
      </c>
      <c r="AW70" s="65" t="str">
        <f aca="false">IF(ISNUMBER(AV70), RANK(AV70,AV$8:AV$507,1), "")</f>
        <v/>
      </c>
      <c r="AX70" s="65" t="str">
        <f aca="false">IF(ISBLANK($C70),
    "",
    $B70
)</f>
        <v/>
      </c>
      <c r="AY70" s="65" t="str">
        <f aca="false">IF(ISBLANK($C70),
    "",
    $C70
)</f>
        <v/>
      </c>
      <c r="AZ70" s="65" t="str">
        <f aca="false">IF(ISBLANK($C70),
    "",
    $D70
)</f>
        <v/>
      </c>
      <c r="BA70" s="65" t="str">
        <f aca="false">AO70</f>
        <v/>
      </c>
      <c r="BB70" s="66" t="str">
        <f aca="false">AN70</f>
        <v/>
      </c>
      <c r="BC70" s="65" t="str">
        <f aca="false">IF(ISBLANK($C70),
    "",
    AQ70
)</f>
        <v/>
      </c>
      <c r="BD70" s="67" t="str">
        <f aca="false">IF(AU70&gt;AT$7,
    "",
    VLOOKUP(AU70,AW$8:BC$507,7,FALSE())
)</f>
        <v/>
      </c>
      <c r="BE70" s="68" t="str">
        <f aca="false">IF(AU70&gt;AT$7,
    "",
    VLOOKUP(AU70,AW$8:BC$507,2,FALSE())
)</f>
        <v/>
      </c>
      <c r="BF70" s="68" t="str">
        <f aca="false">IF(AU70&gt;AT$7,
    "",
    VLOOKUP(AU70,AW$8:BC$507,3,FALSE())
)</f>
        <v/>
      </c>
      <c r="BG70" s="68" t="str">
        <f aca="false">IF(AU70&gt;AT$7,
    "",
    VLOOKUP(AU70,AW$8:BC$507,4,FALSE())
)</f>
        <v/>
      </c>
      <c r="BH70" s="68" t="str">
        <f aca="false">IF(AU70&gt;AT$7,
    "",
    VLOOKUP(AU70,AW$8:BC$507,5,FALSE())
)</f>
        <v/>
      </c>
      <c r="BI70" s="69" t="str">
        <f aca="false">IF(AU70&gt;AT$7,
    "",
    VLOOKUP(AU70,AW$8:BC$507,6,FALSE())
)</f>
        <v/>
      </c>
      <c r="BJ70" s="46"/>
    </row>
    <row r="71" customFormat="false" ht="15.75" hidden="false" customHeight="false" outlineLevel="0" collapsed="false">
      <c r="A71" s="3"/>
      <c r="B71" s="105"/>
      <c r="C71" s="106"/>
      <c r="D71" s="99"/>
      <c r="E71" s="110"/>
      <c r="F71" s="107"/>
      <c r="G71" s="110"/>
      <c r="H71" s="103"/>
      <c r="I71" s="102"/>
      <c r="J71" s="103"/>
      <c r="K71" s="103"/>
      <c r="L71" s="85"/>
      <c r="M71" s="85" t="str">
        <f aca="false">IF(ISBLANK($C71),"",IF(ISBLANK(E71),0,E71))</f>
        <v/>
      </c>
      <c r="N71" s="85" t="str">
        <f aca="false">IF(ISBLANK($C71),"",IF(ISBLANK(F71),0,F71))</f>
        <v/>
      </c>
      <c r="O71" s="86" t="e">
        <f aca="false">IF(AND(NOT(ISBLANK($C71)),NOT($T71),COUNTA($E71:$K71)&gt;0),ISBLANK($F71),FALSE())</f>
        <v>#VALUE!</v>
      </c>
      <c r="P71" s="85" t="str">
        <f aca="false">IF(ISBLANK($C71),"",IF(G71=Constants!$B$9, TRUE(), IF(G71=Constants!$B$10, FALSE(), TRUE())))</f>
        <v/>
      </c>
      <c r="Q71" s="85" t="str">
        <f aca="false">IF(ISBLANK($C71),"",IF(H71=Constants!$B$9, TRUE(), IF(H71=Constants!$B$10, FALSE(), TRUE())))</f>
        <v/>
      </c>
      <c r="R71" s="85" t="str">
        <f aca="false">IF(ISBLANK($C71),"",IF(ISBLANK(I71),Constants!$B$3,I71))</f>
        <v/>
      </c>
      <c r="S71" s="85" t="str">
        <f aca="false">IF(ISBLANK($C71),"",IF(ISBLANK(J71),0,MIN(J71,Constants!$B$6)))</f>
        <v/>
      </c>
      <c r="T71" s="85" t="str">
        <f aca="false">IF(ISBLANK($C71),"",IF(K71=Constants!$B$9, TRUE(), IF(K71=Constants!$B$10, FALSE(),  FALSE())))</f>
        <v/>
      </c>
      <c r="U71" s="85" t="str">
        <f aca="false">IF(ISBLANK($C71),"",AND(R71=Constants!$B$4, S71&lt;Constants!$B$6))</f>
        <v/>
      </c>
      <c r="V71" s="85" t="str">
        <f aca="false">IF(ISBLANK(C71), "", IF(T71, Constants!$B$11, IF(COUNTA(E71:K71)=0, Constants!$B$12, IF(NOT(AND(P71,S71&lt;&gt;0)), Constants!$B$13, IF(O71, Constants!$B$15, Constants!$B$14)))))</f>
        <v/>
      </c>
      <c r="W71" s="85" t="str">
        <f aca="false">IF(OR(ISBLANK($C71), SUMPRODUCT(--(P71:T71&lt;&gt;""))=0), "", IF(V71&lt;&gt;Constants!$B$14, V71, IF(AND(NOT(ISBLANK(J71)),P71,Q71,R71&lt;&gt;Constants!$B$2), Constants!$B$7, IF(AND(P71,OR(NOT(Q71),R71=Constants!$B$2)), Constants!$B$8, "Error"))))</f>
        <v/>
      </c>
      <c r="X71" s="87" t="str">
        <f aca="false">IF(OR(W71=Constants!$B$7,W71=Constants!$B$8), MAX(0, MIN(Constants!$B$6, S71))+IF(AND(R71=Constants!$B$4, NOT(U71)), Constants!$B$5, 0), "")</f>
        <v/>
      </c>
      <c r="Y71" s="85" t="str">
        <f aca="false">IF(ISBLANK($C71),"",IF(AND(ISNUMBER(X71),N71&gt;0),X71/N71, "") )</f>
        <v/>
      </c>
      <c r="Z71" s="85" t="str">
        <f aca="false">IF(AND(NOT(ISBLANK($C71)), W71=Constants!$B$7), Y71, "")</f>
        <v/>
      </c>
      <c r="AA71" s="85" t="str">
        <f aca="false">IF(ISNUMBER(Z71), RANK(Z71,Z$8:Z$507), "")</f>
        <v/>
      </c>
      <c r="AB71" s="85" t="str">
        <f aca="false">IF(AND(NOT(ISBLANK($C71)), W71=Constants!$B$8), Y71, "")</f>
        <v/>
      </c>
      <c r="AC71" s="85" t="str">
        <f aca="false">IF(ISNUMBER(AB71), RANK(AB71,AB$8:AB$507), "")</f>
        <v/>
      </c>
      <c r="AD71" s="85" t="str">
        <f aca="false">IF(ISBLANK($C71),"",IF(V71&lt;&gt;Constants!$B$14, V71, IF(W71=Constants!$B$7, AA71, IF(W71=Constants!$B$8, COUNT($AA$8:$AA$507) + AC71, ""))))</f>
        <v/>
      </c>
      <c r="AE71" s="85" t="str">
        <f aca="false">N71</f>
        <v/>
      </c>
      <c r="AF71" s="85" t="str">
        <f aca="false">IF(ISNUMBER(AE71), RANK(AE71,AE$8:AE$507,1), "")</f>
        <v/>
      </c>
      <c r="AG71" s="88" t="str">
        <f aca="false">IF(ISBLANK(C71), "", ABS(M71-S71))</f>
        <v/>
      </c>
      <c r="AH71" s="85" t="str">
        <f aca="false">IF(ISNUMBER(AG71), RANK(AG71,AG$8:AG$507,1), "")</f>
        <v/>
      </c>
      <c r="AI71" s="85" t="str">
        <f aca="false">IF(ISBLANK(C71),"",IF(V71&lt;&gt;Constants!$B$14, V71, RANK(AD71, AD$8:AD$507, 1)+ SUMPRODUCT(--(AD$8:AD$507=AD71),--(AF71&gt;AF$8:AF$507)) + SUMPRODUCT(--(AD$8:AD$507=AD71),--(AF71=AF$8:AF$507),--(AH71&gt;AH$8:AH$507))))</f>
        <v/>
      </c>
      <c r="AJ71" s="85" t="str">
        <f aca="false">IF(ISBLANK(C71),"",IF(V71&lt;&gt;Constants!$B$14, V71, AD71-AI71))</f>
        <v/>
      </c>
      <c r="AK71" s="89"/>
      <c r="AL71" s="90" t="str">
        <f aca="false">IF(ISBLANK($C71),"",IF($V71&lt;&gt;Constants!$B$14,$V71,X71))</f>
        <v/>
      </c>
      <c r="AM71" s="90" t="str">
        <f aca="false">IF(ISBLANK($C71),"",IF($V71&lt;&gt;Constants!$B$14,$V71,N71))</f>
        <v/>
      </c>
      <c r="AN71" s="91" t="str">
        <f aca="false">IF(ISBLANK(C71),"",IF(V71&lt;&gt;Constants!$B$14, V71, IF(W71=Constants!$B$7,Z71,IF(W71=Constants!$B$8,AB71,""))))</f>
        <v/>
      </c>
      <c r="AO71" s="92" t="str">
        <f aca="false">IF(ISBLANK(C71),"",W71)</f>
        <v/>
      </c>
      <c r="AP71" s="92" t="str">
        <f aca="false">IF(ISBLANK(C71),"",AJ71)</f>
        <v/>
      </c>
      <c r="AQ71" s="92" t="str">
        <f aca="false">IF(ISBLANK(C71),"",AI71)</f>
        <v/>
      </c>
      <c r="AR71" s="93" t="str">
        <f aca="false">IF(ISBLANK(C71),
  "",
IF(AQ71=Constants!$B$11,COUNTA($C$8:$C$507)+2,IF(AQ71=Constants!$B$12,COUNTA($C$8:$C$507)+1,IF(AQ71=Constants!$B$13,COUNTA($C$8:$C$507),AQ71))))</f>
        <v/>
      </c>
      <c r="AS71" s="3"/>
      <c r="AT71" s="94" t="n">
        <f aca="false">IF(OR(ISNUMBER(AQ71),AQ71="DQ",AQ71="P",AQ71="NS"),
    1,
    0
)</f>
        <v>0</v>
      </c>
      <c r="AU71" s="94" t="n">
        <v>64</v>
      </c>
      <c r="AV71" s="94" t="str">
        <f aca="false">IF(ISBLANK($C71),
    "",
   IF(ISNUMBER(AR71),AR71+ROW($B71)/1000,"")
)</f>
        <v/>
      </c>
      <c r="AW71" s="94" t="str">
        <f aca="false">IF(ISNUMBER(AV71), RANK(AV71,AV$8:AV$507,1), "")</f>
        <v/>
      </c>
      <c r="AX71" s="94" t="str">
        <f aca="false">IF(ISBLANK($C71),
    "",
    $B71
)</f>
        <v/>
      </c>
      <c r="AY71" s="94" t="str">
        <f aca="false">IF(ISBLANK($C71),
    "",
    $C71
)</f>
        <v/>
      </c>
      <c r="AZ71" s="94" t="str">
        <f aca="false">IF(ISBLANK($C71),
    "",
    $D71
)</f>
        <v/>
      </c>
      <c r="BA71" s="94" t="str">
        <f aca="false">AO71</f>
        <v/>
      </c>
      <c r="BB71" s="95" t="str">
        <f aca="false">AN71</f>
        <v/>
      </c>
      <c r="BC71" s="94" t="str">
        <f aca="false">IF(ISBLANK($C71),
    "",
    AQ71
)</f>
        <v/>
      </c>
      <c r="BD71" s="96" t="str">
        <f aca="false">IF(AU71&gt;AT$7,
    "",
    VLOOKUP(AU71,AW$8:BC$507,7,FALSE())
)</f>
        <v/>
      </c>
      <c r="BE71" s="97" t="str">
        <f aca="false">IF(AU71&gt;AT$7,
    "",
    VLOOKUP(AU71,AW$8:BC$507,2,FALSE())
)</f>
        <v/>
      </c>
      <c r="BF71" s="97" t="str">
        <f aca="false">IF(AU71&gt;AT$7,
    "",
    VLOOKUP(AU71,AW$8:BC$507,3,FALSE())
)</f>
        <v/>
      </c>
      <c r="BG71" s="97" t="str">
        <f aca="false">IF(AU71&gt;AT$7,
    "",
    VLOOKUP(AU71,AW$8:BC$507,4,FALSE())
)</f>
        <v/>
      </c>
      <c r="BH71" s="97" t="str">
        <f aca="false">IF(AU71&gt;AT$7,
    "",
    VLOOKUP(AU71,AW$8:BC$507,5,FALSE())
)</f>
        <v/>
      </c>
      <c r="BI71" s="98" t="str">
        <f aca="false">IF(AU71&gt;AT$7,
    "",
    VLOOKUP(AU71,AW$8:BC$507,6,FALSE())
)</f>
        <v/>
      </c>
      <c r="BJ71" s="46"/>
    </row>
    <row r="72" customFormat="false" ht="15.75" hidden="false" customHeight="false" outlineLevel="0" collapsed="false">
      <c r="A72" s="3"/>
      <c r="B72" s="105"/>
      <c r="C72" s="106"/>
      <c r="D72" s="99"/>
      <c r="E72" s="110"/>
      <c r="F72" s="107"/>
      <c r="G72" s="110"/>
      <c r="H72" s="103"/>
      <c r="I72" s="102"/>
      <c r="J72" s="103"/>
      <c r="K72" s="103"/>
      <c r="L72" s="85"/>
      <c r="M72" s="85" t="str">
        <f aca="false">IF(ISBLANK($C72),"",IF(ISBLANK(E72),0,E72))</f>
        <v/>
      </c>
      <c r="N72" s="85" t="str">
        <f aca="false">IF(ISBLANK($C72),"",IF(ISBLANK(F72),0,F72))</f>
        <v/>
      </c>
      <c r="O72" s="86" t="e">
        <f aca="false">IF(AND(NOT(ISBLANK($C72)),NOT($T72),COUNTA($E72:$K72)&gt;0),ISBLANK($F72),FALSE())</f>
        <v>#VALUE!</v>
      </c>
      <c r="P72" s="85" t="str">
        <f aca="false">IF(ISBLANK($C72),"",IF(G72=Constants!$B$9, TRUE(), IF(G72=Constants!$B$10, FALSE(), TRUE())))</f>
        <v/>
      </c>
      <c r="Q72" s="85" t="str">
        <f aca="false">IF(ISBLANK($C72),"",IF(H72=Constants!$B$9, TRUE(), IF(H72=Constants!$B$10, FALSE(), TRUE())))</f>
        <v/>
      </c>
      <c r="R72" s="85" t="str">
        <f aca="false">IF(ISBLANK($C72),"",IF(ISBLANK(I72),Constants!$B$3,I72))</f>
        <v/>
      </c>
      <c r="S72" s="85" t="str">
        <f aca="false">IF(ISBLANK($C72),"",IF(ISBLANK(J72),0,MIN(J72,Constants!$B$6)))</f>
        <v/>
      </c>
      <c r="T72" s="85" t="str">
        <f aca="false">IF(ISBLANK($C72),"",IF(K72=Constants!$B$9, TRUE(), IF(K72=Constants!$B$10, FALSE(),  FALSE())))</f>
        <v/>
      </c>
      <c r="U72" s="85" t="str">
        <f aca="false">IF(ISBLANK($C72),"",AND(R72=Constants!$B$4, S72&lt;Constants!$B$6))</f>
        <v/>
      </c>
      <c r="V72" s="85" t="str">
        <f aca="false">IF(ISBLANK(C72), "", IF(T72, Constants!$B$11, IF(COUNTA(E72:K72)=0, Constants!$B$12, IF(NOT(AND(P72,S72&lt;&gt;0)), Constants!$B$13, IF(O72, Constants!$B$15, Constants!$B$14)))))</f>
        <v/>
      </c>
      <c r="W72" s="85" t="str">
        <f aca="false">IF(OR(ISBLANK($C72), SUMPRODUCT(--(P72:T72&lt;&gt;""))=0), "", IF(V72&lt;&gt;Constants!$B$14, V72, IF(AND(NOT(ISBLANK(J72)),P72,Q72,R72&lt;&gt;Constants!$B$2), Constants!$B$7, IF(AND(P72,OR(NOT(Q72),R72=Constants!$B$2)), Constants!$B$8, "Error"))))</f>
        <v/>
      </c>
      <c r="X72" s="87" t="str">
        <f aca="false">IF(OR(W72=Constants!$B$7,W72=Constants!$B$8), MAX(0, MIN(Constants!$B$6, S72))+IF(AND(R72=Constants!$B$4, NOT(U72)), Constants!$B$5, 0), "")</f>
        <v/>
      </c>
      <c r="Y72" s="85" t="str">
        <f aca="false">IF(ISBLANK($C72),"",IF(AND(ISNUMBER(X72),N72&gt;0),X72/N72, "") )</f>
        <v/>
      </c>
      <c r="Z72" s="85" t="str">
        <f aca="false">IF(AND(NOT(ISBLANK($C72)), W72=Constants!$B$7), Y72, "")</f>
        <v/>
      </c>
      <c r="AA72" s="85" t="str">
        <f aca="false">IF(ISNUMBER(Z72), RANK(Z72,Z$8:Z$507), "")</f>
        <v/>
      </c>
      <c r="AB72" s="85" t="str">
        <f aca="false">IF(AND(NOT(ISBLANK($C72)), W72=Constants!$B$8), Y72, "")</f>
        <v/>
      </c>
      <c r="AC72" s="85" t="str">
        <f aca="false">IF(ISNUMBER(AB72), RANK(AB72,AB$8:AB$507), "")</f>
        <v/>
      </c>
      <c r="AD72" s="85" t="str">
        <f aca="false">IF(ISBLANK($C72),"",IF(V72&lt;&gt;Constants!$B$14, V72, IF(W72=Constants!$B$7, AA72, IF(W72=Constants!$B$8, COUNT($AA$8:$AA$507) + AC72, ""))))</f>
        <v/>
      </c>
      <c r="AE72" s="85" t="str">
        <f aca="false">N72</f>
        <v/>
      </c>
      <c r="AF72" s="85" t="str">
        <f aca="false">IF(ISNUMBER(AE72), RANK(AE72,AE$8:AE$507,1), "")</f>
        <v/>
      </c>
      <c r="AG72" s="88" t="str">
        <f aca="false">IF(ISBLANK(C72), "", ABS(M72-S72))</f>
        <v/>
      </c>
      <c r="AH72" s="85" t="str">
        <f aca="false">IF(ISNUMBER(AG72), RANK(AG72,AG$8:AG$507,1), "")</f>
        <v/>
      </c>
      <c r="AI72" s="85" t="str">
        <f aca="false">IF(ISBLANK(C72),"",IF(V72&lt;&gt;Constants!$B$14, V72, RANK(AD72, AD$8:AD$507, 1)+ SUMPRODUCT(--(AD$8:AD$507=AD72),--(AF72&gt;AF$8:AF$507)) + SUMPRODUCT(--(AD$8:AD$507=AD72),--(AF72=AF$8:AF$507),--(AH72&gt;AH$8:AH$507))))</f>
        <v/>
      </c>
      <c r="AJ72" s="85" t="str">
        <f aca="false">IF(ISBLANK(C72),"",IF(V72&lt;&gt;Constants!$B$14, V72, AD72-AI72))</f>
        <v/>
      </c>
      <c r="AK72" s="89"/>
      <c r="AL72" s="90" t="str">
        <f aca="false">IF(ISBLANK($C72),"",IF($V72&lt;&gt;Constants!$B$14,$V72,X72))</f>
        <v/>
      </c>
      <c r="AM72" s="90" t="str">
        <f aca="false">IF(ISBLANK($C72),"",IF($V72&lt;&gt;Constants!$B$14,$V72,N72))</f>
        <v/>
      </c>
      <c r="AN72" s="91" t="str">
        <f aca="false">IF(ISBLANK(C72),"",IF(V72&lt;&gt;Constants!$B$14, V72, IF(W72=Constants!$B$7,Z72,IF(W72=Constants!$B$8,AB72,""))))</f>
        <v/>
      </c>
      <c r="AO72" s="92" t="str">
        <f aca="false">IF(ISBLANK(C72),"",W72)</f>
        <v/>
      </c>
      <c r="AP72" s="92" t="str">
        <f aca="false">IF(ISBLANK(C72),"",AJ72)</f>
        <v/>
      </c>
      <c r="AQ72" s="92" t="str">
        <f aca="false">IF(ISBLANK(C72),"",AI72)</f>
        <v/>
      </c>
      <c r="AR72" s="93" t="str">
        <f aca="false">IF(ISBLANK(C72),
  "",
IF(AQ72=Constants!$B$11,COUNTA($C$8:$C$507)+2,IF(AQ72=Constants!$B$12,COUNTA($C$8:$C$507)+1,IF(AQ72=Constants!$B$13,COUNTA($C$8:$C$507),AQ72))))</f>
        <v/>
      </c>
      <c r="AS72" s="3"/>
      <c r="AT72" s="94" t="n">
        <f aca="false">IF(OR(ISNUMBER(AQ72),AQ72="DQ",AQ72="P",AQ72="NS"),
    1,
    0
)</f>
        <v>0</v>
      </c>
      <c r="AU72" s="94" t="n">
        <v>65</v>
      </c>
      <c r="AV72" s="94" t="str">
        <f aca="false">IF(ISBLANK($C72),
    "",
   IF(ISNUMBER(AR72),AR72+ROW($B72)/1000,"")
)</f>
        <v/>
      </c>
      <c r="AW72" s="94" t="str">
        <f aca="false">IF(ISNUMBER(AV72), RANK(AV72,AV$8:AV$507,1), "")</f>
        <v/>
      </c>
      <c r="AX72" s="94" t="str">
        <f aca="false">IF(ISBLANK($C72),
    "",
    $B72
)</f>
        <v/>
      </c>
      <c r="AY72" s="94" t="str">
        <f aca="false">IF(ISBLANK($C72),
    "",
    $C72
)</f>
        <v/>
      </c>
      <c r="AZ72" s="94" t="str">
        <f aca="false">IF(ISBLANK($C72),
    "",
    $D72
)</f>
        <v/>
      </c>
      <c r="BA72" s="94" t="str">
        <f aca="false">AO72</f>
        <v/>
      </c>
      <c r="BB72" s="95" t="str">
        <f aca="false">AN72</f>
        <v/>
      </c>
      <c r="BC72" s="94" t="str">
        <f aca="false">IF(ISBLANK($C72),
    "",
    AQ72
)</f>
        <v/>
      </c>
      <c r="BD72" s="96" t="str">
        <f aca="false">IF(AU72&gt;AT$7,
    "",
    VLOOKUP(AU72,AW$8:BC$507,7,FALSE())
)</f>
        <v/>
      </c>
      <c r="BE72" s="97" t="str">
        <f aca="false">IF(AU72&gt;AT$7,
    "",
    VLOOKUP(AU72,AW$8:BC$507,2,FALSE())
)</f>
        <v/>
      </c>
      <c r="BF72" s="97" t="str">
        <f aca="false">IF(AU72&gt;AT$7,
    "",
    VLOOKUP(AU72,AW$8:BC$507,3,FALSE())
)</f>
        <v/>
      </c>
      <c r="BG72" s="97" t="str">
        <f aca="false">IF(AU72&gt;AT$7,
    "",
    VLOOKUP(AU72,AW$8:BC$507,4,FALSE())
)</f>
        <v/>
      </c>
      <c r="BH72" s="97" t="str">
        <f aca="false">IF(AU72&gt;AT$7,
    "",
    VLOOKUP(AU72,AW$8:BC$507,5,FALSE())
)</f>
        <v/>
      </c>
      <c r="BI72" s="98" t="str">
        <f aca="false">IF(AU72&gt;AT$7,
    "",
    VLOOKUP(AU72,AW$8:BC$507,6,FALSE())
)</f>
        <v/>
      </c>
      <c r="BJ72" s="46"/>
    </row>
    <row r="73" customFormat="false" ht="15.75" hidden="false" customHeight="false" outlineLevel="0" collapsed="false">
      <c r="A73" s="3"/>
      <c r="B73" s="105"/>
      <c r="C73" s="106"/>
      <c r="D73" s="99"/>
      <c r="E73" s="110"/>
      <c r="F73" s="107"/>
      <c r="G73" s="110"/>
      <c r="H73" s="103"/>
      <c r="I73" s="102"/>
      <c r="J73" s="103"/>
      <c r="K73" s="103"/>
      <c r="L73" s="85"/>
      <c r="M73" s="85" t="str">
        <f aca="false">IF(ISBLANK($C73),"",IF(ISBLANK(E73),0,E73))</f>
        <v/>
      </c>
      <c r="N73" s="85" t="str">
        <f aca="false">IF(ISBLANK($C73),"",IF(ISBLANK(F73),0,F73))</f>
        <v/>
      </c>
      <c r="O73" s="86" t="e">
        <f aca="false">IF(AND(NOT(ISBLANK($C73)),NOT($T73),COUNTA($E73:$K73)&gt;0),ISBLANK($F73),FALSE())</f>
        <v>#VALUE!</v>
      </c>
      <c r="P73" s="85" t="str">
        <f aca="false">IF(ISBLANK($C73),"",IF(G73=Constants!$B$9, TRUE(), IF(G73=Constants!$B$10, FALSE(), TRUE())))</f>
        <v/>
      </c>
      <c r="Q73" s="85" t="str">
        <f aca="false">IF(ISBLANK($C73),"",IF(H73=Constants!$B$9, TRUE(), IF(H73=Constants!$B$10, FALSE(), TRUE())))</f>
        <v/>
      </c>
      <c r="R73" s="85" t="str">
        <f aca="false">IF(ISBLANK($C73),"",IF(ISBLANK(I73),Constants!$B$3,I73))</f>
        <v/>
      </c>
      <c r="S73" s="85" t="str">
        <f aca="false">IF(ISBLANK($C73),"",IF(ISBLANK(J73),0,MIN(J73,Constants!$B$6)))</f>
        <v/>
      </c>
      <c r="T73" s="85" t="str">
        <f aca="false">IF(ISBLANK($C73),"",IF(K73=Constants!$B$9, TRUE(), IF(K73=Constants!$B$10, FALSE(),  FALSE())))</f>
        <v/>
      </c>
      <c r="U73" s="85" t="str">
        <f aca="false">IF(ISBLANK($C73),"",AND(R73=Constants!$B$4, S73&lt;Constants!$B$6))</f>
        <v/>
      </c>
      <c r="V73" s="85" t="str">
        <f aca="false">IF(ISBLANK(C73), "", IF(T73, Constants!$B$11, IF(COUNTA(E73:K73)=0, Constants!$B$12, IF(NOT(AND(P73,S73&lt;&gt;0)), Constants!$B$13, IF(O73, Constants!$B$15, Constants!$B$14)))))</f>
        <v/>
      </c>
      <c r="W73" s="85" t="str">
        <f aca="false">IF(OR(ISBLANK($C73), SUMPRODUCT(--(P73:T73&lt;&gt;""))=0), "", IF(V73&lt;&gt;Constants!$B$14, V73, IF(AND(NOT(ISBLANK(J73)),P73,Q73,R73&lt;&gt;Constants!$B$2), Constants!$B$7, IF(AND(P73,OR(NOT(Q73),R73=Constants!$B$2)), Constants!$B$8, "Error"))))</f>
        <v/>
      </c>
      <c r="X73" s="87" t="str">
        <f aca="false">IF(OR(W73=Constants!$B$7,W73=Constants!$B$8), MAX(0, MIN(Constants!$B$6, S73))+IF(AND(R73=Constants!$B$4, NOT(U73)), Constants!$B$5, 0), "")</f>
        <v/>
      </c>
      <c r="Y73" s="85" t="str">
        <f aca="false">IF(ISBLANK($C73),"",IF(AND(ISNUMBER(X73),N73&gt;0),X73/N73, "") )</f>
        <v/>
      </c>
      <c r="Z73" s="85" t="str">
        <f aca="false">IF(AND(NOT(ISBLANK($C73)), W73=Constants!$B$7), Y73, "")</f>
        <v/>
      </c>
      <c r="AA73" s="85" t="str">
        <f aca="false">IF(ISNUMBER(Z73), RANK(Z73,Z$8:Z$507), "")</f>
        <v/>
      </c>
      <c r="AB73" s="85" t="str">
        <f aca="false">IF(AND(NOT(ISBLANK($C73)), W73=Constants!$B$8), Y73, "")</f>
        <v/>
      </c>
      <c r="AC73" s="85" t="str">
        <f aca="false">IF(ISNUMBER(AB73), RANK(AB73,AB$8:AB$507), "")</f>
        <v/>
      </c>
      <c r="AD73" s="85" t="str">
        <f aca="false">IF(ISBLANK($C73),"",IF(V73&lt;&gt;Constants!$B$14, V73, IF(W73=Constants!$B$7, AA73, IF(W73=Constants!$B$8, COUNT($AA$8:$AA$507) + AC73, ""))))</f>
        <v/>
      </c>
      <c r="AE73" s="85" t="str">
        <f aca="false">N73</f>
        <v/>
      </c>
      <c r="AF73" s="85" t="str">
        <f aca="false">IF(ISNUMBER(AE73), RANK(AE73,AE$8:AE$507,1), "")</f>
        <v/>
      </c>
      <c r="AG73" s="88" t="str">
        <f aca="false">IF(ISBLANK(C73), "", ABS(M73-S73))</f>
        <v/>
      </c>
      <c r="AH73" s="85" t="str">
        <f aca="false">IF(ISNUMBER(AG73), RANK(AG73,AG$8:AG$507,1), "")</f>
        <v/>
      </c>
      <c r="AI73" s="85" t="str">
        <f aca="false">IF(ISBLANK(C73),"",IF(V73&lt;&gt;Constants!$B$14, V73, RANK(AD73, AD$8:AD$507, 1)+ SUMPRODUCT(--(AD$8:AD$507=AD73),--(AF73&gt;AF$8:AF$507)) + SUMPRODUCT(--(AD$8:AD$507=AD73),--(AF73=AF$8:AF$507),--(AH73&gt;AH$8:AH$507))))</f>
        <v/>
      </c>
      <c r="AJ73" s="85" t="str">
        <f aca="false">IF(ISBLANK(C73),"",IF(V73&lt;&gt;Constants!$B$14, V73, AD73-AI73))</f>
        <v/>
      </c>
      <c r="AK73" s="89"/>
      <c r="AL73" s="90" t="str">
        <f aca="false">IF(ISBLANK($C73),"",IF($V73&lt;&gt;Constants!$B$14,$V73,X73))</f>
        <v/>
      </c>
      <c r="AM73" s="90" t="str">
        <f aca="false">IF(ISBLANK($C73),"",IF($V73&lt;&gt;Constants!$B$14,$V73,N73))</f>
        <v/>
      </c>
      <c r="AN73" s="91" t="str">
        <f aca="false">IF(ISBLANK(C73),"",IF(V73&lt;&gt;Constants!$B$14, V73, IF(W73=Constants!$B$7,Z73,IF(W73=Constants!$B$8,AB73,""))))</f>
        <v/>
      </c>
      <c r="AO73" s="92" t="str">
        <f aca="false">IF(ISBLANK(C73),"",W73)</f>
        <v/>
      </c>
      <c r="AP73" s="92" t="str">
        <f aca="false">IF(ISBLANK(C73),"",AJ73)</f>
        <v/>
      </c>
      <c r="AQ73" s="92" t="str">
        <f aca="false">IF(ISBLANK(C73),"",AI73)</f>
        <v/>
      </c>
      <c r="AR73" s="93" t="str">
        <f aca="false">IF(ISBLANK(C73),
  "",
IF(AQ73=Constants!$B$11,COUNTA($C$8:$C$507)+2,IF(AQ73=Constants!$B$12,COUNTA($C$8:$C$507)+1,IF(AQ73=Constants!$B$13,COUNTA($C$8:$C$507),AQ73))))</f>
        <v/>
      </c>
      <c r="AS73" s="3"/>
      <c r="AT73" s="94" t="n">
        <f aca="false">IF(OR(ISNUMBER(AQ73),AQ73="DQ",AQ73="P",AQ73="NS"),
    1,
    0
)</f>
        <v>0</v>
      </c>
      <c r="AU73" s="94" t="n">
        <v>66</v>
      </c>
      <c r="AV73" s="94" t="str">
        <f aca="false">IF(ISBLANK($C73),
    "",
   IF(ISNUMBER(AR73),AR73+ROW($B73)/1000,"")
)</f>
        <v/>
      </c>
      <c r="AW73" s="94" t="str">
        <f aca="false">IF(ISNUMBER(AV73), RANK(AV73,AV$8:AV$507,1), "")</f>
        <v/>
      </c>
      <c r="AX73" s="94" t="str">
        <f aca="false">IF(ISBLANK($C73),
    "",
    $B73
)</f>
        <v/>
      </c>
      <c r="AY73" s="94" t="str">
        <f aca="false">IF(ISBLANK($C73),
    "",
    $C73
)</f>
        <v/>
      </c>
      <c r="AZ73" s="94" t="str">
        <f aca="false">IF(ISBLANK($C73),
    "",
    $D73
)</f>
        <v/>
      </c>
      <c r="BA73" s="94" t="str">
        <f aca="false">AO73</f>
        <v/>
      </c>
      <c r="BB73" s="95" t="str">
        <f aca="false">AN73</f>
        <v/>
      </c>
      <c r="BC73" s="94" t="str">
        <f aca="false">IF(ISBLANK($C73),
    "",
    AQ73
)</f>
        <v/>
      </c>
      <c r="BD73" s="96" t="str">
        <f aca="false">IF(AU73&gt;AT$7,
    "",
    VLOOKUP(AU73,AW$8:BC$507,7,FALSE())
)</f>
        <v/>
      </c>
      <c r="BE73" s="97" t="str">
        <f aca="false">IF(AU73&gt;AT$7,
    "",
    VLOOKUP(AU73,AW$8:BC$507,2,FALSE())
)</f>
        <v/>
      </c>
      <c r="BF73" s="97" t="str">
        <f aca="false">IF(AU73&gt;AT$7,
    "",
    VLOOKUP(AU73,AW$8:BC$507,3,FALSE())
)</f>
        <v/>
      </c>
      <c r="BG73" s="97" t="str">
        <f aca="false">IF(AU73&gt;AT$7,
    "",
    VLOOKUP(AU73,AW$8:BC$507,4,FALSE())
)</f>
        <v/>
      </c>
      <c r="BH73" s="97" t="str">
        <f aca="false">IF(AU73&gt;AT$7,
    "",
    VLOOKUP(AU73,AW$8:BC$507,5,FALSE())
)</f>
        <v/>
      </c>
      <c r="BI73" s="98" t="str">
        <f aca="false">IF(AU73&gt;AT$7,
    "",
    VLOOKUP(AU73,AW$8:BC$507,6,FALSE())
)</f>
        <v/>
      </c>
      <c r="BJ73" s="46"/>
    </row>
    <row r="74" customFormat="false" ht="15.75" hidden="false" customHeight="false" outlineLevel="0" collapsed="false">
      <c r="A74" s="3"/>
      <c r="B74" s="108"/>
      <c r="C74" s="70"/>
      <c r="D74" s="49"/>
      <c r="E74" s="109"/>
      <c r="F74" s="72"/>
      <c r="G74" s="109"/>
      <c r="H74" s="74"/>
      <c r="I74" s="104"/>
      <c r="J74" s="74"/>
      <c r="K74" s="74"/>
      <c r="L74" s="55"/>
      <c r="M74" s="55" t="str">
        <f aca="false">IF(ISBLANK($C74),"",IF(ISBLANK(E74),0,E74))</f>
        <v/>
      </c>
      <c r="N74" s="55" t="str">
        <f aca="false">IF(ISBLANK($C74),"",IF(ISBLANK(F74),0,F74))</f>
        <v/>
      </c>
      <c r="O74" s="55" t="e">
        <f aca="false">IF(AND(NOT(ISBLANK($C74)),NOT($T74),COUNTA($E74:$K74)&gt;0),ISBLANK($F74),FALSE())</f>
        <v>#VALUE!</v>
      </c>
      <c r="P74" s="55" t="str">
        <f aca="false">IF(ISBLANK($C74),"",IF(G74=Constants!$B$9, TRUE(), IF(G74=Constants!$B$10, FALSE(), TRUE())))</f>
        <v/>
      </c>
      <c r="Q74" s="55" t="str">
        <f aca="false">IF(ISBLANK($C74),"",IF(H74=Constants!$B$9, TRUE(), IF(H74=Constants!$B$10, FALSE(), TRUE())))</f>
        <v/>
      </c>
      <c r="R74" s="55" t="str">
        <f aca="false">IF(ISBLANK($C74),"",IF(ISBLANK(I74),Constants!$B$3,I74))</f>
        <v/>
      </c>
      <c r="S74" s="55" t="str">
        <f aca="false">IF(ISBLANK($C74),"",IF(ISBLANK(J74),0,MIN(J74,Constants!$B$6)))</f>
        <v/>
      </c>
      <c r="T74" s="55" t="str">
        <f aca="false">IF(ISBLANK($C74),"",IF(K74=Constants!$B$9, TRUE(), IF(K74=Constants!$B$10, FALSE(),  FALSE())))</f>
        <v/>
      </c>
      <c r="U74" s="55" t="str">
        <f aca="false">IF(ISBLANK($C74),"",AND(R74=Constants!$B$4, S74&lt;Constants!$B$6))</f>
        <v/>
      </c>
      <c r="V74" s="55" t="str">
        <f aca="false">IF(ISBLANK(C74), "", IF(T74, Constants!$B$11, IF(COUNTA(E74:K74)=0, Constants!$B$12, IF(NOT(AND(P74,S74&lt;&gt;0)), Constants!$B$13, IF(O74, Constants!$B$15, Constants!$B$14)))))</f>
        <v/>
      </c>
      <c r="W74" s="55" t="str">
        <f aca="false">IF(OR(ISBLANK($C74), SUMPRODUCT(--(P74:T74&lt;&gt;""))=0), "", IF(V74&lt;&gt;Constants!$B$14, V74, IF(AND(NOT(ISBLANK(J74)),P74,Q74,R74&lt;&gt;Constants!$B$2), Constants!$B$7, IF(AND(P74,OR(NOT(Q74),R74=Constants!$B$2)), Constants!$B$8, "Error"))))</f>
        <v/>
      </c>
      <c r="X74" s="56" t="str">
        <f aca="false">IF(OR(W74=Constants!$B$7,W74=Constants!$B$8), MAX(0, MIN(Constants!$B$6, S74))+IF(AND(R74=Constants!$B$4, NOT(U74)), Constants!$B$5, 0), "")</f>
        <v/>
      </c>
      <c r="Y74" s="55" t="str">
        <f aca="false">IF(ISBLANK($C74),"",IF(AND(ISNUMBER(X74),N74&gt;0),X74/N74, "") )</f>
        <v/>
      </c>
      <c r="Z74" s="55" t="str">
        <f aca="false">IF(AND(NOT(ISBLANK($C74)), W74=Constants!$B$7), Y74, "")</f>
        <v/>
      </c>
      <c r="AA74" s="55" t="str">
        <f aca="false">IF(ISNUMBER(Z74), RANK(Z74,Z$8:Z$507), "")</f>
        <v/>
      </c>
      <c r="AB74" s="55" t="str">
        <f aca="false">IF(AND(NOT(ISBLANK($C74)), W74=Constants!$B$8), Y74, "")</f>
        <v/>
      </c>
      <c r="AC74" s="55" t="str">
        <f aca="false">IF(ISNUMBER(AB74), RANK(AB74,AB$8:AB$507), "")</f>
        <v/>
      </c>
      <c r="AD74" s="55" t="str">
        <f aca="false">IF(ISBLANK($C74),"",IF(V74&lt;&gt;Constants!$B$14, V74, IF(W74=Constants!$B$7, AA74, IF(W74=Constants!$B$8, COUNT($AA$8:$AA$507) + AC74, ""))))</f>
        <v/>
      </c>
      <c r="AE74" s="55" t="str">
        <f aca="false">N74</f>
        <v/>
      </c>
      <c r="AF74" s="55" t="str">
        <f aca="false">IF(ISNUMBER(AE74), RANK(AE74,AE$8:AE$507,1), "")</f>
        <v/>
      </c>
      <c r="AG74" s="57" t="str">
        <f aca="false">IF(ISBLANK(C74), "", ABS(M74-S74))</f>
        <v/>
      </c>
      <c r="AH74" s="55" t="str">
        <f aca="false">IF(ISNUMBER(AG74), RANK(AG74,AG$8:AG$507,1), "")</f>
        <v/>
      </c>
      <c r="AI74" s="55" t="str">
        <f aca="false">IF(ISBLANK(C74),"",IF(V74&lt;&gt;Constants!$B$14, V74, RANK(AD74, AD$8:AD$507, 1)+ SUMPRODUCT(--(AD$8:AD$507=AD74),--(AF74&gt;AF$8:AF$507)) + SUMPRODUCT(--(AD$8:AD$507=AD74),--(AF74=AF$8:AF$507),--(AH74&gt;AH$8:AH$507))))</f>
        <v/>
      </c>
      <c r="AJ74" s="55" t="str">
        <f aca="false">IF(ISBLANK(C74),"",IF(V74&lt;&gt;Constants!$B$14, V74, AD74-AI74))</f>
        <v/>
      </c>
      <c r="AK74" s="59"/>
      <c r="AL74" s="60" t="str">
        <f aca="false">IF(ISBLANK($C74),"",IF($V74&lt;&gt;Constants!$B$14,$V74,X74))</f>
        <v/>
      </c>
      <c r="AM74" s="60" t="str">
        <f aca="false">IF(ISBLANK($C74),"",IF($V74&lt;&gt;Constants!$B$14,$V74,N74))</f>
        <v/>
      </c>
      <c r="AN74" s="62" t="str">
        <f aca="false">IF(ISBLANK(C74),"",IF(V74&lt;&gt;Constants!$B$14, V74, IF(W74=Constants!$B$7,Z74,IF(W74=Constants!$B$8,AB74,""))))</f>
        <v/>
      </c>
      <c r="AO74" s="63" t="str">
        <f aca="false">IF(ISBLANK(C74),"",W74)</f>
        <v/>
      </c>
      <c r="AP74" s="63" t="str">
        <f aca="false">IF(ISBLANK(C74),"",AJ74)</f>
        <v/>
      </c>
      <c r="AQ74" s="63" t="str">
        <f aca="false">IF(ISBLANK(C74),"",AI74)</f>
        <v/>
      </c>
      <c r="AR74" s="64" t="str">
        <f aca="false">IF(ISBLANK(C74),
  "",
IF(AQ74=Constants!$B$11,COUNTA($C$8:$C$507)+2,IF(AQ74=Constants!$B$12,COUNTA($C$8:$C$507)+1,IF(AQ74=Constants!$B$13,COUNTA($C$8:$C$507),AQ74))))</f>
        <v/>
      </c>
      <c r="AS74" s="3"/>
      <c r="AT74" s="65" t="n">
        <f aca="false">IF(OR(ISNUMBER(AQ74),AQ74="DQ",AQ74="P",AQ74="NS"),
    1,
    0
)</f>
        <v>0</v>
      </c>
      <c r="AU74" s="65" t="n">
        <v>67</v>
      </c>
      <c r="AV74" s="65" t="str">
        <f aca="false">IF(ISBLANK($C74),
    "",
   IF(ISNUMBER(AR74),AR74+ROW($B74)/1000,"")
)</f>
        <v/>
      </c>
      <c r="AW74" s="65" t="str">
        <f aca="false">IF(ISNUMBER(AV74), RANK(AV74,AV$8:AV$507,1), "")</f>
        <v/>
      </c>
      <c r="AX74" s="65" t="str">
        <f aca="false">IF(ISBLANK($C74),
    "",
    $B74
)</f>
        <v/>
      </c>
      <c r="AY74" s="65" t="str">
        <f aca="false">IF(ISBLANK($C74),
    "",
    $C74
)</f>
        <v/>
      </c>
      <c r="AZ74" s="65" t="str">
        <f aca="false">IF(ISBLANK($C74),
    "",
    $D74
)</f>
        <v/>
      </c>
      <c r="BA74" s="65" t="str">
        <f aca="false">AO74</f>
        <v/>
      </c>
      <c r="BB74" s="66" t="str">
        <f aca="false">AN74</f>
        <v/>
      </c>
      <c r="BC74" s="65" t="str">
        <f aca="false">IF(ISBLANK($C74),
    "",
    AQ74
)</f>
        <v/>
      </c>
      <c r="BD74" s="67" t="str">
        <f aca="false">IF(AU74&gt;AT$7,
    "",
    VLOOKUP(AU74,AW$8:BC$507,7,FALSE())
)</f>
        <v/>
      </c>
      <c r="BE74" s="68" t="str">
        <f aca="false">IF(AU74&gt;AT$7,
    "",
    VLOOKUP(AU74,AW$8:BC$507,2,FALSE())
)</f>
        <v/>
      </c>
      <c r="BF74" s="68" t="str">
        <f aca="false">IF(AU74&gt;AT$7,
    "",
    VLOOKUP(AU74,AW$8:BC$507,3,FALSE())
)</f>
        <v/>
      </c>
      <c r="BG74" s="68" t="str">
        <f aca="false">IF(AU74&gt;AT$7,
    "",
    VLOOKUP(AU74,AW$8:BC$507,4,FALSE())
)</f>
        <v/>
      </c>
      <c r="BH74" s="68" t="str">
        <f aca="false">IF(AU74&gt;AT$7,
    "",
    VLOOKUP(AU74,AW$8:BC$507,5,FALSE())
)</f>
        <v/>
      </c>
      <c r="BI74" s="69" t="str">
        <f aca="false">IF(AU74&gt;AT$7,
    "",
    VLOOKUP(AU74,AW$8:BC$507,6,FALSE())
)</f>
        <v/>
      </c>
      <c r="BJ74" s="46"/>
    </row>
    <row r="75" customFormat="false" ht="15.75" hidden="false" customHeight="false" outlineLevel="0" collapsed="false">
      <c r="A75" s="3"/>
      <c r="B75" s="108"/>
      <c r="C75" s="70"/>
      <c r="D75" s="49"/>
      <c r="E75" s="109"/>
      <c r="F75" s="72"/>
      <c r="G75" s="109"/>
      <c r="H75" s="74"/>
      <c r="I75" s="104"/>
      <c r="J75" s="74"/>
      <c r="K75" s="74"/>
      <c r="L75" s="55"/>
      <c r="M75" s="55" t="str">
        <f aca="false">IF(ISBLANK($C75),"",IF(ISBLANK(E75),0,E75))</f>
        <v/>
      </c>
      <c r="N75" s="55" t="str">
        <f aca="false">IF(ISBLANK($C75),"",IF(ISBLANK(F75),0,F75))</f>
        <v/>
      </c>
      <c r="O75" s="55" t="e">
        <f aca="false">IF(AND(NOT(ISBLANK($C75)),NOT($T75),COUNTA($E75:$K75)&gt;0),ISBLANK($F75),FALSE())</f>
        <v>#VALUE!</v>
      </c>
      <c r="P75" s="55" t="str">
        <f aca="false">IF(ISBLANK($C75),"",IF(G75=Constants!$B$9, TRUE(), IF(G75=Constants!$B$10, FALSE(), TRUE())))</f>
        <v/>
      </c>
      <c r="Q75" s="55" t="str">
        <f aca="false">IF(ISBLANK($C75),"",IF(H75=Constants!$B$9, TRUE(), IF(H75=Constants!$B$10, FALSE(), TRUE())))</f>
        <v/>
      </c>
      <c r="R75" s="55" t="str">
        <f aca="false">IF(ISBLANK($C75),"",IF(ISBLANK(I75),Constants!$B$3,I75))</f>
        <v/>
      </c>
      <c r="S75" s="55" t="str">
        <f aca="false">IF(ISBLANK($C75),"",IF(ISBLANK(J75),0,MIN(J75,Constants!$B$6)))</f>
        <v/>
      </c>
      <c r="T75" s="55" t="str">
        <f aca="false">IF(ISBLANK($C75),"",IF(K75=Constants!$B$9, TRUE(), IF(K75=Constants!$B$10, FALSE(),  FALSE())))</f>
        <v/>
      </c>
      <c r="U75" s="55" t="str">
        <f aca="false">IF(ISBLANK($C75),"",AND(R75=Constants!$B$4, S75&lt;Constants!$B$6))</f>
        <v/>
      </c>
      <c r="V75" s="55" t="str">
        <f aca="false">IF(ISBLANK(C75), "", IF(T75, Constants!$B$11, IF(COUNTA(E75:K75)=0, Constants!$B$12, IF(NOT(AND(P75,S75&lt;&gt;0)), Constants!$B$13, IF(O75, Constants!$B$15, Constants!$B$14)))))</f>
        <v/>
      </c>
      <c r="W75" s="55" t="str">
        <f aca="false">IF(OR(ISBLANK($C75), SUMPRODUCT(--(P75:T75&lt;&gt;""))=0), "", IF(V75&lt;&gt;Constants!$B$14, V75, IF(AND(NOT(ISBLANK(J75)),P75,Q75,R75&lt;&gt;Constants!$B$2), Constants!$B$7, IF(AND(P75,OR(NOT(Q75),R75=Constants!$B$2)), Constants!$B$8, "Error"))))</f>
        <v/>
      </c>
      <c r="X75" s="56" t="str">
        <f aca="false">IF(OR(W75=Constants!$B$7,W75=Constants!$B$8), MAX(0, MIN(Constants!$B$6, S75))+IF(AND(R75=Constants!$B$4, NOT(U75)), Constants!$B$5, 0), "")</f>
        <v/>
      </c>
      <c r="Y75" s="55" t="str">
        <f aca="false">IF(ISBLANK($C75),"",IF(AND(ISNUMBER(X75),N75&gt;0),X75/N75, "") )</f>
        <v/>
      </c>
      <c r="Z75" s="55" t="str">
        <f aca="false">IF(AND(NOT(ISBLANK($C75)), W75=Constants!$B$7), Y75, "")</f>
        <v/>
      </c>
      <c r="AA75" s="55" t="str">
        <f aca="false">IF(ISNUMBER(Z75), RANK(Z75,Z$8:Z$507), "")</f>
        <v/>
      </c>
      <c r="AB75" s="55" t="str">
        <f aca="false">IF(AND(NOT(ISBLANK($C75)), W75=Constants!$B$8), Y75, "")</f>
        <v/>
      </c>
      <c r="AC75" s="55" t="str">
        <f aca="false">IF(ISNUMBER(AB75), RANK(AB75,AB$8:AB$507), "")</f>
        <v/>
      </c>
      <c r="AD75" s="55" t="str">
        <f aca="false">IF(ISBLANK($C75),"",IF(V75&lt;&gt;Constants!$B$14, V75, IF(W75=Constants!$B$7, AA75, IF(W75=Constants!$B$8, COUNT($AA$8:$AA$507) + AC75, ""))))</f>
        <v/>
      </c>
      <c r="AE75" s="55" t="str">
        <f aca="false">N75</f>
        <v/>
      </c>
      <c r="AF75" s="55" t="str">
        <f aca="false">IF(ISNUMBER(AE75), RANK(AE75,AE$8:AE$507,1), "")</f>
        <v/>
      </c>
      <c r="AG75" s="57" t="str">
        <f aca="false">IF(ISBLANK(C75), "", ABS(M75-S75))</f>
        <v/>
      </c>
      <c r="AH75" s="55" t="str">
        <f aca="false">IF(ISNUMBER(AG75), RANK(AG75,AG$8:AG$507,1), "")</f>
        <v/>
      </c>
      <c r="AI75" s="55" t="str">
        <f aca="false">IF(ISBLANK(C75),"",IF(V75&lt;&gt;Constants!$B$14, V75, RANK(AD75, AD$8:AD$507, 1)+ SUMPRODUCT(--(AD$8:AD$507=AD75),--(AF75&gt;AF$8:AF$507)) + SUMPRODUCT(--(AD$8:AD$507=AD75),--(AF75=AF$8:AF$507),--(AH75&gt;AH$8:AH$507))))</f>
        <v/>
      </c>
      <c r="AJ75" s="55" t="str">
        <f aca="false">IF(ISBLANK(C75),"",IF(V75&lt;&gt;Constants!$B$14, V75, AD75-AI75))</f>
        <v/>
      </c>
      <c r="AK75" s="59"/>
      <c r="AL75" s="60" t="str">
        <f aca="false">IF(ISBLANK($C75),"",IF($V75&lt;&gt;Constants!$B$14,$V75,X75))</f>
        <v/>
      </c>
      <c r="AM75" s="60" t="str">
        <f aca="false">IF(ISBLANK($C75),"",IF($V75&lt;&gt;Constants!$B$14,$V75,N75))</f>
        <v/>
      </c>
      <c r="AN75" s="62" t="str">
        <f aca="false">IF(ISBLANK(C75),"",IF(V75&lt;&gt;Constants!$B$14, V75, IF(W75=Constants!$B$7,Z75,IF(W75=Constants!$B$8,AB75,""))))</f>
        <v/>
      </c>
      <c r="AO75" s="63" t="str">
        <f aca="false">IF(ISBLANK(C75),"",W75)</f>
        <v/>
      </c>
      <c r="AP75" s="63" t="str">
        <f aca="false">IF(ISBLANK(C75),"",AJ75)</f>
        <v/>
      </c>
      <c r="AQ75" s="63" t="str">
        <f aca="false">IF(ISBLANK(C75),"",AI75)</f>
        <v/>
      </c>
      <c r="AR75" s="64" t="str">
        <f aca="false">IF(ISBLANK(C75),
  "",
IF(AQ75=Constants!$B$11,COUNTA($C$8:$C$507)+2,IF(AQ75=Constants!$B$12,COUNTA($C$8:$C$507)+1,IF(AQ75=Constants!$B$13,COUNTA($C$8:$C$507),AQ75))))</f>
        <v/>
      </c>
      <c r="AS75" s="3"/>
      <c r="AT75" s="65" t="n">
        <f aca="false">IF(OR(ISNUMBER(AQ75),AQ75="DQ",AQ75="P",AQ75="NS"),
    1,
    0
)</f>
        <v>0</v>
      </c>
      <c r="AU75" s="65" t="n">
        <v>68</v>
      </c>
      <c r="AV75" s="65" t="str">
        <f aca="false">IF(ISBLANK($C75),
    "",
   IF(ISNUMBER(AR75),AR75+ROW($B75)/1000,"")
)</f>
        <v/>
      </c>
      <c r="AW75" s="65" t="str">
        <f aca="false">IF(ISNUMBER(AV75), RANK(AV75,AV$8:AV$507,1), "")</f>
        <v/>
      </c>
      <c r="AX75" s="65" t="str">
        <f aca="false">IF(ISBLANK($C75),
    "",
    $B75
)</f>
        <v/>
      </c>
      <c r="AY75" s="65" t="str">
        <f aca="false">IF(ISBLANK($C75),
    "",
    $C75
)</f>
        <v/>
      </c>
      <c r="AZ75" s="65" t="str">
        <f aca="false">IF(ISBLANK($C75),
    "",
    $D75
)</f>
        <v/>
      </c>
      <c r="BA75" s="65" t="str">
        <f aca="false">AO75</f>
        <v/>
      </c>
      <c r="BB75" s="66" t="str">
        <f aca="false">AN75</f>
        <v/>
      </c>
      <c r="BC75" s="65" t="str">
        <f aca="false">IF(ISBLANK($C75),
    "",
    AQ75
)</f>
        <v/>
      </c>
      <c r="BD75" s="67" t="str">
        <f aca="false">IF(AU75&gt;AT$7,
    "",
    VLOOKUP(AU75,AW$8:BC$507,7,FALSE())
)</f>
        <v/>
      </c>
      <c r="BE75" s="68" t="str">
        <f aca="false">IF(AU75&gt;AT$7,
    "",
    VLOOKUP(AU75,AW$8:BC$507,2,FALSE())
)</f>
        <v/>
      </c>
      <c r="BF75" s="68" t="str">
        <f aca="false">IF(AU75&gt;AT$7,
    "",
    VLOOKUP(AU75,AW$8:BC$507,3,FALSE())
)</f>
        <v/>
      </c>
      <c r="BG75" s="68" t="str">
        <f aca="false">IF(AU75&gt;AT$7,
    "",
    VLOOKUP(AU75,AW$8:BC$507,4,FALSE())
)</f>
        <v/>
      </c>
      <c r="BH75" s="68" t="str">
        <f aca="false">IF(AU75&gt;AT$7,
    "",
    VLOOKUP(AU75,AW$8:BC$507,5,FALSE())
)</f>
        <v/>
      </c>
      <c r="BI75" s="69" t="str">
        <f aca="false">IF(AU75&gt;AT$7,
    "",
    VLOOKUP(AU75,AW$8:BC$507,6,FALSE())
)</f>
        <v/>
      </c>
      <c r="BJ75" s="46"/>
    </row>
    <row r="76" customFormat="false" ht="15.75" hidden="false" customHeight="false" outlineLevel="0" collapsed="false">
      <c r="A76" s="3"/>
      <c r="B76" s="108"/>
      <c r="C76" s="70"/>
      <c r="D76" s="49"/>
      <c r="E76" s="109"/>
      <c r="F76" s="72"/>
      <c r="G76" s="109"/>
      <c r="H76" s="74"/>
      <c r="I76" s="104"/>
      <c r="J76" s="74"/>
      <c r="K76" s="74"/>
      <c r="L76" s="55"/>
      <c r="M76" s="55" t="str">
        <f aca="false">IF(ISBLANK($C76),"",IF(ISBLANK(E76),0,E76))</f>
        <v/>
      </c>
      <c r="N76" s="55" t="str">
        <f aca="false">IF(ISBLANK($C76),"",IF(ISBLANK(F76),0,F76))</f>
        <v/>
      </c>
      <c r="O76" s="55" t="e">
        <f aca="false">IF(AND(NOT(ISBLANK($C76)),NOT($T76),COUNTA($E76:$K76)&gt;0),ISBLANK($F76),FALSE())</f>
        <v>#VALUE!</v>
      </c>
      <c r="P76" s="55" t="str">
        <f aca="false">IF(ISBLANK($C76),"",IF(G76=Constants!$B$9, TRUE(), IF(G76=Constants!$B$10, FALSE(), TRUE())))</f>
        <v/>
      </c>
      <c r="Q76" s="55" t="str">
        <f aca="false">IF(ISBLANK($C76),"",IF(H76=Constants!$B$9, TRUE(), IF(H76=Constants!$B$10, FALSE(), TRUE())))</f>
        <v/>
      </c>
      <c r="R76" s="55" t="str">
        <f aca="false">IF(ISBLANK($C76),"",IF(ISBLANK(I76),Constants!$B$3,I76))</f>
        <v/>
      </c>
      <c r="S76" s="55" t="str">
        <f aca="false">IF(ISBLANK($C76),"",IF(ISBLANK(J76),0,MIN(J76,Constants!$B$6)))</f>
        <v/>
      </c>
      <c r="T76" s="55" t="str">
        <f aca="false">IF(ISBLANK($C76),"",IF(K76=Constants!$B$9, TRUE(), IF(K76=Constants!$B$10, FALSE(),  FALSE())))</f>
        <v/>
      </c>
      <c r="U76" s="55" t="str">
        <f aca="false">IF(ISBLANK($C76),"",AND(R76=Constants!$B$4, S76&lt;Constants!$B$6))</f>
        <v/>
      </c>
      <c r="V76" s="55" t="str">
        <f aca="false">IF(ISBLANK(C76), "", IF(T76, Constants!$B$11, IF(COUNTA(E76:K76)=0, Constants!$B$12, IF(NOT(AND(P76,S76&lt;&gt;0)), Constants!$B$13, IF(O76, Constants!$B$15, Constants!$B$14)))))</f>
        <v/>
      </c>
      <c r="W76" s="55" t="str">
        <f aca="false">IF(OR(ISBLANK($C76), SUMPRODUCT(--(P76:T76&lt;&gt;""))=0), "", IF(V76&lt;&gt;Constants!$B$14, V76, IF(AND(NOT(ISBLANK(J76)),P76,Q76,R76&lt;&gt;Constants!$B$2), Constants!$B$7, IF(AND(P76,OR(NOT(Q76),R76=Constants!$B$2)), Constants!$B$8, "Error"))))</f>
        <v/>
      </c>
      <c r="X76" s="56" t="str">
        <f aca="false">IF(OR(W76=Constants!$B$7,W76=Constants!$B$8), MAX(0, MIN(Constants!$B$6, S76))+IF(AND(R76=Constants!$B$4, NOT(U76)), Constants!$B$5, 0), "")</f>
        <v/>
      </c>
      <c r="Y76" s="55" t="str">
        <f aca="false">IF(ISBLANK($C76),"",IF(AND(ISNUMBER(X76),N76&gt;0),X76/N76, "") )</f>
        <v/>
      </c>
      <c r="Z76" s="55" t="str">
        <f aca="false">IF(AND(NOT(ISBLANK($C76)), W76=Constants!$B$7), Y76, "")</f>
        <v/>
      </c>
      <c r="AA76" s="55" t="str">
        <f aca="false">IF(ISNUMBER(Z76), RANK(Z76,Z$8:Z$507), "")</f>
        <v/>
      </c>
      <c r="AB76" s="55" t="str">
        <f aca="false">IF(AND(NOT(ISBLANK($C76)), W76=Constants!$B$8), Y76, "")</f>
        <v/>
      </c>
      <c r="AC76" s="55" t="str">
        <f aca="false">IF(ISNUMBER(AB76), RANK(AB76,AB$8:AB$507), "")</f>
        <v/>
      </c>
      <c r="AD76" s="55" t="str">
        <f aca="false">IF(ISBLANK($C76),"",IF(V76&lt;&gt;Constants!$B$14, V76, IF(W76=Constants!$B$7, AA76, IF(W76=Constants!$B$8, COUNT($AA$8:$AA$507) + AC76, ""))))</f>
        <v/>
      </c>
      <c r="AE76" s="55" t="str">
        <f aca="false">N76</f>
        <v/>
      </c>
      <c r="AF76" s="55" t="str">
        <f aca="false">IF(ISNUMBER(AE76), RANK(AE76,AE$8:AE$507,1), "")</f>
        <v/>
      </c>
      <c r="AG76" s="57" t="str">
        <f aca="false">IF(ISBLANK(C76), "", ABS(M76-S76))</f>
        <v/>
      </c>
      <c r="AH76" s="55" t="str">
        <f aca="false">IF(ISNUMBER(AG76), RANK(AG76,AG$8:AG$507,1), "")</f>
        <v/>
      </c>
      <c r="AI76" s="55" t="str">
        <f aca="false">IF(ISBLANK(C76),"",IF(V76&lt;&gt;Constants!$B$14, V76, RANK(AD76, AD$8:AD$507, 1)+ SUMPRODUCT(--(AD$8:AD$507=AD76),--(AF76&gt;AF$8:AF$507)) + SUMPRODUCT(--(AD$8:AD$507=AD76),--(AF76=AF$8:AF$507),--(AH76&gt;AH$8:AH$507))))</f>
        <v/>
      </c>
      <c r="AJ76" s="55" t="str">
        <f aca="false">IF(ISBLANK(C76),"",IF(V76&lt;&gt;Constants!$B$14, V76, AD76-AI76))</f>
        <v/>
      </c>
      <c r="AK76" s="59"/>
      <c r="AL76" s="60" t="str">
        <f aca="false">IF(ISBLANK($C76),"",IF($V76&lt;&gt;Constants!$B$14,$V76,X76))</f>
        <v/>
      </c>
      <c r="AM76" s="60" t="str">
        <f aca="false">IF(ISBLANK($C76),"",IF($V76&lt;&gt;Constants!$B$14,$V76,N76))</f>
        <v/>
      </c>
      <c r="AN76" s="62" t="str">
        <f aca="false">IF(ISBLANK(C76),"",IF(V76&lt;&gt;Constants!$B$14, V76, IF(W76=Constants!$B$7,Z76,IF(W76=Constants!$B$8,AB76,""))))</f>
        <v/>
      </c>
      <c r="AO76" s="63" t="str">
        <f aca="false">IF(ISBLANK(C76),"",W76)</f>
        <v/>
      </c>
      <c r="AP76" s="63" t="str">
        <f aca="false">IF(ISBLANK(C76),"",AJ76)</f>
        <v/>
      </c>
      <c r="AQ76" s="63" t="str">
        <f aca="false">IF(ISBLANK(C76),"",AI76)</f>
        <v/>
      </c>
      <c r="AR76" s="64" t="str">
        <f aca="false">IF(ISBLANK(C76),
  "",
IF(AQ76=Constants!$B$11,COUNTA($C$8:$C$507)+2,IF(AQ76=Constants!$B$12,COUNTA($C$8:$C$507)+1,IF(AQ76=Constants!$B$13,COUNTA($C$8:$C$507),AQ76))))</f>
        <v/>
      </c>
      <c r="AS76" s="3"/>
      <c r="AT76" s="65" t="n">
        <f aca="false">IF(OR(ISNUMBER(AQ76),AQ76="DQ",AQ76="P",AQ76="NS"),
    1,
    0
)</f>
        <v>0</v>
      </c>
      <c r="AU76" s="65" t="n">
        <v>69</v>
      </c>
      <c r="AV76" s="65" t="str">
        <f aca="false">IF(ISBLANK($C76),
    "",
   IF(ISNUMBER(AR76),AR76+ROW($B76)/1000,"")
)</f>
        <v/>
      </c>
      <c r="AW76" s="65" t="str">
        <f aca="false">IF(ISNUMBER(AV76), RANK(AV76,AV$8:AV$507,1), "")</f>
        <v/>
      </c>
      <c r="AX76" s="65" t="str">
        <f aca="false">IF(ISBLANK($C76),
    "",
    $B76
)</f>
        <v/>
      </c>
      <c r="AY76" s="65" t="str">
        <f aca="false">IF(ISBLANK($C76),
    "",
    $C76
)</f>
        <v/>
      </c>
      <c r="AZ76" s="65" t="str">
        <f aca="false">IF(ISBLANK($C76),
    "",
    $D76
)</f>
        <v/>
      </c>
      <c r="BA76" s="65" t="str">
        <f aca="false">AO76</f>
        <v/>
      </c>
      <c r="BB76" s="66" t="str">
        <f aca="false">AN76</f>
        <v/>
      </c>
      <c r="BC76" s="65" t="str">
        <f aca="false">IF(ISBLANK($C76),
    "",
    AQ76
)</f>
        <v/>
      </c>
      <c r="BD76" s="67" t="str">
        <f aca="false">IF(AU76&gt;AT$7,
    "",
    VLOOKUP(AU76,AW$8:BC$507,7,FALSE())
)</f>
        <v/>
      </c>
      <c r="BE76" s="68" t="str">
        <f aca="false">IF(AU76&gt;AT$7,
    "",
    VLOOKUP(AU76,AW$8:BC$507,2,FALSE())
)</f>
        <v/>
      </c>
      <c r="BF76" s="68" t="str">
        <f aca="false">IF(AU76&gt;AT$7,
    "",
    VLOOKUP(AU76,AW$8:BC$507,3,FALSE())
)</f>
        <v/>
      </c>
      <c r="BG76" s="68" t="str">
        <f aca="false">IF(AU76&gt;AT$7,
    "",
    VLOOKUP(AU76,AW$8:BC$507,4,FALSE())
)</f>
        <v/>
      </c>
      <c r="BH76" s="68" t="str">
        <f aca="false">IF(AU76&gt;AT$7,
    "",
    VLOOKUP(AU76,AW$8:BC$507,5,FALSE())
)</f>
        <v/>
      </c>
      <c r="BI76" s="69" t="str">
        <f aca="false">IF(AU76&gt;AT$7,
    "",
    VLOOKUP(AU76,AW$8:BC$507,6,FALSE())
)</f>
        <v/>
      </c>
      <c r="BJ76" s="46"/>
    </row>
    <row r="77" customFormat="false" ht="15.75" hidden="false" customHeight="false" outlineLevel="0" collapsed="false">
      <c r="A77" s="3"/>
      <c r="B77" s="105"/>
      <c r="C77" s="106"/>
      <c r="D77" s="99"/>
      <c r="E77" s="110"/>
      <c r="F77" s="107"/>
      <c r="G77" s="110"/>
      <c r="H77" s="103"/>
      <c r="I77" s="102"/>
      <c r="J77" s="103"/>
      <c r="K77" s="103"/>
      <c r="L77" s="85"/>
      <c r="M77" s="85" t="str">
        <f aca="false">IF(ISBLANK($C77),"",IF(ISBLANK(E77),0,E77))</f>
        <v/>
      </c>
      <c r="N77" s="85" t="str">
        <f aca="false">IF(ISBLANK($C77),"",IF(ISBLANK(F77),0,F77))</f>
        <v/>
      </c>
      <c r="O77" s="86" t="e">
        <f aca="false">IF(AND(NOT(ISBLANK($C77)),NOT($T77),COUNTA($E77:$K77)&gt;0),ISBLANK($F77),FALSE())</f>
        <v>#VALUE!</v>
      </c>
      <c r="P77" s="85" t="str">
        <f aca="false">IF(ISBLANK($C77),"",IF(G77=Constants!$B$9, TRUE(), IF(G77=Constants!$B$10, FALSE(), TRUE())))</f>
        <v/>
      </c>
      <c r="Q77" s="85" t="str">
        <f aca="false">IF(ISBLANK($C77),"",IF(H77=Constants!$B$9, TRUE(), IF(H77=Constants!$B$10, FALSE(), TRUE())))</f>
        <v/>
      </c>
      <c r="R77" s="85" t="str">
        <f aca="false">IF(ISBLANK($C77),"",IF(ISBLANK(I77),Constants!$B$3,I77))</f>
        <v/>
      </c>
      <c r="S77" s="85" t="str">
        <f aca="false">IF(ISBLANK($C77),"",IF(ISBLANK(J77),0,MIN(J77,Constants!$B$6)))</f>
        <v/>
      </c>
      <c r="T77" s="85" t="str">
        <f aca="false">IF(ISBLANK($C77),"",IF(K77=Constants!$B$9, TRUE(), IF(K77=Constants!$B$10, FALSE(),  FALSE())))</f>
        <v/>
      </c>
      <c r="U77" s="85" t="str">
        <f aca="false">IF(ISBLANK($C77),"",AND(R77=Constants!$B$4, S77&lt;Constants!$B$6))</f>
        <v/>
      </c>
      <c r="V77" s="85" t="str">
        <f aca="false">IF(ISBLANK(C77), "", IF(T77, Constants!$B$11, IF(COUNTA(E77:K77)=0, Constants!$B$12, IF(NOT(AND(P77,S77&lt;&gt;0)), Constants!$B$13, IF(O77, Constants!$B$15, Constants!$B$14)))))</f>
        <v/>
      </c>
      <c r="W77" s="85" t="str">
        <f aca="false">IF(OR(ISBLANK($C77), SUMPRODUCT(--(P77:T77&lt;&gt;""))=0), "", IF(V77&lt;&gt;Constants!$B$14, V77, IF(AND(NOT(ISBLANK(J77)),P77,Q77,R77&lt;&gt;Constants!$B$2), Constants!$B$7, IF(AND(P77,OR(NOT(Q77),R77=Constants!$B$2)), Constants!$B$8, "Error"))))</f>
        <v/>
      </c>
      <c r="X77" s="87" t="str">
        <f aca="false">IF(OR(W77=Constants!$B$7,W77=Constants!$B$8), MAX(0, MIN(Constants!$B$6, S77))+IF(AND(R77=Constants!$B$4, NOT(U77)), Constants!$B$5, 0), "")</f>
        <v/>
      </c>
      <c r="Y77" s="85" t="str">
        <f aca="false">IF(ISBLANK($C77),"",IF(AND(ISNUMBER(X77),N77&gt;0),X77/N77, "") )</f>
        <v/>
      </c>
      <c r="Z77" s="85" t="str">
        <f aca="false">IF(AND(NOT(ISBLANK($C77)), W77=Constants!$B$7), Y77, "")</f>
        <v/>
      </c>
      <c r="AA77" s="85" t="str">
        <f aca="false">IF(ISNUMBER(Z77), RANK(Z77,Z$8:Z$507), "")</f>
        <v/>
      </c>
      <c r="AB77" s="85" t="str">
        <f aca="false">IF(AND(NOT(ISBLANK($C77)), W77=Constants!$B$8), Y77, "")</f>
        <v/>
      </c>
      <c r="AC77" s="85" t="str">
        <f aca="false">IF(ISNUMBER(AB77), RANK(AB77,AB$8:AB$507), "")</f>
        <v/>
      </c>
      <c r="AD77" s="85" t="str">
        <f aca="false">IF(ISBLANK($C77),"",IF(V77&lt;&gt;Constants!$B$14, V77, IF(W77=Constants!$B$7, AA77, IF(W77=Constants!$B$8, COUNT($AA$8:$AA$507) + AC77, ""))))</f>
        <v/>
      </c>
      <c r="AE77" s="85" t="str">
        <f aca="false">N77</f>
        <v/>
      </c>
      <c r="AF77" s="85" t="str">
        <f aca="false">IF(ISNUMBER(AE77), RANK(AE77,AE$8:AE$507,1), "")</f>
        <v/>
      </c>
      <c r="AG77" s="88" t="str">
        <f aca="false">IF(ISBLANK(C77), "", ABS(M77-S77))</f>
        <v/>
      </c>
      <c r="AH77" s="85" t="str">
        <f aca="false">IF(ISNUMBER(AG77), RANK(AG77,AG$8:AG$507,1), "")</f>
        <v/>
      </c>
      <c r="AI77" s="85" t="str">
        <f aca="false">IF(ISBLANK(C77),"",IF(V77&lt;&gt;Constants!$B$14, V77, RANK(AD77, AD$8:AD$507, 1)+ SUMPRODUCT(--(AD$8:AD$507=AD77),--(AF77&gt;AF$8:AF$507)) + SUMPRODUCT(--(AD$8:AD$507=AD77),--(AF77=AF$8:AF$507),--(AH77&gt;AH$8:AH$507))))</f>
        <v/>
      </c>
      <c r="AJ77" s="85" t="str">
        <f aca="false">IF(ISBLANK(C77),"",IF(V77&lt;&gt;Constants!$B$14, V77, AD77-AI77))</f>
        <v/>
      </c>
      <c r="AK77" s="89"/>
      <c r="AL77" s="90" t="str">
        <f aca="false">IF(ISBLANK($C77),"",IF($V77&lt;&gt;Constants!$B$14,$V77,X77))</f>
        <v/>
      </c>
      <c r="AM77" s="90" t="str">
        <f aca="false">IF(ISBLANK($C77),"",IF($V77&lt;&gt;Constants!$B$14,$V77,N77))</f>
        <v/>
      </c>
      <c r="AN77" s="91" t="str">
        <f aca="false">IF(ISBLANK(C77),"",IF(V77&lt;&gt;Constants!$B$14, V77, IF(W77=Constants!$B$7,Z77,IF(W77=Constants!$B$8,AB77,""))))</f>
        <v/>
      </c>
      <c r="AO77" s="92" t="str">
        <f aca="false">IF(ISBLANK(C77),"",W77)</f>
        <v/>
      </c>
      <c r="AP77" s="92" t="str">
        <f aca="false">IF(ISBLANK(C77),"",AJ77)</f>
        <v/>
      </c>
      <c r="AQ77" s="92" t="str">
        <f aca="false">IF(ISBLANK(C77),"",AI77)</f>
        <v/>
      </c>
      <c r="AR77" s="93" t="str">
        <f aca="false">IF(ISBLANK(C77),
  "",
IF(AQ77=Constants!$B$11,COUNTA($C$8:$C$507)+2,IF(AQ77=Constants!$B$12,COUNTA($C$8:$C$507)+1,IF(AQ77=Constants!$B$13,COUNTA($C$8:$C$507),AQ77))))</f>
        <v/>
      </c>
      <c r="AS77" s="3"/>
      <c r="AT77" s="94" t="n">
        <f aca="false">IF(OR(ISNUMBER(AQ77),AQ77="DQ",AQ77="P",AQ77="NS"),
    1,
    0
)</f>
        <v>0</v>
      </c>
      <c r="AU77" s="94" t="n">
        <v>70</v>
      </c>
      <c r="AV77" s="94" t="str">
        <f aca="false">IF(ISBLANK($C77),
    "",
   IF(ISNUMBER(AR77),AR77+ROW($B77)/1000,"")
)</f>
        <v/>
      </c>
      <c r="AW77" s="94" t="str">
        <f aca="false">IF(ISNUMBER(AV77), RANK(AV77,AV$8:AV$507,1), "")</f>
        <v/>
      </c>
      <c r="AX77" s="94" t="str">
        <f aca="false">IF(ISBLANK($C77),
    "",
    $B77
)</f>
        <v/>
      </c>
      <c r="AY77" s="94" t="str">
        <f aca="false">IF(ISBLANK($C77),
    "",
    $C77
)</f>
        <v/>
      </c>
      <c r="AZ77" s="94" t="str">
        <f aca="false">IF(ISBLANK($C77),
    "",
    $D77
)</f>
        <v/>
      </c>
      <c r="BA77" s="94" t="str">
        <f aca="false">AO77</f>
        <v/>
      </c>
      <c r="BB77" s="95" t="str">
        <f aca="false">AN77</f>
        <v/>
      </c>
      <c r="BC77" s="94" t="str">
        <f aca="false">IF(ISBLANK($C77),
    "",
    AQ77
)</f>
        <v/>
      </c>
      <c r="BD77" s="96" t="str">
        <f aca="false">IF(AU77&gt;AT$7,
    "",
    VLOOKUP(AU77,AW$8:BC$507,7,FALSE())
)</f>
        <v/>
      </c>
      <c r="BE77" s="97" t="str">
        <f aca="false">IF(AU77&gt;AT$7,
    "",
    VLOOKUP(AU77,AW$8:BC$507,2,FALSE())
)</f>
        <v/>
      </c>
      <c r="BF77" s="97" t="str">
        <f aca="false">IF(AU77&gt;AT$7,
    "",
    VLOOKUP(AU77,AW$8:BC$507,3,FALSE())
)</f>
        <v/>
      </c>
      <c r="BG77" s="97" t="str">
        <f aca="false">IF(AU77&gt;AT$7,
    "",
    VLOOKUP(AU77,AW$8:BC$507,4,FALSE())
)</f>
        <v/>
      </c>
      <c r="BH77" s="97" t="str">
        <f aca="false">IF(AU77&gt;AT$7,
    "",
    VLOOKUP(AU77,AW$8:BC$507,5,FALSE())
)</f>
        <v/>
      </c>
      <c r="BI77" s="98" t="str">
        <f aca="false">IF(AU77&gt;AT$7,
    "",
    VLOOKUP(AU77,AW$8:BC$507,6,FALSE())
)</f>
        <v/>
      </c>
      <c r="BJ77" s="46"/>
    </row>
    <row r="78" customFormat="false" ht="15.75" hidden="false" customHeight="false" outlineLevel="0" collapsed="false">
      <c r="A78" s="3"/>
      <c r="B78" s="105"/>
      <c r="C78" s="106"/>
      <c r="D78" s="99"/>
      <c r="E78" s="110"/>
      <c r="F78" s="107"/>
      <c r="G78" s="110"/>
      <c r="H78" s="103"/>
      <c r="I78" s="102"/>
      <c r="J78" s="103"/>
      <c r="K78" s="103"/>
      <c r="L78" s="85"/>
      <c r="M78" s="85" t="str">
        <f aca="false">IF(ISBLANK($C78),"",IF(ISBLANK(E78),0,E78))</f>
        <v/>
      </c>
      <c r="N78" s="85" t="str">
        <f aca="false">IF(ISBLANK($C78),"",IF(ISBLANK(F78),0,F78))</f>
        <v/>
      </c>
      <c r="O78" s="86" t="e">
        <f aca="false">IF(AND(NOT(ISBLANK($C78)),NOT($T78),COUNTA($E78:$K78)&gt;0),ISBLANK($F78),FALSE())</f>
        <v>#VALUE!</v>
      </c>
      <c r="P78" s="85" t="str">
        <f aca="false">IF(ISBLANK($C78),"",IF(G78=Constants!$B$9, TRUE(), IF(G78=Constants!$B$10, FALSE(), TRUE())))</f>
        <v/>
      </c>
      <c r="Q78" s="85" t="str">
        <f aca="false">IF(ISBLANK($C78),"",IF(H78=Constants!$B$9, TRUE(), IF(H78=Constants!$B$10, FALSE(), TRUE())))</f>
        <v/>
      </c>
      <c r="R78" s="85" t="str">
        <f aca="false">IF(ISBLANK($C78),"",IF(ISBLANK(I78),Constants!$B$3,I78))</f>
        <v/>
      </c>
      <c r="S78" s="85" t="str">
        <f aca="false">IF(ISBLANK($C78),"",IF(ISBLANK(J78),0,MIN(J78,Constants!$B$6)))</f>
        <v/>
      </c>
      <c r="T78" s="85" t="str">
        <f aca="false">IF(ISBLANK($C78),"",IF(K78=Constants!$B$9, TRUE(), IF(K78=Constants!$B$10, FALSE(),  FALSE())))</f>
        <v/>
      </c>
      <c r="U78" s="85" t="str">
        <f aca="false">IF(ISBLANK($C78),"",AND(R78=Constants!$B$4, S78&lt;Constants!$B$6))</f>
        <v/>
      </c>
      <c r="V78" s="85" t="str">
        <f aca="false">IF(ISBLANK(C78), "", IF(T78, Constants!$B$11, IF(COUNTA(E78:K78)=0, Constants!$B$12, IF(NOT(AND(P78,S78&lt;&gt;0)), Constants!$B$13, IF(O78, Constants!$B$15, Constants!$B$14)))))</f>
        <v/>
      </c>
      <c r="W78" s="85" t="str">
        <f aca="false">IF(OR(ISBLANK($C78), SUMPRODUCT(--(P78:T78&lt;&gt;""))=0), "", IF(V78&lt;&gt;Constants!$B$14, V78, IF(AND(NOT(ISBLANK(J78)),P78,Q78,R78&lt;&gt;Constants!$B$2), Constants!$B$7, IF(AND(P78,OR(NOT(Q78),R78=Constants!$B$2)), Constants!$B$8, "Error"))))</f>
        <v/>
      </c>
      <c r="X78" s="87" t="str">
        <f aca="false">IF(OR(W78=Constants!$B$7,W78=Constants!$B$8), MAX(0, MIN(Constants!$B$6, S78))+IF(AND(R78=Constants!$B$4, NOT(U78)), Constants!$B$5, 0), "")</f>
        <v/>
      </c>
      <c r="Y78" s="85" t="str">
        <f aca="false">IF(ISBLANK($C78),"",IF(AND(ISNUMBER(X78),N78&gt;0),X78/N78, "") )</f>
        <v/>
      </c>
      <c r="Z78" s="85" t="str">
        <f aca="false">IF(AND(NOT(ISBLANK($C78)), W78=Constants!$B$7), Y78, "")</f>
        <v/>
      </c>
      <c r="AA78" s="85" t="str">
        <f aca="false">IF(ISNUMBER(Z78), RANK(Z78,Z$8:Z$507), "")</f>
        <v/>
      </c>
      <c r="AB78" s="85" t="str">
        <f aca="false">IF(AND(NOT(ISBLANK($C78)), W78=Constants!$B$8), Y78, "")</f>
        <v/>
      </c>
      <c r="AC78" s="85" t="str">
        <f aca="false">IF(ISNUMBER(AB78), RANK(AB78,AB$8:AB$507), "")</f>
        <v/>
      </c>
      <c r="AD78" s="85" t="str">
        <f aca="false">IF(ISBLANK($C78),"",IF(V78&lt;&gt;Constants!$B$14, V78, IF(W78=Constants!$B$7, AA78, IF(W78=Constants!$B$8, COUNT($AA$8:$AA$507) + AC78, ""))))</f>
        <v/>
      </c>
      <c r="AE78" s="85" t="str">
        <f aca="false">N78</f>
        <v/>
      </c>
      <c r="AF78" s="85" t="str">
        <f aca="false">IF(ISNUMBER(AE78), RANK(AE78,AE$8:AE$507,1), "")</f>
        <v/>
      </c>
      <c r="AG78" s="88" t="str">
        <f aca="false">IF(ISBLANK(C78), "", ABS(M78-S78))</f>
        <v/>
      </c>
      <c r="AH78" s="85" t="str">
        <f aca="false">IF(ISNUMBER(AG78), RANK(AG78,AG$8:AG$507,1), "")</f>
        <v/>
      </c>
      <c r="AI78" s="85" t="str">
        <f aca="false">IF(ISBLANK(C78),"",IF(V78&lt;&gt;Constants!$B$14, V78, RANK(AD78, AD$8:AD$507, 1)+ SUMPRODUCT(--(AD$8:AD$507=AD78),--(AF78&gt;AF$8:AF$507)) + SUMPRODUCT(--(AD$8:AD$507=AD78),--(AF78=AF$8:AF$507),--(AH78&gt;AH$8:AH$507))))</f>
        <v/>
      </c>
      <c r="AJ78" s="85" t="str">
        <f aca="false">IF(ISBLANK(C78),"",IF(V78&lt;&gt;Constants!$B$14, V78, AD78-AI78))</f>
        <v/>
      </c>
      <c r="AK78" s="89"/>
      <c r="AL78" s="90" t="str">
        <f aca="false">IF(ISBLANK($C78),"",IF($V78&lt;&gt;Constants!$B$14,$V78,X78))</f>
        <v/>
      </c>
      <c r="AM78" s="90" t="str">
        <f aca="false">IF(ISBLANK($C78),"",IF($V78&lt;&gt;Constants!$B$14,$V78,N78))</f>
        <v/>
      </c>
      <c r="AN78" s="91" t="str">
        <f aca="false">IF(ISBLANK(C78),"",IF(V78&lt;&gt;Constants!$B$14, V78, IF(W78=Constants!$B$7,Z78,IF(W78=Constants!$B$8,AB78,""))))</f>
        <v/>
      </c>
      <c r="AO78" s="92" t="str">
        <f aca="false">IF(ISBLANK(C78),"",W78)</f>
        <v/>
      </c>
      <c r="AP78" s="92" t="str">
        <f aca="false">IF(ISBLANK(C78),"",AJ78)</f>
        <v/>
      </c>
      <c r="AQ78" s="92" t="str">
        <f aca="false">IF(ISBLANK(C78),"",AI78)</f>
        <v/>
      </c>
      <c r="AR78" s="93" t="str">
        <f aca="false">IF(ISBLANK(C78),
  "",
IF(AQ78=Constants!$B$11,COUNTA($C$8:$C$507)+2,IF(AQ78=Constants!$B$12,COUNTA($C$8:$C$507)+1,IF(AQ78=Constants!$B$13,COUNTA($C$8:$C$507),AQ78))))</f>
        <v/>
      </c>
      <c r="AS78" s="3"/>
      <c r="AT78" s="94" t="n">
        <f aca="false">IF(OR(ISNUMBER(AQ78),AQ78="DQ",AQ78="P",AQ78="NS"),
    1,
    0
)</f>
        <v>0</v>
      </c>
      <c r="AU78" s="94" t="n">
        <v>71</v>
      </c>
      <c r="AV78" s="94" t="str">
        <f aca="false">IF(ISBLANK($C78),
    "",
   IF(ISNUMBER(AR78),AR78+ROW($B78)/1000,"")
)</f>
        <v/>
      </c>
      <c r="AW78" s="94" t="str">
        <f aca="false">IF(ISNUMBER(AV78), RANK(AV78,AV$8:AV$507,1), "")</f>
        <v/>
      </c>
      <c r="AX78" s="94" t="str">
        <f aca="false">IF(ISBLANK($C78),
    "",
    $B78
)</f>
        <v/>
      </c>
      <c r="AY78" s="94" t="str">
        <f aca="false">IF(ISBLANK($C78),
    "",
    $C78
)</f>
        <v/>
      </c>
      <c r="AZ78" s="94" t="str">
        <f aca="false">IF(ISBLANK($C78),
    "",
    $D78
)</f>
        <v/>
      </c>
      <c r="BA78" s="94" t="str">
        <f aca="false">AO78</f>
        <v/>
      </c>
      <c r="BB78" s="95" t="str">
        <f aca="false">AN78</f>
        <v/>
      </c>
      <c r="BC78" s="94" t="str">
        <f aca="false">IF(ISBLANK($C78),
    "",
    AQ78
)</f>
        <v/>
      </c>
      <c r="BD78" s="96" t="str">
        <f aca="false">IF(AU78&gt;AT$7,
    "",
    VLOOKUP(AU78,AW$8:BC$507,7,FALSE())
)</f>
        <v/>
      </c>
      <c r="BE78" s="97" t="str">
        <f aca="false">IF(AU78&gt;AT$7,
    "",
    VLOOKUP(AU78,AW$8:BC$507,2,FALSE())
)</f>
        <v/>
      </c>
      <c r="BF78" s="97" t="str">
        <f aca="false">IF(AU78&gt;AT$7,
    "",
    VLOOKUP(AU78,AW$8:BC$507,3,FALSE())
)</f>
        <v/>
      </c>
      <c r="BG78" s="97" t="str">
        <f aca="false">IF(AU78&gt;AT$7,
    "",
    VLOOKUP(AU78,AW$8:BC$507,4,FALSE())
)</f>
        <v/>
      </c>
      <c r="BH78" s="97" t="str">
        <f aca="false">IF(AU78&gt;AT$7,
    "",
    VLOOKUP(AU78,AW$8:BC$507,5,FALSE())
)</f>
        <v/>
      </c>
      <c r="BI78" s="98" t="str">
        <f aca="false">IF(AU78&gt;AT$7,
    "",
    VLOOKUP(AU78,AW$8:BC$507,6,FALSE())
)</f>
        <v/>
      </c>
      <c r="BJ78" s="46"/>
    </row>
    <row r="79" customFormat="false" ht="15.75" hidden="false" customHeight="false" outlineLevel="0" collapsed="false">
      <c r="A79" s="3"/>
      <c r="B79" s="105"/>
      <c r="C79" s="106"/>
      <c r="D79" s="99"/>
      <c r="E79" s="110"/>
      <c r="F79" s="107"/>
      <c r="G79" s="110"/>
      <c r="H79" s="103"/>
      <c r="I79" s="102"/>
      <c r="J79" s="103"/>
      <c r="K79" s="103"/>
      <c r="L79" s="85"/>
      <c r="M79" s="85" t="str">
        <f aca="false">IF(ISBLANK($C79),"",IF(ISBLANK(E79),0,E79))</f>
        <v/>
      </c>
      <c r="N79" s="85" t="str">
        <f aca="false">IF(ISBLANK($C79),"",IF(ISBLANK(F79),0,F79))</f>
        <v/>
      </c>
      <c r="O79" s="86" t="e">
        <f aca="false">IF(AND(NOT(ISBLANK($C79)),NOT($T79),COUNTA($E79:$K79)&gt;0),ISBLANK($F79),FALSE())</f>
        <v>#VALUE!</v>
      </c>
      <c r="P79" s="85" t="str">
        <f aca="false">IF(ISBLANK($C79),"",IF(G79=Constants!$B$9, TRUE(), IF(G79=Constants!$B$10, FALSE(), TRUE())))</f>
        <v/>
      </c>
      <c r="Q79" s="85" t="str">
        <f aca="false">IF(ISBLANK($C79),"",IF(H79=Constants!$B$9, TRUE(), IF(H79=Constants!$B$10, FALSE(), TRUE())))</f>
        <v/>
      </c>
      <c r="R79" s="85" t="str">
        <f aca="false">IF(ISBLANK($C79),"",IF(ISBLANK(I79),Constants!$B$3,I79))</f>
        <v/>
      </c>
      <c r="S79" s="85" t="str">
        <f aca="false">IF(ISBLANK($C79),"",IF(ISBLANK(J79),0,MIN(J79,Constants!$B$6)))</f>
        <v/>
      </c>
      <c r="T79" s="85" t="str">
        <f aca="false">IF(ISBLANK($C79),"",IF(K79=Constants!$B$9, TRUE(), IF(K79=Constants!$B$10, FALSE(),  FALSE())))</f>
        <v/>
      </c>
      <c r="U79" s="85" t="str">
        <f aca="false">IF(ISBLANK($C79),"",AND(R79=Constants!$B$4, S79&lt;Constants!$B$6))</f>
        <v/>
      </c>
      <c r="V79" s="85" t="str">
        <f aca="false">IF(ISBLANK(C79), "", IF(T79, Constants!$B$11, IF(COUNTA(E79:K79)=0, Constants!$B$12, IF(NOT(AND(P79,S79&lt;&gt;0)), Constants!$B$13, IF(O79, Constants!$B$15, Constants!$B$14)))))</f>
        <v/>
      </c>
      <c r="W79" s="85" t="str">
        <f aca="false">IF(OR(ISBLANK($C79), SUMPRODUCT(--(P79:T79&lt;&gt;""))=0), "", IF(V79&lt;&gt;Constants!$B$14, V79, IF(AND(NOT(ISBLANK(J79)),P79,Q79,R79&lt;&gt;Constants!$B$2), Constants!$B$7, IF(AND(P79,OR(NOT(Q79),R79=Constants!$B$2)), Constants!$B$8, "Error"))))</f>
        <v/>
      </c>
      <c r="X79" s="87" t="str">
        <f aca="false">IF(OR(W79=Constants!$B$7,W79=Constants!$B$8), MAX(0, MIN(Constants!$B$6, S79))+IF(AND(R79=Constants!$B$4, NOT(U79)), Constants!$B$5, 0), "")</f>
        <v/>
      </c>
      <c r="Y79" s="85" t="str">
        <f aca="false">IF(ISBLANK($C79),"",IF(AND(ISNUMBER(X79),N79&gt;0),X79/N79, "") )</f>
        <v/>
      </c>
      <c r="Z79" s="85" t="str">
        <f aca="false">IF(AND(NOT(ISBLANK($C79)), W79=Constants!$B$7), Y79, "")</f>
        <v/>
      </c>
      <c r="AA79" s="85" t="str">
        <f aca="false">IF(ISNUMBER(Z79), RANK(Z79,Z$8:Z$507), "")</f>
        <v/>
      </c>
      <c r="AB79" s="85" t="str">
        <f aca="false">IF(AND(NOT(ISBLANK($C79)), W79=Constants!$B$8), Y79, "")</f>
        <v/>
      </c>
      <c r="AC79" s="85" t="str">
        <f aca="false">IF(ISNUMBER(AB79), RANK(AB79,AB$8:AB$507), "")</f>
        <v/>
      </c>
      <c r="AD79" s="85" t="str">
        <f aca="false">IF(ISBLANK($C79),"",IF(V79&lt;&gt;Constants!$B$14, V79, IF(W79=Constants!$B$7, AA79, IF(W79=Constants!$B$8, COUNT($AA$8:$AA$507) + AC79, ""))))</f>
        <v/>
      </c>
      <c r="AE79" s="85" t="str">
        <f aca="false">N79</f>
        <v/>
      </c>
      <c r="AF79" s="85" t="str">
        <f aca="false">IF(ISNUMBER(AE79), RANK(AE79,AE$8:AE$507,1), "")</f>
        <v/>
      </c>
      <c r="AG79" s="88" t="str">
        <f aca="false">IF(ISBLANK(C79), "", ABS(M79-S79))</f>
        <v/>
      </c>
      <c r="AH79" s="85" t="str">
        <f aca="false">IF(ISNUMBER(AG79), RANK(AG79,AG$8:AG$507,1), "")</f>
        <v/>
      </c>
      <c r="AI79" s="85" t="str">
        <f aca="false">IF(ISBLANK(C79),"",IF(V79&lt;&gt;Constants!$B$14, V79, RANK(AD79, AD$8:AD$507, 1)+ SUMPRODUCT(--(AD$8:AD$507=AD79),--(AF79&gt;AF$8:AF$507)) + SUMPRODUCT(--(AD$8:AD$507=AD79),--(AF79=AF$8:AF$507),--(AH79&gt;AH$8:AH$507))))</f>
        <v/>
      </c>
      <c r="AJ79" s="85" t="str">
        <f aca="false">IF(ISBLANK(C79),"",IF(V79&lt;&gt;Constants!$B$14, V79, AD79-AI79))</f>
        <v/>
      </c>
      <c r="AK79" s="89"/>
      <c r="AL79" s="90" t="str">
        <f aca="false">IF(ISBLANK($C79),"",IF($V79&lt;&gt;Constants!$B$14,$V79,X79))</f>
        <v/>
      </c>
      <c r="AM79" s="90" t="str">
        <f aca="false">IF(ISBLANK($C79),"",IF($V79&lt;&gt;Constants!$B$14,$V79,N79))</f>
        <v/>
      </c>
      <c r="AN79" s="91" t="str">
        <f aca="false">IF(ISBLANK(C79),"",IF(V79&lt;&gt;Constants!$B$14, V79, IF(W79=Constants!$B$7,Z79,IF(W79=Constants!$B$8,AB79,""))))</f>
        <v/>
      </c>
      <c r="AO79" s="92" t="str">
        <f aca="false">IF(ISBLANK(C79),"",W79)</f>
        <v/>
      </c>
      <c r="AP79" s="92" t="str">
        <f aca="false">IF(ISBLANK(C79),"",AJ79)</f>
        <v/>
      </c>
      <c r="AQ79" s="92" t="str">
        <f aca="false">IF(ISBLANK(C79),"",AI79)</f>
        <v/>
      </c>
      <c r="AR79" s="93" t="str">
        <f aca="false">IF(ISBLANK(C79),
  "",
IF(AQ79=Constants!$B$11,COUNTA($C$8:$C$507)+2,IF(AQ79=Constants!$B$12,COUNTA($C$8:$C$507)+1,IF(AQ79=Constants!$B$13,COUNTA($C$8:$C$507),AQ79))))</f>
        <v/>
      </c>
      <c r="AS79" s="3"/>
      <c r="AT79" s="94" t="n">
        <f aca="false">IF(OR(ISNUMBER(AQ79),AQ79="DQ",AQ79="P",AQ79="NS"),
    1,
    0
)</f>
        <v>0</v>
      </c>
      <c r="AU79" s="94" t="n">
        <v>72</v>
      </c>
      <c r="AV79" s="94" t="str">
        <f aca="false">IF(ISBLANK($C79),
    "",
   IF(ISNUMBER(AR79),AR79+ROW($B79)/1000,"")
)</f>
        <v/>
      </c>
      <c r="AW79" s="94" t="str">
        <f aca="false">IF(ISNUMBER(AV79), RANK(AV79,AV$8:AV$507,1), "")</f>
        <v/>
      </c>
      <c r="AX79" s="94" t="str">
        <f aca="false">IF(ISBLANK($C79),
    "",
    $B79
)</f>
        <v/>
      </c>
      <c r="AY79" s="94" t="str">
        <f aca="false">IF(ISBLANK($C79),
    "",
    $C79
)</f>
        <v/>
      </c>
      <c r="AZ79" s="94" t="str">
        <f aca="false">IF(ISBLANK($C79),
    "",
    $D79
)</f>
        <v/>
      </c>
      <c r="BA79" s="94" t="str">
        <f aca="false">AO79</f>
        <v/>
      </c>
      <c r="BB79" s="95" t="str">
        <f aca="false">AN79</f>
        <v/>
      </c>
      <c r="BC79" s="94" t="str">
        <f aca="false">IF(ISBLANK($C79),
    "",
    AQ79
)</f>
        <v/>
      </c>
      <c r="BD79" s="96" t="str">
        <f aca="false">IF(AU79&gt;AT$7,
    "",
    VLOOKUP(AU79,AW$8:BC$507,7,FALSE())
)</f>
        <v/>
      </c>
      <c r="BE79" s="97" t="str">
        <f aca="false">IF(AU79&gt;AT$7,
    "",
    VLOOKUP(AU79,AW$8:BC$507,2,FALSE())
)</f>
        <v/>
      </c>
      <c r="BF79" s="97" t="str">
        <f aca="false">IF(AU79&gt;AT$7,
    "",
    VLOOKUP(AU79,AW$8:BC$507,3,FALSE())
)</f>
        <v/>
      </c>
      <c r="BG79" s="97" t="str">
        <f aca="false">IF(AU79&gt;AT$7,
    "",
    VLOOKUP(AU79,AW$8:BC$507,4,FALSE())
)</f>
        <v/>
      </c>
      <c r="BH79" s="97" t="str">
        <f aca="false">IF(AU79&gt;AT$7,
    "",
    VLOOKUP(AU79,AW$8:BC$507,5,FALSE())
)</f>
        <v/>
      </c>
      <c r="BI79" s="98" t="str">
        <f aca="false">IF(AU79&gt;AT$7,
    "",
    VLOOKUP(AU79,AW$8:BC$507,6,FALSE())
)</f>
        <v/>
      </c>
      <c r="BJ79" s="46"/>
    </row>
    <row r="80" customFormat="false" ht="15.75" hidden="false" customHeight="false" outlineLevel="0" collapsed="false">
      <c r="A80" s="3"/>
      <c r="B80" s="108"/>
      <c r="C80" s="70"/>
      <c r="D80" s="49"/>
      <c r="E80" s="109"/>
      <c r="F80" s="72"/>
      <c r="G80" s="109"/>
      <c r="H80" s="74"/>
      <c r="I80" s="104"/>
      <c r="J80" s="74"/>
      <c r="K80" s="74"/>
      <c r="L80" s="55"/>
      <c r="M80" s="55" t="str">
        <f aca="false">IF(ISBLANK($C80),"",IF(ISBLANK(E80),0,E80))</f>
        <v/>
      </c>
      <c r="N80" s="55" t="str">
        <f aca="false">IF(ISBLANK($C80),"",IF(ISBLANK(F80),0,F80))</f>
        <v/>
      </c>
      <c r="O80" s="55" t="e">
        <f aca="false">IF(AND(NOT(ISBLANK($C80)),NOT($T80),COUNTA($E80:$K80)&gt;0),ISBLANK($F80),FALSE())</f>
        <v>#VALUE!</v>
      </c>
      <c r="P80" s="55" t="str">
        <f aca="false">IF(ISBLANK($C80),"",IF(G80=Constants!$B$9, TRUE(), IF(G80=Constants!$B$10, FALSE(), TRUE())))</f>
        <v/>
      </c>
      <c r="Q80" s="55" t="str">
        <f aca="false">IF(ISBLANK($C80),"",IF(H80=Constants!$B$9, TRUE(), IF(H80=Constants!$B$10, FALSE(), TRUE())))</f>
        <v/>
      </c>
      <c r="R80" s="55" t="str">
        <f aca="false">IF(ISBLANK($C80),"",IF(ISBLANK(I80),Constants!$B$3,I80))</f>
        <v/>
      </c>
      <c r="S80" s="55" t="str">
        <f aca="false">IF(ISBLANK($C80),"",IF(ISBLANK(J80),0,MIN(J80,Constants!$B$6)))</f>
        <v/>
      </c>
      <c r="T80" s="55" t="str">
        <f aca="false">IF(ISBLANK($C80),"",IF(K80=Constants!$B$9, TRUE(), IF(K80=Constants!$B$10, FALSE(),  FALSE())))</f>
        <v/>
      </c>
      <c r="U80" s="55" t="str">
        <f aca="false">IF(ISBLANK($C80),"",AND(R80=Constants!$B$4, S80&lt;Constants!$B$6))</f>
        <v/>
      </c>
      <c r="V80" s="55" t="str">
        <f aca="false">IF(ISBLANK(C80), "", IF(T80, Constants!$B$11, IF(COUNTA(E80:K80)=0, Constants!$B$12, IF(NOT(AND(P80,S80&lt;&gt;0)), Constants!$B$13, IF(O80, Constants!$B$15, Constants!$B$14)))))</f>
        <v/>
      </c>
      <c r="W80" s="55" t="str">
        <f aca="false">IF(OR(ISBLANK($C80), SUMPRODUCT(--(P80:T80&lt;&gt;""))=0), "", IF(V80&lt;&gt;Constants!$B$14, V80, IF(AND(NOT(ISBLANK(J80)),P80,Q80,R80&lt;&gt;Constants!$B$2), Constants!$B$7, IF(AND(P80,OR(NOT(Q80),R80=Constants!$B$2)), Constants!$B$8, "Error"))))</f>
        <v/>
      </c>
      <c r="X80" s="56" t="str">
        <f aca="false">IF(OR(W80=Constants!$B$7,W80=Constants!$B$8), MAX(0, MIN(Constants!$B$6, S80))+IF(AND(R80=Constants!$B$4, NOT(U80)), Constants!$B$5, 0), "")</f>
        <v/>
      </c>
      <c r="Y80" s="55" t="str">
        <f aca="false">IF(ISBLANK($C80),"",IF(AND(ISNUMBER(X80),N80&gt;0),X80/N80, "") )</f>
        <v/>
      </c>
      <c r="Z80" s="55" t="str">
        <f aca="false">IF(AND(NOT(ISBLANK($C80)), W80=Constants!$B$7), Y80, "")</f>
        <v/>
      </c>
      <c r="AA80" s="55" t="str">
        <f aca="false">IF(ISNUMBER(Z80), RANK(Z80,Z$8:Z$507), "")</f>
        <v/>
      </c>
      <c r="AB80" s="55" t="str">
        <f aca="false">IF(AND(NOT(ISBLANK($C80)), W80=Constants!$B$8), Y80, "")</f>
        <v/>
      </c>
      <c r="AC80" s="55" t="str">
        <f aca="false">IF(ISNUMBER(AB80), RANK(AB80,AB$8:AB$507), "")</f>
        <v/>
      </c>
      <c r="AD80" s="55" t="str">
        <f aca="false">IF(ISBLANK($C80),"",IF(V80&lt;&gt;Constants!$B$14, V80, IF(W80=Constants!$B$7, AA80, IF(W80=Constants!$B$8, COUNT($AA$8:$AA$507) + AC80, ""))))</f>
        <v/>
      </c>
      <c r="AE80" s="55" t="str">
        <f aca="false">N80</f>
        <v/>
      </c>
      <c r="AF80" s="55" t="str">
        <f aca="false">IF(ISNUMBER(AE80), RANK(AE80,AE$8:AE$507,1), "")</f>
        <v/>
      </c>
      <c r="AG80" s="57" t="str">
        <f aca="false">IF(ISBLANK(C80), "", ABS(M80-S80))</f>
        <v/>
      </c>
      <c r="AH80" s="55" t="str">
        <f aca="false">IF(ISNUMBER(AG80), RANK(AG80,AG$8:AG$507,1), "")</f>
        <v/>
      </c>
      <c r="AI80" s="55" t="str">
        <f aca="false">IF(ISBLANK(C80),"",IF(V80&lt;&gt;Constants!$B$14, V80, RANK(AD80, AD$8:AD$507, 1)+ SUMPRODUCT(--(AD$8:AD$507=AD80),--(AF80&gt;AF$8:AF$507)) + SUMPRODUCT(--(AD$8:AD$507=AD80),--(AF80=AF$8:AF$507),--(AH80&gt;AH$8:AH$507))))</f>
        <v/>
      </c>
      <c r="AJ80" s="55" t="str">
        <f aca="false">IF(ISBLANK(C80),"",IF(V80&lt;&gt;Constants!$B$14, V80, AD80-AI80))</f>
        <v/>
      </c>
      <c r="AK80" s="59"/>
      <c r="AL80" s="60" t="str">
        <f aca="false">IF(ISBLANK($C80),"",IF($V80&lt;&gt;Constants!$B$14,$V80,X80))</f>
        <v/>
      </c>
      <c r="AM80" s="60" t="str">
        <f aca="false">IF(ISBLANK($C80),"",IF($V80&lt;&gt;Constants!$B$14,$V80,N80))</f>
        <v/>
      </c>
      <c r="AN80" s="62" t="str">
        <f aca="false">IF(ISBLANK(C80),"",IF(V80&lt;&gt;Constants!$B$14, V80, IF(W80=Constants!$B$7,Z80,IF(W80=Constants!$B$8,AB80,""))))</f>
        <v/>
      </c>
      <c r="AO80" s="63" t="str">
        <f aca="false">IF(ISBLANK(C80),"",W80)</f>
        <v/>
      </c>
      <c r="AP80" s="63" t="str">
        <f aca="false">IF(ISBLANK(C80),"",AJ80)</f>
        <v/>
      </c>
      <c r="AQ80" s="63" t="str">
        <f aca="false">IF(ISBLANK(C80),"",AI80)</f>
        <v/>
      </c>
      <c r="AR80" s="64" t="str">
        <f aca="false">IF(ISBLANK(C80),
  "",
IF(AQ80=Constants!$B$11,COUNTA($C$8:$C$507)+2,IF(AQ80=Constants!$B$12,COUNTA($C$8:$C$507)+1,IF(AQ80=Constants!$B$13,COUNTA($C$8:$C$507),AQ80))))</f>
        <v/>
      </c>
      <c r="AS80" s="3"/>
      <c r="AT80" s="65" t="n">
        <f aca="false">IF(OR(ISNUMBER(AQ80),AQ80="DQ",AQ80="P",AQ80="NS"),
    1,
    0
)</f>
        <v>0</v>
      </c>
      <c r="AU80" s="65" t="n">
        <v>73</v>
      </c>
      <c r="AV80" s="65" t="str">
        <f aca="false">IF(ISBLANK($C80),
    "",
   IF(ISNUMBER(AR80),AR80+ROW($B80)/1000,"")
)</f>
        <v/>
      </c>
      <c r="AW80" s="65" t="str">
        <f aca="false">IF(ISNUMBER(AV80), RANK(AV80,AV$8:AV$507,1), "")</f>
        <v/>
      </c>
      <c r="AX80" s="65" t="str">
        <f aca="false">IF(ISBLANK($C80),
    "",
    $B80
)</f>
        <v/>
      </c>
      <c r="AY80" s="65" t="str">
        <f aca="false">IF(ISBLANK($C80),
    "",
    $C80
)</f>
        <v/>
      </c>
      <c r="AZ80" s="65" t="str">
        <f aca="false">IF(ISBLANK($C80),
    "",
    $D80
)</f>
        <v/>
      </c>
      <c r="BA80" s="65" t="str">
        <f aca="false">AO80</f>
        <v/>
      </c>
      <c r="BB80" s="66" t="str">
        <f aca="false">AN80</f>
        <v/>
      </c>
      <c r="BC80" s="65" t="str">
        <f aca="false">IF(ISBLANK($C80),
    "",
    AQ80
)</f>
        <v/>
      </c>
      <c r="BD80" s="67" t="str">
        <f aca="false">IF(AU80&gt;AT$7,
    "",
    VLOOKUP(AU80,AW$8:BC$507,7,FALSE())
)</f>
        <v/>
      </c>
      <c r="BE80" s="68" t="str">
        <f aca="false">IF(AU80&gt;AT$7,
    "",
    VLOOKUP(AU80,AW$8:BC$507,2,FALSE())
)</f>
        <v/>
      </c>
      <c r="BF80" s="68" t="str">
        <f aca="false">IF(AU80&gt;AT$7,
    "",
    VLOOKUP(AU80,AW$8:BC$507,3,FALSE())
)</f>
        <v/>
      </c>
      <c r="BG80" s="68" t="str">
        <f aca="false">IF(AU80&gt;AT$7,
    "",
    VLOOKUP(AU80,AW$8:BC$507,4,FALSE())
)</f>
        <v/>
      </c>
      <c r="BH80" s="68" t="str">
        <f aca="false">IF(AU80&gt;AT$7,
    "",
    VLOOKUP(AU80,AW$8:BC$507,5,FALSE())
)</f>
        <v/>
      </c>
      <c r="BI80" s="69" t="str">
        <f aca="false">IF(AU80&gt;AT$7,
    "",
    VLOOKUP(AU80,AW$8:BC$507,6,FALSE())
)</f>
        <v/>
      </c>
      <c r="BJ80" s="46"/>
    </row>
    <row r="81" customFormat="false" ht="15.75" hidden="false" customHeight="false" outlineLevel="0" collapsed="false">
      <c r="A81" s="3"/>
      <c r="B81" s="108"/>
      <c r="C81" s="70"/>
      <c r="D81" s="49"/>
      <c r="E81" s="109"/>
      <c r="F81" s="72"/>
      <c r="G81" s="109"/>
      <c r="H81" s="74"/>
      <c r="I81" s="104"/>
      <c r="J81" s="74"/>
      <c r="K81" s="74"/>
      <c r="L81" s="55"/>
      <c r="M81" s="55" t="str">
        <f aca="false">IF(ISBLANK($C81),"",IF(ISBLANK(E81),0,E81))</f>
        <v/>
      </c>
      <c r="N81" s="55" t="str">
        <f aca="false">IF(ISBLANK($C81),"",IF(ISBLANK(F81),0,F81))</f>
        <v/>
      </c>
      <c r="O81" s="55" t="e">
        <f aca="false">IF(AND(NOT(ISBLANK($C81)),NOT($T81),COUNTA($E81:$K81)&gt;0),ISBLANK($F81),FALSE())</f>
        <v>#VALUE!</v>
      </c>
      <c r="P81" s="55" t="str">
        <f aca="false">IF(ISBLANK($C81),"",IF(G81=Constants!$B$9, TRUE(), IF(G81=Constants!$B$10, FALSE(), TRUE())))</f>
        <v/>
      </c>
      <c r="Q81" s="55" t="str">
        <f aca="false">IF(ISBLANK($C81),"",IF(H81=Constants!$B$9, TRUE(), IF(H81=Constants!$B$10, FALSE(), TRUE())))</f>
        <v/>
      </c>
      <c r="R81" s="55" t="str">
        <f aca="false">IF(ISBLANK($C81),"",IF(ISBLANK(I81),Constants!$B$3,I81))</f>
        <v/>
      </c>
      <c r="S81" s="55" t="str">
        <f aca="false">IF(ISBLANK($C81),"",IF(ISBLANK(J81),0,MIN(J81,Constants!$B$6)))</f>
        <v/>
      </c>
      <c r="T81" s="55" t="str">
        <f aca="false">IF(ISBLANK($C81),"",IF(K81=Constants!$B$9, TRUE(), IF(K81=Constants!$B$10, FALSE(),  FALSE())))</f>
        <v/>
      </c>
      <c r="U81" s="55" t="str">
        <f aca="false">IF(ISBLANK($C81),"",AND(R81=Constants!$B$4, S81&lt;Constants!$B$6))</f>
        <v/>
      </c>
      <c r="V81" s="55" t="str">
        <f aca="false">IF(ISBLANK(C81), "", IF(T81, Constants!$B$11, IF(COUNTA(E81:K81)=0, Constants!$B$12, IF(NOT(AND(P81,S81&lt;&gt;0)), Constants!$B$13, IF(O81, Constants!$B$15, Constants!$B$14)))))</f>
        <v/>
      </c>
      <c r="W81" s="55" t="str">
        <f aca="false">IF(OR(ISBLANK($C81), SUMPRODUCT(--(P81:T81&lt;&gt;""))=0), "", IF(V81&lt;&gt;Constants!$B$14, V81, IF(AND(NOT(ISBLANK(J81)),P81,Q81,R81&lt;&gt;Constants!$B$2), Constants!$B$7, IF(AND(P81,OR(NOT(Q81),R81=Constants!$B$2)), Constants!$B$8, "Error"))))</f>
        <v/>
      </c>
      <c r="X81" s="56" t="str">
        <f aca="false">IF(OR(W81=Constants!$B$7,W81=Constants!$B$8), MAX(0, MIN(Constants!$B$6, S81))+IF(AND(R81=Constants!$B$4, NOT(U81)), Constants!$B$5, 0), "")</f>
        <v/>
      </c>
      <c r="Y81" s="55" t="str">
        <f aca="false">IF(ISBLANK($C81),"",IF(AND(ISNUMBER(X81),N81&gt;0),X81/N81, "") )</f>
        <v/>
      </c>
      <c r="Z81" s="55" t="str">
        <f aca="false">IF(AND(NOT(ISBLANK($C81)), W81=Constants!$B$7), Y81, "")</f>
        <v/>
      </c>
      <c r="AA81" s="55" t="str">
        <f aca="false">IF(ISNUMBER(Z81), RANK(Z81,Z$8:Z$507), "")</f>
        <v/>
      </c>
      <c r="AB81" s="55" t="str">
        <f aca="false">IF(AND(NOT(ISBLANK($C81)), W81=Constants!$B$8), Y81, "")</f>
        <v/>
      </c>
      <c r="AC81" s="55" t="str">
        <f aca="false">IF(ISNUMBER(AB81), RANK(AB81,AB$8:AB$507), "")</f>
        <v/>
      </c>
      <c r="AD81" s="55" t="str">
        <f aca="false">IF(ISBLANK($C81),"",IF(V81&lt;&gt;Constants!$B$14, V81, IF(W81=Constants!$B$7, AA81, IF(W81=Constants!$B$8, COUNT($AA$8:$AA$507) + AC81, ""))))</f>
        <v/>
      </c>
      <c r="AE81" s="55" t="str">
        <f aca="false">N81</f>
        <v/>
      </c>
      <c r="AF81" s="55" t="str">
        <f aca="false">IF(ISNUMBER(AE81), RANK(AE81,AE$8:AE$507,1), "")</f>
        <v/>
      </c>
      <c r="AG81" s="57" t="str">
        <f aca="false">IF(ISBLANK(C81), "", ABS(M81-S81))</f>
        <v/>
      </c>
      <c r="AH81" s="55" t="str">
        <f aca="false">IF(ISNUMBER(AG81), RANK(AG81,AG$8:AG$507,1), "")</f>
        <v/>
      </c>
      <c r="AI81" s="55" t="str">
        <f aca="false">IF(ISBLANK(C81),"",IF(V81&lt;&gt;Constants!$B$14, V81, RANK(AD81, AD$8:AD$507, 1)+ SUMPRODUCT(--(AD$8:AD$507=AD81),--(AF81&gt;AF$8:AF$507)) + SUMPRODUCT(--(AD$8:AD$507=AD81),--(AF81=AF$8:AF$507),--(AH81&gt;AH$8:AH$507))))</f>
        <v/>
      </c>
      <c r="AJ81" s="55" t="str">
        <f aca="false">IF(ISBLANK(C81),"",IF(V81&lt;&gt;Constants!$B$14, V81, AD81-AI81))</f>
        <v/>
      </c>
      <c r="AK81" s="59"/>
      <c r="AL81" s="60" t="str">
        <f aca="false">IF(ISBLANK($C81),"",IF($V81&lt;&gt;Constants!$B$14,$V81,X81))</f>
        <v/>
      </c>
      <c r="AM81" s="60" t="str">
        <f aca="false">IF(ISBLANK($C81),"",IF($V81&lt;&gt;Constants!$B$14,$V81,N81))</f>
        <v/>
      </c>
      <c r="AN81" s="62" t="str">
        <f aca="false">IF(ISBLANK(C81),"",IF(V81&lt;&gt;Constants!$B$14, V81, IF(W81=Constants!$B$7,Z81,IF(W81=Constants!$B$8,AB81,""))))</f>
        <v/>
      </c>
      <c r="AO81" s="63" t="str">
        <f aca="false">IF(ISBLANK(C81),"",W81)</f>
        <v/>
      </c>
      <c r="AP81" s="63" t="str">
        <f aca="false">IF(ISBLANK(C81),"",AJ81)</f>
        <v/>
      </c>
      <c r="AQ81" s="63" t="str">
        <f aca="false">IF(ISBLANK(C81),"",AI81)</f>
        <v/>
      </c>
      <c r="AR81" s="64" t="str">
        <f aca="false">IF(ISBLANK(C81),
  "",
IF(AQ81=Constants!$B$11,COUNTA($C$8:$C$507)+2,IF(AQ81=Constants!$B$12,COUNTA($C$8:$C$507)+1,IF(AQ81=Constants!$B$13,COUNTA($C$8:$C$507),AQ81))))</f>
        <v/>
      </c>
      <c r="AS81" s="3"/>
      <c r="AT81" s="65" t="n">
        <f aca="false">IF(OR(ISNUMBER(AQ81),AQ81="DQ",AQ81="P",AQ81="NS"),
    1,
    0
)</f>
        <v>0</v>
      </c>
      <c r="AU81" s="65" t="n">
        <v>74</v>
      </c>
      <c r="AV81" s="65" t="str">
        <f aca="false">IF(ISBLANK($C81),
    "",
   IF(ISNUMBER(AR81),AR81+ROW($B81)/1000,"")
)</f>
        <v/>
      </c>
      <c r="AW81" s="65" t="str">
        <f aca="false">IF(ISNUMBER(AV81), RANK(AV81,AV$8:AV$507,1), "")</f>
        <v/>
      </c>
      <c r="AX81" s="65" t="str">
        <f aca="false">IF(ISBLANK($C81),
    "",
    $B81
)</f>
        <v/>
      </c>
      <c r="AY81" s="65" t="str">
        <f aca="false">IF(ISBLANK($C81),
    "",
    $C81
)</f>
        <v/>
      </c>
      <c r="AZ81" s="65" t="str">
        <f aca="false">IF(ISBLANK($C81),
    "",
    $D81
)</f>
        <v/>
      </c>
      <c r="BA81" s="65" t="str">
        <f aca="false">AO81</f>
        <v/>
      </c>
      <c r="BB81" s="66" t="str">
        <f aca="false">AN81</f>
        <v/>
      </c>
      <c r="BC81" s="65" t="str">
        <f aca="false">IF(ISBLANK($C81),
    "",
    AQ81
)</f>
        <v/>
      </c>
      <c r="BD81" s="67" t="str">
        <f aca="false">IF(AU81&gt;AT$7,
    "",
    VLOOKUP(AU81,AW$8:BC$507,7,FALSE())
)</f>
        <v/>
      </c>
      <c r="BE81" s="68" t="str">
        <f aca="false">IF(AU81&gt;AT$7,
    "",
    VLOOKUP(AU81,AW$8:BC$507,2,FALSE())
)</f>
        <v/>
      </c>
      <c r="BF81" s="68" t="str">
        <f aca="false">IF(AU81&gt;AT$7,
    "",
    VLOOKUP(AU81,AW$8:BC$507,3,FALSE())
)</f>
        <v/>
      </c>
      <c r="BG81" s="68" t="str">
        <f aca="false">IF(AU81&gt;AT$7,
    "",
    VLOOKUP(AU81,AW$8:BC$507,4,FALSE())
)</f>
        <v/>
      </c>
      <c r="BH81" s="68" t="str">
        <f aca="false">IF(AU81&gt;AT$7,
    "",
    VLOOKUP(AU81,AW$8:BC$507,5,FALSE())
)</f>
        <v/>
      </c>
      <c r="BI81" s="69" t="str">
        <f aca="false">IF(AU81&gt;AT$7,
    "",
    VLOOKUP(AU81,AW$8:BC$507,6,FALSE())
)</f>
        <v/>
      </c>
      <c r="BJ81" s="46"/>
    </row>
    <row r="82" customFormat="false" ht="15.75" hidden="false" customHeight="false" outlineLevel="0" collapsed="false">
      <c r="A82" s="3"/>
      <c r="B82" s="108"/>
      <c r="C82" s="70"/>
      <c r="D82" s="49"/>
      <c r="E82" s="109"/>
      <c r="F82" s="72"/>
      <c r="G82" s="109"/>
      <c r="H82" s="74"/>
      <c r="I82" s="104"/>
      <c r="J82" s="74"/>
      <c r="K82" s="74"/>
      <c r="L82" s="55"/>
      <c r="M82" s="55" t="str">
        <f aca="false">IF(ISBLANK($C82),"",IF(ISBLANK(E82),0,E82))</f>
        <v/>
      </c>
      <c r="N82" s="55" t="str">
        <f aca="false">IF(ISBLANK($C82),"",IF(ISBLANK(F82),0,F82))</f>
        <v/>
      </c>
      <c r="O82" s="55" t="e">
        <f aca="false">IF(AND(NOT(ISBLANK($C82)),NOT($T82),COUNTA($E82:$K82)&gt;0),ISBLANK($F82),FALSE())</f>
        <v>#VALUE!</v>
      </c>
      <c r="P82" s="55" t="str">
        <f aca="false">IF(ISBLANK($C82),"",IF(G82=Constants!$B$9, TRUE(), IF(G82=Constants!$B$10, FALSE(), TRUE())))</f>
        <v/>
      </c>
      <c r="Q82" s="55" t="str">
        <f aca="false">IF(ISBLANK($C82),"",IF(H82=Constants!$B$9, TRUE(), IF(H82=Constants!$B$10, FALSE(), TRUE())))</f>
        <v/>
      </c>
      <c r="R82" s="55" t="str">
        <f aca="false">IF(ISBLANK($C82),"",IF(ISBLANK(I82),Constants!$B$3,I82))</f>
        <v/>
      </c>
      <c r="S82" s="55" t="str">
        <f aca="false">IF(ISBLANK($C82),"",IF(ISBLANK(J82),0,MIN(J82,Constants!$B$6)))</f>
        <v/>
      </c>
      <c r="T82" s="55" t="str">
        <f aca="false">IF(ISBLANK($C82),"",IF(K82=Constants!$B$9, TRUE(), IF(K82=Constants!$B$10, FALSE(),  FALSE())))</f>
        <v/>
      </c>
      <c r="U82" s="55" t="str">
        <f aca="false">IF(ISBLANK($C82),"",AND(R82=Constants!$B$4, S82&lt;Constants!$B$6))</f>
        <v/>
      </c>
      <c r="V82" s="55" t="str">
        <f aca="false">IF(ISBLANK(C82), "", IF(T82, Constants!$B$11, IF(COUNTA(E82:K82)=0, Constants!$B$12, IF(NOT(AND(P82,S82&lt;&gt;0)), Constants!$B$13, IF(O82, Constants!$B$15, Constants!$B$14)))))</f>
        <v/>
      </c>
      <c r="W82" s="55" t="str">
        <f aca="false">IF(OR(ISBLANK($C82), SUMPRODUCT(--(P82:T82&lt;&gt;""))=0), "", IF(V82&lt;&gt;Constants!$B$14, V82, IF(AND(NOT(ISBLANK(J82)),P82,Q82,R82&lt;&gt;Constants!$B$2), Constants!$B$7, IF(AND(P82,OR(NOT(Q82),R82=Constants!$B$2)), Constants!$B$8, "Error"))))</f>
        <v/>
      </c>
      <c r="X82" s="56" t="str">
        <f aca="false">IF(OR(W82=Constants!$B$7,W82=Constants!$B$8), MAX(0, MIN(Constants!$B$6, S82))+IF(AND(R82=Constants!$B$4, NOT(U82)), Constants!$B$5, 0), "")</f>
        <v/>
      </c>
      <c r="Y82" s="55" t="str">
        <f aca="false">IF(ISBLANK($C82),"",IF(AND(ISNUMBER(X82),N82&gt;0),X82/N82, "") )</f>
        <v/>
      </c>
      <c r="Z82" s="55" t="str">
        <f aca="false">IF(AND(NOT(ISBLANK($C82)), W82=Constants!$B$7), Y82, "")</f>
        <v/>
      </c>
      <c r="AA82" s="55" t="str">
        <f aca="false">IF(ISNUMBER(Z82), RANK(Z82,Z$8:Z$507), "")</f>
        <v/>
      </c>
      <c r="AB82" s="55" t="str">
        <f aca="false">IF(AND(NOT(ISBLANK($C82)), W82=Constants!$B$8), Y82, "")</f>
        <v/>
      </c>
      <c r="AC82" s="55" t="str">
        <f aca="false">IF(ISNUMBER(AB82), RANK(AB82,AB$8:AB$507), "")</f>
        <v/>
      </c>
      <c r="AD82" s="55" t="str">
        <f aca="false">IF(ISBLANK($C82),"",IF(V82&lt;&gt;Constants!$B$14, V82, IF(W82=Constants!$B$7, AA82, IF(W82=Constants!$B$8, COUNT($AA$8:$AA$507) + AC82, ""))))</f>
        <v/>
      </c>
      <c r="AE82" s="55" t="str">
        <f aca="false">N82</f>
        <v/>
      </c>
      <c r="AF82" s="55" t="str">
        <f aca="false">IF(ISNUMBER(AE82), RANK(AE82,AE$8:AE$507,1), "")</f>
        <v/>
      </c>
      <c r="AG82" s="57" t="str">
        <f aca="false">IF(ISBLANK(C82), "", ABS(M82-S82))</f>
        <v/>
      </c>
      <c r="AH82" s="55" t="str">
        <f aca="false">IF(ISNUMBER(AG82), RANK(AG82,AG$8:AG$507,1), "")</f>
        <v/>
      </c>
      <c r="AI82" s="55" t="str">
        <f aca="false">IF(ISBLANK(C82),"",IF(V82&lt;&gt;Constants!$B$14, V82, RANK(AD82, AD$8:AD$507, 1)+ SUMPRODUCT(--(AD$8:AD$507=AD82),--(AF82&gt;AF$8:AF$507)) + SUMPRODUCT(--(AD$8:AD$507=AD82),--(AF82=AF$8:AF$507),--(AH82&gt;AH$8:AH$507))))</f>
        <v/>
      </c>
      <c r="AJ82" s="55" t="str">
        <f aca="false">IF(ISBLANK(C82),"",IF(V82&lt;&gt;Constants!$B$14, V82, AD82-AI82))</f>
        <v/>
      </c>
      <c r="AK82" s="59"/>
      <c r="AL82" s="60" t="str">
        <f aca="false">IF(ISBLANK($C82),"",IF($V82&lt;&gt;Constants!$B$14,$V82,X82))</f>
        <v/>
      </c>
      <c r="AM82" s="60" t="str">
        <f aca="false">IF(ISBLANK($C82),"",IF($V82&lt;&gt;Constants!$B$14,$V82,N82))</f>
        <v/>
      </c>
      <c r="AN82" s="62" t="str">
        <f aca="false">IF(ISBLANK(C82),"",IF(V82&lt;&gt;Constants!$B$14, V82, IF(W82=Constants!$B$7,Z82,IF(W82=Constants!$B$8,AB82,""))))</f>
        <v/>
      </c>
      <c r="AO82" s="63" t="str">
        <f aca="false">IF(ISBLANK(C82),"",W82)</f>
        <v/>
      </c>
      <c r="AP82" s="63" t="str">
        <f aca="false">IF(ISBLANK(C82),"",AJ82)</f>
        <v/>
      </c>
      <c r="AQ82" s="63" t="str">
        <f aca="false">IF(ISBLANK(C82),"",AI82)</f>
        <v/>
      </c>
      <c r="AR82" s="64" t="str">
        <f aca="false">IF(ISBLANK(C82),
  "",
IF(AQ82=Constants!$B$11,COUNTA($C$8:$C$507)+2,IF(AQ82=Constants!$B$12,COUNTA($C$8:$C$507)+1,IF(AQ82=Constants!$B$13,COUNTA($C$8:$C$507),AQ82))))</f>
        <v/>
      </c>
      <c r="AS82" s="3"/>
      <c r="AT82" s="65" t="n">
        <f aca="false">IF(OR(ISNUMBER(AQ82),AQ82="DQ",AQ82="P",AQ82="NS"),
    1,
    0
)</f>
        <v>0</v>
      </c>
      <c r="AU82" s="65" t="n">
        <v>75</v>
      </c>
      <c r="AV82" s="65" t="str">
        <f aca="false">IF(ISBLANK($C82),
    "",
   IF(ISNUMBER(AR82),AR82+ROW($B82)/1000,"")
)</f>
        <v/>
      </c>
      <c r="AW82" s="65" t="str">
        <f aca="false">IF(ISNUMBER(AV82), RANK(AV82,AV$8:AV$507,1), "")</f>
        <v/>
      </c>
      <c r="AX82" s="65" t="str">
        <f aca="false">IF(ISBLANK($C82),
    "",
    $B82
)</f>
        <v/>
      </c>
      <c r="AY82" s="65" t="str">
        <f aca="false">IF(ISBLANK($C82),
    "",
    $C82
)</f>
        <v/>
      </c>
      <c r="AZ82" s="65" t="str">
        <f aca="false">IF(ISBLANK($C82),
    "",
    $D82
)</f>
        <v/>
      </c>
      <c r="BA82" s="65" t="str">
        <f aca="false">AO82</f>
        <v/>
      </c>
      <c r="BB82" s="66" t="str">
        <f aca="false">AN82</f>
        <v/>
      </c>
      <c r="BC82" s="65" t="str">
        <f aca="false">IF(ISBLANK($C82),
    "",
    AQ82
)</f>
        <v/>
      </c>
      <c r="BD82" s="67" t="str">
        <f aca="false">IF(AU82&gt;AT$7,
    "",
    VLOOKUP(AU82,AW$8:BC$507,7,FALSE())
)</f>
        <v/>
      </c>
      <c r="BE82" s="68" t="str">
        <f aca="false">IF(AU82&gt;AT$7,
    "",
    VLOOKUP(AU82,AW$8:BC$507,2,FALSE())
)</f>
        <v/>
      </c>
      <c r="BF82" s="68" t="str">
        <f aca="false">IF(AU82&gt;AT$7,
    "",
    VLOOKUP(AU82,AW$8:BC$507,3,FALSE())
)</f>
        <v/>
      </c>
      <c r="BG82" s="68" t="str">
        <f aca="false">IF(AU82&gt;AT$7,
    "",
    VLOOKUP(AU82,AW$8:BC$507,4,FALSE())
)</f>
        <v/>
      </c>
      <c r="BH82" s="68" t="str">
        <f aca="false">IF(AU82&gt;AT$7,
    "",
    VLOOKUP(AU82,AW$8:BC$507,5,FALSE())
)</f>
        <v/>
      </c>
      <c r="BI82" s="69" t="str">
        <f aca="false">IF(AU82&gt;AT$7,
    "",
    VLOOKUP(AU82,AW$8:BC$507,6,FALSE())
)</f>
        <v/>
      </c>
      <c r="BJ82" s="46"/>
    </row>
    <row r="83" customFormat="false" ht="15.75" hidden="false" customHeight="false" outlineLevel="0" collapsed="false">
      <c r="A83" s="3"/>
      <c r="B83" s="105"/>
      <c r="C83" s="106"/>
      <c r="D83" s="99"/>
      <c r="E83" s="110"/>
      <c r="F83" s="107"/>
      <c r="G83" s="110"/>
      <c r="H83" s="103"/>
      <c r="I83" s="102"/>
      <c r="J83" s="103"/>
      <c r="K83" s="103"/>
      <c r="L83" s="85"/>
      <c r="M83" s="85" t="str">
        <f aca="false">IF(ISBLANK($C83),"",IF(ISBLANK(E83),0,E83))</f>
        <v/>
      </c>
      <c r="N83" s="85" t="str">
        <f aca="false">IF(ISBLANK($C83),"",IF(ISBLANK(F83),0,F83))</f>
        <v/>
      </c>
      <c r="O83" s="86" t="e">
        <f aca="false">IF(AND(NOT(ISBLANK($C83)),NOT($T83),COUNTA($E83:$K83)&gt;0),ISBLANK($F83),FALSE())</f>
        <v>#VALUE!</v>
      </c>
      <c r="P83" s="85" t="str">
        <f aca="false">IF(ISBLANK($C83),"",IF(G83=Constants!$B$9, TRUE(), IF(G83=Constants!$B$10, FALSE(), TRUE())))</f>
        <v/>
      </c>
      <c r="Q83" s="85" t="str">
        <f aca="false">IF(ISBLANK($C83),"",IF(H83=Constants!$B$9, TRUE(), IF(H83=Constants!$B$10, FALSE(), TRUE())))</f>
        <v/>
      </c>
      <c r="R83" s="85" t="str">
        <f aca="false">IF(ISBLANK($C83),"",IF(ISBLANK(I83),Constants!$B$3,I83))</f>
        <v/>
      </c>
      <c r="S83" s="85" t="str">
        <f aca="false">IF(ISBLANK($C83),"",IF(ISBLANK(J83),0,MIN(J83,Constants!$B$6)))</f>
        <v/>
      </c>
      <c r="T83" s="85" t="str">
        <f aca="false">IF(ISBLANK($C83),"",IF(K83=Constants!$B$9, TRUE(), IF(K83=Constants!$B$10, FALSE(),  FALSE())))</f>
        <v/>
      </c>
      <c r="U83" s="85" t="str">
        <f aca="false">IF(ISBLANK($C83),"",AND(R83=Constants!$B$4, S83&lt;Constants!$B$6))</f>
        <v/>
      </c>
      <c r="V83" s="85" t="str">
        <f aca="false">IF(ISBLANK(C83), "", IF(T83, Constants!$B$11, IF(COUNTA(E83:K83)=0, Constants!$B$12, IF(NOT(AND(P83,S83&lt;&gt;0)), Constants!$B$13, IF(O83, Constants!$B$15, Constants!$B$14)))))</f>
        <v/>
      </c>
      <c r="W83" s="85" t="str">
        <f aca="false">IF(OR(ISBLANK($C83), SUMPRODUCT(--(P83:T83&lt;&gt;""))=0), "", IF(V83&lt;&gt;Constants!$B$14, V83, IF(AND(NOT(ISBLANK(J83)),P83,Q83,R83&lt;&gt;Constants!$B$2), Constants!$B$7, IF(AND(P83,OR(NOT(Q83),R83=Constants!$B$2)), Constants!$B$8, "Error"))))</f>
        <v/>
      </c>
      <c r="X83" s="87" t="str">
        <f aca="false">IF(OR(W83=Constants!$B$7,W83=Constants!$B$8), MAX(0, MIN(Constants!$B$6, S83))+IF(AND(R83=Constants!$B$4, NOT(U83)), Constants!$B$5, 0), "")</f>
        <v/>
      </c>
      <c r="Y83" s="85" t="str">
        <f aca="false">IF(ISBLANK($C83),"",IF(AND(ISNUMBER(X83),N83&gt;0),X83/N83, "") )</f>
        <v/>
      </c>
      <c r="Z83" s="85" t="str">
        <f aca="false">IF(AND(NOT(ISBLANK($C83)), W83=Constants!$B$7), Y83, "")</f>
        <v/>
      </c>
      <c r="AA83" s="85" t="str">
        <f aca="false">IF(ISNUMBER(Z83), RANK(Z83,Z$8:Z$507), "")</f>
        <v/>
      </c>
      <c r="AB83" s="85" t="str">
        <f aca="false">IF(AND(NOT(ISBLANK($C83)), W83=Constants!$B$8), Y83, "")</f>
        <v/>
      </c>
      <c r="AC83" s="85" t="str">
        <f aca="false">IF(ISNUMBER(AB83), RANK(AB83,AB$8:AB$507), "")</f>
        <v/>
      </c>
      <c r="AD83" s="85" t="str">
        <f aca="false">IF(ISBLANK($C83),"",IF(V83&lt;&gt;Constants!$B$14, V83, IF(W83=Constants!$B$7, AA83, IF(W83=Constants!$B$8, COUNT($AA$8:$AA$507) + AC83, ""))))</f>
        <v/>
      </c>
      <c r="AE83" s="85" t="str">
        <f aca="false">N83</f>
        <v/>
      </c>
      <c r="AF83" s="85" t="str">
        <f aca="false">IF(ISNUMBER(AE83), RANK(AE83,AE$8:AE$507,1), "")</f>
        <v/>
      </c>
      <c r="AG83" s="88" t="str">
        <f aca="false">IF(ISBLANK(C83), "", ABS(M83-S83))</f>
        <v/>
      </c>
      <c r="AH83" s="85" t="str">
        <f aca="false">IF(ISNUMBER(AG83), RANK(AG83,AG$8:AG$507,1), "")</f>
        <v/>
      </c>
      <c r="AI83" s="85" t="str">
        <f aca="false">IF(ISBLANK(C83),"",IF(V83&lt;&gt;Constants!$B$14, V83, RANK(AD83, AD$8:AD$507, 1)+ SUMPRODUCT(--(AD$8:AD$507=AD83),--(AF83&gt;AF$8:AF$507)) + SUMPRODUCT(--(AD$8:AD$507=AD83),--(AF83=AF$8:AF$507),--(AH83&gt;AH$8:AH$507))))</f>
        <v/>
      </c>
      <c r="AJ83" s="85" t="str">
        <f aca="false">IF(ISBLANK(C83),"",IF(V83&lt;&gt;Constants!$B$14, V83, AD83-AI83))</f>
        <v/>
      </c>
      <c r="AK83" s="89"/>
      <c r="AL83" s="90" t="str">
        <f aca="false">IF(ISBLANK($C83),"",IF($V83&lt;&gt;Constants!$B$14,$V83,X83))</f>
        <v/>
      </c>
      <c r="AM83" s="90" t="str">
        <f aca="false">IF(ISBLANK($C83),"",IF($V83&lt;&gt;Constants!$B$14,$V83,N83))</f>
        <v/>
      </c>
      <c r="AN83" s="91" t="str">
        <f aca="false">IF(ISBLANK(C83),"",IF(V83&lt;&gt;Constants!$B$14, V83, IF(W83=Constants!$B$7,Z83,IF(W83=Constants!$B$8,AB83,""))))</f>
        <v/>
      </c>
      <c r="AO83" s="92" t="str">
        <f aca="false">IF(ISBLANK(C83),"",W83)</f>
        <v/>
      </c>
      <c r="AP83" s="92" t="str">
        <f aca="false">IF(ISBLANK(C83),"",AJ83)</f>
        <v/>
      </c>
      <c r="AQ83" s="92" t="str">
        <f aca="false">IF(ISBLANK(C83),"",AI83)</f>
        <v/>
      </c>
      <c r="AR83" s="93" t="str">
        <f aca="false">IF(ISBLANK(C83),
  "",
IF(AQ83=Constants!$B$11,COUNTA($C$8:$C$507)+2,IF(AQ83=Constants!$B$12,COUNTA($C$8:$C$507)+1,IF(AQ83=Constants!$B$13,COUNTA($C$8:$C$507),AQ83))))</f>
        <v/>
      </c>
      <c r="AS83" s="3"/>
      <c r="AT83" s="94" t="n">
        <f aca="false">IF(OR(ISNUMBER(AQ83),AQ83="DQ",AQ83="P",AQ83="NS"),
    1,
    0
)</f>
        <v>0</v>
      </c>
      <c r="AU83" s="94" t="n">
        <v>76</v>
      </c>
      <c r="AV83" s="94" t="str">
        <f aca="false">IF(ISBLANK($C83),
    "",
   IF(ISNUMBER(AR83),AR83+ROW($B83)/1000,"")
)</f>
        <v/>
      </c>
      <c r="AW83" s="94" t="str">
        <f aca="false">IF(ISNUMBER(AV83), RANK(AV83,AV$8:AV$507,1), "")</f>
        <v/>
      </c>
      <c r="AX83" s="94" t="str">
        <f aca="false">IF(ISBLANK($C83),
    "",
    $B83
)</f>
        <v/>
      </c>
      <c r="AY83" s="94" t="str">
        <f aca="false">IF(ISBLANK($C83),
    "",
    $C83
)</f>
        <v/>
      </c>
      <c r="AZ83" s="94" t="str">
        <f aca="false">IF(ISBLANK($C83),
    "",
    $D83
)</f>
        <v/>
      </c>
      <c r="BA83" s="94" t="str">
        <f aca="false">AO83</f>
        <v/>
      </c>
      <c r="BB83" s="95" t="str">
        <f aca="false">AN83</f>
        <v/>
      </c>
      <c r="BC83" s="94" t="str">
        <f aca="false">IF(ISBLANK($C83),
    "",
    AQ83
)</f>
        <v/>
      </c>
      <c r="BD83" s="96" t="str">
        <f aca="false">IF(AU83&gt;AT$7,
    "",
    VLOOKUP(AU83,AW$8:BC$507,7,FALSE())
)</f>
        <v/>
      </c>
      <c r="BE83" s="97" t="str">
        <f aca="false">IF(AU83&gt;AT$7,
    "",
    VLOOKUP(AU83,AW$8:BC$507,2,FALSE())
)</f>
        <v/>
      </c>
      <c r="BF83" s="97" t="str">
        <f aca="false">IF(AU83&gt;AT$7,
    "",
    VLOOKUP(AU83,AW$8:BC$507,3,FALSE())
)</f>
        <v/>
      </c>
      <c r="BG83" s="97" t="str">
        <f aca="false">IF(AU83&gt;AT$7,
    "",
    VLOOKUP(AU83,AW$8:BC$507,4,FALSE())
)</f>
        <v/>
      </c>
      <c r="BH83" s="97" t="str">
        <f aca="false">IF(AU83&gt;AT$7,
    "",
    VLOOKUP(AU83,AW$8:BC$507,5,FALSE())
)</f>
        <v/>
      </c>
      <c r="BI83" s="98" t="str">
        <f aca="false">IF(AU83&gt;AT$7,
    "",
    VLOOKUP(AU83,AW$8:BC$507,6,FALSE())
)</f>
        <v/>
      </c>
      <c r="BJ83" s="46"/>
    </row>
    <row r="84" customFormat="false" ht="15.75" hidden="false" customHeight="false" outlineLevel="0" collapsed="false">
      <c r="A84" s="3"/>
      <c r="B84" s="105"/>
      <c r="C84" s="106"/>
      <c r="D84" s="99"/>
      <c r="E84" s="110"/>
      <c r="F84" s="107"/>
      <c r="G84" s="110"/>
      <c r="H84" s="103"/>
      <c r="I84" s="102"/>
      <c r="J84" s="103"/>
      <c r="K84" s="103"/>
      <c r="L84" s="85"/>
      <c r="M84" s="85" t="str">
        <f aca="false">IF(ISBLANK($C84),"",IF(ISBLANK(E84),0,E84))</f>
        <v/>
      </c>
      <c r="N84" s="85" t="str">
        <f aca="false">IF(ISBLANK($C84),"",IF(ISBLANK(F84),0,F84))</f>
        <v/>
      </c>
      <c r="O84" s="86" t="e">
        <f aca="false">IF(AND(NOT(ISBLANK($C84)),NOT($T84),COUNTA($E84:$K84)&gt;0),ISBLANK($F84),FALSE())</f>
        <v>#VALUE!</v>
      </c>
      <c r="P84" s="85" t="str">
        <f aca="false">IF(ISBLANK($C84),"",IF(G84=Constants!$B$9, TRUE(), IF(G84=Constants!$B$10, FALSE(), TRUE())))</f>
        <v/>
      </c>
      <c r="Q84" s="85" t="str">
        <f aca="false">IF(ISBLANK($C84),"",IF(H84=Constants!$B$9, TRUE(), IF(H84=Constants!$B$10, FALSE(), TRUE())))</f>
        <v/>
      </c>
      <c r="R84" s="85" t="str">
        <f aca="false">IF(ISBLANK($C84),"",IF(ISBLANK(I84),Constants!$B$3,I84))</f>
        <v/>
      </c>
      <c r="S84" s="85" t="str">
        <f aca="false">IF(ISBLANK($C84),"",IF(ISBLANK(J84),0,MIN(J84,Constants!$B$6)))</f>
        <v/>
      </c>
      <c r="T84" s="85" t="str">
        <f aca="false">IF(ISBLANK($C84),"",IF(K84=Constants!$B$9, TRUE(), IF(K84=Constants!$B$10, FALSE(),  FALSE())))</f>
        <v/>
      </c>
      <c r="U84" s="85" t="str">
        <f aca="false">IF(ISBLANK($C84),"",AND(R84=Constants!$B$4, S84&lt;Constants!$B$6))</f>
        <v/>
      </c>
      <c r="V84" s="85" t="str">
        <f aca="false">IF(ISBLANK(C84), "", IF(T84, Constants!$B$11, IF(COUNTA(E84:K84)=0, Constants!$B$12, IF(NOT(AND(P84,S84&lt;&gt;0)), Constants!$B$13, IF(O84, Constants!$B$15, Constants!$B$14)))))</f>
        <v/>
      </c>
      <c r="W84" s="85" t="str">
        <f aca="false">IF(OR(ISBLANK($C84), SUMPRODUCT(--(P84:T84&lt;&gt;""))=0), "", IF(V84&lt;&gt;Constants!$B$14, V84, IF(AND(NOT(ISBLANK(J84)),P84,Q84,R84&lt;&gt;Constants!$B$2), Constants!$B$7, IF(AND(P84,OR(NOT(Q84),R84=Constants!$B$2)), Constants!$B$8, "Error"))))</f>
        <v/>
      </c>
      <c r="X84" s="87" t="str">
        <f aca="false">IF(OR(W84=Constants!$B$7,W84=Constants!$B$8), MAX(0, MIN(Constants!$B$6, S84))+IF(AND(R84=Constants!$B$4, NOT(U84)), Constants!$B$5, 0), "")</f>
        <v/>
      </c>
      <c r="Y84" s="85" t="str">
        <f aca="false">IF(ISBLANK($C84),"",IF(AND(ISNUMBER(X84),N84&gt;0),X84/N84, "") )</f>
        <v/>
      </c>
      <c r="Z84" s="85" t="str">
        <f aca="false">IF(AND(NOT(ISBLANK($C84)), W84=Constants!$B$7), Y84, "")</f>
        <v/>
      </c>
      <c r="AA84" s="85" t="str">
        <f aca="false">IF(ISNUMBER(Z84), RANK(Z84,Z$8:Z$507), "")</f>
        <v/>
      </c>
      <c r="AB84" s="85" t="str">
        <f aca="false">IF(AND(NOT(ISBLANK($C84)), W84=Constants!$B$8), Y84, "")</f>
        <v/>
      </c>
      <c r="AC84" s="85" t="str">
        <f aca="false">IF(ISNUMBER(AB84), RANK(AB84,AB$8:AB$507), "")</f>
        <v/>
      </c>
      <c r="AD84" s="85" t="str">
        <f aca="false">IF(ISBLANK($C84),"",IF(V84&lt;&gt;Constants!$B$14, V84, IF(W84=Constants!$B$7, AA84, IF(W84=Constants!$B$8, COUNT($AA$8:$AA$507) + AC84, ""))))</f>
        <v/>
      </c>
      <c r="AE84" s="85" t="str">
        <f aca="false">N84</f>
        <v/>
      </c>
      <c r="AF84" s="85" t="str">
        <f aca="false">IF(ISNUMBER(AE84), RANK(AE84,AE$8:AE$507,1), "")</f>
        <v/>
      </c>
      <c r="AG84" s="88" t="str">
        <f aca="false">IF(ISBLANK(C84), "", ABS(M84-S84))</f>
        <v/>
      </c>
      <c r="AH84" s="85" t="str">
        <f aca="false">IF(ISNUMBER(AG84), RANK(AG84,AG$8:AG$507,1), "")</f>
        <v/>
      </c>
      <c r="AI84" s="85" t="str">
        <f aca="false">IF(ISBLANK(C84),"",IF(V84&lt;&gt;Constants!$B$14, V84, RANK(AD84, AD$8:AD$507, 1)+ SUMPRODUCT(--(AD$8:AD$507=AD84),--(AF84&gt;AF$8:AF$507)) + SUMPRODUCT(--(AD$8:AD$507=AD84),--(AF84=AF$8:AF$507),--(AH84&gt;AH$8:AH$507))))</f>
        <v/>
      </c>
      <c r="AJ84" s="85" t="str">
        <f aca="false">IF(ISBLANK(C84),"",IF(V84&lt;&gt;Constants!$B$14, V84, AD84-AI84))</f>
        <v/>
      </c>
      <c r="AK84" s="89"/>
      <c r="AL84" s="90" t="str">
        <f aca="false">IF(ISBLANK($C84),"",IF($V84&lt;&gt;Constants!$B$14,$V84,X84))</f>
        <v/>
      </c>
      <c r="AM84" s="90" t="str">
        <f aca="false">IF(ISBLANK($C84),"",IF($V84&lt;&gt;Constants!$B$14,$V84,N84))</f>
        <v/>
      </c>
      <c r="AN84" s="91" t="str">
        <f aca="false">IF(ISBLANK(C84),"",IF(V84&lt;&gt;Constants!$B$14, V84, IF(W84=Constants!$B$7,Z84,IF(W84=Constants!$B$8,AB84,""))))</f>
        <v/>
      </c>
      <c r="AO84" s="92" t="str">
        <f aca="false">IF(ISBLANK(C84),"",W84)</f>
        <v/>
      </c>
      <c r="AP84" s="92" t="str">
        <f aca="false">IF(ISBLANK(C84),"",AJ84)</f>
        <v/>
      </c>
      <c r="AQ84" s="92" t="str">
        <f aca="false">IF(ISBLANK(C84),"",AI84)</f>
        <v/>
      </c>
      <c r="AR84" s="93" t="str">
        <f aca="false">IF(ISBLANK(C84),
  "",
IF(AQ84=Constants!$B$11,COUNTA($C$8:$C$507)+2,IF(AQ84=Constants!$B$12,COUNTA($C$8:$C$507)+1,IF(AQ84=Constants!$B$13,COUNTA($C$8:$C$507),AQ84))))</f>
        <v/>
      </c>
      <c r="AS84" s="3"/>
      <c r="AT84" s="94" t="n">
        <f aca="false">IF(OR(ISNUMBER(AQ84),AQ84="DQ",AQ84="P",AQ84="NS"),
    1,
    0
)</f>
        <v>0</v>
      </c>
      <c r="AU84" s="94" t="n">
        <v>77</v>
      </c>
      <c r="AV84" s="94" t="str">
        <f aca="false">IF(ISBLANK($C84),
    "",
   IF(ISNUMBER(AR84),AR84+ROW($B84)/1000,"")
)</f>
        <v/>
      </c>
      <c r="AW84" s="94" t="str">
        <f aca="false">IF(ISNUMBER(AV84), RANK(AV84,AV$8:AV$507,1), "")</f>
        <v/>
      </c>
      <c r="AX84" s="94" t="str">
        <f aca="false">IF(ISBLANK($C84),
    "",
    $B84
)</f>
        <v/>
      </c>
      <c r="AY84" s="94" t="str">
        <f aca="false">IF(ISBLANK($C84),
    "",
    $C84
)</f>
        <v/>
      </c>
      <c r="AZ84" s="94" t="str">
        <f aca="false">IF(ISBLANK($C84),
    "",
    $D84
)</f>
        <v/>
      </c>
      <c r="BA84" s="94" t="str">
        <f aca="false">AO84</f>
        <v/>
      </c>
      <c r="BB84" s="95" t="str">
        <f aca="false">AN84</f>
        <v/>
      </c>
      <c r="BC84" s="94" t="str">
        <f aca="false">IF(ISBLANK($C84),
    "",
    AQ84
)</f>
        <v/>
      </c>
      <c r="BD84" s="96" t="str">
        <f aca="false">IF(AU84&gt;AT$7,
    "",
    VLOOKUP(AU84,AW$8:BC$507,7,FALSE())
)</f>
        <v/>
      </c>
      <c r="BE84" s="97" t="str">
        <f aca="false">IF(AU84&gt;AT$7,
    "",
    VLOOKUP(AU84,AW$8:BC$507,2,FALSE())
)</f>
        <v/>
      </c>
      <c r="BF84" s="97" t="str">
        <f aca="false">IF(AU84&gt;AT$7,
    "",
    VLOOKUP(AU84,AW$8:BC$507,3,FALSE())
)</f>
        <v/>
      </c>
      <c r="BG84" s="97" t="str">
        <f aca="false">IF(AU84&gt;AT$7,
    "",
    VLOOKUP(AU84,AW$8:BC$507,4,FALSE())
)</f>
        <v/>
      </c>
      <c r="BH84" s="97" t="str">
        <f aca="false">IF(AU84&gt;AT$7,
    "",
    VLOOKUP(AU84,AW$8:BC$507,5,FALSE())
)</f>
        <v/>
      </c>
      <c r="BI84" s="98" t="str">
        <f aca="false">IF(AU84&gt;AT$7,
    "",
    VLOOKUP(AU84,AW$8:BC$507,6,FALSE())
)</f>
        <v/>
      </c>
      <c r="BJ84" s="46"/>
    </row>
    <row r="85" customFormat="false" ht="15.75" hidden="false" customHeight="false" outlineLevel="0" collapsed="false">
      <c r="A85" s="3"/>
      <c r="B85" s="105"/>
      <c r="C85" s="106"/>
      <c r="D85" s="99"/>
      <c r="E85" s="110"/>
      <c r="F85" s="107"/>
      <c r="G85" s="110"/>
      <c r="H85" s="103"/>
      <c r="I85" s="102"/>
      <c r="J85" s="103"/>
      <c r="K85" s="103"/>
      <c r="L85" s="85"/>
      <c r="M85" s="85" t="str">
        <f aca="false">IF(ISBLANK($C85),"",IF(ISBLANK(E85),0,E85))</f>
        <v/>
      </c>
      <c r="N85" s="85" t="str">
        <f aca="false">IF(ISBLANK($C85),"",IF(ISBLANK(F85),0,F85))</f>
        <v/>
      </c>
      <c r="O85" s="86" t="e">
        <f aca="false">IF(AND(NOT(ISBLANK($C85)),NOT($T85),COUNTA($E85:$K85)&gt;0),ISBLANK($F85),FALSE())</f>
        <v>#VALUE!</v>
      </c>
      <c r="P85" s="85" t="str">
        <f aca="false">IF(ISBLANK($C85),"",IF(G85=Constants!$B$9, TRUE(), IF(G85=Constants!$B$10, FALSE(), TRUE())))</f>
        <v/>
      </c>
      <c r="Q85" s="85" t="str">
        <f aca="false">IF(ISBLANK($C85),"",IF(H85=Constants!$B$9, TRUE(), IF(H85=Constants!$B$10, FALSE(), TRUE())))</f>
        <v/>
      </c>
      <c r="R85" s="85" t="str">
        <f aca="false">IF(ISBLANK($C85),"",IF(ISBLANK(I85),Constants!$B$3,I85))</f>
        <v/>
      </c>
      <c r="S85" s="85" t="str">
        <f aca="false">IF(ISBLANK($C85),"",IF(ISBLANK(J85),0,MIN(J85,Constants!$B$6)))</f>
        <v/>
      </c>
      <c r="T85" s="85" t="str">
        <f aca="false">IF(ISBLANK($C85),"",IF(K85=Constants!$B$9, TRUE(), IF(K85=Constants!$B$10, FALSE(),  FALSE())))</f>
        <v/>
      </c>
      <c r="U85" s="85" t="str">
        <f aca="false">IF(ISBLANK($C85),"",AND(R85=Constants!$B$4, S85&lt;Constants!$B$6))</f>
        <v/>
      </c>
      <c r="V85" s="85" t="str">
        <f aca="false">IF(ISBLANK(C85), "", IF(T85, Constants!$B$11, IF(COUNTA(E85:K85)=0, Constants!$B$12, IF(NOT(AND(P85,S85&lt;&gt;0)), Constants!$B$13, IF(O85, Constants!$B$15, Constants!$B$14)))))</f>
        <v/>
      </c>
      <c r="W85" s="85" t="str">
        <f aca="false">IF(OR(ISBLANK($C85), SUMPRODUCT(--(P85:T85&lt;&gt;""))=0), "", IF(V85&lt;&gt;Constants!$B$14, V85, IF(AND(NOT(ISBLANK(J85)),P85,Q85,R85&lt;&gt;Constants!$B$2), Constants!$B$7, IF(AND(P85,OR(NOT(Q85),R85=Constants!$B$2)), Constants!$B$8, "Error"))))</f>
        <v/>
      </c>
      <c r="X85" s="87" t="str">
        <f aca="false">IF(OR(W85=Constants!$B$7,W85=Constants!$B$8), MAX(0, MIN(Constants!$B$6, S85))+IF(AND(R85=Constants!$B$4, NOT(U85)), Constants!$B$5, 0), "")</f>
        <v/>
      </c>
      <c r="Y85" s="85" t="str">
        <f aca="false">IF(ISBLANK($C85),"",IF(AND(ISNUMBER(X85),N85&gt;0),X85/N85, "") )</f>
        <v/>
      </c>
      <c r="Z85" s="85" t="str">
        <f aca="false">IF(AND(NOT(ISBLANK($C85)), W85=Constants!$B$7), Y85, "")</f>
        <v/>
      </c>
      <c r="AA85" s="85" t="str">
        <f aca="false">IF(ISNUMBER(Z85), RANK(Z85,Z$8:Z$507), "")</f>
        <v/>
      </c>
      <c r="AB85" s="85" t="str">
        <f aca="false">IF(AND(NOT(ISBLANK($C85)), W85=Constants!$B$8), Y85, "")</f>
        <v/>
      </c>
      <c r="AC85" s="85" t="str">
        <f aca="false">IF(ISNUMBER(AB85), RANK(AB85,AB$8:AB$507), "")</f>
        <v/>
      </c>
      <c r="AD85" s="85" t="str">
        <f aca="false">IF(ISBLANK($C85),"",IF(V85&lt;&gt;Constants!$B$14, V85, IF(W85=Constants!$B$7, AA85, IF(W85=Constants!$B$8, COUNT($AA$8:$AA$507) + AC85, ""))))</f>
        <v/>
      </c>
      <c r="AE85" s="85" t="str">
        <f aca="false">N85</f>
        <v/>
      </c>
      <c r="AF85" s="85" t="str">
        <f aca="false">IF(ISNUMBER(AE85), RANK(AE85,AE$8:AE$507,1), "")</f>
        <v/>
      </c>
      <c r="AG85" s="88" t="str">
        <f aca="false">IF(ISBLANK(C85), "", ABS(M85-S85))</f>
        <v/>
      </c>
      <c r="AH85" s="85" t="str">
        <f aca="false">IF(ISNUMBER(AG85), RANK(AG85,AG$8:AG$507,1), "")</f>
        <v/>
      </c>
      <c r="AI85" s="85" t="str">
        <f aca="false">IF(ISBLANK(C85),"",IF(V85&lt;&gt;Constants!$B$14, V85, RANK(AD85, AD$8:AD$507, 1)+ SUMPRODUCT(--(AD$8:AD$507=AD85),--(AF85&gt;AF$8:AF$507)) + SUMPRODUCT(--(AD$8:AD$507=AD85),--(AF85=AF$8:AF$507),--(AH85&gt;AH$8:AH$507))))</f>
        <v/>
      </c>
      <c r="AJ85" s="85" t="str">
        <f aca="false">IF(ISBLANK(C85),"",IF(V85&lt;&gt;Constants!$B$14, V85, AD85-AI85))</f>
        <v/>
      </c>
      <c r="AK85" s="89"/>
      <c r="AL85" s="90" t="str">
        <f aca="false">IF(ISBLANK($C85),"",IF($V85&lt;&gt;Constants!$B$14,$V85,X85))</f>
        <v/>
      </c>
      <c r="AM85" s="90" t="str">
        <f aca="false">IF(ISBLANK($C85),"",IF($V85&lt;&gt;Constants!$B$14,$V85,N85))</f>
        <v/>
      </c>
      <c r="AN85" s="91" t="str">
        <f aca="false">IF(ISBLANK(C85),"",IF(V85&lt;&gt;Constants!$B$14, V85, IF(W85=Constants!$B$7,Z85,IF(W85=Constants!$B$8,AB85,""))))</f>
        <v/>
      </c>
      <c r="AO85" s="92" t="str">
        <f aca="false">IF(ISBLANK(C85),"",W85)</f>
        <v/>
      </c>
      <c r="AP85" s="92" t="str">
        <f aca="false">IF(ISBLANK(C85),"",AJ85)</f>
        <v/>
      </c>
      <c r="AQ85" s="92" t="str">
        <f aca="false">IF(ISBLANK(C85),"",AI85)</f>
        <v/>
      </c>
      <c r="AR85" s="93" t="str">
        <f aca="false">IF(ISBLANK(C85),
  "",
IF(AQ85=Constants!$B$11,COUNTA($C$8:$C$507)+2,IF(AQ85=Constants!$B$12,COUNTA($C$8:$C$507)+1,IF(AQ85=Constants!$B$13,COUNTA($C$8:$C$507),AQ85))))</f>
        <v/>
      </c>
      <c r="AS85" s="3"/>
      <c r="AT85" s="94" t="n">
        <f aca="false">IF(OR(ISNUMBER(AQ85),AQ85="DQ",AQ85="P",AQ85="NS"),
    1,
    0
)</f>
        <v>0</v>
      </c>
      <c r="AU85" s="94" t="n">
        <v>78</v>
      </c>
      <c r="AV85" s="94" t="str">
        <f aca="false">IF(ISBLANK($C85),
    "",
   IF(ISNUMBER(AR85),AR85+ROW($B85)/1000,"")
)</f>
        <v/>
      </c>
      <c r="AW85" s="94" t="str">
        <f aca="false">IF(ISNUMBER(AV85), RANK(AV85,AV$8:AV$507,1), "")</f>
        <v/>
      </c>
      <c r="AX85" s="94" t="str">
        <f aca="false">IF(ISBLANK($C85),
    "",
    $B85
)</f>
        <v/>
      </c>
      <c r="AY85" s="94" t="str">
        <f aca="false">IF(ISBLANK($C85),
    "",
    $C85
)</f>
        <v/>
      </c>
      <c r="AZ85" s="94" t="str">
        <f aca="false">IF(ISBLANK($C85),
    "",
    $D85
)</f>
        <v/>
      </c>
      <c r="BA85" s="94" t="str">
        <f aca="false">AO85</f>
        <v/>
      </c>
      <c r="BB85" s="95" t="str">
        <f aca="false">AN85</f>
        <v/>
      </c>
      <c r="BC85" s="94" t="str">
        <f aca="false">IF(ISBLANK($C85),
    "",
    AQ85
)</f>
        <v/>
      </c>
      <c r="BD85" s="96" t="str">
        <f aca="false">IF(AU85&gt;AT$7,
    "",
    VLOOKUP(AU85,AW$8:BC$507,7,FALSE())
)</f>
        <v/>
      </c>
      <c r="BE85" s="97" t="str">
        <f aca="false">IF(AU85&gt;AT$7,
    "",
    VLOOKUP(AU85,AW$8:BC$507,2,FALSE())
)</f>
        <v/>
      </c>
      <c r="BF85" s="97" t="str">
        <f aca="false">IF(AU85&gt;AT$7,
    "",
    VLOOKUP(AU85,AW$8:BC$507,3,FALSE())
)</f>
        <v/>
      </c>
      <c r="BG85" s="97" t="str">
        <f aca="false">IF(AU85&gt;AT$7,
    "",
    VLOOKUP(AU85,AW$8:BC$507,4,FALSE())
)</f>
        <v/>
      </c>
      <c r="BH85" s="97" t="str">
        <f aca="false">IF(AU85&gt;AT$7,
    "",
    VLOOKUP(AU85,AW$8:BC$507,5,FALSE())
)</f>
        <v/>
      </c>
      <c r="BI85" s="98" t="str">
        <f aca="false">IF(AU85&gt;AT$7,
    "",
    VLOOKUP(AU85,AW$8:BC$507,6,FALSE())
)</f>
        <v/>
      </c>
      <c r="BJ85" s="46"/>
    </row>
    <row r="86" customFormat="false" ht="15.75" hidden="false" customHeight="false" outlineLevel="0" collapsed="false">
      <c r="A86" s="3"/>
      <c r="B86" s="108"/>
      <c r="C86" s="70"/>
      <c r="D86" s="49"/>
      <c r="E86" s="109"/>
      <c r="F86" s="72"/>
      <c r="G86" s="109"/>
      <c r="H86" s="74"/>
      <c r="I86" s="104"/>
      <c r="J86" s="74"/>
      <c r="K86" s="74"/>
      <c r="L86" s="55"/>
      <c r="M86" s="55" t="str">
        <f aca="false">IF(ISBLANK($C86),"",IF(ISBLANK(E86),0,E86))</f>
        <v/>
      </c>
      <c r="N86" s="55" t="str">
        <f aca="false">IF(ISBLANK($C86),"",IF(ISBLANK(F86),0,F86))</f>
        <v/>
      </c>
      <c r="O86" s="55" t="e">
        <f aca="false">IF(AND(NOT(ISBLANK($C86)),NOT($T86),COUNTA($E86:$K86)&gt;0),ISBLANK($F86),FALSE())</f>
        <v>#VALUE!</v>
      </c>
      <c r="P86" s="55" t="str">
        <f aca="false">IF(ISBLANK($C86),"",IF(G86=Constants!$B$9, TRUE(), IF(G86=Constants!$B$10, FALSE(), TRUE())))</f>
        <v/>
      </c>
      <c r="Q86" s="55" t="str">
        <f aca="false">IF(ISBLANK($C86),"",IF(H86=Constants!$B$9, TRUE(), IF(H86=Constants!$B$10, FALSE(), TRUE())))</f>
        <v/>
      </c>
      <c r="R86" s="55" t="str">
        <f aca="false">IF(ISBLANK($C86),"",IF(ISBLANK(I86),Constants!$B$3,I86))</f>
        <v/>
      </c>
      <c r="S86" s="55" t="str">
        <f aca="false">IF(ISBLANK($C86),"",IF(ISBLANK(J86),0,MIN(J86,Constants!$B$6)))</f>
        <v/>
      </c>
      <c r="T86" s="55" t="str">
        <f aca="false">IF(ISBLANK($C86),"",IF(K86=Constants!$B$9, TRUE(), IF(K86=Constants!$B$10, FALSE(),  FALSE())))</f>
        <v/>
      </c>
      <c r="U86" s="55" t="str">
        <f aca="false">IF(ISBLANK($C86),"",AND(R86=Constants!$B$4, S86&lt;Constants!$B$6))</f>
        <v/>
      </c>
      <c r="V86" s="55" t="str">
        <f aca="false">IF(ISBLANK(C86), "", IF(T86, Constants!$B$11, IF(COUNTA(E86:K86)=0, Constants!$B$12, IF(NOT(AND(P86,S86&lt;&gt;0)), Constants!$B$13, IF(O86, Constants!$B$15, Constants!$B$14)))))</f>
        <v/>
      </c>
      <c r="W86" s="55" t="str">
        <f aca="false">IF(OR(ISBLANK($C86), SUMPRODUCT(--(P86:T86&lt;&gt;""))=0), "", IF(V86&lt;&gt;Constants!$B$14, V86, IF(AND(NOT(ISBLANK(J86)),P86,Q86,R86&lt;&gt;Constants!$B$2), Constants!$B$7, IF(AND(P86,OR(NOT(Q86),R86=Constants!$B$2)), Constants!$B$8, "Error"))))</f>
        <v/>
      </c>
      <c r="X86" s="56" t="str">
        <f aca="false">IF(OR(W86=Constants!$B$7,W86=Constants!$B$8), MAX(0, MIN(Constants!$B$6, S86))+IF(AND(R86=Constants!$B$4, NOT(U86)), Constants!$B$5, 0), "")</f>
        <v/>
      </c>
      <c r="Y86" s="55" t="str">
        <f aca="false">IF(ISBLANK($C86),"",IF(AND(ISNUMBER(X86),N86&gt;0),X86/N86, "") )</f>
        <v/>
      </c>
      <c r="Z86" s="55" t="str">
        <f aca="false">IF(AND(NOT(ISBLANK($C86)), W86=Constants!$B$7), Y86, "")</f>
        <v/>
      </c>
      <c r="AA86" s="55" t="str">
        <f aca="false">IF(ISNUMBER(Z86), RANK(Z86,Z$8:Z$507), "")</f>
        <v/>
      </c>
      <c r="AB86" s="55" t="str">
        <f aca="false">IF(AND(NOT(ISBLANK($C86)), W86=Constants!$B$8), Y86, "")</f>
        <v/>
      </c>
      <c r="AC86" s="55" t="str">
        <f aca="false">IF(ISNUMBER(AB86), RANK(AB86,AB$8:AB$507), "")</f>
        <v/>
      </c>
      <c r="AD86" s="55" t="str">
        <f aca="false">IF(ISBLANK($C86),"",IF(V86&lt;&gt;Constants!$B$14, V86, IF(W86=Constants!$B$7, AA86, IF(W86=Constants!$B$8, COUNT($AA$8:$AA$507) + AC86, ""))))</f>
        <v/>
      </c>
      <c r="AE86" s="55" t="str">
        <f aca="false">N86</f>
        <v/>
      </c>
      <c r="AF86" s="55" t="str">
        <f aca="false">IF(ISNUMBER(AE86), RANK(AE86,AE$8:AE$507,1), "")</f>
        <v/>
      </c>
      <c r="AG86" s="57" t="str">
        <f aca="false">IF(ISBLANK(C86), "", ABS(M86-S86))</f>
        <v/>
      </c>
      <c r="AH86" s="55" t="str">
        <f aca="false">IF(ISNUMBER(AG86), RANK(AG86,AG$8:AG$507,1), "")</f>
        <v/>
      </c>
      <c r="AI86" s="55" t="str">
        <f aca="false">IF(ISBLANK(C86),"",IF(V86&lt;&gt;Constants!$B$14, V86, RANK(AD86, AD$8:AD$507, 1)+ SUMPRODUCT(--(AD$8:AD$507=AD86),--(AF86&gt;AF$8:AF$507)) + SUMPRODUCT(--(AD$8:AD$507=AD86),--(AF86=AF$8:AF$507),--(AH86&gt;AH$8:AH$507))))</f>
        <v/>
      </c>
      <c r="AJ86" s="55" t="str">
        <f aca="false">IF(ISBLANK(C86),"",IF(V86&lt;&gt;Constants!$B$14, V86, AD86-AI86))</f>
        <v/>
      </c>
      <c r="AK86" s="59"/>
      <c r="AL86" s="60" t="str">
        <f aca="false">IF(ISBLANK($C86),"",IF($V86&lt;&gt;Constants!$B$14,$V86,X86))</f>
        <v/>
      </c>
      <c r="AM86" s="60" t="str">
        <f aca="false">IF(ISBLANK($C86),"",IF($V86&lt;&gt;Constants!$B$14,$V86,N86))</f>
        <v/>
      </c>
      <c r="AN86" s="62" t="str">
        <f aca="false">IF(ISBLANK(C86),"",IF(V86&lt;&gt;Constants!$B$14, V86, IF(W86=Constants!$B$7,Z86,IF(W86=Constants!$B$8,AB86,""))))</f>
        <v/>
      </c>
      <c r="AO86" s="63" t="str">
        <f aca="false">IF(ISBLANK(C86),"",W86)</f>
        <v/>
      </c>
      <c r="AP86" s="63" t="str">
        <f aca="false">IF(ISBLANK(C86),"",AJ86)</f>
        <v/>
      </c>
      <c r="AQ86" s="63" t="str">
        <f aca="false">IF(ISBLANK(C86),"",AI86)</f>
        <v/>
      </c>
      <c r="AR86" s="64" t="str">
        <f aca="false">IF(ISBLANK(C86),
  "",
IF(AQ86=Constants!$B$11,COUNTA($C$8:$C$507)+2,IF(AQ86=Constants!$B$12,COUNTA($C$8:$C$507)+1,IF(AQ86=Constants!$B$13,COUNTA($C$8:$C$507),AQ86))))</f>
        <v/>
      </c>
      <c r="AS86" s="3"/>
      <c r="AT86" s="65" t="n">
        <f aca="false">IF(OR(ISNUMBER(AQ86),AQ86="DQ",AQ86="P",AQ86="NS"),
    1,
    0
)</f>
        <v>0</v>
      </c>
      <c r="AU86" s="65" t="n">
        <v>79</v>
      </c>
      <c r="AV86" s="65" t="str">
        <f aca="false">IF(ISBLANK($C86),
    "",
   IF(ISNUMBER(AR86),AR86+ROW($B86)/1000,"")
)</f>
        <v/>
      </c>
      <c r="AW86" s="65" t="str">
        <f aca="false">IF(ISNUMBER(AV86), RANK(AV86,AV$8:AV$507,1), "")</f>
        <v/>
      </c>
      <c r="AX86" s="65" t="str">
        <f aca="false">IF(ISBLANK($C86),
    "",
    $B86
)</f>
        <v/>
      </c>
      <c r="AY86" s="65" t="str">
        <f aca="false">IF(ISBLANK($C86),
    "",
    $C86
)</f>
        <v/>
      </c>
      <c r="AZ86" s="65" t="str">
        <f aca="false">IF(ISBLANK($C86),
    "",
    $D86
)</f>
        <v/>
      </c>
      <c r="BA86" s="65" t="str">
        <f aca="false">AO86</f>
        <v/>
      </c>
      <c r="BB86" s="66" t="str">
        <f aca="false">AN86</f>
        <v/>
      </c>
      <c r="BC86" s="65" t="str">
        <f aca="false">IF(ISBLANK($C86),
    "",
    AQ86
)</f>
        <v/>
      </c>
      <c r="BD86" s="67" t="str">
        <f aca="false">IF(AU86&gt;AT$7,
    "",
    VLOOKUP(AU86,AW$8:BC$507,7,FALSE())
)</f>
        <v/>
      </c>
      <c r="BE86" s="68" t="str">
        <f aca="false">IF(AU86&gt;AT$7,
    "",
    VLOOKUP(AU86,AW$8:BC$507,2,FALSE())
)</f>
        <v/>
      </c>
      <c r="BF86" s="68" t="str">
        <f aca="false">IF(AU86&gt;AT$7,
    "",
    VLOOKUP(AU86,AW$8:BC$507,3,FALSE())
)</f>
        <v/>
      </c>
      <c r="BG86" s="68" t="str">
        <f aca="false">IF(AU86&gt;AT$7,
    "",
    VLOOKUP(AU86,AW$8:BC$507,4,FALSE())
)</f>
        <v/>
      </c>
      <c r="BH86" s="68" t="str">
        <f aca="false">IF(AU86&gt;AT$7,
    "",
    VLOOKUP(AU86,AW$8:BC$507,5,FALSE())
)</f>
        <v/>
      </c>
      <c r="BI86" s="69" t="str">
        <f aca="false">IF(AU86&gt;AT$7,
    "",
    VLOOKUP(AU86,AW$8:BC$507,6,FALSE())
)</f>
        <v/>
      </c>
      <c r="BJ86" s="46"/>
    </row>
    <row r="87" customFormat="false" ht="15.75" hidden="false" customHeight="false" outlineLevel="0" collapsed="false">
      <c r="A87" s="3"/>
      <c r="B87" s="108"/>
      <c r="C87" s="70"/>
      <c r="D87" s="49"/>
      <c r="E87" s="109"/>
      <c r="F87" s="72"/>
      <c r="G87" s="109"/>
      <c r="H87" s="74"/>
      <c r="I87" s="104"/>
      <c r="J87" s="74"/>
      <c r="K87" s="74"/>
      <c r="L87" s="55"/>
      <c r="M87" s="55" t="str">
        <f aca="false">IF(ISBLANK($C87),"",IF(ISBLANK(E87),0,E87))</f>
        <v/>
      </c>
      <c r="N87" s="55" t="str">
        <f aca="false">IF(ISBLANK($C87),"",IF(ISBLANK(F87),0,F87))</f>
        <v/>
      </c>
      <c r="O87" s="55" t="e">
        <f aca="false">IF(AND(NOT(ISBLANK($C87)),NOT($T87),COUNTA($E87:$K87)&gt;0),ISBLANK($F87),FALSE())</f>
        <v>#VALUE!</v>
      </c>
      <c r="P87" s="55" t="str">
        <f aca="false">IF(ISBLANK($C87),"",IF(G87=Constants!$B$9, TRUE(), IF(G87=Constants!$B$10, FALSE(), TRUE())))</f>
        <v/>
      </c>
      <c r="Q87" s="55" t="str">
        <f aca="false">IF(ISBLANK($C87),"",IF(H87=Constants!$B$9, TRUE(), IF(H87=Constants!$B$10, FALSE(), TRUE())))</f>
        <v/>
      </c>
      <c r="R87" s="55" t="str">
        <f aca="false">IF(ISBLANK($C87),"",IF(ISBLANK(I87),Constants!$B$3,I87))</f>
        <v/>
      </c>
      <c r="S87" s="55" t="str">
        <f aca="false">IF(ISBLANK($C87),"",IF(ISBLANK(J87),0,MIN(J87,Constants!$B$6)))</f>
        <v/>
      </c>
      <c r="T87" s="55" t="str">
        <f aca="false">IF(ISBLANK($C87),"",IF(K87=Constants!$B$9, TRUE(), IF(K87=Constants!$B$10, FALSE(),  FALSE())))</f>
        <v/>
      </c>
      <c r="U87" s="55" t="str">
        <f aca="false">IF(ISBLANK($C87),"",AND(R87=Constants!$B$4, S87&lt;Constants!$B$6))</f>
        <v/>
      </c>
      <c r="V87" s="55" t="str">
        <f aca="false">IF(ISBLANK(C87), "", IF(T87, Constants!$B$11, IF(COUNTA(E87:K87)=0, Constants!$B$12, IF(NOT(AND(P87,S87&lt;&gt;0)), Constants!$B$13, IF(O87, Constants!$B$15, Constants!$B$14)))))</f>
        <v/>
      </c>
      <c r="W87" s="55" t="str">
        <f aca="false">IF(OR(ISBLANK($C87), SUMPRODUCT(--(P87:T87&lt;&gt;""))=0), "", IF(V87&lt;&gt;Constants!$B$14, V87, IF(AND(NOT(ISBLANK(J87)),P87,Q87,R87&lt;&gt;Constants!$B$2), Constants!$B$7, IF(AND(P87,OR(NOT(Q87),R87=Constants!$B$2)), Constants!$B$8, "Error"))))</f>
        <v/>
      </c>
      <c r="X87" s="56" t="str">
        <f aca="false">IF(OR(W87=Constants!$B$7,W87=Constants!$B$8), MAX(0, MIN(Constants!$B$6, S87))+IF(AND(R87=Constants!$B$4, NOT(U87)), Constants!$B$5, 0), "")</f>
        <v/>
      </c>
      <c r="Y87" s="55" t="str">
        <f aca="false">IF(ISBLANK($C87),"",IF(AND(ISNUMBER(X87),N87&gt;0),X87/N87, "") )</f>
        <v/>
      </c>
      <c r="Z87" s="55" t="str">
        <f aca="false">IF(AND(NOT(ISBLANK($C87)), W87=Constants!$B$7), Y87, "")</f>
        <v/>
      </c>
      <c r="AA87" s="55" t="str">
        <f aca="false">IF(ISNUMBER(Z87), RANK(Z87,Z$8:Z$507), "")</f>
        <v/>
      </c>
      <c r="AB87" s="55" t="str">
        <f aca="false">IF(AND(NOT(ISBLANK($C87)), W87=Constants!$B$8), Y87, "")</f>
        <v/>
      </c>
      <c r="AC87" s="55" t="str">
        <f aca="false">IF(ISNUMBER(AB87), RANK(AB87,AB$8:AB$507), "")</f>
        <v/>
      </c>
      <c r="AD87" s="55" t="str">
        <f aca="false">IF(ISBLANK($C87),"",IF(V87&lt;&gt;Constants!$B$14, V87, IF(W87=Constants!$B$7, AA87, IF(W87=Constants!$B$8, COUNT($AA$8:$AA$507) + AC87, ""))))</f>
        <v/>
      </c>
      <c r="AE87" s="55" t="str">
        <f aca="false">N87</f>
        <v/>
      </c>
      <c r="AF87" s="55" t="str">
        <f aca="false">IF(ISNUMBER(AE87), RANK(AE87,AE$8:AE$507,1), "")</f>
        <v/>
      </c>
      <c r="AG87" s="57" t="str">
        <f aca="false">IF(ISBLANK(C87), "", ABS(M87-S87))</f>
        <v/>
      </c>
      <c r="AH87" s="55" t="str">
        <f aca="false">IF(ISNUMBER(AG87), RANK(AG87,AG$8:AG$507,1), "")</f>
        <v/>
      </c>
      <c r="AI87" s="55" t="str">
        <f aca="false">IF(ISBLANK(C87),"",IF(V87&lt;&gt;Constants!$B$14, V87, RANK(AD87, AD$8:AD$507, 1)+ SUMPRODUCT(--(AD$8:AD$507=AD87),--(AF87&gt;AF$8:AF$507)) + SUMPRODUCT(--(AD$8:AD$507=AD87),--(AF87=AF$8:AF$507),--(AH87&gt;AH$8:AH$507))))</f>
        <v/>
      </c>
      <c r="AJ87" s="55" t="str">
        <f aca="false">IF(ISBLANK(C87),"",IF(V87&lt;&gt;Constants!$B$14, V87, AD87-AI87))</f>
        <v/>
      </c>
      <c r="AK87" s="59"/>
      <c r="AL87" s="60" t="str">
        <f aca="false">IF(ISBLANK($C87),"",IF($V87&lt;&gt;Constants!$B$14,$V87,X87))</f>
        <v/>
      </c>
      <c r="AM87" s="60" t="str">
        <f aca="false">IF(ISBLANK($C87),"",IF($V87&lt;&gt;Constants!$B$14,$V87,N87))</f>
        <v/>
      </c>
      <c r="AN87" s="62" t="str">
        <f aca="false">IF(ISBLANK(C87),"",IF(V87&lt;&gt;Constants!$B$14, V87, IF(W87=Constants!$B$7,Z87,IF(W87=Constants!$B$8,AB87,""))))</f>
        <v/>
      </c>
      <c r="AO87" s="63" t="str">
        <f aca="false">IF(ISBLANK(C87),"",W87)</f>
        <v/>
      </c>
      <c r="AP87" s="63" t="str">
        <f aca="false">IF(ISBLANK(C87),"",AJ87)</f>
        <v/>
      </c>
      <c r="AQ87" s="63" t="str">
        <f aca="false">IF(ISBLANK(C87),"",AI87)</f>
        <v/>
      </c>
      <c r="AR87" s="64" t="str">
        <f aca="false">IF(ISBLANK(C87),
  "",
IF(AQ87=Constants!$B$11,COUNTA($C$8:$C$507)+2,IF(AQ87=Constants!$B$12,COUNTA($C$8:$C$507)+1,IF(AQ87=Constants!$B$13,COUNTA($C$8:$C$507),AQ87))))</f>
        <v/>
      </c>
      <c r="AS87" s="3"/>
      <c r="AT87" s="65" t="n">
        <f aca="false">IF(OR(ISNUMBER(AQ87),AQ87="DQ",AQ87="P",AQ87="NS"),
    1,
    0
)</f>
        <v>0</v>
      </c>
      <c r="AU87" s="65" t="n">
        <v>80</v>
      </c>
      <c r="AV87" s="65" t="str">
        <f aca="false">IF(ISBLANK($C87),
    "",
   IF(ISNUMBER(AR87),AR87+ROW($B87)/1000,"")
)</f>
        <v/>
      </c>
      <c r="AW87" s="65" t="str">
        <f aca="false">IF(ISNUMBER(AV87), RANK(AV87,AV$8:AV$507,1), "")</f>
        <v/>
      </c>
      <c r="AX87" s="65" t="str">
        <f aca="false">IF(ISBLANK($C87),
    "",
    $B87
)</f>
        <v/>
      </c>
      <c r="AY87" s="65" t="str">
        <f aca="false">IF(ISBLANK($C87),
    "",
    $C87
)</f>
        <v/>
      </c>
      <c r="AZ87" s="65" t="str">
        <f aca="false">IF(ISBLANK($C87),
    "",
    $D87
)</f>
        <v/>
      </c>
      <c r="BA87" s="65" t="str">
        <f aca="false">AO87</f>
        <v/>
      </c>
      <c r="BB87" s="66" t="str">
        <f aca="false">AN87</f>
        <v/>
      </c>
      <c r="BC87" s="65" t="str">
        <f aca="false">IF(ISBLANK($C87),
    "",
    AQ87
)</f>
        <v/>
      </c>
      <c r="BD87" s="67" t="str">
        <f aca="false">IF(AU87&gt;AT$7,
    "",
    VLOOKUP(AU87,AW$8:BC$507,7,FALSE())
)</f>
        <v/>
      </c>
      <c r="BE87" s="68" t="str">
        <f aca="false">IF(AU87&gt;AT$7,
    "",
    VLOOKUP(AU87,AW$8:BC$507,2,FALSE())
)</f>
        <v/>
      </c>
      <c r="BF87" s="68" t="str">
        <f aca="false">IF(AU87&gt;AT$7,
    "",
    VLOOKUP(AU87,AW$8:BC$507,3,FALSE())
)</f>
        <v/>
      </c>
      <c r="BG87" s="68" t="str">
        <f aca="false">IF(AU87&gt;AT$7,
    "",
    VLOOKUP(AU87,AW$8:BC$507,4,FALSE())
)</f>
        <v/>
      </c>
      <c r="BH87" s="68" t="str">
        <f aca="false">IF(AU87&gt;AT$7,
    "",
    VLOOKUP(AU87,AW$8:BC$507,5,FALSE())
)</f>
        <v/>
      </c>
      <c r="BI87" s="69" t="str">
        <f aca="false">IF(AU87&gt;AT$7,
    "",
    VLOOKUP(AU87,AW$8:BC$507,6,FALSE())
)</f>
        <v/>
      </c>
      <c r="BJ87" s="46"/>
    </row>
    <row r="88" customFormat="false" ht="15.75" hidden="false" customHeight="false" outlineLevel="0" collapsed="false">
      <c r="A88" s="3"/>
      <c r="B88" s="108"/>
      <c r="C88" s="70"/>
      <c r="D88" s="49"/>
      <c r="E88" s="109"/>
      <c r="F88" s="72"/>
      <c r="G88" s="109"/>
      <c r="H88" s="74"/>
      <c r="I88" s="104"/>
      <c r="J88" s="74"/>
      <c r="K88" s="74"/>
      <c r="L88" s="55"/>
      <c r="M88" s="55" t="str">
        <f aca="false">IF(ISBLANK($C88),"",IF(ISBLANK(E88),0,E88))</f>
        <v/>
      </c>
      <c r="N88" s="55" t="str">
        <f aca="false">IF(ISBLANK($C88),"",IF(ISBLANK(F88),0,F88))</f>
        <v/>
      </c>
      <c r="O88" s="55" t="e">
        <f aca="false">IF(AND(NOT(ISBLANK($C88)),NOT($T88),COUNTA($E88:$K88)&gt;0),ISBLANK($F88),FALSE())</f>
        <v>#VALUE!</v>
      </c>
      <c r="P88" s="55" t="str">
        <f aca="false">IF(ISBLANK($C88),"",IF(G88=Constants!$B$9, TRUE(), IF(G88=Constants!$B$10, FALSE(), TRUE())))</f>
        <v/>
      </c>
      <c r="Q88" s="55" t="str">
        <f aca="false">IF(ISBLANK($C88),"",IF(H88=Constants!$B$9, TRUE(), IF(H88=Constants!$B$10, FALSE(), TRUE())))</f>
        <v/>
      </c>
      <c r="R88" s="55" t="str">
        <f aca="false">IF(ISBLANK($C88),"",IF(ISBLANK(I88),Constants!$B$3,I88))</f>
        <v/>
      </c>
      <c r="S88" s="55" t="str">
        <f aca="false">IF(ISBLANK($C88),"",IF(ISBLANK(J88),0,MIN(J88,Constants!$B$6)))</f>
        <v/>
      </c>
      <c r="T88" s="55" t="str">
        <f aca="false">IF(ISBLANK($C88),"",IF(K88=Constants!$B$9, TRUE(), IF(K88=Constants!$B$10, FALSE(),  FALSE())))</f>
        <v/>
      </c>
      <c r="U88" s="55" t="str">
        <f aca="false">IF(ISBLANK($C88),"",AND(R88=Constants!$B$4, S88&lt;Constants!$B$6))</f>
        <v/>
      </c>
      <c r="V88" s="55" t="str">
        <f aca="false">IF(ISBLANK(C88), "", IF(T88, Constants!$B$11, IF(COUNTA(E88:K88)=0, Constants!$B$12, IF(NOT(AND(P88,S88&lt;&gt;0)), Constants!$B$13, IF(O88, Constants!$B$15, Constants!$B$14)))))</f>
        <v/>
      </c>
      <c r="W88" s="55" t="str">
        <f aca="false">IF(OR(ISBLANK($C88), SUMPRODUCT(--(P88:T88&lt;&gt;""))=0), "", IF(V88&lt;&gt;Constants!$B$14, V88, IF(AND(NOT(ISBLANK(J88)),P88,Q88,R88&lt;&gt;Constants!$B$2), Constants!$B$7, IF(AND(P88,OR(NOT(Q88),R88=Constants!$B$2)), Constants!$B$8, "Error"))))</f>
        <v/>
      </c>
      <c r="X88" s="56" t="str">
        <f aca="false">IF(OR(W88=Constants!$B$7,W88=Constants!$B$8), MAX(0, MIN(Constants!$B$6, S88))+IF(AND(R88=Constants!$B$4, NOT(U88)), Constants!$B$5, 0), "")</f>
        <v/>
      </c>
      <c r="Y88" s="55" t="str">
        <f aca="false">IF(ISBLANK($C88),"",IF(AND(ISNUMBER(X88),N88&gt;0),X88/N88, "") )</f>
        <v/>
      </c>
      <c r="Z88" s="55" t="str">
        <f aca="false">IF(AND(NOT(ISBLANK($C88)), W88=Constants!$B$7), Y88, "")</f>
        <v/>
      </c>
      <c r="AA88" s="55" t="str">
        <f aca="false">IF(ISNUMBER(Z88), RANK(Z88,Z$8:Z$507), "")</f>
        <v/>
      </c>
      <c r="AB88" s="55" t="str">
        <f aca="false">IF(AND(NOT(ISBLANK($C88)), W88=Constants!$B$8), Y88, "")</f>
        <v/>
      </c>
      <c r="AC88" s="55" t="str">
        <f aca="false">IF(ISNUMBER(AB88), RANK(AB88,AB$8:AB$507), "")</f>
        <v/>
      </c>
      <c r="AD88" s="55" t="str">
        <f aca="false">IF(ISBLANK($C88),"",IF(V88&lt;&gt;Constants!$B$14, V88, IF(W88=Constants!$B$7, AA88, IF(W88=Constants!$B$8, COUNT($AA$8:$AA$507) + AC88, ""))))</f>
        <v/>
      </c>
      <c r="AE88" s="55" t="str">
        <f aca="false">N88</f>
        <v/>
      </c>
      <c r="AF88" s="55" t="str">
        <f aca="false">IF(ISNUMBER(AE88), RANK(AE88,AE$8:AE$507,1), "")</f>
        <v/>
      </c>
      <c r="AG88" s="57" t="str">
        <f aca="false">IF(ISBLANK(C88), "", ABS(M88-S88))</f>
        <v/>
      </c>
      <c r="AH88" s="55" t="str">
        <f aca="false">IF(ISNUMBER(AG88), RANK(AG88,AG$8:AG$507,1), "")</f>
        <v/>
      </c>
      <c r="AI88" s="55" t="str">
        <f aca="false">IF(ISBLANK(C88),"",IF(V88&lt;&gt;Constants!$B$14, V88, RANK(AD88, AD$8:AD$507, 1)+ SUMPRODUCT(--(AD$8:AD$507=AD88),--(AF88&gt;AF$8:AF$507)) + SUMPRODUCT(--(AD$8:AD$507=AD88),--(AF88=AF$8:AF$507),--(AH88&gt;AH$8:AH$507))))</f>
        <v/>
      </c>
      <c r="AJ88" s="55" t="str">
        <f aca="false">IF(ISBLANK(C88),"",IF(V88&lt;&gt;Constants!$B$14, V88, AD88-AI88))</f>
        <v/>
      </c>
      <c r="AK88" s="59"/>
      <c r="AL88" s="60" t="str">
        <f aca="false">IF(ISBLANK($C88),"",IF($V88&lt;&gt;Constants!$B$14,$V88,X88))</f>
        <v/>
      </c>
      <c r="AM88" s="60" t="str">
        <f aca="false">IF(ISBLANK($C88),"",IF($V88&lt;&gt;Constants!$B$14,$V88,N88))</f>
        <v/>
      </c>
      <c r="AN88" s="62" t="str">
        <f aca="false">IF(ISBLANK(C88),"",IF(V88&lt;&gt;Constants!$B$14, V88, IF(W88=Constants!$B$7,Z88,IF(W88=Constants!$B$8,AB88,""))))</f>
        <v/>
      </c>
      <c r="AO88" s="63" t="str">
        <f aca="false">IF(ISBLANK(C88),"",W88)</f>
        <v/>
      </c>
      <c r="AP88" s="63" t="str">
        <f aca="false">IF(ISBLANK(C88),"",AJ88)</f>
        <v/>
      </c>
      <c r="AQ88" s="63" t="str">
        <f aca="false">IF(ISBLANK(C88),"",AI88)</f>
        <v/>
      </c>
      <c r="AR88" s="64" t="str">
        <f aca="false">IF(ISBLANK(C88),
  "",
IF(AQ88=Constants!$B$11,COUNTA($C$8:$C$507)+2,IF(AQ88=Constants!$B$12,COUNTA($C$8:$C$507)+1,IF(AQ88=Constants!$B$13,COUNTA($C$8:$C$507),AQ88))))</f>
        <v/>
      </c>
      <c r="AS88" s="3"/>
      <c r="AT88" s="65" t="n">
        <f aca="false">IF(OR(ISNUMBER(AQ88),AQ88="DQ",AQ88="P",AQ88="NS"),
    1,
    0
)</f>
        <v>0</v>
      </c>
      <c r="AU88" s="65" t="n">
        <v>81</v>
      </c>
      <c r="AV88" s="65" t="str">
        <f aca="false">IF(ISBLANK($C88),
    "",
   IF(ISNUMBER(AR88),AR88+ROW($B88)/1000,"")
)</f>
        <v/>
      </c>
      <c r="AW88" s="65" t="str">
        <f aca="false">IF(ISNUMBER(AV88), RANK(AV88,AV$8:AV$507,1), "")</f>
        <v/>
      </c>
      <c r="AX88" s="65" t="str">
        <f aca="false">IF(ISBLANK($C88),
    "",
    $B88
)</f>
        <v/>
      </c>
      <c r="AY88" s="65" t="str">
        <f aca="false">IF(ISBLANK($C88),
    "",
    $C88
)</f>
        <v/>
      </c>
      <c r="AZ88" s="65" t="str">
        <f aca="false">IF(ISBLANK($C88),
    "",
    $D88
)</f>
        <v/>
      </c>
      <c r="BA88" s="65" t="str">
        <f aca="false">AO88</f>
        <v/>
      </c>
      <c r="BB88" s="66" t="str">
        <f aca="false">AN88</f>
        <v/>
      </c>
      <c r="BC88" s="65" t="str">
        <f aca="false">IF(ISBLANK($C88),
    "",
    AQ88
)</f>
        <v/>
      </c>
      <c r="BD88" s="67" t="str">
        <f aca="false">IF(AU88&gt;AT$7,
    "",
    VLOOKUP(AU88,AW$8:BC$507,7,FALSE())
)</f>
        <v/>
      </c>
      <c r="BE88" s="68" t="str">
        <f aca="false">IF(AU88&gt;AT$7,
    "",
    VLOOKUP(AU88,AW$8:BC$507,2,FALSE())
)</f>
        <v/>
      </c>
      <c r="BF88" s="68" t="str">
        <f aca="false">IF(AU88&gt;AT$7,
    "",
    VLOOKUP(AU88,AW$8:BC$507,3,FALSE())
)</f>
        <v/>
      </c>
      <c r="BG88" s="68" t="str">
        <f aca="false">IF(AU88&gt;AT$7,
    "",
    VLOOKUP(AU88,AW$8:BC$507,4,FALSE())
)</f>
        <v/>
      </c>
      <c r="BH88" s="68" t="str">
        <f aca="false">IF(AU88&gt;AT$7,
    "",
    VLOOKUP(AU88,AW$8:BC$507,5,FALSE())
)</f>
        <v/>
      </c>
      <c r="BI88" s="69" t="str">
        <f aca="false">IF(AU88&gt;AT$7,
    "",
    VLOOKUP(AU88,AW$8:BC$507,6,FALSE())
)</f>
        <v/>
      </c>
      <c r="BJ88" s="46"/>
    </row>
    <row r="89" customFormat="false" ht="15.75" hidden="false" customHeight="false" outlineLevel="0" collapsed="false">
      <c r="A89" s="3"/>
      <c r="B89" s="105"/>
      <c r="C89" s="106"/>
      <c r="D89" s="99"/>
      <c r="E89" s="110"/>
      <c r="F89" s="107"/>
      <c r="G89" s="110"/>
      <c r="H89" s="103"/>
      <c r="I89" s="102"/>
      <c r="J89" s="103"/>
      <c r="K89" s="103"/>
      <c r="L89" s="85"/>
      <c r="M89" s="85" t="str">
        <f aca="false">IF(ISBLANK($C89),"",IF(ISBLANK(E89),0,E89))</f>
        <v/>
      </c>
      <c r="N89" s="85" t="str">
        <f aca="false">IF(ISBLANK($C89),"",IF(ISBLANK(F89),0,F89))</f>
        <v/>
      </c>
      <c r="O89" s="86" t="e">
        <f aca="false">IF(AND(NOT(ISBLANK($C89)),NOT($T89),COUNTA($E89:$K89)&gt;0),ISBLANK($F89),FALSE())</f>
        <v>#VALUE!</v>
      </c>
      <c r="P89" s="85" t="str">
        <f aca="false">IF(ISBLANK($C89),"",IF(G89=Constants!$B$9, TRUE(), IF(G89=Constants!$B$10, FALSE(), TRUE())))</f>
        <v/>
      </c>
      <c r="Q89" s="85" t="str">
        <f aca="false">IF(ISBLANK($C89),"",IF(H89=Constants!$B$9, TRUE(), IF(H89=Constants!$B$10, FALSE(), TRUE())))</f>
        <v/>
      </c>
      <c r="R89" s="85" t="str">
        <f aca="false">IF(ISBLANK($C89),"",IF(ISBLANK(I89),Constants!$B$3,I89))</f>
        <v/>
      </c>
      <c r="S89" s="85" t="str">
        <f aca="false">IF(ISBLANK($C89),"",IF(ISBLANK(J89),0,MIN(J89,Constants!$B$6)))</f>
        <v/>
      </c>
      <c r="T89" s="85" t="str">
        <f aca="false">IF(ISBLANK($C89),"",IF(K89=Constants!$B$9, TRUE(), IF(K89=Constants!$B$10, FALSE(),  FALSE())))</f>
        <v/>
      </c>
      <c r="U89" s="85" t="str">
        <f aca="false">IF(ISBLANK($C89),"",AND(R89=Constants!$B$4, S89&lt;Constants!$B$6))</f>
        <v/>
      </c>
      <c r="V89" s="85" t="str">
        <f aca="false">IF(ISBLANK(C89), "", IF(T89, Constants!$B$11, IF(COUNTA(E89:K89)=0, Constants!$B$12, IF(NOT(AND(P89,S89&lt;&gt;0)), Constants!$B$13, IF(O89, Constants!$B$15, Constants!$B$14)))))</f>
        <v/>
      </c>
      <c r="W89" s="85" t="str">
        <f aca="false">IF(OR(ISBLANK($C89), SUMPRODUCT(--(P89:T89&lt;&gt;""))=0), "", IF(V89&lt;&gt;Constants!$B$14, V89, IF(AND(NOT(ISBLANK(J89)),P89,Q89,R89&lt;&gt;Constants!$B$2), Constants!$B$7, IF(AND(P89,OR(NOT(Q89),R89=Constants!$B$2)), Constants!$B$8, "Error"))))</f>
        <v/>
      </c>
      <c r="X89" s="87" t="str">
        <f aca="false">IF(OR(W89=Constants!$B$7,W89=Constants!$B$8), MAX(0, MIN(Constants!$B$6, S89))+IF(AND(R89=Constants!$B$4, NOT(U89)), Constants!$B$5, 0), "")</f>
        <v/>
      </c>
      <c r="Y89" s="85" t="str">
        <f aca="false">IF(ISBLANK($C89),"",IF(AND(ISNUMBER(X89),N89&gt;0),X89/N89, "") )</f>
        <v/>
      </c>
      <c r="Z89" s="85" t="str">
        <f aca="false">IF(AND(NOT(ISBLANK($C89)), W89=Constants!$B$7), Y89, "")</f>
        <v/>
      </c>
      <c r="AA89" s="85" t="str">
        <f aca="false">IF(ISNUMBER(Z89), RANK(Z89,Z$8:Z$507), "")</f>
        <v/>
      </c>
      <c r="AB89" s="85" t="str">
        <f aca="false">IF(AND(NOT(ISBLANK($C89)), W89=Constants!$B$8), Y89, "")</f>
        <v/>
      </c>
      <c r="AC89" s="85" t="str">
        <f aca="false">IF(ISNUMBER(AB89), RANK(AB89,AB$8:AB$507), "")</f>
        <v/>
      </c>
      <c r="AD89" s="85" t="str">
        <f aca="false">IF(ISBLANK($C89),"",IF(V89&lt;&gt;Constants!$B$14, V89, IF(W89=Constants!$B$7, AA89, IF(W89=Constants!$B$8, COUNT($AA$8:$AA$507) + AC89, ""))))</f>
        <v/>
      </c>
      <c r="AE89" s="85" t="str">
        <f aca="false">N89</f>
        <v/>
      </c>
      <c r="AF89" s="85" t="str">
        <f aca="false">IF(ISNUMBER(AE89), RANK(AE89,AE$8:AE$507,1), "")</f>
        <v/>
      </c>
      <c r="AG89" s="88" t="str">
        <f aca="false">IF(ISBLANK(C89), "", ABS(M89-S89))</f>
        <v/>
      </c>
      <c r="AH89" s="85" t="str">
        <f aca="false">IF(ISNUMBER(AG89), RANK(AG89,AG$8:AG$507,1), "")</f>
        <v/>
      </c>
      <c r="AI89" s="85" t="str">
        <f aca="false">IF(ISBLANK(C89),"",IF(V89&lt;&gt;Constants!$B$14, V89, RANK(AD89, AD$8:AD$507, 1)+ SUMPRODUCT(--(AD$8:AD$507=AD89),--(AF89&gt;AF$8:AF$507)) + SUMPRODUCT(--(AD$8:AD$507=AD89),--(AF89=AF$8:AF$507),--(AH89&gt;AH$8:AH$507))))</f>
        <v/>
      </c>
      <c r="AJ89" s="85" t="str">
        <f aca="false">IF(ISBLANK(C89),"",IF(V89&lt;&gt;Constants!$B$14, V89, AD89-AI89))</f>
        <v/>
      </c>
      <c r="AK89" s="89"/>
      <c r="AL89" s="90" t="str">
        <f aca="false">IF(ISBLANK($C89),"",IF($V89&lt;&gt;Constants!$B$14,$V89,X89))</f>
        <v/>
      </c>
      <c r="AM89" s="90" t="str">
        <f aca="false">IF(ISBLANK($C89),"",IF($V89&lt;&gt;Constants!$B$14,$V89,N89))</f>
        <v/>
      </c>
      <c r="AN89" s="91" t="str">
        <f aca="false">IF(ISBLANK(C89),"",IF(V89&lt;&gt;Constants!$B$14, V89, IF(W89=Constants!$B$7,Z89,IF(W89=Constants!$B$8,AB89,""))))</f>
        <v/>
      </c>
      <c r="AO89" s="92" t="str">
        <f aca="false">IF(ISBLANK(C89),"",W89)</f>
        <v/>
      </c>
      <c r="AP89" s="92" t="str">
        <f aca="false">IF(ISBLANK(C89),"",AJ89)</f>
        <v/>
      </c>
      <c r="AQ89" s="92" t="str">
        <f aca="false">IF(ISBLANK(C89),"",AI89)</f>
        <v/>
      </c>
      <c r="AR89" s="93" t="str">
        <f aca="false">IF(ISBLANK(C89),
  "",
IF(AQ89=Constants!$B$11,COUNTA($C$8:$C$507)+2,IF(AQ89=Constants!$B$12,COUNTA($C$8:$C$507)+1,IF(AQ89=Constants!$B$13,COUNTA($C$8:$C$507),AQ89))))</f>
        <v/>
      </c>
      <c r="AS89" s="3"/>
      <c r="AT89" s="94" t="n">
        <f aca="false">IF(OR(ISNUMBER(AQ89),AQ89="DQ",AQ89="P",AQ89="NS"),
    1,
    0
)</f>
        <v>0</v>
      </c>
      <c r="AU89" s="94" t="n">
        <v>82</v>
      </c>
      <c r="AV89" s="94" t="str">
        <f aca="false">IF(ISBLANK($C89),
    "",
   IF(ISNUMBER(AR89),AR89+ROW($B89)/1000,"")
)</f>
        <v/>
      </c>
      <c r="AW89" s="94" t="str">
        <f aca="false">IF(ISNUMBER(AV89), RANK(AV89,AV$8:AV$507,1), "")</f>
        <v/>
      </c>
      <c r="AX89" s="94" t="str">
        <f aca="false">IF(ISBLANK($C89),
    "",
    $B89
)</f>
        <v/>
      </c>
      <c r="AY89" s="94" t="str">
        <f aca="false">IF(ISBLANK($C89),
    "",
    $C89
)</f>
        <v/>
      </c>
      <c r="AZ89" s="94" t="str">
        <f aca="false">IF(ISBLANK($C89),
    "",
    $D89
)</f>
        <v/>
      </c>
      <c r="BA89" s="94" t="str">
        <f aca="false">AO89</f>
        <v/>
      </c>
      <c r="BB89" s="95" t="str">
        <f aca="false">AN89</f>
        <v/>
      </c>
      <c r="BC89" s="94" t="str">
        <f aca="false">IF(ISBLANK($C89),
    "",
    AQ89
)</f>
        <v/>
      </c>
      <c r="BD89" s="96" t="str">
        <f aca="false">IF(AU89&gt;AT$7,
    "",
    VLOOKUP(AU89,AW$8:BC$507,7,FALSE())
)</f>
        <v/>
      </c>
      <c r="BE89" s="97" t="str">
        <f aca="false">IF(AU89&gt;AT$7,
    "",
    VLOOKUP(AU89,AW$8:BC$507,2,FALSE())
)</f>
        <v/>
      </c>
      <c r="BF89" s="97" t="str">
        <f aca="false">IF(AU89&gt;AT$7,
    "",
    VLOOKUP(AU89,AW$8:BC$507,3,FALSE())
)</f>
        <v/>
      </c>
      <c r="BG89" s="97" t="str">
        <f aca="false">IF(AU89&gt;AT$7,
    "",
    VLOOKUP(AU89,AW$8:BC$507,4,FALSE())
)</f>
        <v/>
      </c>
      <c r="BH89" s="97" t="str">
        <f aca="false">IF(AU89&gt;AT$7,
    "",
    VLOOKUP(AU89,AW$8:BC$507,5,FALSE())
)</f>
        <v/>
      </c>
      <c r="BI89" s="98" t="str">
        <f aca="false">IF(AU89&gt;AT$7,
    "",
    VLOOKUP(AU89,AW$8:BC$507,6,FALSE())
)</f>
        <v/>
      </c>
      <c r="BJ89" s="46"/>
    </row>
    <row r="90" customFormat="false" ht="15.75" hidden="false" customHeight="false" outlineLevel="0" collapsed="false">
      <c r="A90" s="3"/>
      <c r="B90" s="105"/>
      <c r="C90" s="106"/>
      <c r="D90" s="99"/>
      <c r="E90" s="110"/>
      <c r="F90" s="107"/>
      <c r="G90" s="110"/>
      <c r="H90" s="103"/>
      <c r="I90" s="102"/>
      <c r="J90" s="103"/>
      <c r="K90" s="103"/>
      <c r="L90" s="85"/>
      <c r="M90" s="85" t="str">
        <f aca="false">IF(ISBLANK($C90),"",IF(ISBLANK(E90),0,E90))</f>
        <v/>
      </c>
      <c r="N90" s="85" t="str">
        <f aca="false">IF(ISBLANK($C90),"",IF(ISBLANK(F90),0,F90))</f>
        <v/>
      </c>
      <c r="O90" s="86" t="e">
        <f aca="false">IF(AND(NOT(ISBLANK($C90)),NOT($T90),COUNTA($E90:$K90)&gt;0),ISBLANK($F90),FALSE())</f>
        <v>#VALUE!</v>
      </c>
      <c r="P90" s="85" t="str">
        <f aca="false">IF(ISBLANK($C90),"",IF(G90=Constants!$B$9, TRUE(), IF(G90=Constants!$B$10, FALSE(), TRUE())))</f>
        <v/>
      </c>
      <c r="Q90" s="85" t="str">
        <f aca="false">IF(ISBLANK($C90),"",IF(H90=Constants!$B$9, TRUE(), IF(H90=Constants!$B$10, FALSE(), TRUE())))</f>
        <v/>
      </c>
      <c r="R90" s="85" t="str">
        <f aca="false">IF(ISBLANK($C90),"",IF(ISBLANK(I90),Constants!$B$3,I90))</f>
        <v/>
      </c>
      <c r="S90" s="85" t="str">
        <f aca="false">IF(ISBLANK($C90),"",IF(ISBLANK(J90),0,MIN(J90,Constants!$B$6)))</f>
        <v/>
      </c>
      <c r="T90" s="85" t="str">
        <f aca="false">IF(ISBLANK($C90),"",IF(K90=Constants!$B$9, TRUE(), IF(K90=Constants!$B$10, FALSE(),  FALSE())))</f>
        <v/>
      </c>
      <c r="U90" s="85" t="str">
        <f aca="false">IF(ISBLANK($C90),"",AND(R90=Constants!$B$4, S90&lt;Constants!$B$6))</f>
        <v/>
      </c>
      <c r="V90" s="85" t="str">
        <f aca="false">IF(ISBLANK(C90), "", IF(T90, Constants!$B$11, IF(COUNTA(E90:K90)=0, Constants!$B$12, IF(NOT(AND(P90,S90&lt;&gt;0)), Constants!$B$13, IF(O90, Constants!$B$15, Constants!$B$14)))))</f>
        <v/>
      </c>
      <c r="W90" s="85" t="str">
        <f aca="false">IF(OR(ISBLANK($C90), SUMPRODUCT(--(P90:T90&lt;&gt;""))=0), "", IF(V90&lt;&gt;Constants!$B$14, V90, IF(AND(NOT(ISBLANK(J90)),P90,Q90,R90&lt;&gt;Constants!$B$2), Constants!$B$7, IF(AND(P90,OR(NOT(Q90),R90=Constants!$B$2)), Constants!$B$8, "Error"))))</f>
        <v/>
      </c>
      <c r="X90" s="87" t="str">
        <f aca="false">IF(OR(W90=Constants!$B$7,W90=Constants!$B$8), MAX(0, MIN(Constants!$B$6, S90))+IF(AND(R90=Constants!$B$4, NOT(U90)), Constants!$B$5, 0), "")</f>
        <v/>
      </c>
      <c r="Y90" s="85" t="str">
        <f aca="false">IF(ISBLANK($C90),"",IF(AND(ISNUMBER(X90),N90&gt;0),X90/N90, "") )</f>
        <v/>
      </c>
      <c r="Z90" s="85" t="str">
        <f aca="false">IF(AND(NOT(ISBLANK($C90)), W90=Constants!$B$7), Y90, "")</f>
        <v/>
      </c>
      <c r="AA90" s="85" t="str">
        <f aca="false">IF(ISNUMBER(Z90), RANK(Z90,Z$8:Z$507), "")</f>
        <v/>
      </c>
      <c r="AB90" s="85" t="str">
        <f aca="false">IF(AND(NOT(ISBLANK($C90)), W90=Constants!$B$8), Y90, "")</f>
        <v/>
      </c>
      <c r="AC90" s="85" t="str">
        <f aca="false">IF(ISNUMBER(AB90), RANK(AB90,AB$8:AB$507), "")</f>
        <v/>
      </c>
      <c r="AD90" s="85" t="str">
        <f aca="false">IF(ISBLANK($C90),"",IF(V90&lt;&gt;Constants!$B$14, V90, IF(W90=Constants!$B$7, AA90, IF(W90=Constants!$B$8, COUNT($AA$8:$AA$507) + AC90, ""))))</f>
        <v/>
      </c>
      <c r="AE90" s="85" t="str">
        <f aca="false">N90</f>
        <v/>
      </c>
      <c r="AF90" s="85" t="str">
        <f aca="false">IF(ISNUMBER(AE90), RANK(AE90,AE$8:AE$507,1), "")</f>
        <v/>
      </c>
      <c r="AG90" s="88" t="str">
        <f aca="false">IF(ISBLANK(C90), "", ABS(M90-S90))</f>
        <v/>
      </c>
      <c r="AH90" s="85" t="str">
        <f aca="false">IF(ISNUMBER(AG90), RANK(AG90,AG$8:AG$507,1), "")</f>
        <v/>
      </c>
      <c r="AI90" s="85" t="str">
        <f aca="false">IF(ISBLANK(C90),"",IF(V90&lt;&gt;Constants!$B$14, V90, RANK(AD90, AD$8:AD$507, 1)+ SUMPRODUCT(--(AD$8:AD$507=AD90),--(AF90&gt;AF$8:AF$507)) + SUMPRODUCT(--(AD$8:AD$507=AD90),--(AF90=AF$8:AF$507),--(AH90&gt;AH$8:AH$507))))</f>
        <v/>
      </c>
      <c r="AJ90" s="85" t="str">
        <f aca="false">IF(ISBLANK(C90),"",IF(V90&lt;&gt;Constants!$B$14, V90, AD90-AI90))</f>
        <v/>
      </c>
      <c r="AK90" s="89"/>
      <c r="AL90" s="90" t="str">
        <f aca="false">IF(ISBLANK($C90),"",IF($V90&lt;&gt;Constants!$B$14,$V90,X90))</f>
        <v/>
      </c>
      <c r="AM90" s="90" t="str">
        <f aca="false">IF(ISBLANK($C90),"",IF($V90&lt;&gt;Constants!$B$14,$V90,N90))</f>
        <v/>
      </c>
      <c r="AN90" s="91" t="str">
        <f aca="false">IF(ISBLANK(C90),"",IF(V90&lt;&gt;Constants!$B$14, V90, IF(W90=Constants!$B$7,Z90,IF(W90=Constants!$B$8,AB90,""))))</f>
        <v/>
      </c>
      <c r="AO90" s="92" t="str">
        <f aca="false">IF(ISBLANK(C90),"",W90)</f>
        <v/>
      </c>
      <c r="AP90" s="92" t="str">
        <f aca="false">IF(ISBLANK(C90),"",AJ90)</f>
        <v/>
      </c>
      <c r="AQ90" s="92" t="str">
        <f aca="false">IF(ISBLANK(C90),"",AI90)</f>
        <v/>
      </c>
      <c r="AR90" s="93" t="str">
        <f aca="false">IF(ISBLANK(C90),
  "",
IF(AQ90=Constants!$B$11,COUNTA($C$8:$C$507)+2,IF(AQ90=Constants!$B$12,COUNTA($C$8:$C$507)+1,IF(AQ90=Constants!$B$13,COUNTA($C$8:$C$507),AQ90))))</f>
        <v/>
      </c>
      <c r="AS90" s="3"/>
      <c r="AT90" s="94" t="n">
        <f aca="false">IF(OR(ISNUMBER(AQ90),AQ90="DQ",AQ90="P",AQ90="NS"),
    1,
    0
)</f>
        <v>0</v>
      </c>
      <c r="AU90" s="94" t="n">
        <v>83</v>
      </c>
      <c r="AV90" s="94" t="str">
        <f aca="false">IF(ISBLANK($C90),
    "",
   IF(ISNUMBER(AR90),AR90+ROW($B90)/1000,"")
)</f>
        <v/>
      </c>
      <c r="AW90" s="94" t="str">
        <f aca="false">IF(ISNUMBER(AV90), RANK(AV90,AV$8:AV$507,1), "")</f>
        <v/>
      </c>
      <c r="AX90" s="94" t="str">
        <f aca="false">IF(ISBLANK($C90),
    "",
    $B90
)</f>
        <v/>
      </c>
      <c r="AY90" s="94" t="str">
        <f aca="false">IF(ISBLANK($C90),
    "",
    $C90
)</f>
        <v/>
      </c>
      <c r="AZ90" s="94" t="str">
        <f aca="false">IF(ISBLANK($C90),
    "",
    $D90
)</f>
        <v/>
      </c>
      <c r="BA90" s="94" t="str">
        <f aca="false">AO90</f>
        <v/>
      </c>
      <c r="BB90" s="95" t="str">
        <f aca="false">AN90</f>
        <v/>
      </c>
      <c r="BC90" s="94" t="str">
        <f aca="false">IF(ISBLANK($C90),
    "",
    AQ90
)</f>
        <v/>
      </c>
      <c r="BD90" s="96" t="str">
        <f aca="false">IF(AU90&gt;AT$7,
    "",
    VLOOKUP(AU90,AW$8:BC$507,7,FALSE())
)</f>
        <v/>
      </c>
      <c r="BE90" s="97" t="str">
        <f aca="false">IF(AU90&gt;AT$7,
    "",
    VLOOKUP(AU90,AW$8:BC$507,2,FALSE())
)</f>
        <v/>
      </c>
      <c r="BF90" s="97" t="str">
        <f aca="false">IF(AU90&gt;AT$7,
    "",
    VLOOKUP(AU90,AW$8:BC$507,3,FALSE())
)</f>
        <v/>
      </c>
      <c r="BG90" s="97" t="str">
        <f aca="false">IF(AU90&gt;AT$7,
    "",
    VLOOKUP(AU90,AW$8:BC$507,4,FALSE())
)</f>
        <v/>
      </c>
      <c r="BH90" s="97" t="str">
        <f aca="false">IF(AU90&gt;AT$7,
    "",
    VLOOKUP(AU90,AW$8:BC$507,5,FALSE())
)</f>
        <v/>
      </c>
      <c r="BI90" s="98" t="str">
        <f aca="false">IF(AU90&gt;AT$7,
    "",
    VLOOKUP(AU90,AW$8:BC$507,6,FALSE())
)</f>
        <v/>
      </c>
      <c r="BJ90" s="46"/>
    </row>
    <row r="91" customFormat="false" ht="15.75" hidden="false" customHeight="false" outlineLevel="0" collapsed="false">
      <c r="A91" s="3"/>
      <c r="B91" s="105"/>
      <c r="C91" s="106"/>
      <c r="D91" s="99"/>
      <c r="E91" s="110"/>
      <c r="F91" s="107"/>
      <c r="G91" s="110"/>
      <c r="H91" s="103"/>
      <c r="I91" s="102"/>
      <c r="J91" s="103"/>
      <c r="K91" s="103"/>
      <c r="L91" s="85"/>
      <c r="M91" s="85" t="str">
        <f aca="false">IF(ISBLANK($C91),"",IF(ISBLANK(E91),0,E91))</f>
        <v/>
      </c>
      <c r="N91" s="85" t="str">
        <f aca="false">IF(ISBLANK($C91),"",IF(ISBLANK(F91),0,F91))</f>
        <v/>
      </c>
      <c r="O91" s="86" t="e">
        <f aca="false">IF(AND(NOT(ISBLANK($C91)),NOT($T91),COUNTA($E91:$K91)&gt;0),ISBLANK($F91),FALSE())</f>
        <v>#VALUE!</v>
      </c>
      <c r="P91" s="85" t="str">
        <f aca="false">IF(ISBLANK($C91),"",IF(G91=Constants!$B$9, TRUE(), IF(G91=Constants!$B$10, FALSE(), TRUE())))</f>
        <v/>
      </c>
      <c r="Q91" s="85" t="str">
        <f aca="false">IF(ISBLANK($C91),"",IF(H91=Constants!$B$9, TRUE(), IF(H91=Constants!$B$10, FALSE(), TRUE())))</f>
        <v/>
      </c>
      <c r="R91" s="85" t="str">
        <f aca="false">IF(ISBLANK($C91),"",IF(ISBLANK(I91),Constants!$B$3,I91))</f>
        <v/>
      </c>
      <c r="S91" s="85" t="str">
        <f aca="false">IF(ISBLANK($C91),"",IF(ISBLANK(J91),0,MIN(J91,Constants!$B$6)))</f>
        <v/>
      </c>
      <c r="T91" s="85" t="str">
        <f aca="false">IF(ISBLANK($C91),"",IF(K91=Constants!$B$9, TRUE(), IF(K91=Constants!$B$10, FALSE(),  FALSE())))</f>
        <v/>
      </c>
      <c r="U91" s="85" t="str">
        <f aca="false">IF(ISBLANK($C91),"",AND(R91=Constants!$B$4, S91&lt;Constants!$B$6))</f>
        <v/>
      </c>
      <c r="V91" s="85" t="str">
        <f aca="false">IF(ISBLANK(C91), "", IF(T91, Constants!$B$11, IF(COUNTA(E91:K91)=0, Constants!$B$12, IF(NOT(AND(P91,S91&lt;&gt;0)), Constants!$B$13, IF(O91, Constants!$B$15, Constants!$B$14)))))</f>
        <v/>
      </c>
      <c r="W91" s="85" t="str">
        <f aca="false">IF(OR(ISBLANK($C91), SUMPRODUCT(--(P91:T91&lt;&gt;""))=0), "", IF(V91&lt;&gt;Constants!$B$14, V91, IF(AND(NOT(ISBLANK(J91)),P91,Q91,R91&lt;&gt;Constants!$B$2), Constants!$B$7, IF(AND(P91,OR(NOT(Q91),R91=Constants!$B$2)), Constants!$B$8, "Error"))))</f>
        <v/>
      </c>
      <c r="X91" s="87" t="str">
        <f aca="false">IF(OR(W91=Constants!$B$7,W91=Constants!$B$8), MAX(0, MIN(Constants!$B$6, S91))+IF(AND(R91=Constants!$B$4, NOT(U91)), Constants!$B$5, 0), "")</f>
        <v/>
      </c>
      <c r="Y91" s="85" t="str">
        <f aca="false">IF(ISBLANK($C91),"",IF(AND(ISNUMBER(X91),N91&gt;0),X91/N91, "") )</f>
        <v/>
      </c>
      <c r="Z91" s="85" t="str">
        <f aca="false">IF(AND(NOT(ISBLANK($C91)), W91=Constants!$B$7), Y91, "")</f>
        <v/>
      </c>
      <c r="AA91" s="85" t="str">
        <f aca="false">IF(ISNUMBER(Z91), RANK(Z91,Z$8:Z$507), "")</f>
        <v/>
      </c>
      <c r="AB91" s="85" t="str">
        <f aca="false">IF(AND(NOT(ISBLANK($C91)), W91=Constants!$B$8), Y91, "")</f>
        <v/>
      </c>
      <c r="AC91" s="85" t="str">
        <f aca="false">IF(ISNUMBER(AB91), RANK(AB91,AB$8:AB$507), "")</f>
        <v/>
      </c>
      <c r="AD91" s="85" t="str">
        <f aca="false">IF(ISBLANK($C91),"",IF(V91&lt;&gt;Constants!$B$14, V91, IF(W91=Constants!$B$7, AA91, IF(W91=Constants!$B$8, COUNT($AA$8:$AA$507) + AC91, ""))))</f>
        <v/>
      </c>
      <c r="AE91" s="85" t="str">
        <f aca="false">N91</f>
        <v/>
      </c>
      <c r="AF91" s="85" t="str">
        <f aca="false">IF(ISNUMBER(AE91), RANK(AE91,AE$8:AE$507,1), "")</f>
        <v/>
      </c>
      <c r="AG91" s="88" t="str">
        <f aca="false">IF(ISBLANK(C91), "", ABS(M91-S91))</f>
        <v/>
      </c>
      <c r="AH91" s="85" t="str">
        <f aca="false">IF(ISNUMBER(AG91), RANK(AG91,AG$8:AG$507,1), "")</f>
        <v/>
      </c>
      <c r="AI91" s="85" t="str">
        <f aca="false">IF(ISBLANK(C91),"",IF(V91&lt;&gt;Constants!$B$14, V91, RANK(AD91, AD$8:AD$507, 1)+ SUMPRODUCT(--(AD$8:AD$507=AD91),--(AF91&gt;AF$8:AF$507)) + SUMPRODUCT(--(AD$8:AD$507=AD91),--(AF91=AF$8:AF$507),--(AH91&gt;AH$8:AH$507))))</f>
        <v/>
      </c>
      <c r="AJ91" s="85" t="str">
        <f aca="false">IF(ISBLANK(C91),"",IF(V91&lt;&gt;Constants!$B$14, V91, AD91-AI91))</f>
        <v/>
      </c>
      <c r="AK91" s="89"/>
      <c r="AL91" s="90" t="str">
        <f aca="false">IF(ISBLANK($C91),"",IF($V91&lt;&gt;Constants!$B$14,$V91,X91))</f>
        <v/>
      </c>
      <c r="AM91" s="90" t="str">
        <f aca="false">IF(ISBLANK($C91),"",IF($V91&lt;&gt;Constants!$B$14,$V91,N91))</f>
        <v/>
      </c>
      <c r="AN91" s="91" t="str">
        <f aca="false">IF(ISBLANK(C91),"",IF(V91&lt;&gt;Constants!$B$14, V91, IF(W91=Constants!$B$7,Z91,IF(W91=Constants!$B$8,AB91,""))))</f>
        <v/>
      </c>
      <c r="AO91" s="92" t="str">
        <f aca="false">IF(ISBLANK(C91),"",W91)</f>
        <v/>
      </c>
      <c r="AP91" s="92" t="str">
        <f aca="false">IF(ISBLANK(C91),"",AJ91)</f>
        <v/>
      </c>
      <c r="AQ91" s="92" t="str">
        <f aca="false">IF(ISBLANK(C91),"",AI91)</f>
        <v/>
      </c>
      <c r="AR91" s="93" t="str">
        <f aca="false">IF(ISBLANK(C91),
  "",
IF(AQ91=Constants!$B$11,COUNTA($C$8:$C$507)+2,IF(AQ91=Constants!$B$12,COUNTA($C$8:$C$507)+1,IF(AQ91=Constants!$B$13,COUNTA($C$8:$C$507),AQ91))))</f>
        <v/>
      </c>
      <c r="AS91" s="3"/>
      <c r="AT91" s="94" t="n">
        <f aca="false">IF(OR(ISNUMBER(AQ91),AQ91="DQ",AQ91="P",AQ91="NS"),
    1,
    0
)</f>
        <v>0</v>
      </c>
      <c r="AU91" s="94" t="n">
        <v>84</v>
      </c>
      <c r="AV91" s="94" t="str">
        <f aca="false">IF(ISBLANK($C91),
    "",
   IF(ISNUMBER(AR91),AR91+ROW($B91)/1000,"")
)</f>
        <v/>
      </c>
      <c r="AW91" s="94" t="str">
        <f aca="false">IF(ISNUMBER(AV91), RANK(AV91,AV$8:AV$507,1), "")</f>
        <v/>
      </c>
      <c r="AX91" s="94" t="str">
        <f aca="false">IF(ISBLANK($C91),
    "",
    $B91
)</f>
        <v/>
      </c>
      <c r="AY91" s="94" t="str">
        <f aca="false">IF(ISBLANK($C91),
    "",
    $C91
)</f>
        <v/>
      </c>
      <c r="AZ91" s="94" t="str">
        <f aca="false">IF(ISBLANK($C91),
    "",
    $D91
)</f>
        <v/>
      </c>
      <c r="BA91" s="94" t="str">
        <f aca="false">AO91</f>
        <v/>
      </c>
      <c r="BB91" s="95" t="str">
        <f aca="false">AN91</f>
        <v/>
      </c>
      <c r="BC91" s="94" t="str">
        <f aca="false">IF(ISBLANK($C91),
    "",
    AQ91
)</f>
        <v/>
      </c>
      <c r="BD91" s="96" t="str">
        <f aca="false">IF(AU91&gt;AT$7,
    "",
    VLOOKUP(AU91,AW$8:BC$507,7,FALSE())
)</f>
        <v/>
      </c>
      <c r="BE91" s="97" t="str">
        <f aca="false">IF(AU91&gt;AT$7,
    "",
    VLOOKUP(AU91,AW$8:BC$507,2,FALSE())
)</f>
        <v/>
      </c>
      <c r="BF91" s="97" t="str">
        <f aca="false">IF(AU91&gt;AT$7,
    "",
    VLOOKUP(AU91,AW$8:BC$507,3,FALSE())
)</f>
        <v/>
      </c>
      <c r="BG91" s="97" t="str">
        <f aca="false">IF(AU91&gt;AT$7,
    "",
    VLOOKUP(AU91,AW$8:BC$507,4,FALSE())
)</f>
        <v/>
      </c>
      <c r="BH91" s="97" t="str">
        <f aca="false">IF(AU91&gt;AT$7,
    "",
    VLOOKUP(AU91,AW$8:BC$507,5,FALSE())
)</f>
        <v/>
      </c>
      <c r="BI91" s="98" t="str">
        <f aca="false">IF(AU91&gt;AT$7,
    "",
    VLOOKUP(AU91,AW$8:BC$507,6,FALSE())
)</f>
        <v/>
      </c>
      <c r="BJ91" s="46"/>
    </row>
    <row r="92" customFormat="false" ht="15.75" hidden="false" customHeight="false" outlineLevel="0" collapsed="false">
      <c r="A92" s="3"/>
      <c r="B92" s="108"/>
      <c r="C92" s="70"/>
      <c r="D92" s="49"/>
      <c r="E92" s="109"/>
      <c r="F92" s="72"/>
      <c r="G92" s="109"/>
      <c r="H92" s="74"/>
      <c r="I92" s="104"/>
      <c r="J92" s="74"/>
      <c r="K92" s="74"/>
      <c r="L92" s="55"/>
      <c r="M92" s="55" t="str">
        <f aca="false">IF(ISBLANK($C92),"",IF(ISBLANK(E92),0,E92))</f>
        <v/>
      </c>
      <c r="N92" s="55" t="str">
        <f aca="false">IF(ISBLANK($C92),"",IF(ISBLANK(F92),0,F92))</f>
        <v/>
      </c>
      <c r="O92" s="55" t="e">
        <f aca="false">IF(AND(NOT(ISBLANK($C92)),NOT($T92),COUNTA($E92:$K92)&gt;0),ISBLANK($F92),FALSE())</f>
        <v>#VALUE!</v>
      </c>
      <c r="P92" s="55" t="str">
        <f aca="false">IF(ISBLANK($C92),"",IF(G92=Constants!$B$9, TRUE(), IF(G92=Constants!$B$10, FALSE(), TRUE())))</f>
        <v/>
      </c>
      <c r="Q92" s="55" t="str">
        <f aca="false">IF(ISBLANK($C92),"",IF(H92=Constants!$B$9, TRUE(), IF(H92=Constants!$B$10, FALSE(), TRUE())))</f>
        <v/>
      </c>
      <c r="R92" s="55" t="str">
        <f aca="false">IF(ISBLANK($C92),"",IF(ISBLANK(I92),Constants!$B$3,I92))</f>
        <v/>
      </c>
      <c r="S92" s="55" t="str">
        <f aca="false">IF(ISBLANK($C92),"",IF(ISBLANK(J92),0,MIN(J92,Constants!$B$6)))</f>
        <v/>
      </c>
      <c r="T92" s="55" t="str">
        <f aca="false">IF(ISBLANK($C92),"",IF(K92=Constants!$B$9, TRUE(), IF(K92=Constants!$B$10, FALSE(),  FALSE())))</f>
        <v/>
      </c>
      <c r="U92" s="55" t="str">
        <f aca="false">IF(ISBLANK($C92),"",AND(R92=Constants!$B$4, S92&lt;Constants!$B$6))</f>
        <v/>
      </c>
      <c r="V92" s="55" t="str">
        <f aca="false">IF(ISBLANK(C92), "", IF(T92, Constants!$B$11, IF(COUNTA(E92:K92)=0, Constants!$B$12, IF(NOT(AND(P92,S92&lt;&gt;0)), Constants!$B$13, IF(O92, Constants!$B$15, Constants!$B$14)))))</f>
        <v/>
      </c>
      <c r="W92" s="55" t="str">
        <f aca="false">IF(OR(ISBLANK($C92), SUMPRODUCT(--(P92:T92&lt;&gt;""))=0), "", IF(V92&lt;&gt;Constants!$B$14, V92, IF(AND(NOT(ISBLANK(J92)),P92,Q92,R92&lt;&gt;Constants!$B$2), Constants!$B$7, IF(AND(P92,OR(NOT(Q92),R92=Constants!$B$2)), Constants!$B$8, "Error"))))</f>
        <v/>
      </c>
      <c r="X92" s="56" t="str">
        <f aca="false">IF(OR(W92=Constants!$B$7,W92=Constants!$B$8), MAX(0, MIN(Constants!$B$6, S92))+IF(AND(R92=Constants!$B$4, NOT(U92)), Constants!$B$5, 0), "")</f>
        <v/>
      </c>
      <c r="Y92" s="55" t="str">
        <f aca="false">IF(ISBLANK($C92),"",IF(AND(ISNUMBER(X92),N92&gt;0),X92/N92, "") )</f>
        <v/>
      </c>
      <c r="Z92" s="55" t="str">
        <f aca="false">IF(AND(NOT(ISBLANK($C92)), W92=Constants!$B$7), Y92, "")</f>
        <v/>
      </c>
      <c r="AA92" s="55" t="str">
        <f aca="false">IF(ISNUMBER(Z92), RANK(Z92,Z$8:Z$507), "")</f>
        <v/>
      </c>
      <c r="AB92" s="55" t="str">
        <f aca="false">IF(AND(NOT(ISBLANK($C92)), W92=Constants!$B$8), Y92, "")</f>
        <v/>
      </c>
      <c r="AC92" s="55" t="str">
        <f aca="false">IF(ISNUMBER(AB92), RANK(AB92,AB$8:AB$507), "")</f>
        <v/>
      </c>
      <c r="AD92" s="55" t="str">
        <f aca="false">IF(ISBLANK($C92),"",IF(V92&lt;&gt;Constants!$B$14, V92, IF(W92=Constants!$B$7, AA92, IF(W92=Constants!$B$8, COUNT($AA$8:$AA$507) + AC92, ""))))</f>
        <v/>
      </c>
      <c r="AE92" s="55" t="str">
        <f aca="false">N92</f>
        <v/>
      </c>
      <c r="AF92" s="55" t="str">
        <f aca="false">IF(ISNUMBER(AE92), RANK(AE92,AE$8:AE$507,1), "")</f>
        <v/>
      </c>
      <c r="AG92" s="57" t="str">
        <f aca="false">IF(ISBLANK(C92), "", ABS(M92-S92))</f>
        <v/>
      </c>
      <c r="AH92" s="55" t="str">
        <f aca="false">IF(ISNUMBER(AG92), RANK(AG92,AG$8:AG$507,1), "")</f>
        <v/>
      </c>
      <c r="AI92" s="55" t="str">
        <f aca="false">IF(ISBLANK(C92),"",IF(V92&lt;&gt;Constants!$B$14, V92, RANK(AD92, AD$8:AD$507, 1)+ SUMPRODUCT(--(AD$8:AD$507=AD92),--(AF92&gt;AF$8:AF$507)) + SUMPRODUCT(--(AD$8:AD$507=AD92),--(AF92=AF$8:AF$507),--(AH92&gt;AH$8:AH$507))))</f>
        <v/>
      </c>
      <c r="AJ92" s="55" t="str">
        <f aca="false">IF(ISBLANK(C92),"",IF(V92&lt;&gt;Constants!$B$14, V92, AD92-AI92))</f>
        <v/>
      </c>
      <c r="AK92" s="59"/>
      <c r="AL92" s="60" t="str">
        <f aca="false">IF(ISBLANK($C92),"",IF($V92&lt;&gt;Constants!$B$14,$V92,X92))</f>
        <v/>
      </c>
      <c r="AM92" s="60" t="str">
        <f aca="false">IF(ISBLANK($C92),"",IF($V92&lt;&gt;Constants!$B$14,$V92,N92))</f>
        <v/>
      </c>
      <c r="AN92" s="62" t="str">
        <f aca="false">IF(ISBLANK(C92),"",IF(V92&lt;&gt;Constants!$B$14, V92, IF(W92=Constants!$B$7,Z92,IF(W92=Constants!$B$8,AB92,""))))</f>
        <v/>
      </c>
      <c r="AO92" s="63" t="str">
        <f aca="false">IF(ISBLANK(C92),"",W92)</f>
        <v/>
      </c>
      <c r="AP92" s="63" t="str">
        <f aca="false">IF(ISBLANK(C92),"",AJ92)</f>
        <v/>
      </c>
      <c r="AQ92" s="63" t="str">
        <f aca="false">IF(ISBLANK(C92),"",AI92)</f>
        <v/>
      </c>
      <c r="AR92" s="64" t="str">
        <f aca="false">IF(ISBLANK(C92),
  "",
IF(AQ92=Constants!$B$11,COUNTA($C$8:$C$507)+2,IF(AQ92=Constants!$B$12,COUNTA($C$8:$C$507)+1,IF(AQ92=Constants!$B$13,COUNTA($C$8:$C$507),AQ92))))</f>
        <v/>
      </c>
      <c r="AS92" s="3"/>
      <c r="AT92" s="65" t="n">
        <f aca="false">IF(OR(ISNUMBER(AQ92),AQ92="DQ",AQ92="P",AQ92="NS"),
    1,
    0
)</f>
        <v>0</v>
      </c>
      <c r="AU92" s="65" t="n">
        <v>85</v>
      </c>
      <c r="AV92" s="65" t="str">
        <f aca="false">IF(ISBLANK($C92),
    "",
   IF(ISNUMBER(AR92),AR92+ROW($B92)/1000,"")
)</f>
        <v/>
      </c>
      <c r="AW92" s="65" t="str">
        <f aca="false">IF(ISNUMBER(AV92), RANK(AV92,AV$8:AV$507,1), "")</f>
        <v/>
      </c>
      <c r="AX92" s="65" t="str">
        <f aca="false">IF(ISBLANK($C92),
    "",
    $B92
)</f>
        <v/>
      </c>
      <c r="AY92" s="65" t="str">
        <f aca="false">IF(ISBLANK($C92),
    "",
    $C92
)</f>
        <v/>
      </c>
      <c r="AZ92" s="65" t="str">
        <f aca="false">IF(ISBLANK($C92),
    "",
    $D92
)</f>
        <v/>
      </c>
      <c r="BA92" s="65" t="str">
        <f aca="false">AO92</f>
        <v/>
      </c>
      <c r="BB92" s="66" t="str">
        <f aca="false">AN92</f>
        <v/>
      </c>
      <c r="BC92" s="65" t="str">
        <f aca="false">IF(ISBLANK($C92),
    "",
    AQ92
)</f>
        <v/>
      </c>
      <c r="BD92" s="67" t="str">
        <f aca="false">IF(AU92&gt;AT$7,
    "",
    VLOOKUP(AU92,AW$8:BC$507,7,FALSE())
)</f>
        <v/>
      </c>
      <c r="BE92" s="68" t="str">
        <f aca="false">IF(AU92&gt;AT$7,
    "",
    VLOOKUP(AU92,AW$8:BC$507,2,FALSE())
)</f>
        <v/>
      </c>
      <c r="BF92" s="68" t="str">
        <f aca="false">IF(AU92&gt;AT$7,
    "",
    VLOOKUP(AU92,AW$8:BC$507,3,FALSE())
)</f>
        <v/>
      </c>
      <c r="BG92" s="68" t="str">
        <f aca="false">IF(AU92&gt;AT$7,
    "",
    VLOOKUP(AU92,AW$8:BC$507,4,FALSE())
)</f>
        <v/>
      </c>
      <c r="BH92" s="68" t="str">
        <f aca="false">IF(AU92&gt;AT$7,
    "",
    VLOOKUP(AU92,AW$8:BC$507,5,FALSE())
)</f>
        <v/>
      </c>
      <c r="BI92" s="69" t="str">
        <f aca="false">IF(AU92&gt;AT$7,
    "",
    VLOOKUP(AU92,AW$8:BC$507,6,FALSE())
)</f>
        <v/>
      </c>
      <c r="BJ92" s="46"/>
    </row>
    <row r="93" customFormat="false" ht="15.75" hidden="false" customHeight="false" outlineLevel="0" collapsed="false">
      <c r="A93" s="3"/>
      <c r="B93" s="108"/>
      <c r="C93" s="70"/>
      <c r="D93" s="49"/>
      <c r="E93" s="109"/>
      <c r="F93" s="72"/>
      <c r="G93" s="109"/>
      <c r="H93" s="74"/>
      <c r="I93" s="104"/>
      <c r="J93" s="74"/>
      <c r="K93" s="74"/>
      <c r="L93" s="55"/>
      <c r="M93" s="55" t="str">
        <f aca="false">IF(ISBLANK($C93),"",IF(ISBLANK(E93),0,E93))</f>
        <v/>
      </c>
      <c r="N93" s="55" t="str">
        <f aca="false">IF(ISBLANK($C93),"",IF(ISBLANK(F93),0,F93))</f>
        <v/>
      </c>
      <c r="O93" s="55" t="e">
        <f aca="false">IF(AND(NOT(ISBLANK($C93)),NOT($T93),COUNTA($E93:$K93)&gt;0),ISBLANK($F93),FALSE())</f>
        <v>#VALUE!</v>
      </c>
      <c r="P93" s="55" t="str">
        <f aca="false">IF(ISBLANK($C93),"",IF(G93=Constants!$B$9, TRUE(), IF(G93=Constants!$B$10, FALSE(), TRUE())))</f>
        <v/>
      </c>
      <c r="Q93" s="55" t="str">
        <f aca="false">IF(ISBLANK($C93),"",IF(H93=Constants!$B$9, TRUE(), IF(H93=Constants!$B$10, FALSE(), TRUE())))</f>
        <v/>
      </c>
      <c r="R93" s="55" t="str">
        <f aca="false">IF(ISBLANK($C93),"",IF(ISBLANK(I93),Constants!$B$3,I93))</f>
        <v/>
      </c>
      <c r="S93" s="55" t="str">
        <f aca="false">IF(ISBLANK($C93),"",IF(ISBLANK(J93),0,MIN(J93,Constants!$B$6)))</f>
        <v/>
      </c>
      <c r="T93" s="55" t="str">
        <f aca="false">IF(ISBLANK($C93),"",IF(K93=Constants!$B$9, TRUE(), IF(K93=Constants!$B$10, FALSE(),  FALSE())))</f>
        <v/>
      </c>
      <c r="U93" s="55" t="str">
        <f aca="false">IF(ISBLANK($C93),"",AND(R93=Constants!$B$4, S93&lt;Constants!$B$6))</f>
        <v/>
      </c>
      <c r="V93" s="55" t="str">
        <f aca="false">IF(ISBLANK(C93), "", IF(T93, Constants!$B$11, IF(COUNTA(E93:K93)=0, Constants!$B$12, IF(NOT(AND(P93,S93&lt;&gt;0)), Constants!$B$13, IF(O93, Constants!$B$15, Constants!$B$14)))))</f>
        <v/>
      </c>
      <c r="W93" s="55" t="str">
        <f aca="false">IF(OR(ISBLANK($C93), SUMPRODUCT(--(P93:T93&lt;&gt;""))=0), "", IF(V93&lt;&gt;Constants!$B$14, V93, IF(AND(NOT(ISBLANK(J93)),P93,Q93,R93&lt;&gt;Constants!$B$2), Constants!$B$7, IF(AND(P93,OR(NOT(Q93),R93=Constants!$B$2)), Constants!$B$8, "Error"))))</f>
        <v/>
      </c>
      <c r="X93" s="56" t="str">
        <f aca="false">IF(OR(W93=Constants!$B$7,W93=Constants!$B$8), MAX(0, MIN(Constants!$B$6, S93))+IF(AND(R93=Constants!$B$4, NOT(U93)), Constants!$B$5, 0), "")</f>
        <v/>
      </c>
      <c r="Y93" s="55" t="str">
        <f aca="false">IF(ISBLANK($C93),"",IF(AND(ISNUMBER(X93),N93&gt;0),X93/N93, "") )</f>
        <v/>
      </c>
      <c r="Z93" s="55" t="str">
        <f aca="false">IF(AND(NOT(ISBLANK($C93)), W93=Constants!$B$7), Y93, "")</f>
        <v/>
      </c>
      <c r="AA93" s="55" t="str">
        <f aca="false">IF(ISNUMBER(Z93), RANK(Z93,Z$8:Z$507), "")</f>
        <v/>
      </c>
      <c r="AB93" s="55" t="str">
        <f aca="false">IF(AND(NOT(ISBLANK($C93)), W93=Constants!$B$8), Y93, "")</f>
        <v/>
      </c>
      <c r="AC93" s="55" t="str">
        <f aca="false">IF(ISNUMBER(AB93), RANK(AB93,AB$8:AB$507), "")</f>
        <v/>
      </c>
      <c r="AD93" s="55" t="str">
        <f aca="false">IF(ISBLANK($C93),"",IF(V93&lt;&gt;Constants!$B$14, V93, IF(W93=Constants!$B$7, AA93, IF(W93=Constants!$B$8, COUNT($AA$8:$AA$507) + AC93, ""))))</f>
        <v/>
      </c>
      <c r="AE93" s="55" t="str">
        <f aca="false">N93</f>
        <v/>
      </c>
      <c r="AF93" s="55" t="str">
        <f aca="false">IF(ISNUMBER(AE93), RANK(AE93,AE$8:AE$507,1), "")</f>
        <v/>
      </c>
      <c r="AG93" s="57" t="str">
        <f aca="false">IF(ISBLANK(C93), "", ABS(M93-S93))</f>
        <v/>
      </c>
      <c r="AH93" s="55" t="str">
        <f aca="false">IF(ISNUMBER(AG93), RANK(AG93,AG$8:AG$507,1), "")</f>
        <v/>
      </c>
      <c r="AI93" s="55" t="str">
        <f aca="false">IF(ISBLANK(C93),"",IF(V93&lt;&gt;Constants!$B$14, V93, RANK(AD93, AD$8:AD$507, 1)+ SUMPRODUCT(--(AD$8:AD$507=AD93),--(AF93&gt;AF$8:AF$507)) + SUMPRODUCT(--(AD$8:AD$507=AD93),--(AF93=AF$8:AF$507),--(AH93&gt;AH$8:AH$507))))</f>
        <v/>
      </c>
      <c r="AJ93" s="55" t="str">
        <f aca="false">IF(ISBLANK(C93),"",IF(V93&lt;&gt;Constants!$B$14, V93, AD93-AI93))</f>
        <v/>
      </c>
      <c r="AK93" s="59"/>
      <c r="AL93" s="60" t="str">
        <f aca="false">IF(ISBLANK($C93),"",IF($V93&lt;&gt;Constants!$B$14,$V93,X93))</f>
        <v/>
      </c>
      <c r="AM93" s="60" t="str">
        <f aca="false">IF(ISBLANK($C93),"",IF($V93&lt;&gt;Constants!$B$14,$V93,N93))</f>
        <v/>
      </c>
      <c r="AN93" s="62" t="str">
        <f aca="false">IF(ISBLANK(C93),"",IF(V93&lt;&gt;Constants!$B$14, V93, IF(W93=Constants!$B$7,Z93,IF(W93=Constants!$B$8,AB93,""))))</f>
        <v/>
      </c>
      <c r="AO93" s="63" t="str">
        <f aca="false">IF(ISBLANK(C93),"",W93)</f>
        <v/>
      </c>
      <c r="AP93" s="63" t="str">
        <f aca="false">IF(ISBLANK(C93),"",AJ93)</f>
        <v/>
      </c>
      <c r="AQ93" s="63" t="str">
        <f aca="false">IF(ISBLANK(C93),"",AI93)</f>
        <v/>
      </c>
      <c r="AR93" s="64" t="str">
        <f aca="false">IF(ISBLANK(C93),
  "",
IF(AQ93=Constants!$B$11,COUNTA($C$8:$C$507)+2,IF(AQ93=Constants!$B$12,COUNTA($C$8:$C$507)+1,IF(AQ93=Constants!$B$13,COUNTA($C$8:$C$507),AQ93))))</f>
        <v/>
      </c>
      <c r="AS93" s="3"/>
      <c r="AT93" s="65" t="n">
        <f aca="false">IF(OR(ISNUMBER(AQ93),AQ93="DQ",AQ93="P",AQ93="NS"),
    1,
    0
)</f>
        <v>0</v>
      </c>
      <c r="AU93" s="65" t="n">
        <v>86</v>
      </c>
      <c r="AV93" s="65" t="str">
        <f aca="false">IF(ISBLANK($C93),
    "",
   IF(ISNUMBER(AR93),AR93+ROW($B93)/1000,"")
)</f>
        <v/>
      </c>
      <c r="AW93" s="65" t="str">
        <f aca="false">IF(ISNUMBER(AV93), RANK(AV93,AV$8:AV$507,1), "")</f>
        <v/>
      </c>
      <c r="AX93" s="65" t="str">
        <f aca="false">IF(ISBLANK($C93),
    "",
    $B93
)</f>
        <v/>
      </c>
      <c r="AY93" s="65" t="str">
        <f aca="false">IF(ISBLANK($C93),
    "",
    $C93
)</f>
        <v/>
      </c>
      <c r="AZ93" s="65" t="str">
        <f aca="false">IF(ISBLANK($C93),
    "",
    $D93
)</f>
        <v/>
      </c>
      <c r="BA93" s="65" t="str">
        <f aca="false">AO93</f>
        <v/>
      </c>
      <c r="BB93" s="66" t="str">
        <f aca="false">AN93</f>
        <v/>
      </c>
      <c r="BC93" s="65" t="str">
        <f aca="false">IF(ISBLANK($C93),
    "",
    AQ93
)</f>
        <v/>
      </c>
      <c r="BD93" s="67" t="str">
        <f aca="false">IF(AU93&gt;AT$7,
    "",
    VLOOKUP(AU93,AW$8:BC$507,7,FALSE())
)</f>
        <v/>
      </c>
      <c r="BE93" s="68" t="str">
        <f aca="false">IF(AU93&gt;AT$7,
    "",
    VLOOKUP(AU93,AW$8:BC$507,2,FALSE())
)</f>
        <v/>
      </c>
      <c r="BF93" s="68" t="str">
        <f aca="false">IF(AU93&gt;AT$7,
    "",
    VLOOKUP(AU93,AW$8:BC$507,3,FALSE())
)</f>
        <v/>
      </c>
      <c r="BG93" s="68" t="str">
        <f aca="false">IF(AU93&gt;AT$7,
    "",
    VLOOKUP(AU93,AW$8:BC$507,4,FALSE())
)</f>
        <v/>
      </c>
      <c r="BH93" s="68" t="str">
        <f aca="false">IF(AU93&gt;AT$7,
    "",
    VLOOKUP(AU93,AW$8:BC$507,5,FALSE())
)</f>
        <v/>
      </c>
      <c r="BI93" s="69" t="str">
        <f aca="false">IF(AU93&gt;AT$7,
    "",
    VLOOKUP(AU93,AW$8:BC$507,6,FALSE())
)</f>
        <v/>
      </c>
      <c r="BJ93" s="46"/>
    </row>
    <row r="94" customFormat="false" ht="15.75" hidden="false" customHeight="false" outlineLevel="0" collapsed="false">
      <c r="A94" s="3"/>
      <c r="B94" s="108"/>
      <c r="C94" s="70"/>
      <c r="D94" s="49"/>
      <c r="E94" s="109"/>
      <c r="F94" s="72"/>
      <c r="G94" s="109"/>
      <c r="H94" s="74"/>
      <c r="I94" s="104"/>
      <c r="J94" s="74"/>
      <c r="K94" s="74"/>
      <c r="L94" s="55"/>
      <c r="M94" s="55" t="str">
        <f aca="false">IF(ISBLANK($C94),"",IF(ISBLANK(E94),0,E94))</f>
        <v/>
      </c>
      <c r="N94" s="55" t="str">
        <f aca="false">IF(ISBLANK($C94),"",IF(ISBLANK(F94),0,F94))</f>
        <v/>
      </c>
      <c r="O94" s="55" t="e">
        <f aca="false">IF(AND(NOT(ISBLANK($C94)),NOT($T94),COUNTA($E94:$K94)&gt;0),ISBLANK($F94),FALSE())</f>
        <v>#VALUE!</v>
      </c>
      <c r="P94" s="55" t="str">
        <f aca="false">IF(ISBLANK($C94),"",IF(G94=Constants!$B$9, TRUE(), IF(G94=Constants!$B$10, FALSE(), TRUE())))</f>
        <v/>
      </c>
      <c r="Q94" s="55" t="str">
        <f aca="false">IF(ISBLANK($C94),"",IF(H94=Constants!$B$9, TRUE(), IF(H94=Constants!$B$10, FALSE(), TRUE())))</f>
        <v/>
      </c>
      <c r="R94" s="55" t="str">
        <f aca="false">IF(ISBLANK($C94),"",IF(ISBLANK(I94),Constants!$B$3,I94))</f>
        <v/>
      </c>
      <c r="S94" s="55" t="str">
        <f aca="false">IF(ISBLANK($C94),"",IF(ISBLANK(J94),0,MIN(J94,Constants!$B$6)))</f>
        <v/>
      </c>
      <c r="T94" s="55" t="str">
        <f aca="false">IF(ISBLANK($C94),"",IF(K94=Constants!$B$9, TRUE(), IF(K94=Constants!$B$10, FALSE(),  FALSE())))</f>
        <v/>
      </c>
      <c r="U94" s="55" t="str">
        <f aca="false">IF(ISBLANK($C94),"",AND(R94=Constants!$B$4, S94&lt;Constants!$B$6))</f>
        <v/>
      </c>
      <c r="V94" s="55" t="str">
        <f aca="false">IF(ISBLANK(C94), "", IF(T94, Constants!$B$11, IF(COUNTA(E94:K94)=0, Constants!$B$12, IF(NOT(AND(P94,S94&lt;&gt;0)), Constants!$B$13, IF(O94, Constants!$B$15, Constants!$B$14)))))</f>
        <v/>
      </c>
      <c r="W94" s="55" t="str">
        <f aca="false">IF(OR(ISBLANK($C94), SUMPRODUCT(--(P94:T94&lt;&gt;""))=0), "", IF(V94&lt;&gt;Constants!$B$14, V94, IF(AND(NOT(ISBLANK(J94)),P94,Q94,R94&lt;&gt;Constants!$B$2), Constants!$B$7, IF(AND(P94,OR(NOT(Q94),R94=Constants!$B$2)), Constants!$B$8, "Error"))))</f>
        <v/>
      </c>
      <c r="X94" s="56" t="str">
        <f aca="false">IF(OR(W94=Constants!$B$7,W94=Constants!$B$8), MAX(0, MIN(Constants!$B$6, S94))+IF(AND(R94=Constants!$B$4, NOT(U94)), Constants!$B$5, 0), "")</f>
        <v/>
      </c>
      <c r="Y94" s="55" t="str">
        <f aca="false">IF(ISBLANK($C94),"",IF(AND(ISNUMBER(X94),N94&gt;0),X94/N94, "") )</f>
        <v/>
      </c>
      <c r="Z94" s="55" t="str">
        <f aca="false">IF(AND(NOT(ISBLANK($C94)), W94=Constants!$B$7), Y94, "")</f>
        <v/>
      </c>
      <c r="AA94" s="55" t="str">
        <f aca="false">IF(ISNUMBER(Z94), RANK(Z94,Z$8:Z$507), "")</f>
        <v/>
      </c>
      <c r="AB94" s="55" t="str">
        <f aca="false">IF(AND(NOT(ISBLANK($C94)), W94=Constants!$B$8), Y94, "")</f>
        <v/>
      </c>
      <c r="AC94" s="55" t="str">
        <f aca="false">IF(ISNUMBER(AB94), RANK(AB94,AB$8:AB$507), "")</f>
        <v/>
      </c>
      <c r="AD94" s="55" t="str">
        <f aca="false">IF(ISBLANK($C94),"",IF(V94&lt;&gt;Constants!$B$14, V94, IF(W94=Constants!$B$7, AA94, IF(W94=Constants!$B$8, COUNT($AA$8:$AA$507) + AC94, ""))))</f>
        <v/>
      </c>
      <c r="AE94" s="55" t="str">
        <f aca="false">N94</f>
        <v/>
      </c>
      <c r="AF94" s="55" t="str">
        <f aca="false">IF(ISNUMBER(AE94), RANK(AE94,AE$8:AE$507,1), "")</f>
        <v/>
      </c>
      <c r="AG94" s="57" t="str">
        <f aca="false">IF(ISBLANK(C94), "", ABS(M94-S94))</f>
        <v/>
      </c>
      <c r="AH94" s="55" t="str">
        <f aca="false">IF(ISNUMBER(AG94), RANK(AG94,AG$8:AG$507,1), "")</f>
        <v/>
      </c>
      <c r="AI94" s="55" t="str">
        <f aca="false">IF(ISBLANK(C94),"",IF(V94&lt;&gt;Constants!$B$14, V94, RANK(AD94, AD$8:AD$507, 1)+ SUMPRODUCT(--(AD$8:AD$507=AD94),--(AF94&gt;AF$8:AF$507)) + SUMPRODUCT(--(AD$8:AD$507=AD94),--(AF94=AF$8:AF$507),--(AH94&gt;AH$8:AH$507))))</f>
        <v/>
      </c>
      <c r="AJ94" s="55" t="str">
        <f aca="false">IF(ISBLANK(C94),"",IF(V94&lt;&gt;Constants!$B$14, V94, AD94-AI94))</f>
        <v/>
      </c>
      <c r="AK94" s="59"/>
      <c r="AL94" s="60" t="str">
        <f aca="false">IF(ISBLANK($C94),"",IF($V94&lt;&gt;Constants!$B$14,$V94,X94))</f>
        <v/>
      </c>
      <c r="AM94" s="60" t="str">
        <f aca="false">IF(ISBLANK($C94),"",IF($V94&lt;&gt;Constants!$B$14,$V94,N94))</f>
        <v/>
      </c>
      <c r="AN94" s="62" t="str">
        <f aca="false">IF(ISBLANK(C94),"",IF(V94&lt;&gt;Constants!$B$14, V94, IF(W94=Constants!$B$7,Z94,IF(W94=Constants!$B$8,AB94,""))))</f>
        <v/>
      </c>
      <c r="AO94" s="63" t="str">
        <f aca="false">IF(ISBLANK(C94),"",W94)</f>
        <v/>
      </c>
      <c r="AP94" s="63" t="str">
        <f aca="false">IF(ISBLANK(C94),"",AJ94)</f>
        <v/>
      </c>
      <c r="AQ94" s="63" t="str">
        <f aca="false">IF(ISBLANK(C94),"",AI94)</f>
        <v/>
      </c>
      <c r="AR94" s="64" t="str">
        <f aca="false">IF(ISBLANK(C94),
  "",
IF(AQ94=Constants!$B$11,COUNTA($C$8:$C$507)+2,IF(AQ94=Constants!$B$12,COUNTA($C$8:$C$507)+1,IF(AQ94=Constants!$B$13,COUNTA($C$8:$C$507),AQ94))))</f>
        <v/>
      </c>
      <c r="AS94" s="3"/>
      <c r="AT94" s="65" t="n">
        <f aca="false">IF(OR(ISNUMBER(AQ94),AQ94="DQ",AQ94="P",AQ94="NS"),
    1,
    0
)</f>
        <v>0</v>
      </c>
      <c r="AU94" s="65" t="n">
        <v>87</v>
      </c>
      <c r="AV94" s="65" t="str">
        <f aca="false">IF(ISBLANK($C94),
    "",
   IF(ISNUMBER(AR94),AR94+ROW($B94)/1000,"")
)</f>
        <v/>
      </c>
      <c r="AW94" s="65" t="str">
        <f aca="false">IF(ISNUMBER(AV94), RANK(AV94,AV$8:AV$507,1), "")</f>
        <v/>
      </c>
      <c r="AX94" s="65" t="str">
        <f aca="false">IF(ISBLANK($C94),
    "",
    $B94
)</f>
        <v/>
      </c>
      <c r="AY94" s="65" t="str">
        <f aca="false">IF(ISBLANK($C94),
    "",
    $C94
)</f>
        <v/>
      </c>
      <c r="AZ94" s="65" t="str">
        <f aca="false">IF(ISBLANK($C94),
    "",
    $D94
)</f>
        <v/>
      </c>
      <c r="BA94" s="65" t="str">
        <f aca="false">AO94</f>
        <v/>
      </c>
      <c r="BB94" s="66" t="str">
        <f aca="false">AN94</f>
        <v/>
      </c>
      <c r="BC94" s="65" t="str">
        <f aca="false">IF(ISBLANK($C94),
    "",
    AQ94
)</f>
        <v/>
      </c>
      <c r="BD94" s="67" t="str">
        <f aca="false">IF(AU94&gt;AT$7,
    "",
    VLOOKUP(AU94,AW$8:BC$507,7,FALSE())
)</f>
        <v/>
      </c>
      <c r="BE94" s="68" t="str">
        <f aca="false">IF(AU94&gt;AT$7,
    "",
    VLOOKUP(AU94,AW$8:BC$507,2,FALSE())
)</f>
        <v/>
      </c>
      <c r="BF94" s="68" t="str">
        <f aca="false">IF(AU94&gt;AT$7,
    "",
    VLOOKUP(AU94,AW$8:BC$507,3,FALSE())
)</f>
        <v/>
      </c>
      <c r="BG94" s="68" t="str">
        <f aca="false">IF(AU94&gt;AT$7,
    "",
    VLOOKUP(AU94,AW$8:BC$507,4,FALSE())
)</f>
        <v/>
      </c>
      <c r="BH94" s="68" t="str">
        <f aca="false">IF(AU94&gt;AT$7,
    "",
    VLOOKUP(AU94,AW$8:BC$507,5,FALSE())
)</f>
        <v/>
      </c>
      <c r="BI94" s="69" t="str">
        <f aca="false">IF(AU94&gt;AT$7,
    "",
    VLOOKUP(AU94,AW$8:BC$507,6,FALSE())
)</f>
        <v/>
      </c>
      <c r="BJ94" s="46"/>
    </row>
    <row r="95" customFormat="false" ht="15.75" hidden="false" customHeight="false" outlineLevel="0" collapsed="false">
      <c r="A95" s="3"/>
      <c r="B95" s="105"/>
      <c r="C95" s="106"/>
      <c r="D95" s="99"/>
      <c r="E95" s="110"/>
      <c r="F95" s="107"/>
      <c r="G95" s="110"/>
      <c r="H95" s="103"/>
      <c r="I95" s="102"/>
      <c r="J95" s="103"/>
      <c r="K95" s="103"/>
      <c r="L95" s="85"/>
      <c r="M95" s="85" t="str">
        <f aca="false">IF(ISBLANK($C95),"",IF(ISBLANK(E95),0,E95))</f>
        <v/>
      </c>
      <c r="N95" s="85" t="str">
        <f aca="false">IF(ISBLANK($C95),"",IF(ISBLANK(F95),0,F95))</f>
        <v/>
      </c>
      <c r="O95" s="86" t="e">
        <f aca="false">IF(AND(NOT(ISBLANK($C95)),NOT($T95),COUNTA($E95:$K95)&gt;0),ISBLANK($F95),FALSE())</f>
        <v>#VALUE!</v>
      </c>
      <c r="P95" s="85" t="str">
        <f aca="false">IF(ISBLANK($C95),"",IF(G95=Constants!$B$9, TRUE(), IF(G95=Constants!$B$10, FALSE(), TRUE())))</f>
        <v/>
      </c>
      <c r="Q95" s="85" t="str">
        <f aca="false">IF(ISBLANK($C95),"",IF(H95=Constants!$B$9, TRUE(), IF(H95=Constants!$B$10, FALSE(), TRUE())))</f>
        <v/>
      </c>
      <c r="R95" s="85" t="str">
        <f aca="false">IF(ISBLANK($C95),"",IF(ISBLANK(I95),Constants!$B$3,I95))</f>
        <v/>
      </c>
      <c r="S95" s="85" t="str">
        <f aca="false">IF(ISBLANK($C95),"",IF(ISBLANK(J95),0,MIN(J95,Constants!$B$6)))</f>
        <v/>
      </c>
      <c r="T95" s="85" t="str">
        <f aca="false">IF(ISBLANK($C95),"",IF(K95=Constants!$B$9, TRUE(), IF(K95=Constants!$B$10, FALSE(),  FALSE())))</f>
        <v/>
      </c>
      <c r="U95" s="85" t="str">
        <f aca="false">IF(ISBLANK($C95),"",AND(R95=Constants!$B$4, S95&lt;Constants!$B$6))</f>
        <v/>
      </c>
      <c r="V95" s="85" t="str">
        <f aca="false">IF(ISBLANK(C95), "", IF(T95, Constants!$B$11, IF(COUNTA(E95:K95)=0, Constants!$B$12, IF(NOT(AND(P95,S95&lt;&gt;0)), Constants!$B$13, IF(O95, Constants!$B$15, Constants!$B$14)))))</f>
        <v/>
      </c>
      <c r="W95" s="85" t="str">
        <f aca="false">IF(OR(ISBLANK($C95), SUMPRODUCT(--(P95:T95&lt;&gt;""))=0), "", IF(V95&lt;&gt;Constants!$B$14, V95, IF(AND(NOT(ISBLANK(J95)),P95,Q95,R95&lt;&gt;Constants!$B$2), Constants!$B$7, IF(AND(P95,OR(NOT(Q95),R95=Constants!$B$2)), Constants!$B$8, "Error"))))</f>
        <v/>
      </c>
      <c r="X95" s="87" t="str">
        <f aca="false">IF(OR(W95=Constants!$B$7,W95=Constants!$B$8), MAX(0, MIN(Constants!$B$6, S95))+IF(AND(R95=Constants!$B$4, NOT(U95)), Constants!$B$5, 0), "")</f>
        <v/>
      </c>
      <c r="Y95" s="85" t="str">
        <f aca="false">IF(ISBLANK($C95),"",IF(AND(ISNUMBER(X95),N95&gt;0),X95/N95, "") )</f>
        <v/>
      </c>
      <c r="Z95" s="85" t="str">
        <f aca="false">IF(AND(NOT(ISBLANK($C95)), W95=Constants!$B$7), Y95, "")</f>
        <v/>
      </c>
      <c r="AA95" s="85" t="str">
        <f aca="false">IF(ISNUMBER(Z95), RANK(Z95,Z$8:Z$507), "")</f>
        <v/>
      </c>
      <c r="AB95" s="85" t="str">
        <f aca="false">IF(AND(NOT(ISBLANK($C95)), W95=Constants!$B$8), Y95, "")</f>
        <v/>
      </c>
      <c r="AC95" s="85" t="str">
        <f aca="false">IF(ISNUMBER(AB95), RANK(AB95,AB$8:AB$507), "")</f>
        <v/>
      </c>
      <c r="AD95" s="85" t="str">
        <f aca="false">IF(ISBLANK($C95),"",IF(V95&lt;&gt;Constants!$B$14, V95, IF(W95=Constants!$B$7, AA95, IF(W95=Constants!$B$8, COUNT($AA$8:$AA$507) + AC95, ""))))</f>
        <v/>
      </c>
      <c r="AE95" s="85" t="str">
        <f aca="false">N95</f>
        <v/>
      </c>
      <c r="AF95" s="85" t="str">
        <f aca="false">IF(ISNUMBER(AE95), RANK(AE95,AE$8:AE$507,1), "")</f>
        <v/>
      </c>
      <c r="AG95" s="88" t="str">
        <f aca="false">IF(ISBLANK(C95), "", ABS(M95-S95))</f>
        <v/>
      </c>
      <c r="AH95" s="85" t="str">
        <f aca="false">IF(ISNUMBER(AG95), RANK(AG95,AG$8:AG$507,1), "")</f>
        <v/>
      </c>
      <c r="AI95" s="85" t="str">
        <f aca="false">IF(ISBLANK(C95),"",IF(V95&lt;&gt;Constants!$B$14, V95, RANK(AD95, AD$8:AD$507, 1)+ SUMPRODUCT(--(AD$8:AD$507=AD95),--(AF95&gt;AF$8:AF$507)) + SUMPRODUCT(--(AD$8:AD$507=AD95),--(AF95=AF$8:AF$507),--(AH95&gt;AH$8:AH$507))))</f>
        <v/>
      </c>
      <c r="AJ95" s="85" t="str">
        <f aca="false">IF(ISBLANK(C95),"",IF(V95&lt;&gt;Constants!$B$14, V95, AD95-AI95))</f>
        <v/>
      </c>
      <c r="AK95" s="89"/>
      <c r="AL95" s="90" t="str">
        <f aca="false">IF(ISBLANK($C95),"",IF($V95&lt;&gt;Constants!$B$14,$V95,X95))</f>
        <v/>
      </c>
      <c r="AM95" s="90" t="str">
        <f aca="false">IF(ISBLANK($C95),"",IF($V95&lt;&gt;Constants!$B$14,$V95,N95))</f>
        <v/>
      </c>
      <c r="AN95" s="91" t="str">
        <f aca="false">IF(ISBLANK(C95),"",IF(V95&lt;&gt;Constants!$B$14, V95, IF(W95=Constants!$B$7,Z95,IF(W95=Constants!$B$8,AB95,""))))</f>
        <v/>
      </c>
      <c r="AO95" s="92" t="str">
        <f aca="false">IF(ISBLANK(C95),"",W95)</f>
        <v/>
      </c>
      <c r="AP95" s="92" t="str">
        <f aca="false">IF(ISBLANK(C95),"",AJ95)</f>
        <v/>
      </c>
      <c r="AQ95" s="92" t="str">
        <f aca="false">IF(ISBLANK(C95),"",AI95)</f>
        <v/>
      </c>
      <c r="AR95" s="93" t="str">
        <f aca="false">IF(ISBLANK(C95),
  "",
IF(AQ95=Constants!$B$11,COUNTA($C$8:$C$507)+2,IF(AQ95=Constants!$B$12,COUNTA($C$8:$C$507)+1,IF(AQ95=Constants!$B$13,COUNTA($C$8:$C$507),AQ95))))</f>
        <v/>
      </c>
      <c r="AS95" s="3"/>
      <c r="AT95" s="94" t="n">
        <f aca="false">IF(OR(ISNUMBER(AQ95),AQ95="DQ",AQ95="P",AQ95="NS"),
    1,
    0
)</f>
        <v>0</v>
      </c>
      <c r="AU95" s="94" t="n">
        <v>88</v>
      </c>
      <c r="AV95" s="94" t="str">
        <f aca="false">IF(ISBLANK($C95),
    "",
   IF(ISNUMBER(AR95),AR95+ROW($B95)/1000,"")
)</f>
        <v/>
      </c>
      <c r="AW95" s="94" t="str">
        <f aca="false">IF(ISNUMBER(AV95), RANK(AV95,AV$8:AV$507,1), "")</f>
        <v/>
      </c>
      <c r="AX95" s="94" t="str">
        <f aca="false">IF(ISBLANK($C95),
    "",
    $B95
)</f>
        <v/>
      </c>
      <c r="AY95" s="94" t="str">
        <f aca="false">IF(ISBLANK($C95),
    "",
    $C95
)</f>
        <v/>
      </c>
      <c r="AZ95" s="94" t="str">
        <f aca="false">IF(ISBLANK($C95),
    "",
    $D95
)</f>
        <v/>
      </c>
      <c r="BA95" s="94" t="str">
        <f aca="false">AO95</f>
        <v/>
      </c>
      <c r="BB95" s="95" t="str">
        <f aca="false">AN95</f>
        <v/>
      </c>
      <c r="BC95" s="94" t="str">
        <f aca="false">IF(ISBLANK($C95),
    "",
    AQ95
)</f>
        <v/>
      </c>
      <c r="BD95" s="96" t="str">
        <f aca="false">IF(AU95&gt;AT$7,
    "",
    VLOOKUP(AU95,AW$8:BC$507,7,FALSE())
)</f>
        <v/>
      </c>
      <c r="BE95" s="97" t="str">
        <f aca="false">IF(AU95&gt;AT$7,
    "",
    VLOOKUP(AU95,AW$8:BC$507,2,FALSE())
)</f>
        <v/>
      </c>
      <c r="BF95" s="97" t="str">
        <f aca="false">IF(AU95&gt;AT$7,
    "",
    VLOOKUP(AU95,AW$8:BC$507,3,FALSE())
)</f>
        <v/>
      </c>
      <c r="BG95" s="97" t="str">
        <f aca="false">IF(AU95&gt;AT$7,
    "",
    VLOOKUP(AU95,AW$8:BC$507,4,FALSE())
)</f>
        <v/>
      </c>
      <c r="BH95" s="97" t="str">
        <f aca="false">IF(AU95&gt;AT$7,
    "",
    VLOOKUP(AU95,AW$8:BC$507,5,FALSE())
)</f>
        <v/>
      </c>
      <c r="BI95" s="98" t="str">
        <f aca="false">IF(AU95&gt;AT$7,
    "",
    VLOOKUP(AU95,AW$8:BC$507,6,FALSE())
)</f>
        <v/>
      </c>
      <c r="BJ95" s="46"/>
    </row>
    <row r="96" customFormat="false" ht="15.75" hidden="false" customHeight="false" outlineLevel="0" collapsed="false">
      <c r="A96" s="3"/>
      <c r="B96" s="105"/>
      <c r="C96" s="106"/>
      <c r="D96" s="99"/>
      <c r="E96" s="110"/>
      <c r="F96" s="107"/>
      <c r="G96" s="110"/>
      <c r="H96" s="103"/>
      <c r="I96" s="102"/>
      <c r="J96" s="103"/>
      <c r="K96" s="103"/>
      <c r="L96" s="85"/>
      <c r="M96" s="85" t="str">
        <f aca="false">IF(ISBLANK($C96),"",IF(ISBLANK(E96),0,E96))</f>
        <v/>
      </c>
      <c r="N96" s="85" t="str">
        <f aca="false">IF(ISBLANK($C96),"",IF(ISBLANK(F96),0,F96))</f>
        <v/>
      </c>
      <c r="O96" s="86" t="e">
        <f aca="false">IF(AND(NOT(ISBLANK($C96)),NOT($T96),COUNTA($E96:$K96)&gt;0),ISBLANK($F96),FALSE())</f>
        <v>#VALUE!</v>
      </c>
      <c r="P96" s="85" t="str">
        <f aca="false">IF(ISBLANK($C96),"",IF(G96=Constants!$B$9, TRUE(), IF(G96=Constants!$B$10, FALSE(), TRUE())))</f>
        <v/>
      </c>
      <c r="Q96" s="85" t="str">
        <f aca="false">IF(ISBLANK($C96),"",IF(H96=Constants!$B$9, TRUE(), IF(H96=Constants!$B$10, FALSE(), TRUE())))</f>
        <v/>
      </c>
      <c r="R96" s="85" t="str">
        <f aca="false">IF(ISBLANK($C96),"",IF(ISBLANK(I96),Constants!$B$3,I96))</f>
        <v/>
      </c>
      <c r="S96" s="85" t="str">
        <f aca="false">IF(ISBLANK($C96),"",IF(ISBLANK(J96),0,MIN(J96,Constants!$B$6)))</f>
        <v/>
      </c>
      <c r="T96" s="85" t="str">
        <f aca="false">IF(ISBLANK($C96),"",IF(K96=Constants!$B$9, TRUE(), IF(K96=Constants!$B$10, FALSE(),  FALSE())))</f>
        <v/>
      </c>
      <c r="U96" s="85" t="str">
        <f aca="false">IF(ISBLANK($C96),"",AND(R96=Constants!$B$4, S96&lt;Constants!$B$6))</f>
        <v/>
      </c>
      <c r="V96" s="85" t="str">
        <f aca="false">IF(ISBLANK(C96), "", IF(T96, Constants!$B$11, IF(COUNTA(E96:K96)=0, Constants!$B$12, IF(NOT(AND(P96,S96&lt;&gt;0)), Constants!$B$13, IF(O96, Constants!$B$15, Constants!$B$14)))))</f>
        <v/>
      </c>
      <c r="W96" s="85" t="str">
        <f aca="false">IF(OR(ISBLANK($C96), SUMPRODUCT(--(P96:T96&lt;&gt;""))=0), "", IF(V96&lt;&gt;Constants!$B$14, V96, IF(AND(NOT(ISBLANK(J96)),P96,Q96,R96&lt;&gt;Constants!$B$2), Constants!$B$7, IF(AND(P96,OR(NOT(Q96),R96=Constants!$B$2)), Constants!$B$8, "Error"))))</f>
        <v/>
      </c>
      <c r="X96" s="87" t="str">
        <f aca="false">IF(OR(W96=Constants!$B$7,W96=Constants!$B$8), MAX(0, MIN(Constants!$B$6, S96))+IF(AND(R96=Constants!$B$4, NOT(U96)), Constants!$B$5, 0), "")</f>
        <v/>
      </c>
      <c r="Y96" s="85" t="str">
        <f aca="false">IF(ISBLANK($C96),"",IF(AND(ISNUMBER(X96),N96&gt;0),X96/N96, "") )</f>
        <v/>
      </c>
      <c r="Z96" s="85" t="str">
        <f aca="false">IF(AND(NOT(ISBLANK($C96)), W96=Constants!$B$7), Y96, "")</f>
        <v/>
      </c>
      <c r="AA96" s="85" t="str">
        <f aca="false">IF(ISNUMBER(Z96), RANK(Z96,Z$8:Z$507), "")</f>
        <v/>
      </c>
      <c r="AB96" s="85" t="str">
        <f aca="false">IF(AND(NOT(ISBLANK($C96)), W96=Constants!$B$8), Y96, "")</f>
        <v/>
      </c>
      <c r="AC96" s="85" t="str">
        <f aca="false">IF(ISNUMBER(AB96), RANK(AB96,AB$8:AB$507), "")</f>
        <v/>
      </c>
      <c r="AD96" s="85" t="str">
        <f aca="false">IF(ISBLANK($C96),"",IF(V96&lt;&gt;Constants!$B$14, V96, IF(W96=Constants!$B$7, AA96, IF(W96=Constants!$B$8, COUNT($AA$8:$AA$507) + AC96, ""))))</f>
        <v/>
      </c>
      <c r="AE96" s="85" t="str">
        <f aca="false">N96</f>
        <v/>
      </c>
      <c r="AF96" s="85" t="str">
        <f aca="false">IF(ISNUMBER(AE96), RANK(AE96,AE$8:AE$507,1), "")</f>
        <v/>
      </c>
      <c r="AG96" s="88" t="str">
        <f aca="false">IF(ISBLANK(C96), "", ABS(M96-S96))</f>
        <v/>
      </c>
      <c r="AH96" s="85" t="str">
        <f aca="false">IF(ISNUMBER(AG96), RANK(AG96,AG$8:AG$507,1), "")</f>
        <v/>
      </c>
      <c r="AI96" s="85" t="str">
        <f aca="false">IF(ISBLANK(C96),"",IF(V96&lt;&gt;Constants!$B$14, V96, RANK(AD96, AD$8:AD$507, 1)+ SUMPRODUCT(--(AD$8:AD$507=AD96),--(AF96&gt;AF$8:AF$507)) + SUMPRODUCT(--(AD$8:AD$507=AD96),--(AF96=AF$8:AF$507),--(AH96&gt;AH$8:AH$507))))</f>
        <v/>
      </c>
      <c r="AJ96" s="85" t="str">
        <f aca="false">IF(ISBLANK(C96),"",IF(V96&lt;&gt;Constants!$B$14, V96, AD96-AI96))</f>
        <v/>
      </c>
      <c r="AK96" s="89"/>
      <c r="AL96" s="90" t="str">
        <f aca="false">IF(ISBLANK($C96),"",IF($V96&lt;&gt;Constants!$B$14,$V96,X96))</f>
        <v/>
      </c>
      <c r="AM96" s="90" t="str">
        <f aca="false">IF(ISBLANK($C96),"",IF($V96&lt;&gt;Constants!$B$14,$V96,N96))</f>
        <v/>
      </c>
      <c r="AN96" s="91" t="str">
        <f aca="false">IF(ISBLANK(C96),"",IF(V96&lt;&gt;Constants!$B$14, V96, IF(W96=Constants!$B$7,Z96,IF(W96=Constants!$B$8,AB96,""))))</f>
        <v/>
      </c>
      <c r="AO96" s="92" t="str">
        <f aca="false">IF(ISBLANK(C96),"",W96)</f>
        <v/>
      </c>
      <c r="AP96" s="92" t="str">
        <f aca="false">IF(ISBLANK(C96),"",AJ96)</f>
        <v/>
      </c>
      <c r="AQ96" s="92" t="str">
        <f aca="false">IF(ISBLANK(C96),"",AI96)</f>
        <v/>
      </c>
      <c r="AR96" s="93" t="str">
        <f aca="false">IF(ISBLANK(C96),
  "",
IF(AQ96=Constants!$B$11,COUNTA($C$8:$C$507)+2,IF(AQ96=Constants!$B$12,COUNTA($C$8:$C$507)+1,IF(AQ96=Constants!$B$13,COUNTA($C$8:$C$507),AQ96))))</f>
        <v/>
      </c>
      <c r="AS96" s="3"/>
      <c r="AT96" s="94" t="n">
        <f aca="false">IF(OR(ISNUMBER(AQ96),AQ96="DQ",AQ96="P",AQ96="NS"),
    1,
    0
)</f>
        <v>0</v>
      </c>
      <c r="AU96" s="94" t="n">
        <v>89</v>
      </c>
      <c r="AV96" s="94" t="str">
        <f aca="false">IF(ISBLANK($C96),
    "",
   IF(ISNUMBER(AR96),AR96+ROW($B96)/1000,"")
)</f>
        <v/>
      </c>
      <c r="AW96" s="94" t="str">
        <f aca="false">IF(ISNUMBER(AV96), RANK(AV96,AV$8:AV$507,1), "")</f>
        <v/>
      </c>
      <c r="AX96" s="94" t="str">
        <f aca="false">IF(ISBLANK($C96),
    "",
    $B96
)</f>
        <v/>
      </c>
      <c r="AY96" s="94" t="str">
        <f aca="false">IF(ISBLANK($C96),
    "",
    $C96
)</f>
        <v/>
      </c>
      <c r="AZ96" s="94" t="str">
        <f aca="false">IF(ISBLANK($C96),
    "",
    $D96
)</f>
        <v/>
      </c>
      <c r="BA96" s="94" t="str">
        <f aca="false">AO96</f>
        <v/>
      </c>
      <c r="BB96" s="95" t="str">
        <f aca="false">AN96</f>
        <v/>
      </c>
      <c r="BC96" s="94" t="str">
        <f aca="false">IF(ISBLANK($C96),
    "",
    AQ96
)</f>
        <v/>
      </c>
      <c r="BD96" s="96" t="str">
        <f aca="false">IF(AU96&gt;AT$7,
    "",
    VLOOKUP(AU96,AW$8:BC$507,7,FALSE())
)</f>
        <v/>
      </c>
      <c r="BE96" s="97" t="str">
        <f aca="false">IF(AU96&gt;AT$7,
    "",
    VLOOKUP(AU96,AW$8:BC$507,2,FALSE())
)</f>
        <v/>
      </c>
      <c r="BF96" s="97" t="str">
        <f aca="false">IF(AU96&gt;AT$7,
    "",
    VLOOKUP(AU96,AW$8:BC$507,3,FALSE())
)</f>
        <v/>
      </c>
      <c r="BG96" s="97" t="str">
        <f aca="false">IF(AU96&gt;AT$7,
    "",
    VLOOKUP(AU96,AW$8:BC$507,4,FALSE())
)</f>
        <v/>
      </c>
      <c r="BH96" s="97" t="str">
        <f aca="false">IF(AU96&gt;AT$7,
    "",
    VLOOKUP(AU96,AW$8:BC$507,5,FALSE())
)</f>
        <v/>
      </c>
      <c r="BI96" s="98" t="str">
        <f aca="false">IF(AU96&gt;AT$7,
    "",
    VLOOKUP(AU96,AW$8:BC$507,6,FALSE())
)</f>
        <v/>
      </c>
      <c r="BJ96" s="46"/>
    </row>
    <row r="97" customFormat="false" ht="15.75" hidden="false" customHeight="false" outlineLevel="0" collapsed="false">
      <c r="A97" s="3"/>
      <c r="B97" s="105"/>
      <c r="C97" s="106"/>
      <c r="D97" s="99"/>
      <c r="E97" s="110"/>
      <c r="F97" s="107"/>
      <c r="G97" s="110"/>
      <c r="H97" s="103"/>
      <c r="I97" s="102"/>
      <c r="J97" s="103"/>
      <c r="K97" s="103"/>
      <c r="L97" s="85"/>
      <c r="M97" s="85" t="str">
        <f aca="false">IF(ISBLANK($C97),"",IF(ISBLANK(E97),0,E97))</f>
        <v/>
      </c>
      <c r="N97" s="85" t="str">
        <f aca="false">IF(ISBLANK($C97),"",IF(ISBLANK(F97),0,F97))</f>
        <v/>
      </c>
      <c r="O97" s="86" t="e">
        <f aca="false">IF(AND(NOT(ISBLANK($C97)),NOT($T97),COUNTA($E97:$K97)&gt;0),ISBLANK($F97),FALSE())</f>
        <v>#VALUE!</v>
      </c>
      <c r="P97" s="85" t="str">
        <f aca="false">IF(ISBLANK($C97),"",IF(G97=Constants!$B$9, TRUE(), IF(G97=Constants!$B$10, FALSE(), TRUE())))</f>
        <v/>
      </c>
      <c r="Q97" s="85" t="str">
        <f aca="false">IF(ISBLANK($C97),"",IF(H97=Constants!$B$9, TRUE(), IF(H97=Constants!$B$10, FALSE(), TRUE())))</f>
        <v/>
      </c>
      <c r="R97" s="85" t="str">
        <f aca="false">IF(ISBLANK($C97),"",IF(ISBLANK(I97),Constants!$B$3,I97))</f>
        <v/>
      </c>
      <c r="S97" s="85" t="str">
        <f aca="false">IF(ISBLANK($C97),"",IF(ISBLANK(J97),0,MIN(J97,Constants!$B$6)))</f>
        <v/>
      </c>
      <c r="T97" s="85" t="str">
        <f aca="false">IF(ISBLANK($C97),"",IF(K97=Constants!$B$9, TRUE(), IF(K97=Constants!$B$10, FALSE(),  FALSE())))</f>
        <v/>
      </c>
      <c r="U97" s="85" t="str">
        <f aca="false">IF(ISBLANK($C97),"",AND(R97=Constants!$B$4, S97&lt;Constants!$B$6))</f>
        <v/>
      </c>
      <c r="V97" s="85" t="str">
        <f aca="false">IF(ISBLANK(C97), "", IF(T97, Constants!$B$11, IF(COUNTA(E97:K97)=0, Constants!$B$12, IF(NOT(AND(P97,S97&lt;&gt;0)), Constants!$B$13, IF(O97, Constants!$B$15, Constants!$B$14)))))</f>
        <v/>
      </c>
      <c r="W97" s="85" t="str">
        <f aca="false">IF(OR(ISBLANK($C97), SUMPRODUCT(--(P97:T97&lt;&gt;""))=0), "", IF(V97&lt;&gt;Constants!$B$14, V97, IF(AND(NOT(ISBLANK(J97)),P97,Q97,R97&lt;&gt;Constants!$B$2), Constants!$B$7, IF(AND(P97,OR(NOT(Q97),R97=Constants!$B$2)), Constants!$B$8, "Error"))))</f>
        <v/>
      </c>
      <c r="X97" s="87" t="str">
        <f aca="false">IF(OR(W97=Constants!$B$7,W97=Constants!$B$8), MAX(0, MIN(Constants!$B$6, S97))+IF(AND(R97=Constants!$B$4, NOT(U97)), Constants!$B$5, 0), "")</f>
        <v/>
      </c>
      <c r="Y97" s="85" t="str">
        <f aca="false">IF(ISBLANK($C97),"",IF(AND(ISNUMBER(X97),N97&gt;0),X97/N97, "") )</f>
        <v/>
      </c>
      <c r="Z97" s="85" t="str">
        <f aca="false">IF(AND(NOT(ISBLANK($C97)), W97=Constants!$B$7), Y97, "")</f>
        <v/>
      </c>
      <c r="AA97" s="85" t="str">
        <f aca="false">IF(ISNUMBER(Z97), RANK(Z97,Z$8:Z$507), "")</f>
        <v/>
      </c>
      <c r="AB97" s="85" t="str">
        <f aca="false">IF(AND(NOT(ISBLANK($C97)), W97=Constants!$B$8), Y97, "")</f>
        <v/>
      </c>
      <c r="AC97" s="85" t="str">
        <f aca="false">IF(ISNUMBER(AB97), RANK(AB97,AB$8:AB$507), "")</f>
        <v/>
      </c>
      <c r="AD97" s="85" t="str">
        <f aca="false">IF(ISBLANK($C97),"",IF(V97&lt;&gt;Constants!$B$14, V97, IF(W97=Constants!$B$7, AA97, IF(W97=Constants!$B$8, COUNT($AA$8:$AA$507) + AC97, ""))))</f>
        <v/>
      </c>
      <c r="AE97" s="85" t="str">
        <f aca="false">N97</f>
        <v/>
      </c>
      <c r="AF97" s="85" t="str">
        <f aca="false">IF(ISNUMBER(AE97), RANK(AE97,AE$8:AE$507,1), "")</f>
        <v/>
      </c>
      <c r="AG97" s="88" t="str">
        <f aca="false">IF(ISBLANK(C97), "", ABS(M97-S97))</f>
        <v/>
      </c>
      <c r="AH97" s="85" t="str">
        <f aca="false">IF(ISNUMBER(AG97), RANK(AG97,AG$8:AG$507,1), "")</f>
        <v/>
      </c>
      <c r="AI97" s="85" t="str">
        <f aca="false">IF(ISBLANK(C97),"",IF(V97&lt;&gt;Constants!$B$14, V97, RANK(AD97, AD$8:AD$507, 1)+ SUMPRODUCT(--(AD$8:AD$507=AD97),--(AF97&gt;AF$8:AF$507)) + SUMPRODUCT(--(AD$8:AD$507=AD97),--(AF97=AF$8:AF$507),--(AH97&gt;AH$8:AH$507))))</f>
        <v/>
      </c>
      <c r="AJ97" s="85" t="str">
        <f aca="false">IF(ISBLANK(C97),"",IF(V97&lt;&gt;Constants!$B$14, V97, AD97-AI97))</f>
        <v/>
      </c>
      <c r="AK97" s="89"/>
      <c r="AL97" s="90" t="str">
        <f aca="false">IF(ISBLANK($C97),"",IF($V97&lt;&gt;Constants!$B$14,$V97,X97))</f>
        <v/>
      </c>
      <c r="AM97" s="90" t="str">
        <f aca="false">IF(ISBLANK($C97),"",IF($V97&lt;&gt;Constants!$B$14,$V97,N97))</f>
        <v/>
      </c>
      <c r="AN97" s="91" t="str">
        <f aca="false">IF(ISBLANK(C97),"",IF(V97&lt;&gt;Constants!$B$14, V97, IF(W97=Constants!$B$7,Z97,IF(W97=Constants!$B$8,AB97,""))))</f>
        <v/>
      </c>
      <c r="AO97" s="92" t="str">
        <f aca="false">IF(ISBLANK(C97),"",W97)</f>
        <v/>
      </c>
      <c r="AP97" s="92" t="str">
        <f aca="false">IF(ISBLANK(C97),"",AJ97)</f>
        <v/>
      </c>
      <c r="AQ97" s="92" t="str">
        <f aca="false">IF(ISBLANK(C97),"",AI97)</f>
        <v/>
      </c>
      <c r="AR97" s="93" t="str">
        <f aca="false">IF(ISBLANK(C97),
  "",
IF(AQ97=Constants!$B$11,COUNTA($C$8:$C$507)+2,IF(AQ97=Constants!$B$12,COUNTA($C$8:$C$507)+1,IF(AQ97=Constants!$B$13,COUNTA($C$8:$C$507),AQ97))))</f>
        <v/>
      </c>
      <c r="AS97" s="3"/>
      <c r="AT97" s="94" t="n">
        <f aca="false">IF(OR(ISNUMBER(AQ97),AQ97="DQ",AQ97="P",AQ97="NS"),
    1,
    0
)</f>
        <v>0</v>
      </c>
      <c r="AU97" s="94" t="n">
        <v>90</v>
      </c>
      <c r="AV97" s="94" t="str">
        <f aca="false">IF(ISBLANK($C97),
    "",
   IF(ISNUMBER(AR97),AR97+ROW($B97)/1000,"")
)</f>
        <v/>
      </c>
      <c r="AW97" s="94" t="str">
        <f aca="false">IF(ISNUMBER(AV97), RANK(AV97,AV$8:AV$507,1), "")</f>
        <v/>
      </c>
      <c r="AX97" s="94" t="str">
        <f aca="false">IF(ISBLANK($C97),
    "",
    $B97
)</f>
        <v/>
      </c>
      <c r="AY97" s="94" t="str">
        <f aca="false">IF(ISBLANK($C97),
    "",
    $C97
)</f>
        <v/>
      </c>
      <c r="AZ97" s="94" t="str">
        <f aca="false">IF(ISBLANK($C97),
    "",
    $D97
)</f>
        <v/>
      </c>
      <c r="BA97" s="94" t="str">
        <f aca="false">AO97</f>
        <v/>
      </c>
      <c r="BB97" s="95" t="str">
        <f aca="false">AN97</f>
        <v/>
      </c>
      <c r="BC97" s="94" t="str">
        <f aca="false">IF(ISBLANK($C97),
    "",
    AQ97
)</f>
        <v/>
      </c>
      <c r="BD97" s="96" t="str">
        <f aca="false">IF(AU97&gt;AT$7,
    "",
    VLOOKUP(AU97,AW$8:BC$507,7,FALSE())
)</f>
        <v/>
      </c>
      <c r="BE97" s="97" t="str">
        <f aca="false">IF(AU97&gt;AT$7,
    "",
    VLOOKUP(AU97,AW$8:BC$507,2,FALSE())
)</f>
        <v/>
      </c>
      <c r="BF97" s="97" t="str">
        <f aca="false">IF(AU97&gt;AT$7,
    "",
    VLOOKUP(AU97,AW$8:BC$507,3,FALSE())
)</f>
        <v/>
      </c>
      <c r="BG97" s="97" t="str">
        <f aca="false">IF(AU97&gt;AT$7,
    "",
    VLOOKUP(AU97,AW$8:BC$507,4,FALSE())
)</f>
        <v/>
      </c>
      <c r="BH97" s="97" t="str">
        <f aca="false">IF(AU97&gt;AT$7,
    "",
    VLOOKUP(AU97,AW$8:BC$507,5,FALSE())
)</f>
        <v/>
      </c>
      <c r="BI97" s="98" t="str">
        <f aca="false">IF(AU97&gt;AT$7,
    "",
    VLOOKUP(AU97,AW$8:BC$507,6,FALSE())
)</f>
        <v/>
      </c>
      <c r="BJ97" s="46"/>
    </row>
    <row r="98" customFormat="false" ht="15.75" hidden="false" customHeight="false" outlineLevel="0" collapsed="false">
      <c r="A98" s="3"/>
      <c r="B98" s="108"/>
      <c r="C98" s="70"/>
      <c r="D98" s="49"/>
      <c r="E98" s="109"/>
      <c r="F98" s="72"/>
      <c r="G98" s="109"/>
      <c r="H98" s="74"/>
      <c r="I98" s="104"/>
      <c r="J98" s="74"/>
      <c r="K98" s="74"/>
      <c r="L98" s="55"/>
      <c r="M98" s="55" t="str">
        <f aca="false">IF(ISBLANK($C98),"",IF(ISBLANK(E98),0,E98))</f>
        <v/>
      </c>
      <c r="N98" s="55" t="str">
        <f aca="false">IF(ISBLANK($C98),"",IF(ISBLANK(F98),0,F98))</f>
        <v/>
      </c>
      <c r="O98" s="55" t="e">
        <f aca="false">IF(AND(NOT(ISBLANK($C98)),NOT($T98),COUNTA($E98:$K98)&gt;0),ISBLANK($F98),FALSE())</f>
        <v>#VALUE!</v>
      </c>
      <c r="P98" s="55" t="str">
        <f aca="false">IF(ISBLANK($C98),"",IF(G98=Constants!$B$9, TRUE(), IF(G98=Constants!$B$10, FALSE(), TRUE())))</f>
        <v/>
      </c>
      <c r="Q98" s="55" t="str">
        <f aca="false">IF(ISBLANK($C98),"",IF(H98=Constants!$B$9, TRUE(), IF(H98=Constants!$B$10, FALSE(), TRUE())))</f>
        <v/>
      </c>
      <c r="R98" s="55" t="str">
        <f aca="false">IF(ISBLANK($C98),"",IF(ISBLANK(I98),Constants!$B$3,I98))</f>
        <v/>
      </c>
      <c r="S98" s="55" t="str">
        <f aca="false">IF(ISBLANK($C98),"",IF(ISBLANK(J98),0,MIN(J98,Constants!$B$6)))</f>
        <v/>
      </c>
      <c r="T98" s="55" t="str">
        <f aca="false">IF(ISBLANK($C98),"",IF(K98=Constants!$B$9, TRUE(), IF(K98=Constants!$B$10, FALSE(),  FALSE())))</f>
        <v/>
      </c>
      <c r="U98" s="55" t="str">
        <f aca="false">IF(ISBLANK($C98),"",AND(R98=Constants!$B$4, S98&lt;Constants!$B$6))</f>
        <v/>
      </c>
      <c r="V98" s="55" t="str">
        <f aca="false">IF(ISBLANK(C98), "", IF(T98, Constants!$B$11, IF(COUNTA(E98:K98)=0, Constants!$B$12, IF(NOT(AND(P98,S98&lt;&gt;0)), Constants!$B$13, IF(O98, Constants!$B$15, Constants!$B$14)))))</f>
        <v/>
      </c>
      <c r="W98" s="55" t="str">
        <f aca="false">IF(OR(ISBLANK($C98), SUMPRODUCT(--(P98:T98&lt;&gt;""))=0), "", IF(V98&lt;&gt;Constants!$B$14, V98, IF(AND(NOT(ISBLANK(J98)),P98,Q98,R98&lt;&gt;Constants!$B$2), Constants!$B$7, IF(AND(P98,OR(NOT(Q98),R98=Constants!$B$2)), Constants!$B$8, "Error"))))</f>
        <v/>
      </c>
      <c r="X98" s="56" t="str">
        <f aca="false">IF(OR(W98=Constants!$B$7,W98=Constants!$B$8), MAX(0, MIN(Constants!$B$6, S98))+IF(AND(R98=Constants!$B$4, NOT(U98)), Constants!$B$5, 0), "")</f>
        <v/>
      </c>
      <c r="Y98" s="55" t="str">
        <f aca="false">IF(ISBLANK($C98),"",IF(AND(ISNUMBER(X98),N98&gt;0),X98/N98, "") )</f>
        <v/>
      </c>
      <c r="Z98" s="55" t="str">
        <f aca="false">IF(AND(NOT(ISBLANK($C98)), W98=Constants!$B$7), Y98, "")</f>
        <v/>
      </c>
      <c r="AA98" s="55" t="str">
        <f aca="false">IF(ISNUMBER(Z98), RANK(Z98,Z$8:Z$507), "")</f>
        <v/>
      </c>
      <c r="AB98" s="55" t="str">
        <f aca="false">IF(AND(NOT(ISBLANK($C98)), W98=Constants!$B$8), Y98, "")</f>
        <v/>
      </c>
      <c r="AC98" s="55" t="str">
        <f aca="false">IF(ISNUMBER(AB98), RANK(AB98,AB$8:AB$507), "")</f>
        <v/>
      </c>
      <c r="AD98" s="55" t="str">
        <f aca="false">IF(ISBLANK($C98),"",IF(V98&lt;&gt;Constants!$B$14, V98, IF(W98=Constants!$B$7, AA98, IF(W98=Constants!$B$8, COUNT($AA$8:$AA$507) + AC98, ""))))</f>
        <v/>
      </c>
      <c r="AE98" s="55" t="str">
        <f aca="false">N98</f>
        <v/>
      </c>
      <c r="AF98" s="55" t="str">
        <f aca="false">IF(ISNUMBER(AE98), RANK(AE98,AE$8:AE$507,1), "")</f>
        <v/>
      </c>
      <c r="AG98" s="57" t="str">
        <f aca="false">IF(ISBLANK(C98), "", ABS(M98-S98))</f>
        <v/>
      </c>
      <c r="AH98" s="55" t="str">
        <f aca="false">IF(ISNUMBER(AG98), RANK(AG98,AG$8:AG$507,1), "")</f>
        <v/>
      </c>
      <c r="AI98" s="55" t="str">
        <f aca="false">IF(ISBLANK(C98),"",IF(V98&lt;&gt;Constants!$B$14, V98, RANK(AD98, AD$8:AD$507, 1)+ SUMPRODUCT(--(AD$8:AD$507=AD98),--(AF98&gt;AF$8:AF$507)) + SUMPRODUCT(--(AD$8:AD$507=AD98),--(AF98=AF$8:AF$507),--(AH98&gt;AH$8:AH$507))))</f>
        <v/>
      </c>
      <c r="AJ98" s="55" t="str">
        <f aca="false">IF(ISBLANK(C98),"",IF(V98&lt;&gt;Constants!$B$14, V98, AD98-AI98))</f>
        <v/>
      </c>
      <c r="AK98" s="59"/>
      <c r="AL98" s="60" t="str">
        <f aca="false">IF(ISBLANK($C98),"",IF($V98&lt;&gt;Constants!$B$14,$V98,X98))</f>
        <v/>
      </c>
      <c r="AM98" s="60" t="str">
        <f aca="false">IF(ISBLANK($C98),"",IF($V98&lt;&gt;Constants!$B$14,$V98,N98))</f>
        <v/>
      </c>
      <c r="AN98" s="62" t="str">
        <f aca="false">IF(ISBLANK(C98),"",IF(V98&lt;&gt;Constants!$B$14, V98, IF(W98=Constants!$B$7,Z98,IF(W98=Constants!$B$8,AB98,""))))</f>
        <v/>
      </c>
      <c r="AO98" s="63" t="str">
        <f aca="false">IF(ISBLANK(C98),"",W98)</f>
        <v/>
      </c>
      <c r="AP98" s="63" t="str">
        <f aca="false">IF(ISBLANK(C98),"",AJ98)</f>
        <v/>
      </c>
      <c r="AQ98" s="63" t="str">
        <f aca="false">IF(ISBLANK(C98),"",AI98)</f>
        <v/>
      </c>
      <c r="AR98" s="64" t="str">
        <f aca="false">IF(ISBLANK(C98),
  "",
IF(AQ98=Constants!$B$11,COUNTA($C$8:$C$507)+2,IF(AQ98=Constants!$B$12,COUNTA($C$8:$C$507)+1,IF(AQ98=Constants!$B$13,COUNTA($C$8:$C$507),AQ98))))</f>
        <v/>
      </c>
      <c r="AS98" s="3"/>
      <c r="AT98" s="65" t="n">
        <f aca="false">IF(OR(ISNUMBER(AQ98),AQ98="DQ",AQ98="P",AQ98="NS"),
    1,
    0
)</f>
        <v>0</v>
      </c>
      <c r="AU98" s="65" t="n">
        <v>91</v>
      </c>
      <c r="AV98" s="65" t="str">
        <f aca="false">IF(ISBLANK($C98),
    "",
   IF(ISNUMBER(AR98),AR98+ROW($B98)/1000,"")
)</f>
        <v/>
      </c>
      <c r="AW98" s="65" t="str">
        <f aca="false">IF(ISNUMBER(AV98), RANK(AV98,AV$8:AV$507,1), "")</f>
        <v/>
      </c>
      <c r="AX98" s="65" t="str">
        <f aca="false">IF(ISBLANK($C98),
    "",
    $B98
)</f>
        <v/>
      </c>
      <c r="AY98" s="65" t="str">
        <f aca="false">IF(ISBLANK($C98),
    "",
    $C98
)</f>
        <v/>
      </c>
      <c r="AZ98" s="65" t="str">
        <f aca="false">IF(ISBLANK($C98),
    "",
    $D98
)</f>
        <v/>
      </c>
      <c r="BA98" s="65" t="str">
        <f aca="false">AO98</f>
        <v/>
      </c>
      <c r="BB98" s="66" t="str">
        <f aca="false">AN98</f>
        <v/>
      </c>
      <c r="BC98" s="65" t="str">
        <f aca="false">IF(ISBLANK($C98),
    "",
    AQ98
)</f>
        <v/>
      </c>
      <c r="BD98" s="67" t="str">
        <f aca="false">IF(AU98&gt;AT$7,
    "",
    VLOOKUP(AU98,AW$8:BC$507,7,FALSE())
)</f>
        <v/>
      </c>
      <c r="BE98" s="68" t="str">
        <f aca="false">IF(AU98&gt;AT$7,
    "",
    VLOOKUP(AU98,AW$8:BC$507,2,FALSE())
)</f>
        <v/>
      </c>
      <c r="BF98" s="68" t="str">
        <f aca="false">IF(AU98&gt;AT$7,
    "",
    VLOOKUP(AU98,AW$8:BC$507,3,FALSE())
)</f>
        <v/>
      </c>
      <c r="BG98" s="68" t="str">
        <f aca="false">IF(AU98&gt;AT$7,
    "",
    VLOOKUP(AU98,AW$8:BC$507,4,FALSE())
)</f>
        <v/>
      </c>
      <c r="BH98" s="68" t="str">
        <f aca="false">IF(AU98&gt;AT$7,
    "",
    VLOOKUP(AU98,AW$8:BC$507,5,FALSE())
)</f>
        <v/>
      </c>
      <c r="BI98" s="69" t="str">
        <f aca="false">IF(AU98&gt;AT$7,
    "",
    VLOOKUP(AU98,AW$8:BC$507,6,FALSE())
)</f>
        <v/>
      </c>
      <c r="BJ98" s="46"/>
    </row>
    <row r="99" customFormat="false" ht="15.75" hidden="false" customHeight="false" outlineLevel="0" collapsed="false">
      <c r="A99" s="3"/>
      <c r="B99" s="108"/>
      <c r="C99" s="70"/>
      <c r="D99" s="49"/>
      <c r="E99" s="109"/>
      <c r="F99" s="72"/>
      <c r="G99" s="109"/>
      <c r="H99" s="74"/>
      <c r="I99" s="104"/>
      <c r="J99" s="74"/>
      <c r="K99" s="74"/>
      <c r="L99" s="55"/>
      <c r="M99" s="55" t="str">
        <f aca="false">IF(ISBLANK($C99),"",IF(ISBLANK(E99),0,E99))</f>
        <v/>
      </c>
      <c r="N99" s="55" t="str">
        <f aca="false">IF(ISBLANK($C99),"",IF(ISBLANK(F99),0,F99))</f>
        <v/>
      </c>
      <c r="O99" s="55" t="e">
        <f aca="false">IF(AND(NOT(ISBLANK($C99)),NOT($T99),COUNTA($E99:$K99)&gt;0),ISBLANK($F99),FALSE())</f>
        <v>#VALUE!</v>
      </c>
      <c r="P99" s="55" t="str">
        <f aca="false">IF(ISBLANK($C99),"",IF(G99=Constants!$B$9, TRUE(), IF(G99=Constants!$B$10, FALSE(), TRUE())))</f>
        <v/>
      </c>
      <c r="Q99" s="55" t="str">
        <f aca="false">IF(ISBLANK($C99),"",IF(H99=Constants!$B$9, TRUE(), IF(H99=Constants!$B$10, FALSE(), TRUE())))</f>
        <v/>
      </c>
      <c r="R99" s="55" t="str">
        <f aca="false">IF(ISBLANK($C99),"",IF(ISBLANK(I99),Constants!$B$3,I99))</f>
        <v/>
      </c>
      <c r="S99" s="55" t="str">
        <f aca="false">IF(ISBLANK($C99),"",IF(ISBLANK(J99),0,MIN(J99,Constants!$B$6)))</f>
        <v/>
      </c>
      <c r="T99" s="55" t="str">
        <f aca="false">IF(ISBLANK($C99),"",IF(K99=Constants!$B$9, TRUE(), IF(K99=Constants!$B$10, FALSE(),  FALSE())))</f>
        <v/>
      </c>
      <c r="U99" s="55" t="str">
        <f aca="false">IF(ISBLANK($C99),"",AND(R99=Constants!$B$4, S99&lt;Constants!$B$6))</f>
        <v/>
      </c>
      <c r="V99" s="55" t="str">
        <f aca="false">IF(ISBLANK(C99), "", IF(T99, Constants!$B$11, IF(COUNTA(E99:K99)=0, Constants!$B$12, IF(NOT(AND(P99,S99&lt;&gt;0)), Constants!$B$13, IF(O99, Constants!$B$15, Constants!$B$14)))))</f>
        <v/>
      </c>
      <c r="W99" s="55" t="str">
        <f aca="false">IF(OR(ISBLANK($C99), SUMPRODUCT(--(P99:T99&lt;&gt;""))=0), "", IF(V99&lt;&gt;Constants!$B$14, V99, IF(AND(NOT(ISBLANK(J99)),P99,Q99,R99&lt;&gt;Constants!$B$2), Constants!$B$7, IF(AND(P99,OR(NOT(Q99),R99=Constants!$B$2)), Constants!$B$8, "Error"))))</f>
        <v/>
      </c>
      <c r="X99" s="56" t="str">
        <f aca="false">IF(OR(W99=Constants!$B$7,W99=Constants!$B$8), MAX(0, MIN(Constants!$B$6, S99))+IF(AND(R99=Constants!$B$4, NOT(U99)), Constants!$B$5, 0), "")</f>
        <v/>
      </c>
      <c r="Y99" s="55" t="str">
        <f aca="false">IF(ISBLANK($C99),"",IF(AND(ISNUMBER(X99),N99&gt;0),X99/N99, "") )</f>
        <v/>
      </c>
      <c r="Z99" s="55" t="str">
        <f aca="false">IF(AND(NOT(ISBLANK($C99)), W99=Constants!$B$7), Y99, "")</f>
        <v/>
      </c>
      <c r="AA99" s="55" t="str">
        <f aca="false">IF(ISNUMBER(Z99), RANK(Z99,Z$8:Z$507), "")</f>
        <v/>
      </c>
      <c r="AB99" s="55" t="str">
        <f aca="false">IF(AND(NOT(ISBLANK($C99)), W99=Constants!$B$8), Y99, "")</f>
        <v/>
      </c>
      <c r="AC99" s="55" t="str">
        <f aca="false">IF(ISNUMBER(AB99), RANK(AB99,AB$8:AB$507), "")</f>
        <v/>
      </c>
      <c r="AD99" s="55" t="str">
        <f aca="false">IF(ISBLANK($C99),"",IF(V99&lt;&gt;Constants!$B$14, V99, IF(W99=Constants!$B$7, AA99, IF(W99=Constants!$B$8, COUNT($AA$8:$AA$507) + AC99, ""))))</f>
        <v/>
      </c>
      <c r="AE99" s="55" t="str">
        <f aca="false">N99</f>
        <v/>
      </c>
      <c r="AF99" s="55" t="str">
        <f aca="false">IF(ISNUMBER(AE99), RANK(AE99,AE$8:AE$507,1), "")</f>
        <v/>
      </c>
      <c r="AG99" s="57" t="str">
        <f aca="false">IF(ISBLANK(C99), "", ABS(M99-S99))</f>
        <v/>
      </c>
      <c r="AH99" s="55" t="str">
        <f aca="false">IF(ISNUMBER(AG99), RANK(AG99,AG$8:AG$507,1), "")</f>
        <v/>
      </c>
      <c r="AI99" s="55" t="str">
        <f aca="false">IF(ISBLANK(C99),"",IF(V99&lt;&gt;Constants!$B$14, V99, RANK(AD99, AD$8:AD$507, 1)+ SUMPRODUCT(--(AD$8:AD$507=AD99),--(AF99&gt;AF$8:AF$507)) + SUMPRODUCT(--(AD$8:AD$507=AD99),--(AF99=AF$8:AF$507),--(AH99&gt;AH$8:AH$507))))</f>
        <v/>
      </c>
      <c r="AJ99" s="55" t="str">
        <f aca="false">IF(ISBLANK(C99),"",IF(V99&lt;&gt;Constants!$B$14, V99, AD99-AI99))</f>
        <v/>
      </c>
      <c r="AK99" s="59"/>
      <c r="AL99" s="60" t="str">
        <f aca="false">IF(ISBLANK($C99),"",IF($V99&lt;&gt;Constants!$B$14,$V99,X99))</f>
        <v/>
      </c>
      <c r="AM99" s="60" t="str">
        <f aca="false">IF(ISBLANK($C99),"",IF($V99&lt;&gt;Constants!$B$14,$V99,N99))</f>
        <v/>
      </c>
      <c r="AN99" s="62" t="str">
        <f aca="false">IF(ISBLANK(C99),"",IF(V99&lt;&gt;Constants!$B$14, V99, IF(W99=Constants!$B$7,Z99,IF(W99=Constants!$B$8,AB99,""))))</f>
        <v/>
      </c>
      <c r="AO99" s="63" t="str">
        <f aca="false">IF(ISBLANK(C99),"",W99)</f>
        <v/>
      </c>
      <c r="AP99" s="63" t="str">
        <f aca="false">IF(ISBLANK(C99),"",AJ99)</f>
        <v/>
      </c>
      <c r="AQ99" s="63" t="str">
        <f aca="false">IF(ISBLANK(C99),"",AI99)</f>
        <v/>
      </c>
      <c r="AR99" s="64" t="str">
        <f aca="false">IF(ISBLANK(C99),
  "",
IF(AQ99=Constants!$B$11,COUNTA($C$8:$C$507)+2,IF(AQ99=Constants!$B$12,COUNTA($C$8:$C$507)+1,IF(AQ99=Constants!$B$13,COUNTA($C$8:$C$507),AQ99))))</f>
        <v/>
      </c>
      <c r="AS99" s="3"/>
      <c r="AT99" s="65" t="n">
        <f aca="false">IF(OR(ISNUMBER(AQ99),AQ99="DQ",AQ99="P",AQ99="NS"),
    1,
    0
)</f>
        <v>0</v>
      </c>
      <c r="AU99" s="65" t="n">
        <v>92</v>
      </c>
      <c r="AV99" s="65" t="str">
        <f aca="false">IF(ISBLANK($C99),
    "",
   IF(ISNUMBER(AR99),AR99+ROW($B99)/1000,"")
)</f>
        <v/>
      </c>
      <c r="AW99" s="65" t="str">
        <f aca="false">IF(ISNUMBER(AV99), RANK(AV99,AV$8:AV$507,1), "")</f>
        <v/>
      </c>
      <c r="AX99" s="65" t="str">
        <f aca="false">IF(ISBLANK($C99),
    "",
    $B99
)</f>
        <v/>
      </c>
      <c r="AY99" s="65" t="str">
        <f aca="false">IF(ISBLANK($C99),
    "",
    $C99
)</f>
        <v/>
      </c>
      <c r="AZ99" s="65" t="str">
        <f aca="false">IF(ISBLANK($C99),
    "",
    $D99
)</f>
        <v/>
      </c>
      <c r="BA99" s="65" t="str">
        <f aca="false">AO99</f>
        <v/>
      </c>
      <c r="BB99" s="66" t="str">
        <f aca="false">AN99</f>
        <v/>
      </c>
      <c r="BC99" s="65" t="str">
        <f aca="false">IF(ISBLANK($C99),
    "",
    AQ99
)</f>
        <v/>
      </c>
      <c r="BD99" s="67" t="str">
        <f aca="false">IF(AU99&gt;AT$7,
    "",
    VLOOKUP(AU99,AW$8:BC$507,7,FALSE())
)</f>
        <v/>
      </c>
      <c r="BE99" s="68" t="str">
        <f aca="false">IF(AU99&gt;AT$7,
    "",
    VLOOKUP(AU99,AW$8:BC$507,2,FALSE())
)</f>
        <v/>
      </c>
      <c r="BF99" s="68" t="str">
        <f aca="false">IF(AU99&gt;AT$7,
    "",
    VLOOKUP(AU99,AW$8:BC$507,3,FALSE())
)</f>
        <v/>
      </c>
      <c r="BG99" s="68" t="str">
        <f aca="false">IF(AU99&gt;AT$7,
    "",
    VLOOKUP(AU99,AW$8:BC$507,4,FALSE())
)</f>
        <v/>
      </c>
      <c r="BH99" s="68" t="str">
        <f aca="false">IF(AU99&gt;AT$7,
    "",
    VLOOKUP(AU99,AW$8:BC$507,5,FALSE())
)</f>
        <v/>
      </c>
      <c r="BI99" s="69" t="str">
        <f aca="false">IF(AU99&gt;AT$7,
    "",
    VLOOKUP(AU99,AW$8:BC$507,6,FALSE())
)</f>
        <v/>
      </c>
      <c r="BJ99" s="46"/>
    </row>
    <row r="100" customFormat="false" ht="15.75" hidden="false" customHeight="false" outlineLevel="0" collapsed="false">
      <c r="A100" s="3"/>
      <c r="B100" s="108"/>
      <c r="C100" s="70"/>
      <c r="D100" s="49"/>
      <c r="E100" s="109"/>
      <c r="F100" s="72"/>
      <c r="G100" s="109"/>
      <c r="H100" s="74"/>
      <c r="I100" s="104"/>
      <c r="J100" s="74"/>
      <c r="K100" s="74"/>
      <c r="L100" s="55"/>
      <c r="M100" s="55" t="str">
        <f aca="false">IF(ISBLANK($C100),"",IF(ISBLANK(E100),0,E100))</f>
        <v/>
      </c>
      <c r="N100" s="55" t="str">
        <f aca="false">IF(ISBLANK($C100),"",IF(ISBLANK(F100),0,F100))</f>
        <v/>
      </c>
      <c r="O100" s="55" t="e">
        <f aca="false">IF(AND(NOT(ISBLANK($C100)),NOT($T100),COUNTA($E100:$K100)&gt;0),ISBLANK($F100),FALSE())</f>
        <v>#VALUE!</v>
      </c>
      <c r="P100" s="55" t="str">
        <f aca="false">IF(ISBLANK($C100),"",IF(G100=Constants!$B$9, TRUE(), IF(G100=Constants!$B$10, FALSE(), TRUE())))</f>
        <v/>
      </c>
      <c r="Q100" s="55" t="str">
        <f aca="false">IF(ISBLANK($C100),"",IF(H100=Constants!$B$9, TRUE(), IF(H100=Constants!$B$10, FALSE(), TRUE())))</f>
        <v/>
      </c>
      <c r="R100" s="55" t="str">
        <f aca="false">IF(ISBLANK($C100),"",IF(ISBLANK(I100),Constants!$B$3,I100))</f>
        <v/>
      </c>
      <c r="S100" s="55" t="str">
        <f aca="false">IF(ISBLANK($C100),"",IF(ISBLANK(J100),0,MIN(J100,Constants!$B$6)))</f>
        <v/>
      </c>
      <c r="T100" s="55" t="str">
        <f aca="false">IF(ISBLANK($C100),"",IF(K100=Constants!$B$9, TRUE(), IF(K100=Constants!$B$10, FALSE(),  FALSE())))</f>
        <v/>
      </c>
      <c r="U100" s="55" t="str">
        <f aca="false">IF(ISBLANK($C100),"",AND(R100=Constants!$B$4, S100&lt;Constants!$B$6))</f>
        <v/>
      </c>
      <c r="V100" s="55" t="str">
        <f aca="false">IF(ISBLANK(C100), "", IF(T100, Constants!$B$11, IF(COUNTA(E100:K100)=0, Constants!$B$12, IF(NOT(AND(P100,S100&lt;&gt;0)), Constants!$B$13, IF(O100, Constants!$B$15, Constants!$B$14)))))</f>
        <v/>
      </c>
      <c r="W100" s="55" t="str">
        <f aca="false">IF(OR(ISBLANK($C100), SUMPRODUCT(--(P100:T100&lt;&gt;""))=0), "", IF(V100&lt;&gt;Constants!$B$14, V100, IF(AND(NOT(ISBLANK(J100)),P100,Q100,R100&lt;&gt;Constants!$B$2), Constants!$B$7, IF(AND(P100,OR(NOT(Q100),R100=Constants!$B$2)), Constants!$B$8, "Error"))))</f>
        <v/>
      </c>
      <c r="X100" s="56" t="str">
        <f aca="false">IF(OR(W100=Constants!$B$7,W100=Constants!$B$8), MAX(0, MIN(Constants!$B$6, S100))+IF(AND(R100=Constants!$B$4, NOT(U100)), Constants!$B$5, 0), "")</f>
        <v/>
      </c>
      <c r="Y100" s="55" t="str">
        <f aca="false">IF(ISBLANK($C100),"",IF(AND(ISNUMBER(X100),N100&gt;0),X100/N100, "") )</f>
        <v/>
      </c>
      <c r="Z100" s="55" t="str">
        <f aca="false">IF(AND(NOT(ISBLANK($C100)), W100=Constants!$B$7), Y100, "")</f>
        <v/>
      </c>
      <c r="AA100" s="55" t="str">
        <f aca="false">IF(ISNUMBER(Z100), RANK(Z100,Z$8:Z$507), "")</f>
        <v/>
      </c>
      <c r="AB100" s="55" t="str">
        <f aca="false">IF(AND(NOT(ISBLANK($C100)), W100=Constants!$B$8), Y100, "")</f>
        <v/>
      </c>
      <c r="AC100" s="55" t="str">
        <f aca="false">IF(ISNUMBER(AB100), RANK(AB100,AB$8:AB$507), "")</f>
        <v/>
      </c>
      <c r="AD100" s="55" t="str">
        <f aca="false">IF(ISBLANK($C100),"",IF(V100&lt;&gt;Constants!$B$14, V100, IF(W100=Constants!$B$7, AA100, IF(W100=Constants!$B$8, COUNT($AA$8:$AA$507) + AC100, ""))))</f>
        <v/>
      </c>
      <c r="AE100" s="55" t="str">
        <f aca="false">N100</f>
        <v/>
      </c>
      <c r="AF100" s="55" t="str">
        <f aca="false">IF(ISNUMBER(AE100), RANK(AE100,AE$8:AE$507,1), "")</f>
        <v/>
      </c>
      <c r="AG100" s="57" t="str">
        <f aca="false">IF(ISBLANK(C100), "", ABS(M100-S100))</f>
        <v/>
      </c>
      <c r="AH100" s="55" t="str">
        <f aca="false">IF(ISNUMBER(AG100), RANK(AG100,AG$8:AG$507,1), "")</f>
        <v/>
      </c>
      <c r="AI100" s="55" t="str">
        <f aca="false">IF(ISBLANK(C100),"",IF(V100&lt;&gt;Constants!$B$14, V100, RANK(AD100, AD$8:AD$507, 1)+ SUMPRODUCT(--(AD$8:AD$507=AD100),--(AF100&gt;AF$8:AF$507)) + SUMPRODUCT(--(AD$8:AD$507=AD100),--(AF100=AF$8:AF$507),--(AH100&gt;AH$8:AH$507))))</f>
        <v/>
      </c>
      <c r="AJ100" s="55" t="str">
        <f aca="false">IF(ISBLANK(C100),"",IF(V100&lt;&gt;Constants!$B$14, V100, AD100-AI100))</f>
        <v/>
      </c>
      <c r="AK100" s="59"/>
      <c r="AL100" s="60" t="str">
        <f aca="false">IF(ISBLANK($C100),"",IF($V100&lt;&gt;Constants!$B$14,$V100,X100))</f>
        <v/>
      </c>
      <c r="AM100" s="60" t="str">
        <f aca="false">IF(ISBLANK($C100),"",IF($V100&lt;&gt;Constants!$B$14,$V100,N100))</f>
        <v/>
      </c>
      <c r="AN100" s="62" t="str">
        <f aca="false">IF(ISBLANK(C100),"",IF(V100&lt;&gt;Constants!$B$14, V100, IF(W100=Constants!$B$7,Z100,IF(W100=Constants!$B$8,AB100,""))))</f>
        <v/>
      </c>
      <c r="AO100" s="63" t="str">
        <f aca="false">IF(ISBLANK(C100),"",W100)</f>
        <v/>
      </c>
      <c r="AP100" s="63" t="str">
        <f aca="false">IF(ISBLANK(C100),"",AJ100)</f>
        <v/>
      </c>
      <c r="AQ100" s="63" t="str">
        <f aca="false">IF(ISBLANK(C100),"",AI100)</f>
        <v/>
      </c>
      <c r="AR100" s="64" t="str">
        <f aca="false">IF(ISBLANK(C100),
  "",
IF(AQ100=Constants!$B$11,COUNTA($C$8:$C$507)+2,IF(AQ100=Constants!$B$12,COUNTA($C$8:$C$507)+1,IF(AQ100=Constants!$B$13,COUNTA($C$8:$C$507),AQ100))))</f>
        <v/>
      </c>
      <c r="AS100" s="3"/>
      <c r="AT100" s="65" t="n">
        <f aca="false">IF(OR(ISNUMBER(AQ100),AQ100="DQ",AQ100="P",AQ100="NS"),
    1,
    0
)</f>
        <v>0</v>
      </c>
      <c r="AU100" s="65" t="n">
        <v>93</v>
      </c>
      <c r="AV100" s="65" t="str">
        <f aca="false">IF(ISBLANK($C100),
    "",
   IF(ISNUMBER(AR100),AR100+ROW($B100)/1000,"")
)</f>
        <v/>
      </c>
      <c r="AW100" s="65" t="str">
        <f aca="false">IF(ISNUMBER(AV100), RANK(AV100,AV$8:AV$507,1), "")</f>
        <v/>
      </c>
      <c r="AX100" s="65" t="str">
        <f aca="false">IF(ISBLANK($C100),
    "",
    $B100
)</f>
        <v/>
      </c>
      <c r="AY100" s="65" t="str">
        <f aca="false">IF(ISBLANK($C100),
    "",
    $C100
)</f>
        <v/>
      </c>
      <c r="AZ100" s="65" t="str">
        <f aca="false">IF(ISBLANK($C100),
    "",
    $D100
)</f>
        <v/>
      </c>
      <c r="BA100" s="65" t="str">
        <f aca="false">AO100</f>
        <v/>
      </c>
      <c r="BB100" s="66" t="str">
        <f aca="false">AN100</f>
        <v/>
      </c>
      <c r="BC100" s="65" t="str">
        <f aca="false">IF(ISBLANK($C100),
    "",
    AQ100
)</f>
        <v/>
      </c>
      <c r="BD100" s="67" t="str">
        <f aca="false">IF(AU100&gt;AT$7,
    "",
    VLOOKUP(AU100,AW$8:BC$507,7,FALSE())
)</f>
        <v/>
      </c>
      <c r="BE100" s="68" t="str">
        <f aca="false">IF(AU100&gt;AT$7,
    "",
    VLOOKUP(AU100,AW$8:BC$507,2,FALSE())
)</f>
        <v/>
      </c>
      <c r="BF100" s="68" t="str">
        <f aca="false">IF(AU100&gt;AT$7,
    "",
    VLOOKUP(AU100,AW$8:BC$507,3,FALSE())
)</f>
        <v/>
      </c>
      <c r="BG100" s="68" t="str">
        <f aca="false">IF(AU100&gt;AT$7,
    "",
    VLOOKUP(AU100,AW$8:BC$507,4,FALSE())
)</f>
        <v/>
      </c>
      <c r="BH100" s="68" t="str">
        <f aca="false">IF(AU100&gt;AT$7,
    "",
    VLOOKUP(AU100,AW$8:BC$507,5,FALSE())
)</f>
        <v/>
      </c>
      <c r="BI100" s="69" t="str">
        <f aca="false">IF(AU100&gt;AT$7,
    "",
    VLOOKUP(AU100,AW$8:BC$507,6,FALSE())
)</f>
        <v/>
      </c>
      <c r="BJ100" s="46"/>
    </row>
    <row r="101" customFormat="false" ht="15.75" hidden="false" customHeight="false" outlineLevel="0" collapsed="false">
      <c r="A101" s="3"/>
      <c r="B101" s="105"/>
      <c r="C101" s="106"/>
      <c r="D101" s="99"/>
      <c r="E101" s="110"/>
      <c r="F101" s="107"/>
      <c r="G101" s="110"/>
      <c r="H101" s="103"/>
      <c r="I101" s="102"/>
      <c r="J101" s="103"/>
      <c r="K101" s="103"/>
      <c r="L101" s="85"/>
      <c r="M101" s="85" t="str">
        <f aca="false">IF(ISBLANK($C101),"",IF(ISBLANK(E101),0,E101))</f>
        <v/>
      </c>
      <c r="N101" s="85" t="str">
        <f aca="false">IF(ISBLANK($C101),"",IF(ISBLANK(F101),0,F101))</f>
        <v/>
      </c>
      <c r="O101" s="86" t="e">
        <f aca="false">IF(AND(NOT(ISBLANK($C101)),NOT($T101),COUNTA($E101:$K101)&gt;0),ISBLANK($F101),FALSE())</f>
        <v>#VALUE!</v>
      </c>
      <c r="P101" s="85" t="str">
        <f aca="false">IF(ISBLANK($C101),"",IF(G101=Constants!$B$9, TRUE(), IF(G101=Constants!$B$10, FALSE(), TRUE())))</f>
        <v/>
      </c>
      <c r="Q101" s="85" t="str">
        <f aca="false">IF(ISBLANK($C101),"",IF(H101=Constants!$B$9, TRUE(), IF(H101=Constants!$B$10, FALSE(), TRUE())))</f>
        <v/>
      </c>
      <c r="R101" s="85" t="str">
        <f aca="false">IF(ISBLANK($C101),"",IF(ISBLANK(I101),Constants!$B$3,I101))</f>
        <v/>
      </c>
      <c r="S101" s="85" t="str">
        <f aca="false">IF(ISBLANK($C101),"",IF(ISBLANK(J101),0,MIN(J101,Constants!$B$6)))</f>
        <v/>
      </c>
      <c r="T101" s="85" t="str">
        <f aca="false">IF(ISBLANK($C101),"",IF(K101=Constants!$B$9, TRUE(), IF(K101=Constants!$B$10, FALSE(),  FALSE())))</f>
        <v/>
      </c>
      <c r="U101" s="85" t="str">
        <f aca="false">IF(ISBLANK($C101),"",AND(R101=Constants!$B$4, S101&lt;Constants!$B$6))</f>
        <v/>
      </c>
      <c r="V101" s="85" t="str">
        <f aca="false">IF(ISBLANK(C101), "", IF(T101, Constants!$B$11, IF(COUNTA(E101:K101)=0, Constants!$B$12, IF(NOT(AND(P101,S101&lt;&gt;0)), Constants!$B$13, IF(O101, Constants!$B$15, Constants!$B$14)))))</f>
        <v/>
      </c>
      <c r="W101" s="85" t="str">
        <f aca="false">IF(OR(ISBLANK($C101), SUMPRODUCT(--(P101:T101&lt;&gt;""))=0), "", IF(V101&lt;&gt;Constants!$B$14, V101, IF(AND(NOT(ISBLANK(J101)),P101,Q101,R101&lt;&gt;Constants!$B$2), Constants!$B$7, IF(AND(P101,OR(NOT(Q101),R101=Constants!$B$2)), Constants!$B$8, "Error"))))</f>
        <v/>
      </c>
      <c r="X101" s="87" t="str">
        <f aca="false">IF(OR(W101=Constants!$B$7,W101=Constants!$B$8), MAX(0, MIN(Constants!$B$6, S101))+IF(AND(R101=Constants!$B$4, NOT(U101)), Constants!$B$5, 0), "")</f>
        <v/>
      </c>
      <c r="Y101" s="85" t="str">
        <f aca="false">IF(ISBLANK($C101),"",IF(AND(ISNUMBER(X101),N101&gt;0),X101/N101, "") )</f>
        <v/>
      </c>
      <c r="Z101" s="85" t="str">
        <f aca="false">IF(AND(NOT(ISBLANK($C101)), W101=Constants!$B$7), Y101, "")</f>
        <v/>
      </c>
      <c r="AA101" s="85" t="str">
        <f aca="false">IF(ISNUMBER(Z101), RANK(Z101,Z$8:Z$507), "")</f>
        <v/>
      </c>
      <c r="AB101" s="85" t="str">
        <f aca="false">IF(AND(NOT(ISBLANK($C101)), W101=Constants!$B$8), Y101, "")</f>
        <v/>
      </c>
      <c r="AC101" s="85" t="str">
        <f aca="false">IF(ISNUMBER(AB101), RANK(AB101,AB$8:AB$507), "")</f>
        <v/>
      </c>
      <c r="AD101" s="85" t="str">
        <f aca="false">IF(ISBLANK($C101),"",IF(V101&lt;&gt;Constants!$B$14, V101, IF(W101=Constants!$B$7, AA101, IF(W101=Constants!$B$8, COUNT($AA$8:$AA$507) + AC101, ""))))</f>
        <v/>
      </c>
      <c r="AE101" s="85" t="str">
        <f aca="false">N101</f>
        <v/>
      </c>
      <c r="AF101" s="85" t="str">
        <f aca="false">IF(ISNUMBER(AE101), RANK(AE101,AE$8:AE$507,1), "")</f>
        <v/>
      </c>
      <c r="AG101" s="88" t="str">
        <f aca="false">IF(ISBLANK(C101), "", ABS(M101-S101))</f>
        <v/>
      </c>
      <c r="AH101" s="85" t="str">
        <f aca="false">IF(ISNUMBER(AG101), RANK(AG101,AG$8:AG$507,1), "")</f>
        <v/>
      </c>
      <c r="AI101" s="85" t="str">
        <f aca="false">IF(ISBLANK(C101),"",IF(V101&lt;&gt;Constants!$B$14, V101, RANK(AD101, AD$8:AD$507, 1)+ SUMPRODUCT(--(AD$8:AD$507=AD101),--(AF101&gt;AF$8:AF$507)) + SUMPRODUCT(--(AD$8:AD$507=AD101),--(AF101=AF$8:AF$507),--(AH101&gt;AH$8:AH$507))))</f>
        <v/>
      </c>
      <c r="AJ101" s="85" t="str">
        <f aca="false">IF(ISBLANK(C101),"",IF(V101&lt;&gt;Constants!$B$14, V101, AD101-AI101))</f>
        <v/>
      </c>
      <c r="AK101" s="89"/>
      <c r="AL101" s="90" t="str">
        <f aca="false">IF(ISBLANK($C101),"",IF($V101&lt;&gt;Constants!$B$14,$V101,X101))</f>
        <v/>
      </c>
      <c r="AM101" s="90" t="str">
        <f aca="false">IF(ISBLANK($C101),"",IF($V101&lt;&gt;Constants!$B$14,$V101,N101))</f>
        <v/>
      </c>
      <c r="AN101" s="91" t="str">
        <f aca="false">IF(ISBLANK(C101),"",IF(V101&lt;&gt;Constants!$B$14, V101, IF(W101=Constants!$B$7,Z101,IF(W101=Constants!$B$8,AB101,""))))</f>
        <v/>
      </c>
      <c r="AO101" s="92" t="str">
        <f aca="false">IF(ISBLANK(C101),"",W101)</f>
        <v/>
      </c>
      <c r="AP101" s="92" t="str">
        <f aca="false">IF(ISBLANK(C101),"",AJ101)</f>
        <v/>
      </c>
      <c r="AQ101" s="92" t="str">
        <f aca="false">IF(ISBLANK(C101),"",AI101)</f>
        <v/>
      </c>
      <c r="AR101" s="93" t="str">
        <f aca="false">IF(ISBLANK(C101),
  "",
IF(AQ101=Constants!$B$11,COUNTA($C$8:$C$507)+2,IF(AQ101=Constants!$B$12,COUNTA($C$8:$C$507)+1,IF(AQ101=Constants!$B$13,COUNTA($C$8:$C$507),AQ101))))</f>
        <v/>
      </c>
      <c r="AS101" s="3"/>
      <c r="AT101" s="94" t="n">
        <f aca="false">IF(OR(ISNUMBER(AQ101),AQ101="DQ",AQ101="P",AQ101="NS"),
    1,
    0
)</f>
        <v>0</v>
      </c>
      <c r="AU101" s="94" t="n">
        <v>94</v>
      </c>
      <c r="AV101" s="94" t="str">
        <f aca="false">IF(ISBLANK($C101),
    "",
   IF(ISNUMBER(AR101),AR101+ROW($B101)/1000,"")
)</f>
        <v/>
      </c>
      <c r="AW101" s="94" t="str">
        <f aca="false">IF(ISNUMBER(AV101), RANK(AV101,AV$8:AV$507,1), "")</f>
        <v/>
      </c>
      <c r="AX101" s="94" t="str">
        <f aca="false">IF(ISBLANK($C101),
    "",
    $B101
)</f>
        <v/>
      </c>
      <c r="AY101" s="94" t="str">
        <f aca="false">IF(ISBLANK($C101),
    "",
    $C101
)</f>
        <v/>
      </c>
      <c r="AZ101" s="94" t="str">
        <f aca="false">IF(ISBLANK($C101),
    "",
    $D101
)</f>
        <v/>
      </c>
      <c r="BA101" s="94" t="str">
        <f aca="false">AO101</f>
        <v/>
      </c>
      <c r="BB101" s="95" t="str">
        <f aca="false">AN101</f>
        <v/>
      </c>
      <c r="BC101" s="94" t="str">
        <f aca="false">IF(ISBLANK($C101),
    "",
    AQ101
)</f>
        <v/>
      </c>
      <c r="BD101" s="96" t="str">
        <f aca="false">IF(AU101&gt;AT$7,
    "",
    VLOOKUP(AU101,AW$8:BC$507,7,FALSE())
)</f>
        <v/>
      </c>
      <c r="BE101" s="97" t="str">
        <f aca="false">IF(AU101&gt;AT$7,
    "",
    VLOOKUP(AU101,AW$8:BC$507,2,FALSE())
)</f>
        <v/>
      </c>
      <c r="BF101" s="97" t="str">
        <f aca="false">IF(AU101&gt;AT$7,
    "",
    VLOOKUP(AU101,AW$8:BC$507,3,FALSE())
)</f>
        <v/>
      </c>
      <c r="BG101" s="97" t="str">
        <f aca="false">IF(AU101&gt;AT$7,
    "",
    VLOOKUP(AU101,AW$8:BC$507,4,FALSE())
)</f>
        <v/>
      </c>
      <c r="BH101" s="97" t="str">
        <f aca="false">IF(AU101&gt;AT$7,
    "",
    VLOOKUP(AU101,AW$8:BC$507,5,FALSE())
)</f>
        <v/>
      </c>
      <c r="BI101" s="98" t="str">
        <f aca="false">IF(AU101&gt;AT$7,
    "",
    VLOOKUP(AU101,AW$8:BC$507,6,FALSE())
)</f>
        <v/>
      </c>
      <c r="BJ101" s="46"/>
    </row>
    <row r="102" customFormat="false" ht="15.75" hidden="false" customHeight="false" outlineLevel="0" collapsed="false">
      <c r="A102" s="3"/>
      <c r="B102" s="105"/>
      <c r="C102" s="106"/>
      <c r="D102" s="99"/>
      <c r="E102" s="110"/>
      <c r="F102" s="107"/>
      <c r="G102" s="110"/>
      <c r="H102" s="103"/>
      <c r="I102" s="102"/>
      <c r="J102" s="103"/>
      <c r="K102" s="103"/>
      <c r="L102" s="85"/>
      <c r="M102" s="85" t="str">
        <f aca="false">IF(ISBLANK($C102),"",IF(ISBLANK(E102),0,E102))</f>
        <v/>
      </c>
      <c r="N102" s="85" t="str">
        <f aca="false">IF(ISBLANK($C102),"",IF(ISBLANK(F102),0,F102))</f>
        <v/>
      </c>
      <c r="O102" s="86" t="e">
        <f aca="false">IF(AND(NOT(ISBLANK($C102)),NOT($T102),COUNTA($E102:$K102)&gt;0),ISBLANK($F102),FALSE())</f>
        <v>#VALUE!</v>
      </c>
      <c r="P102" s="85" t="str">
        <f aca="false">IF(ISBLANK($C102),"",IF(G102=Constants!$B$9, TRUE(), IF(G102=Constants!$B$10, FALSE(), TRUE())))</f>
        <v/>
      </c>
      <c r="Q102" s="85" t="str">
        <f aca="false">IF(ISBLANK($C102),"",IF(H102=Constants!$B$9, TRUE(), IF(H102=Constants!$B$10, FALSE(), TRUE())))</f>
        <v/>
      </c>
      <c r="R102" s="85" t="str">
        <f aca="false">IF(ISBLANK($C102),"",IF(ISBLANK(I102),Constants!$B$3,I102))</f>
        <v/>
      </c>
      <c r="S102" s="85" t="str">
        <f aca="false">IF(ISBLANK($C102),"",IF(ISBLANK(J102),0,MIN(J102,Constants!$B$6)))</f>
        <v/>
      </c>
      <c r="T102" s="85" t="str">
        <f aca="false">IF(ISBLANK($C102),"",IF(K102=Constants!$B$9, TRUE(), IF(K102=Constants!$B$10, FALSE(),  FALSE())))</f>
        <v/>
      </c>
      <c r="U102" s="85" t="str">
        <f aca="false">IF(ISBLANK($C102),"",AND(R102=Constants!$B$4, S102&lt;Constants!$B$6))</f>
        <v/>
      </c>
      <c r="V102" s="85" t="str">
        <f aca="false">IF(ISBLANK(C102), "", IF(T102, Constants!$B$11, IF(COUNTA(E102:K102)=0, Constants!$B$12, IF(NOT(AND(P102,S102&lt;&gt;0)), Constants!$B$13, IF(O102, Constants!$B$15, Constants!$B$14)))))</f>
        <v/>
      </c>
      <c r="W102" s="85" t="str">
        <f aca="false">IF(OR(ISBLANK($C102), SUMPRODUCT(--(P102:T102&lt;&gt;""))=0), "", IF(V102&lt;&gt;Constants!$B$14, V102, IF(AND(NOT(ISBLANK(J102)),P102,Q102,R102&lt;&gt;Constants!$B$2), Constants!$B$7, IF(AND(P102,OR(NOT(Q102),R102=Constants!$B$2)), Constants!$B$8, "Error"))))</f>
        <v/>
      </c>
      <c r="X102" s="87" t="str">
        <f aca="false">IF(OR(W102=Constants!$B$7,W102=Constants!$B$8), MAX(0, MIN(Constants!$B$6, S102))+IF(AND(R102=Constants!$B$4, NOT(U102)), Constants!$B$5, 0), "")</f>
        <v/>
      </c>
      <c r="Y102" s="85" t="str">
        <f aca="false">IF(ISBLANK($C102),"",IF(AND(ISNUMBER(X102),N102&gt;0),X102/N102, "") )</f>
        <v/>
      </c>
      <c r="Z102" s="85" t="str">
        <f aca="false">IF(AND(NOT(ISBLANK($C102)), W102=Constants!$B$7), Y102, "")</f>
        <v/>
      </c>
      <c r="AA102" s="85" t="str">
        <f aca="false">IF(ISNUMBER(Z102), RANK(Z102,Z$8:Z$507), "")</f>
        <v/>
      </c>
      <c r="AB102" s="85" t="str">
        <f aca="false">IF(AND(NOT(ISBLANK($C102)), W102=Constants!$B$8), Y102, "")</f>
        <v/>
      </c>
      <c r="AC102" s="85" t="str">
        <f aca="false">IF(ISNUMBER(AB102), RANK(AB102,AB$8:AB$507), "")</f>
        <v/>
      </c>
      <c r="AD102" s="85" t="str">
        <f aca="false">IF(ISBLANK($C102),"",IF(V102&lt;&gt;Constants!$B$14, V102, IF(W102=Constants!$B$7, AA102, IF(W102=Constants!$B$8, COUNT($AA$8:$AA$507) + AC102, ""))))</f>
        <v/>
      </c>
      <c r="AE102" s="85" t="str">
        <f aca="false">N102</f>
        <v/>
      </c>
      <c r="AF102" s="85" t="str">
        <f aca="false">IF(ISNUMBER(AE102), RANK(AE102,AE$8:AE$507,1), "")</f>
        <v/>
      </c>
      <c r="AG102" s="88" t="str">
        <f aca="false">IF(ISBLANK(C102), "", ABS(M102-S102))</f>
        <v/>
      </c>
      <c r="AH102" s="85" t="str">
        <f aca="false">IF(ISNUMBER(AG102), RANK(AG102,AG$8:AG$507,1), "")</f>
        <v/>
      </c>
      <c r="AI102" s="85" t="str">
        <f aca="false">IF(ISBLANK(C102),"",IF(V102&lt;&gt;Constants!$B$14, V102, RANK(AD102, AD$8:AD$507, 1)+ SUMPRODUCT(--(AD$8:AD$507=AD102),--(AF102&gt;AF$8:AF$507)) + SUMPRODUCT(--(AD$8:AD$507=AD102),--(AF102=AF$8:AF$507),--(AH102&gt;AH$8:AH$507))))</f>
        <v/>
      </c>
      <c r="AJ102" s="85" t="str">
        <f aca="false">IF(ISBLANK(C102),"",IF(V102&lt;&gt;Constants!$B$14, V102, AD102-AI102))</f>
        <v/>
      </c>
      <c r="AK102" s="89"/>
      <c r="AL102" s="90" t="str">
        <f aca="false">IF(ISBLANK($C102),"",IF($V102&lt;&gt;Constants!$B$14,$V102,X102))</f>
        <v/>
      </c>
      <c r="AM102" s="90" t="str">
        <f aca="false">IF(ISBLANK($C102),"",IF($V102&lt;&gt;Constants!$B$14,$V102,N102))</f>
        <v/>
      </c>
      <c r="AN102" s="91" t="str">
        <f aca="false">IF(ISBLANK(C102),"",IF(V102&lt;&gt;Constants!$B$14, V102, IF(W102=Constants!$B$7,Z102,IF(W102=Constants!$B$8,AB102,""))))</f>
        <v/>
      </c>
      <c r="AO102" s="92" t="str">
        <f aca="false">IF(ISBLANK(C102),"",W102)</f>
        <v/>
      </c>
      <c r="AP102" s="92" t="str">
        <f aca="false">IF(ISBLANK(C102),"",AJ102)</f>
        <v/>
      </c>
      <c r="AQ102" s="92" t="str">
        <f aca="false">IF(ISBLANK(C102),"",AI102)</f>
        <v/>
      </c>
      <c r="AR102" s="93" t="str">
        <f aca="false">IF(ISBLANK(C102),
  "",
IF(AQ102=Constants!$B$11,COUNTA($C$8:$C$507)+2,IF(AQ102=Constants!$B$12,COUNTA($C$8:$C$507)+1,IF(AQ102=Constants!$B$13,COUNTA($C$8:$C$507),AQ102))))</f>
        <v/>
      </c>
      <c r="AS102" s="3"/>
      <c r="AT102" s="94" t="n">
        <f aca="false">IF(OR(ISNUMBER(AQ102),AQ102="DQ",AQ102="P",AQ102="NS"),
    1,
    0
)</f>
        <v>0</v>
      </c>
      <c r="AU102" s="94" t="n">
        <v>95</v>
      </c>
      <c r="AV102" s="94" t="str">
        <f aca="false">IF(ISBLANK($C102),
    "",
   IF(ISNUMBER(AR102),AR102+ROW($B102)/1000,"")
)</f>
        <v/>
      </c>
      <c r="AW102" s="94" t="str">
        <f aca="false">IF(ISNUMBER(AV102), RANK(AV102,AV$8:AV$507,1), "")</f>
        <v/>
      </c>
      <c r="AX102" s="94" t="str">
        <f aca="false">IF(ISBLANK($C102),
    "",
    $B102
)</f>
        <v/>
      </c>
      <c r="AY102" s="94" t="str">
        <f aca="false">IF(ISBLANK($C102),
    "",
    $C102
)</f>
        <v/>
      </c>
      <c r="AZ102" s="94" t="str">
        <f aca="false">IF(ISBLANK($C102),
    "",
    $D102
)</f>
        <v/>
      </c>
      <c r="BA102" s="94" t="str">
        <f aca="false">AO102</f>
        <v/>
      </c>
      <c r="BB102" s="95" t="str">
        <f aca="false">AN102</f>
        <v/>
      </c>
      <c r="BC102" s="94" t="str">
        <f aca="false">IF(ISBLANK($C102),
    "",
    AQ102
)</f>
        <v/>
      </c>
      <c r="BD102" s="96" t="str">
        <f aca="false">IF(AU102&gt;AT$7,
    "",
    VLOOKUP(AU102,AW$8:BC$507,7,FALSE())
)</f>
        <v/>
      </c>
      <c r="BE102" s="97" t="str">
        <f aca="false">IF(AU102&gt;AT$7,
    "",
    VLOOKUP(AU102,AW$8:BC$507,2,FALSE())
)</f>
        <v/>
      </c>
      <c r="BF102" s="97" t="str">
        <f aca="false">IF(AU102&gt;AT$7,
    "",
    VLOOKUP(AU102,AW$8:BC$507,3,FALSE())
)</f>
        <v/>
      </c>
      <c r="BG102" s="97" t="str">
        <f aca="false">IF(AU102&gt;AT$7,
    "",
    VLOOKUP(AU102,AW$8:BC$507,4,FALSE())
)</f>
        <v/>
      </c>
      <c r="BH102" s="97" t="str">
        <f aca="false">IF(AU102&gt;AT$7,
    "",
    VLOOKUP(AU102,AW$8:BC$507,5,FALSE())
)</f>
        <v/>
      </c>
      <c r="BI102" s="98" t="str">
        <f aca="false">IF(AU102&gt;AT$7,
    "",
    VLOOKUP(AU102,AW$8:BC$507,6,FALSE())
)</f>
        <v/>
      </c>
      <c r="BJ102" s="46"/>
    </row>
    <row r="103" customFormat="false" ht="15.75" hidden="false" customHeight="false" outlineLevel="0" collapsed="false">
      <c r="A103" s="3"/>
      <c r="B103" s="105"/>
      <c r="C103" s="106"/>
      <c r="D103" s="99"/>
      <c r="E103" s="110"/>
      <c r="F103" s="107"/>
      <c r="G103" s="110"/>
      <c r="H103" s="103"/>
      <c r="I103" s="102"/>
      <c r="J103" s="103"/>
      <c r="K103" s="103"/>
      <c r="L103" s="85"/>
      <c r="M103" s="85" t="str">
        <f aca="false">IF(ISBLANK($C103),"",IF(ISBLANK(E103),0,E103))</f>
        <v/>
      </c>
      <c r="N103" s="85" t="str">
        <f aca="false">IF(ISBLANK($C103),"",IF(ISBLANK(F103),0,F103))</f>
        <v/>
      </c>
      <c r="O103" s="86" t="e">
        <f aca="false">IF(AND(NOT(ISBLANK($C103)),NOT($T103),COUNTA($E103:$K103)&gt;0),ISBLANK($F103),FALSE())</f>
        <v>#VALUE!</v>
      </c>
      <c r="P103" s="85" t="str">
        <f aca="false">IF(ISBLANK($C103),"",IF(G103=Constants!$B$9, TRUE(), IF(G103=Constants!$B$10, FALSE(), TRUE())))</f>
        <v/>
      </c>
      <c r="Q103" s="85" t="str">
        <f aca="false">IF(ISBLANK($C103),"",IF(H103=Constants!$B$9, TRUE(), IF(H103=Constants!$B$10, FALSE(), TRUE())))</f>
        <v/>
      </c>
      <c r="R103" s="85" t="str">
        <f aca="false">IF(ISBLANK($C103),"",IF(ISBLANK(I103),Constants!$B$3,I103))</f>
        <v/>
      </c>
      <c r="S103" s="85" t="str">
        <f aca="false">IF(ISBLANK($C103),"",IF(ISBLANK(J103),0,MIN(J103,Constants!$B$6)))</f>
        <v/>
      </c>
      <c r="T103" s="85" t="str">
        <f aca="false">IF(ISBLANK($C103),"",IF(K103=Constants!$B$9, TRUE(), IF(K103=Constants!$B$10, FALSE(),  FALSE())))</f>
        <v/>
      </c>
      <c r="U103" s="85" t="str">
        <f aca="false">IF(ISBLANK($C103),"",AND(R103=Constants!$B$4, S103&lt;Constants!$B$6))</f>
        <v/>
      </c>
      <c r="V103" s="85" t="str">
        <f aca="false">IF(ISBLANK(C103), "", IF(T103, Constants!$B$11, IF(COUNTA(E103:K103)=0, Constants!$B$12, IF(NOT(AND(P103,S103&lt;&gt;0)), Constants!$B$13, IF(O103, Constants!$B$15, Constants!$B$14)))))</f>
        <v/>
      </c>
      <c r="W103" s="85" t="str">
        <f aca="false">IF(OR(ISBLANK($C103), SUMPRODUCT(--(P103:T103&lt;&gt;""))=0), "", IF(V103&lt;&gt;Constants!$B$14, V103, IF(AND(NOT(ISBLANK(J103)),P103,Q103,R103&lt;&gt;Constants!$B$2), Constants!$B$7, IF(AND(P103,OR(NOT(Q103),R103=Constants!$B$2)), Constants!$B$8, "Error"))))</f>
        <v/>
      </c>
      <c r="X103" s="87" t="str">
        <f aca="false">IF(OR(W103=Constants!$B$7,W103=Constants!$B$8), MAX(0, MIN(Constants!$B$6, S103))+IF(AND(R103=Constants!$B$4, NOT(U103)), Constants!$B$5, 0), "")</f>
        <v/>
      </c>
      <c r="Y103" s="85" t="str">
        <f aca="false">IF(ISBLANK($C103),"",IF(AND(ISNUMBER(X103),N103&gt;0),X103/N103, "") )</f>
        <v/>
      </c>
      <c r="Z103" s="85" t="str">
        <f aca="false">IF(AND(NOT(ISBLANK($C103)), W103=Constants!$B$7), Y103, "")</f>
        <v/>
      </c>
      <c r="AA103" s="85" t="str">
        <f aca="false">IF(ISNUMBER(Z103), RANK(Z103,Z$8:Z$507), "")</f>
        <v/>
      </c>
      <c r="AB103" s="85" t="str">
        <f aca="false">IF(AND(NOT(ISBLANK($C103)), W103=Constants!$B$8), Y103, "")</f>
        <v/>
      </c>
      <c r="AC103" s="85" t="str">
        <f aca="false">IF(ISNUMBER(AB103), RANK(AB103,AB$8:AB$507), "")</f>
        <v/>
      </c>
      <c r="AD103" s="85" t="str">
        <f aca="false">IF(ISBLANK($C103),"",IF(V103&lt;&gt;Constants!$B$14, V103, IF(W103=Constants!$B$7, AA103, IF(W103=Constants!$B$8, COUNT($AA$8:$AA$507) + AC103, ""))))</f>
        <v/>
      </c>
      <c r="AE103" s="85" t="str">
        <f aca="false">N103</f>
        <v/>
      </c>
      <c r="AF103" s="85" t="str">
        <f aca="false">IF(ISNUMBER(AE103), RANK(AE103,AE$8:AE$507,1), "")</f>
        <v/>
      </c>
      <c r="AG103" s="88" t="str">
        <f aca="false">IF(ISBLANK(C103), "", ABS(M103-S103))</f>
        <v/>
      </c>
      <c r="AH103" s="85" t="str">
        <f aca="false">IF(ISNUMBER(AG103), RANK(AG103,AG$8:AG$507,1), "")</f>
        <v/>
      </c>
      <c r="AI103" s="85" t="str">
        <f aca="false">IF(ISBLANK(C103),"",IF(V103&lt;&gt;Constants!$B$14, V103, RANK(AD103, AD$8:AD$507, 1)+ SUMPRODUCT(--(AD$8:AD$507=AD103),--(AF103&gt;AF$8:AF$507)) + SUMPRODUCT(--(AD$8:AD$507=AD103),--(AF103=AF$8:AF$507),--(AH103&gt;AH$8:AH$507))))</f>
        <v/>
      </c>
      <c r="AJ103" s="85" t="str">
        <f aca="false">IF(ISBLANK(C103),"",IF(V103&lt;&gt;Constants!$B$14, V103, AD103-AI103))</f>
        <v/>
      </c>
      <c r="AK103" s="89"/>
      <c r="AL103" s="90" t="str">
        <f aca="false">IF(ISBLANK($C103),"",IF($V103&lt;&gt;Constants!$B$14,$V103,X103))</f>
        <v/>
      </c>
      <c r="AM103" s="90" t="str">
        <f aca="false">IF(ISBLANK($C103),"",IF($V103&lt;&gt;Constants!$B$14,$V103,N103))</f>
        <v/>
      </c>
      <c r="AN103" s="91" t="str">
        <f aca="false">IF(ISBLANK(C103),"",IF(V103&lt;&gt;Constants!$B$14, V103, IF(W103=Constants!$B$7,Z103,IF(W103=Constants!$B$8,AB103,""))))</f>
        <v/>
      </c>
      <c r="AO103" s="92" t="str">
        <f aca="false">IF(ISBLANK(C103),"",W103)</f>
        <v/>
      </c>
      <c r="AP103" s="92" t="str">
        <f aca="false">IF(ISBLANK(C103),"",AJ103)</f>
        <v/>
      </c>
      <c r="AQ103" s="92" t="str">
        <f aca="false">IF(ISBLANK(C103),"",AI103)</f>
        <v/>
      </c>
      <c r="AR103" s="93" t="str">
        <f aca="false">IF(ISBLANK(C103),
  "",
IF(AQ103=Constants!$B$11,COUNTA($C$8:$C$507)+2,IF(AQ103=Constants!$B$12,COUNTA($C$8:$C$507)+1,IF(AQ103=Constants!$B$13,COUNTA($C$8:$C$507),AQ103))))</f>
        <v/>
      </c>
      <c r="AS103" s="3"/>
      <c r="AT103" s="94" t="n">
        <f aca="false">IF(OR(ISNUMBER(AQ103),AQ103="DQ",AQ103="P",AQ103="NS"),
    1,
    0
)</f>
        <v>0</v>
      </c>
      <c r="AU103" s="94" t="n">
        <v>96</v>
      </c>
      <c r="AV103" s="94" t="str">
        <f aca="false">IF(ISBLANK($C103),
    "",
   IF(ISNUMBER(AR103),AR103+ROW($B103)/1000,"")
)</f>
        <v/>
      </c>
      <c r="AW103" s="94" t="str">
        <f aca="false">IF(ISNUMBER(AV103), RANK(AV103,AV$8:AV$507,1), "")</f>
        <v/>
      </c>
      <c r="AX103" s="94" t="str">
        <f aca="false">IF(ISBLANK($C103),
    "",
    $B103
)</f>
        <v/>
      </c>
      <c r="AY103" s="94" t="str">
        <f aca="false">IF(ISBLANK($C103),
    "",
    $C103
)</f>
        <v/>
      </c>
      <c r="AZ103" s="94" t="str">
        <f aca="false">IF(ISBLANK($C103),
    "",
    $D103
)</f>
        <v/>
      </c>
      <c r="BA103" s="94" t="str">
        <f aca="false">AO103</f>
        <v/>
      </c>
      <c r="BB103" s="95" t="str">
        <f aca="false">AN103</f>
        <v/>
      </c>
      <c r="BC103" s="94" t="str">
        <f aca="false">IF(ISBLANK($C103),
    "",
    AQ103
)</f>
        <v/>
      </c>
      <c r="BD103" s="96" t="str">
        <f aca="false">IF(AU103&gt;AT$7,
    "",
    VLOOKUP(AU103,AW$8:BC$507,7,FALSE())
)</f>
        <v/>
      </c>
      <c r="BE103" s="97" t="str">
        <f aca="false">IF(AU103&gt;AT$7,
    "",
    VLOOKUP(AU103,AW$8:BC$507,2,FALSE())
)</f>
        <v/>
      </c>
      <c r="BF103" s="97" t="str">
        <f aca="false">IF(AU103&gt;AT$7,
    "",
    VLOOKUP(AU103,AW$8:BC$507,3,FALSE())
)</f>
        <v/>
      </c>
      <c r="BG103" s="97" t="str">
        <f aca="false">IF(AU103&gt;AT$7,
    "",
    VLOOKUP(AU103,AW$8:BC$507,4,FALSE())
)</f>
        <v/>
      </c>
      <c r="BH103" s="97" t="str">
        <f aca="false">IF(AU103&gt;AT$7,
    "",
    VLOOKUP(AU103,AW$8:BC$507,5,FALSE())
)</f>
        <v/>
      </c>
      <c r="BI103" s="98" t="str">
        <f aca="false">IF(AU103&gt;AT$7,
    "",
    VLOOKUP(AU103,AW$8:BC$507,6,FALSE())
)</f>
        <v/>
      </c>
      <c r="BJ103" s="46"/>
    </row>
    <row r="104" customFormat="false" ht="15.75" hidden="false" customHeight="false" outlineLevel="0" collapsed="false">
      <c r="A104" s="3"/>
      <c r="B104" s="108"/>
      <c r="C104" s="70"/>
      <c r="D104" s="49"/>
      <c r="E104" s="109"/>
      <c r="F104" s="72"/>
      <c r="G104" s="109"/>
      <c r="H104" s="74"/>
      <c r="I104" s="104"/>
      <c r="J104" s="74"/>
      <c r="K104" s="74"/>
      <c r="L104" s="55"/>
      <c r="M104" s="55" t="str">
        <f aca="false">IF(ISBLANK($C104),"",IF(ISBLANK(E104),0,E104))</f>
        <v/>
      </c>
      <c r="N104" s="55" t="str">
        <f aca="false">IF(ISBLANK($C104),"",IF(ISBLANK(F104),0,F104))</f>
        <v/>
      </c>
      <c r="O104" s="55" t="e">
        <f aca="false">IF(AND(NOT(ISBLANK($C104)),NOT($T104),COUNTA($E104:$K104)&gt;0),ISBLANK($F104),FALSE())</f>
        <v>#VALUE!</v>
      </c>
      <c r="P104" s="55" t="str">
        <f aca="false">IF(ISBLANK($C104),"",IF(G104=Constants!$B$9, TRUE(), IF(G104=Constants!$B$10, FALSE(), TRUE())))</f>
        <v/>
      </c>
      <c r="Q104" s="55" t="str">
        <f aca="false">IF(ISBLANK($C104),"",IF(H104=Constants!$B$9, TRUE(), IF(H104=Constants!$B$10, FALSE(), TRUE())))</f>
        <v/>
      </c>
      <c r="R104" s="55" t="str">
        <f aca="false">IF(ISBLANK($C104),"",IF(ISBLANK(I104),Constants!$B$3,I104))</f>
        <v/>
      </c>
      <c r="S104" s="55" t="str">
        <f aca="false">IF(ISBLANK($C104),"",IF(ISBLANK(J104),0,MIN(J104,Constants!$B$6)))</f>
        <v/>
      </c>
      <c r="T104" s="55" t="str">
        <f aca="false">IF(ISBLANK($C104),"",IF(K104=Constants!$B$9, TRUE(), IF(K104=Constants!$B$10, FALSE(),  FALSE())))</f>
        <v/>
      </c>
      <c r="U104" s="55" t="str">
        <f aca="false">IF(ISBLANK($C104),"",AND(R104=Constants!$B$4, S104&lt;Constants!$B$6))</f>
        <v/>
      </c>
      <c r="V104" s="55" t="str">
        <f aca="false">IF(ISBLANK(C104), "", IF(T104, Constants!$B$11, IF(COUNTA(E104:K104)=0, Constants!$B$12, IF(NOT(AND(P104,S104&lt;&gt;0)), Constants!$B$13, IF(O104, Constants!$B$15, Constants!$B$14)))))</f>
        <v/>
      </c>
      <c r="W104" s="55" t="str">
        <f aca="false">IF(OR(ISBLANK($C104), SUMPRODUCT(--(P104:T104&lt;&gt;""))=0), "", IF(V104&lt;&gt;Constants!$B$14, V104, IF(AND(NOT(ISBLANK(J104)),P104,Q104,R104&lt;&gt;Constants!$B$2), Constants!$B$7, IF(AND(P104,OR(NOT(Q104),R104=Constants!$B$2)), Constants!$B$8, "Error"))))</f>
        <v/>
      </c>
      <c r="X104" s="56" t="str">
        <f aca="false">IF(OR(W104=Constants!$B$7,W104=Constants!$B$8), MAX(0, MIN(Constants!$B$6, S104))+IF(AND(R104=Constants!$B$4, NOT(U104)), Constants!$B$5, 0), "")</f>
        <v/>
      </c>
      <c r="Y104" s="55" t="str">
        <f aca="false">IF(ISBLANK($C104),"",IF(AND(ISNUMBER(X104),N104&gt;0),X104/N104, "") )</f>
        <v/>
      </c>
      <c r="Z104" s="55" t="str">
        <f aca="false">IF(AND(NOT(ISBLANK($C104)), W104=Constants!$B$7), Y104, "")</f>
        <v/>
      </c>
      <c r="AA104" s="55" t="str">
        <f aca="false">IF(ISNUMBER(Z104), RANK(Z104,Z$8:Z$507), "")</f>
        <v/>
      </c>
      <c r="AB104" s="55" t="str">
        <f aca="false">IF(AND(NOT(ISBLANK($C104)), W104=Constants!$B$8), Y104, "")</f>
        <v/>
      </c>
      <c r="AC104" s="55" t="str">
        <f aca="false">IF(ISNUMBER(AB104), RANK(AB104,AB$8:AB$507), "")</f>
        <v/>
      </c>
      <c r="AD104" s="55" t="str">
        <f aca="false">IF(ISBLANK($C104),"",IF(V104&lt;&gt;Constants!$B$14, V104, IF(W104=Constants!$B$7, AA104, IF(W104=Constants!$B$8, COUNT($AA$8:$AA$507) + AC104, ""))))</f>
        <v/>
      </c>
      <c r="AE104" s="55" t="str">
        <f aca="false">N104</f>
        <v/>
      </c>
      <c r="AF104" s="55" t="str">
        <f aca="false">IF(ISNUMBER(AE104), RANK(AE104,AE$8:AE$507,1), "")</f>
        <v/>
      </c>
      <c r="AG104" s="57" t="str">
        <f aca="false">IF(ISBLANK(C104), "", ABS(M104-S104))</f>
        <v/>
      </c>
      <c r="AH104" s="55" t="str">
        <f aca="false">IF(ISNUMBER(AG104), RANK(AG104,AG$8:AG$507,1), "")</f>
        <v/>
      </c>
      <c r="AI104" s="55" t="str">
        <f aca="false">IF(ISBLANK(C104),"",IF(V104&lt;&gt;Constants!$B$14, V104, RANK(AD104, AD$8:AD$507, 1)+ SUMPRODUCT(--(AD$8:AD$507=AD104),--(AF104&gt;AF$8:AF$507)) + SUMPRODUCT(--(AD$8:AD$507=AD104),--(AF104=AF$8:AF$507),--(AH104&gt;AH$8:AH$507))))</f>
        <v/>
      </c>
      <c r="AJ104" s="55" t="str">
        <f aca="false">IF(ISBLANK(C104),"",IF(V104&lt;&gt;Constants!$B$14, V104, AD104-AI104))</f>
        <v/>
      </c>
      <c r="AK104" s="59"/>
      <c r="AL104" s="60" t="str">
        <f aca="false">IF(ISBLANK($C104),"",IF($V104&lt;&gt;Constants!$B$14,$V104,X104))</f>
        <v/>
      </c>
      <c r="AM104" s="60" t="str">
        <f aca="false">IF(ISBLANK($C104),"",IF($V104&lt;&gt;Constants!$B$14,$V104,N104))</f>
        <v/>
      </c>
      <c r="AN104" s="62" t="str">
        <f aca="false">IF(ISBLANK(C104),"",IF(V104&lt;&gt;Constants!$B$14, V104, IF(W104=Constants!$B$7,Z104,IF(W104=Constants!$B$8,AB104,""))))</f>
        <v/>
      </c>
      <c r="AO104" s="63" t="str">
        <f aca="false">IF(ISBLANK(C104),"",W104)</f>
        <v/>
      </c>
      <c r="AP104" s="63" t="str">
        <f aca="false">IF(ISBLANK(C104),"",AJ104)</f>
        <v/>
      </c>
      <c r="AQ104" s="63" t="str">
        <f aca="false">IF(ISBLANK(C104),"",AI104)</f>
        <v/>
      </c>
      <c r="AR104" s="64" t="str">
        <f aca="false">IF(ISBLANK(C104),
  "",
IF(AQ104=Constants!$B$11,COUNTA($C$8:$C$507)+2,IF(AQ104=Constants!$B$12,COUNTA($C$8:$C$507)+1,IF(AQ104=Constants!$B$13,COUNTA($C$8:$C$507),AQ104))))</f>
        <v/>
      </c>
      <c r="AS104" s="3"/>
      <c r="AT104" s="65" t="n">
        <f aca="false">IF(OR(ISNUMBER(AQ104),AQ104="DQ",AQ104="P",AQ104="NS"),
    1,
    0
)</f>
        <v>0</v>
      </c>
      <c r="AU104" s="65" t="n">
        <v>97</v>
      </c>
      <c r="AV104" s="65" t="str">
        <f aca="false">IF(ISBLANK($C104),
    "",
   IF(ISNUMBER(AR104),AR104+ROW($B104)/1000,"")
)</f>
        <v/>
      </c>
      <c r="AW104" s="65" t="str">
        <f aca="false">IF(ISNUMBER(AV104), RANK(AV104,AV$8:AV$507,1), "")</f>
        <v/>
      </c>
      <c r="AX104" s="65" t="str">
        <f aca="false">IF(ISBLANK($C104),
    "",
    $B104
)</f>
        <v/>
      </c>
      <c r="AY104" s="65" t="str">
        <f aca="false">IF(ISBLANK($C104),
    "",
    $C104
)</f>
        <v/>
      </c>
      <c r="AZ104" s="65" t="str">
        <f aca="false">IF(ISBLANK($C104),
    "",
    $D104
)</f>
        <v/>
      </c>
      <c r="BA104" s="65" t="str">
        <f aca="false">AO104</f>
        <v/>
      </c>
      <c r="BB104" s="66" t="str">
        <f aca="false">AN104</f>
        <v/>
      </c>
      <c r="BC104" s="65" t="str">
        <f aca="false">IF(ISBLANK($C104),
    "",
    AQ104
)</f>
        <v/>
      </c>
      <c r="BD104" s="67" t="str">
        <f aca="false">IF(AU104&gt;AT$7,
    "",
    VLOOKUP(AU104,AW$8:BC$507,7,FALSE())
)</f>
        <v/>
      </c>
      <c r="BE104" s="68" t="str">
        <f aca="false">IF(AU104&gt;AT$7,
    "",
    VLOOKUP(AU104,AW$8:BC$507,2,FALSE())
)</f>
        <v/>
      </c>
      <c r="BF104" s="68" t="str">
        <f aca="false">IF(AU104&gt;AT$7,
    "",
    VLOOKUP(AU104,AW$8:BC$507,3,FALSE())
)</f>
        <v/>
      </c>
      <c r="BG104" s="68" t="str">
        <f aca="false">IF(AU104&gt;AT$7,
    "",
    VLOOKUP(AU104,AW$8:BC$507,4,FALSE())
)</f>
        <v/>
      </c>
      <c r="BH104" s="68" t="str">
        <f aca="false">IF(AU104&gt;AT$7,
    "",
    VLOOKUP(AU104,AW$8:BC$507,5,FALSE())
)</f>
        <v/>
      </c>
      <c r="BI104" s="69" t="str">
        <f aca="false">IF(AU104&gt;AT$7,
    "",
    VLOOKUP(AU104,AW$8:BC$507,6,FALSE())
)</f>
        <v/>
      </c>
      <c r="BJ104" s="46"/>
    </row>
    <row r="105" customFormat="false" ht="15.75" hidden="false" customHeight="false" outlineLevel="0" collapsed="false">
      <c r="A105" s="3"/>
      <c r="B105" s="108"/>
      <c r="C105" s="70"/>
      <c r="D105" s="49"/>
      <c r="E105" s="109"/>
      <c r="F105" s="72"/>
      <c r="G105" s="109"/>
      <c r="H105" s="74"/>
      <c r="I105" s="104"/>
      <c r="J105" s="74"/>
      <c r="K105" s="74"/>
      <c r="L105" s="55"/>
      <c r="M105" s="55" t="str">
        <f aca="false">IF(ISBLANK($C105),"",IF(ISBLANK(E105),0,E105))</f>
        <v/>
      </c>
      <c r="N105" s="55" t="str">
        <f aca="false">IF(ISBLANK($C105),"",IF(ISBLANK(F105),0,F105))</f>
        <v/>
      </c>
      <c r="O105" s="55" t="e">
        <f aca="false">IF(AND(NOT(ISBLANK($C105)),NOT($T105),COUNTA($E105:$K105)&gt;0),ISBLANK($F105),FALSE())</f>
        <v>#VALUE!</v>
      </c>
      <c r="P105" s="55" t="str">
        <f aca="false">IF(ISBLANK($C105),"",IF(G105=Constants!$B$9, TRUE(), IF(G105=Constants!$B$10, FALSE(), TRUE())))</f>
        <v/>
      </c>
      <c r="Q105" s="55" t="str">
        <f aca="false">IF(ISBLANK($C105),"",IF(H105=Constants!$B$9, TRUE(), IF(H105=Constants!$B$10, FALSE(), TRUE())))</f>
        <v/>
      </c>
      <c r="R105" s="55" t="str">
        <f aca="false">IF(ISBLANK($C105),"",IF(ISBLANK(I105),Constants!$B$3,I105))</f>
        <v/>
      </c>
      <c r="S105" s="55" t="str">
        <f aca="false">IF(ISBLANK($C105),"",IF(ISBLANK(J105),0,MIN(J105,Constants!$B$6)))</f>
        <v/>
      </c>
      <c r="T105" s="55" t="str">
        <f aca="false">IF(ISBLANK($C105),"",IF(K105=Constants!$B$9, TRUE(), IF(K105=Constants!$B$10, FALSE(),  FALSE())))</f>
        <v/>
      </c>
      <c r="U105" s="55" t="str">
        <f aca="false">IF(ISBLANK($C105),"",AND(R105=Constants!$B$4, S105&lt;Constants!$B$6))</f>
        <v/>
      </c>
      <c r="V105" s="55" t="str">
        <f aca="false">IF(ISBLANK(C105), "", IF(T105, Constants!$B$11, IF(COUNTA(E105:K105)=0, Constants!$B$12, IF(NOT(AND(P105,S105&lt;&gt;0)), Constants!$B$13, IF(O105, Constants!$B$15, Constants!$B$14)))))</f>
        <v/>
      </c>
      <c r="W105" s="55" t="str">
        <f aca="false">IF(OR(ISBLANK($C105), SUMPRODUCT(--(P105:T105&lt;&gt;""))=0), "", IF(V105&lt;&gt;Constants!$B$14, V105, IF(AND(NOT(ISBLANK(J105)),P105,Q105,R105&lt;&gt;Constants!$B$2), Constants!$B$7, IF(AND(P105,OR(NOT(Q105),R105=Constants!$B$2)), Constants!$B$8, "Error"))))</f>
        <v/>
      </c>
      <c r="X105" s="56" t="str">
        <f aca="false">IF(OR(W105=Constants!$B$7,W105=Constants!$B$8), MAX(0, MIN(Constants!$B$6, S105))+IF(AND(R105=Constants!$B$4, NOT(U105)), Constants!$B$5, 0), "")</f>
        <v/>
      </c>
      <c r="Y105" s="55" t="str">
        <f aca="false">IF(ISBLANK($C105),"",IF(AND(ISNUMBER(X105),N105&gt;0),X105/N105, "") )</f>
        <v/>
      </c>
      <c r="Z105" s="55" t="str">
        <f aca="false">IF(AND(NOT(ISBLANK($C105)), W105=Constants!$B$7), Y105, "")</f>
        <v/>
      </c>
      <c r="AA105" s="55" t="str">
        <f aca="false">IF(ISNUMBER(Z105), RANK(Z105,Z$8:Z$507), "")</f>
        <v/>
      </c>
      <c r="AB105" s="55" t="str">
        <f aca="false">IF(AND(NOT(ISBLANK($C105)), W105=Constants!$B$8), Y105, "")</f>
        <v/>
      </c>
      <c r="AC105" s="55" t="str">
        <f aca="false">IF(ISNUMBER(AB105), RANK(AB105,AB$8:AB$507), "")</f>
        <v/>
      </c>
      <c r="AD105" s="55" t="str">
        <f aca="false">IF(ISBLANK($C105),"",IF(V105&lt;&gt;Constants!$B$14, V105, IF(W105=Constants!$B$7, AA105, IF(W105=Constants!$B$8, COUNT($AA$8:$AA$507) + AC105, ""))))</f>
        <v/>
      </c>
      <c r="AE105" s="55" t="str">
        <f aca="false">N105</f>
        <v/>
      </c>
      <c r="AF105" s="55" t="str">
        <f aca="false">IF(ISNUMBER(AE105), RANK(AE105,AE$8:AE$507,1), "")</f>
        <v/>
      </c>
      <c r="AG105" s="57" t="str">
        <f aca="false">IF(ISBLANK(C105), "", ABS(M105-S105))</f>
        <v/>
      </c>
      <c r="AH105" s="55" t="str">
        <f aca="false">IF(ISNUMBER(AG105), RANK(AG105,AG$8:AG$507,1), "")</f>
        <v/>
      </c>
      <c r="AI105" s="55" t="str">
        <f aca="false">IF(ISBLANK(C105),"",IF(V105&lt;&gt;Constants!$B$14, V105, RANK(AD105, AD$8:AD$507, 1)+ SUMPRODUCT(--(AD$8:AD$507=AD105),--(AF105&gt;AF$8:AF$507)) + SUMPRODUCT(--(AD$8:AD$507=AD105),--(AF105=AF$8:AF$507),--(AH105&gt;AH$8:AH$507))))</f>
        <v/>
      </c>
      <c r="AJ105" s="55" t="str">
        <f aca="false">IF(ISBLANK(C105),"",IF(V105&lt;&gt;Constants!$B$14, V105, AD105-AI105))</f>
        <v/>
      </c>
      <c r="AK105" s="59"/>
      <c r="AL105" s="60" t="str">
        <f aca="false">IF(ISBLANK($C105),"",IF($V105&lt;&gt;Constants!$B$14,$V105,X105))</f>
        <v/>
      </c>
      <c r="AM105" s="60" t="str">
        <f aca="false">IF(ISBLANK($C105),"",IF($V105&lt;&gt;Constants!$B$14,$V105,N105))</f>
        <v/>
      </c>
      <c r="AN105" s="62" t="str">
        <f aca="false">IF(ISBLANK(C105),"",IF(V105&lt;&gt;Constants!$B$14, V105, IF(W105=Constants!$B$7,Z105,IF(W105=Constants!$B$8,AB105,""))))</f>
        <v/>
      </c>
      <c r="AO105" s="63" t="str">
        <f aca="false">IF(ISBLANK(C105),"",W105)</f>
        <v/>
      </c>
      <c r="AP105" s="63" t="str">
        <f aca="false">IF(ISBLANK(C105),"",AJ105)</f>
        <v/>
      </c>
      <c r="AQ105" s="63" t="str">
        <f aca="false">IF(ISBLANK(C105),"",AI105)</f>
        <v/>
      </c>
      <c r="AR105" s="64" t="str">
        <f aca="false">IF(ISBLANK(C105),
  "",
IF(AQ105=Constants!$B$11,COUNTA($C$8:$C$507)+2,IF(AQ105=Constants!$B$12,COUNTA($C$8:$C$507)+1,IF(AQ105=Constants!$B$13,COUNTA($C$8:$C$507),AQ105))))</f>
        <v/>
      </c>
      <c r="AS105" s="3"/>
      <c r="AT105" s="65" t="n">
        <f aca="false">IF(OR(ISNUMBER(AQ105),AQ105="DQ",AQ105="P",AQ105="NS"),
    1,
    0
)</f>
        <v>0</v>
      </c>
      <c r="AU105" s="65" t="n">
        <v>98</v>
      </c>
      <c r="AV105" s="65" t="str">
        <f aca="false">IF(ISBLANK($C105),
    "",
   IF(ISNUMBER(AR105),AR105+ROW($B105)/1000,"")
)</f>
        <v/>
      </c>
      <c r="AW105" s="65" t="str">
        <f aca="false">IF(ISNUMBER(AV105), RANK(AV105,AV$8:AV$507,1), "")</f>
        <v/>
      </c>
      <c r="AX105" s="65" t="str">
        <f aca="false">IF(ISBLANK($C105),
    "",
    $B105
)</f>
        <v/>
      </c>
      <c r="AY105" s="65" t="str">
        <f aca="false">IF(ISBLANK($C105),
    "",
    $C105
)</f>
        <v/>
      </c>
      <c r="AZ105" s="65" t="str">
        <f aca="false">IF(ISBLANK($C105),
    "",
    $D105
)</f>
        <v/>
      </c>
      <c r="BA105" s="65" t="str">
        <f aca="false">AO105</f>
        <v/>
      </c>
      <c r="BB105" s="66" t="str">
        <f aca="false">AN105</f>
        <v/>
      </c>
      <c r="BC105" s="65" t="str">
        <f aca="false">IF(ISBLANK($C105),
    "",
    AQ105
)</f>
        <v/>
      </c>
      <c r="BD105" s="67" t="str">
        <f aca="false">IF(AU105&gt;AT$7,
    "",
    VLOOKUP(AU105,AW$8:BC$507,7,FALSE())
)</f>
        <v/>
      </c>
      <c r="BE105" s="68" t="str">
        <f aca="false">IF(AU105&gt;AT$7,
    "",
    VLOOKUP(AU105,AW$8:BC$507,2,FALSE())
)</f>
        <v/>
      </c>
      <c r="BF105" s="68" t="str">
        <f aca="false">IF(AU105&gt;AT$7,
    "",
    VLOOKUP(AU105,AW$8:BC$507,3,FALSE())
)</f>
        <v/>
      </c>
      <c r="BG105" s="68" t="str">
        <f aca="false">IF(AU105&gt;AT$7,
    "",
    VLOOKUP(AU105,AW$8:BC$507,4,FALSE())
)</f>
        <v/>
      </c>
      <c r="BH105" s="68" t="str">
        <f aca="false">IF(AU105&gt;AT$7,
    "",
    VLOOKUP(AU105,AW$8:BC$507,5,FALSE())
)</f>
        <v/>
      </c>
      <c r="BI105" s="69" t="str">
        <f aca="false">IF(AU105&gt;AT$7,
    "",
    VLOOKUP(AU105,AW$8:BC$507,6,FALSE())
)</f>
        <v/>
      </c>
      <c r="BJ105" s="46"/>
    </row>
    <row r="106" customFormat="false" ht="15.75" hidden="false" customHeight="false" outlineLevel="0" collapsed="false">
      <c r="A106" s="3"/>
      <c r="B106" s="108"/>
      <c r="C106" s="70"/>
      <c r="D106" s="49"/>
      <c r="E106" s="109"/>
      <c r="F106" s="72"/>
      <c r="G106" s="109"/>
      <c r="H106" s="74"/>
      <c r="I106" s="104"/>
      <c r="J106" s="74"/>
      <c r="K106" s="74"/>
      <c r="L106" s="55"/>
      <c r="M106" s="55" t="str">
        <f aca="false">IF(ISBLANK($C106),"",IF(ISBLANK(E106),0,E106))</f>
        <v/>
      </c>
      <c r="N106" s="55" t="str">
        <f aca="false">IF(ISBLANK($C106),"",IF(ISBLANK(F106),0,F106))</f>
        <v/>
      </c>
      <c r="O106" s="55" t="e">
        <f aca="false">IF(AND(NOT(ISBLANK($C106)),NOT($T106),COUNTA($E106:$K106)&gt;0),ISBLANK($F106),FALSE())</f>
        <v>#VALUE!</v>
      </c>
      <c r="P106" s="55" t="str">
        <f aca="false">IF(ISBLANK($C106),"",IF(G106=Constants!$B$9, TRUE(), IF(G106=Constants!$B$10, FALSE(), TRUE())))</f>
        <v/>
      </c>
      <c r="Q106" s="55" t="str">
        <f aca="false">IF(ISBLANK($C106),"",IF(H106=Constants!$B$9, TRUE(), IF(H106=Constants!$B$10, FALSE(), TRUE())))</f>
        <v/>
      </c>
      <c r="R106" s="55" t="str">
        <f aca="false">IF(ISBLANK($C106),"",IF(ISBLANK(I106),Constants!$B$3,I106))</f>
        <v/>
      </c>
      <c r="S106" s="55" t="str">
        <f aca="false">IF(ISBLANK($C106),"",IF(ISBLANK(J106),0,MIN(J106,Constants!$B$6)))</f>
        <v/>
      </c>
      <c r="T106" s="55" t="str">
        <f aca="false">IF(ISBLANK($C106),"",IF(K106=Constants!$B$9, TRUE(), IF(K106=Constants!$B$10, FALSE(),  FALSE())))</f>
        <v/>
      </c>
      <c r="U106" s="55" t="str">
        <f aca="false">IF(ISBLANK($C106),"",AND(R106=Constants!$B$4, S106&lt;Constants!$B$6))</f>
        <v/>
      </c>
      <c r="V106" s="55" t="str">
        <f aca="false">IF(ISBLANK(C106), "", IF(T106, Constants!$B$11, IF(COUNTA(E106:K106)=0, Constants!$B$12, IF(NOT(AND(P106,S106&lt;&gt;0)), Constants!$B$13, IF(O106, Constants!$B$15, Constants!$B$14)))))</f>
        <v/>
      </c>
      <c r="W106" s="55" t="str">
        <f aca="false">IF(OR(ISBLANK($C106), SUMPRODUCT(--(P106:T106&lt;&gt;""))=0), "", IF(V106&lt;&gt;Constants!$B$14, V106, IF(AND(NOT(ISBLANK(J106)),P106,Q106,R106&lt;&gt;Constants!$B$2), Constants!$B$7, IF(AND(P106,OR(NOT(Q106),R106=Constants!$B$2)), Constants!$B$8, "Error"))))</f>
        <v/>
      </c>
      <c r="X106" s="56" t="str">
        <f aca="false">IF(OR(W106=Constants!$B$7,W106=Constants!$B$8), MAX(0, MIN(Constants!$B$6, S106))+IF(AND(R106=Constants!$B$4, NOT(U106)), Constants!$B$5, 0), "")</f>
        <v/>
      </c>
      <c r="Y106" s="55" t="str">
        <f aca="false">IF(ISBLANK($C106),"",IF(AND(ISNUMBER(X106),N106&gt;0),X106/N106, "") )</f>
        <v/>
      </c>
      <c r="Z106" s="55" t="str">
        <f aca="false">IF(AND(NOT(ISBLANK($C106)), W106=Constants!$B$7), Y106, "")</f>
        <v/>
      </c>
      <c r="AA106" s="55" t="str">
        <f aca="false">IF(ISNUMBER(Z106), RANK(Z106,Z$8:Z$507), "")</f>
        <v/>
      </c>
      <c r="AB106" s="55" t="str">
        <f aca="false">IF(AND(NOT(ISBLANK($C106)), W106=Constants!$B$8), Y106, "")</f>
        <v/>
      </c>
      <c r="AC106" s="55" t="str">
        <f aca="false">IF(ISNUMBER(AB106), RANK(AB106,AB$8:AB$507), "")</f>
        <v/>
      </c>
      <c r="AD106" s="55" t="str">
        <f aca="false">IF(ISBLANK($C106),"",IF(V106&lt;&gt;Constants!$B$14, V106, IF(W106=Constants!$B$7, AA106, IF(W106=Constants!$B$8, COUNT($AA$8:$AA$507) + AC106, ""))))</f>
        <v/>
      </c>
      <c r="AE106" s="55" t="str">
        <f aca="false">N106</f>
        <v/>
      </c>
      <c r="AF106" s="55" t="str">
        <f aca="false">IF(ISNUMBER(AE106), RANK(AE106,AE$8:AE$507,1), "")</f>
        <v/>
      </c>
      <c r="AG106" s="57" t="str">
        <f aca="false">IF(ISBLANK(C106), "", ABS(M106-S106))</f>
        <v/>
      </c>
      <c r="AH106" s="55" t="str">
        <f aca="false">IF(ISNUMBER(AG106), RANK(AG106,AG$8:AG$507,1), "")</f>
        <v/>
      </c>
      <c r="AI106" s="55" t="str">
        <f aca="false">IF(ISBLANK(C106),"",IF(V106&lt;&gt;Constants!$B$14, V106, RANK(AD106, AD$8:AD$507, 1)+ SUMPRODUCT(--(AD$8:AD$507=AD106),--(AF106&gt;AF$8:AF$507)) + SUMPRODUCT(--(AD$8:AD$507=AD106),--(AF106=AF$8:AF$507),--(AH106&gt;AH$8:AH$507))))</f>
        <v/>
      </c>
      <c r="AJ106" s="55" t="str">
        <f aca="false">IF(ISBLANK(C106),"",IF(V106&lt;&gt;Constants!$B$14, V106, AD106-AI106))</f>
        <v/>
      </c>
      <c r="AK106" s="59"/>
      <c r="AL106" s="60" t="str">
        <f aca="false">IF(ISBLANK($C106),"",IF($V106&lt;&gt;Constants!$B$14,$V106,X106))</f>
        <v/>
      </c>
      <c r="AM106" s="60" t="str">
        <f aca="false">IF(ISBLANK($C106),"",IF($V106&lt;&gt;Constants!$B$14,$V106,N106))</f>
        <v/>
      </c>
      <c r="AN106" s="62" t="str">
        <f aca="false">IF(ISBLANK(C106),"",IF(V106&lt;&gt;Constants!$B$14, V106, IF(W106=Constants!$B$7,Z106,IF(W106=Constants!$B$8,AB106,""))))</f>
        <v/>
      </c>
      <c r="AO106" s="63" t="str">
        <f aca="false">IF(ISBLANK(C106),"",W106)</f>
        <v/>
      </c>
      <c r="AP106" s="63" t="str">
        <f aca="false">IF(ISBLANK(C106),"",AJ106)</f>
        <v/>
      </c>
      <c r="AQ106" s="63" t="str">
        <f aca="false">IF(ISBLANK(C106),"",AI106)</f>
        <v/>
      </c>
      <c r="AR106" s="64" t="str">
        <f aca="false">IF(ISBLANK(C106),
  "",
IF(AQ106=Constants!$B$11,COUNTA($C$8:$C$507)+2,IF(AQ106=Constants!$B$12,COUNTA($C$8:$C$507)+1,IF(AQ106=Constants!$B$13,COUNTA($C$8:$C$507),AQ106))))</f>
        <v/>
      </c>
      <c r="AS106" s="3"/>
      <c r="AT106" s="65" t="n">
        <f aca="false">IF(OR(ISNUMBER(AQ106),AQ106="DQ",AQ106="P",AQ106="NS"),
    1,
    0
)</f>
        <v>0</v>
      </c>
      <c r="AU106" s="65" t="n">
        <v>99</v>
      </c>
      <c r="AV106" s="65" t="str">
        <f aca="false">IF(ISBLANK($C106),
    "",
   IF(ISNUMBER(AR106),AR106+ROW($B106)/1000,"")
)</f>
        <v/>
      </c>
      <c r="AW106" s="65" t="str">
        <f aca="false">IF(ISNUMBER(AV106), RANK(AV106,AV$8:AV$507,1), "")</f>
        <v/>
      </c>
      <c r="AX106" s="65" t="str">
        <f aca="false">IF(ISBLANK($C106),
    "",
    $B106
)</f>
        <v/>
      </c>
      <c r="AY106" s="65" t="str">
        <f aca="false">IF(ISBLANK($C106),
    "",
    $C106
)</f>
        <v/>
      </c>
      <c r="AZ106" s="65" t="str">
        <f aca="false">IF(ISBLANK($C106),
    "",
    $D106
)</f>
        <v/>
      </c>
      <c r="BA106" s="65" t="str">
        <f aca="false">AO106</f>
        <v/>
      </c>
      <c r="BB106" s="66" t="str">
        <f aca="false">AN106</f>
        <v/>
      </c>
      <c r="BC106" s="65" t="str">
        <f aca="false">IF(ISBLANK($C106),
    "",
    AQ106
)</f>
        <v/>
      </c>
      <c r="BD106" s="67" t="str">
        <f aca="false">IF(AU106&gt;AT$7,
    "",
    VLOOKUP(AU106,AW$8:BC$507,7,FALSE())
)</f>
        <v/>
      </c>
      <c r="BE106" s="68" t="str">
        <f aca="false">IF(AU106&gt;AT$7,
    "",
    VLOOKUP(AU106,AW$8:BC$507,2,FALSE())
)</f>
        <v/>
      </c>
      <c r="BF106" s="68" t="str">
        <f aca="false">IF(AU106&gt;AT$7,
    "",
    VLOOKUP(AU106,AW$8:BC$507,3,FALSE())
)</f>
        <v/>
      </c>
      <c r="BG106" s="68" t="str">
        <f aca="false">IF(AU106&gt;AT$7,
    "",
    VLOOKUP(AU106,AW$8:BC$507,4,FALSE())
)</f>
        <v/>
      </c>
      <c r="BH106" s="68" t="str">
        <f aca="false">IF(AU106&gt;AT$7,
    "",
    VLOOKUP(AU106,AW$8:BC$507,5,FALSE())
)</f>
        <v/>
      </c>
      <c r="BI106" s="69" t="str">
        <f aca="false">IF(AU106&gt;AT$7,
    "",
    VLOOKUP(AU106,AW$8:BC$507,6,FALSE())
)</f>
        <v/>
      </c>
      <c r="BJ106" s="46"/>
    </row>
    <row r="107" customFormat="false" ht="15.75" hidden="false" customHeight="false" outlineLevel="0" collapsed="false">
      <c r="A107" s="3"/>
      <c r="B107" s="105"/>
      <c r="C107" s="106"/>
      <c r="D107" s="99"/>
      <c r="E107" s="110"/>
      <c r="F107" s="107"/>
      <c r="G107" s="110"/>
      <c r="H107" s="103"/>
      <c r="I107" s="102"/>
      <c r="J107" s="103"/>
      <c r="K107" s="103"/>
      <c r="L107" s="85"/>
      <c r="M107" s="85" t="str">
        <f aca="false">IF(ISBLANK($C107),"",IF(ISBLANK(E107),0,E107))</f>
        <v/>
      </c>
      <c r="N107" s="85" t="str">
        <f aca="false">IF(ISBLANK($C107),"",IF(ISBLANK(F107),0,F107))</f>
        <v/>
      </c>
      <c r="O107" s="86" t="e">
        <f aca="false">IF(AND(NOT(ISBLANK($C107)),NOT($T107),COUNTA($E107:$K107)&gt;0),ISBLANK($F107),FALSE())</f>
        <v>#VALUE!</v>
      </c>
      <c r="P107" s="85" t="str">
        <f aca="false">IF(ISBLANK($C107),"",IF(G107=Constants!$B$9, TRUE(), IF(G107=Constants!$B$10, FALSE(), TRUE())))</f>
        <v/>
      </c>
      <c r="Q107" s="85" t="str">
        <f aca="false">IF(ISBLANK($C107),"",IF(H107=Constants!$B$9, TRUE(), IF(H107=Constants!$B$10, FALSE(), TRUE())))</f>
        <v/>
      </c>
      <c r="R107" s="85" t="str">
        <f aca="false">IF(ISBLANK($C107),"",IF(ISBLANK(I107),Constants!$B$3,I107))</f>
        <v/>
      </c>
      <c r="S107" s="85" t="str">
        <f aca="false">IF(ISBLANK($C107),"",IF(ISBLANK(J107),0,MIN(J107,Constants!$B$6)))</f>
        <v/>
      </c>
      <c r="T107" s="85" t="str">
        <f aca="false">IF(ISBLANK($C107),"",IF(K107=Constants!$B$9, TRUE(), IF(K107=Constants!$B$10, FALSE(),  FALSE())))</f>
        <v/>
      </c>
      <c r="U107" s="85" t="str">
        <f aca="false">IF(ISBLANK($C107),"",AND(R107=Constants!$B$4, S107&lt;Constants!$B$6))</f>
        <v/>
      </c>
      <c r="V107" s="85" t="str">
        <f aca="false">IF(ISBLANK(C107), "", IF(T107, Constants!$B$11, IF(COUNTA(E107:K107)=0, Constants!$B$12, IF(NOT(AND(P107,S107&lt;&gt;0)), Constants!$B$13, IF(O107, Constants!$B$15, Constants!$B$14)))))</f>
        <v/>
      </c>
      <c r="W107" s="85" t="str">
        <f aca="false">IF(OR(ISBLANK($C107), SUMPRODUCT(--(P107:T107&lt;&gt;""))=0), "", IF(V107&lt;&gt;Constants!$B$14, V107, IF(AND(NOT(ISBLANK(J107)),P107,Q107,R107&lt;&gt;Constants!$B$2), Constants!$B$7, IF(AND(P107,OR(NOT(Q107),R107=Constants!$B$2)), Constants!$B$8, "Error"))))</f>
        <v/>
      </c>
      <c r="X107" s="87" t="str">
        <f aca="false">IF(OR(W107=Constants!$B$7,W107=Constants!$B$8), MAX(0, MIN(Constants!$B$6, S107))+IF(AND(R107=Constants!$B$4, NOT(U107)), Constants!$B$5, 0), "")</f>
        <v/>
      </c>
      <c r="Y107" s="85" t="str">
        <f aca="false">IF(ISBLANK($C107),"",IF(AND(ISNUMBER(X107),N107&gt;0),X107/N107, "") )</f>
        <v/>
      </c>
      <c r="Z107" s="85" t="str">
        <f aca="false">IF(AND(NOT(ISBLANK($C107)), W107=Constants!$B$7), Y107, "")</f>
        <v/>
      </c>
      <c r="AA107" s="85" t="str">
        <f aca="false">IF(ISNUMBER(Z107), RANK(Z107,Z$8:Z$507), "")</f>
        <v/>
      </c>
      <c r="AB107" s="85" t="str">
        <f aca="false">IF(AND(NOT(ISBLANK($C107)), W107=Constants!$B$8), Y107, "")</f>
        <v/>
      </c>
      <c r="AC107" s="85" t="str">
        <f aca="false">IF(ISNUMBER(AB107), RANK(AB107,AB$8:AB$507), "")</f>
        <v/>
      </c>
      <c r="AD107" s="85" t="str">
        <f aca="false">IF(ISBLANK($C107),"",IF(V107&lt;&gt;Constants!$B$14, V107, IF(W107=Constants!$B$7, AA107, IF(W107=Constants!$B$8, COUNT($AA$8:$AA$507) + AC107, ""))))</f>
        <v/>
      </c>
      <c r="AE107" s="85" t="str">
        <f aca="false">N107</f>
        <v/>
      </c>
      <c r="AF107" s="85" t="str">
        <f aca="false">IF(ISNUMBER(AE107), RANK(AE107,AE$8:AE$507,1), "")</f>
        <v/>
      </c>
      <c r="AG107" s="88" t="str">
        <f aca="false">IF(ISBLANK(C107), "", ABS(M107-S107))</f>
        <v/>
      </c>
      <c r="AH107" s="85" t="str">
        <f aca="false">IF(ISNUMBER(AG107), RANK(AG107,AG$8:AG$507,1), "")</f>
        <v/>
      </c>
      <c r="AI107" s="85" t="str">
        <f aca="false">IF(ISBLANK(C107),"",IF(V107&lt;&gt;Constants!$B$14, V107, RANK(AD107, AD$8:AD$507, 1)+ SUMPRODUCT(--(AD$8:AD$507=AD107),--(AF107&gt;AF$8:AF$507)) + SUMPRODUCT(--(AD$8:AD$507=AD107),--(AF107=AF$8:AF$507),--(AH107&gt;AH$8:AH$507))))</f>
        <v/>
      </c>
      <c r="AJ107" s="85" t="str">
        <f aca="false">IF(ISBLANK(C107),"",IF(V107&lt;&gt;Constants!$B$14, V107, AD107-AI107))</f>
        <v/>
      </c>
      <c r="AK107" s="89"/>
      <c r="AL107" s="90" t="str">
        <f aca="false">IF(ISBLANK($C107),"",IF($V107&lt;&gt;Constants!$B$14,$V107,X107))</f>
        <v/>
      </c>
      <c r="AM107" s="90" t="str">
        <f aca="false">IF(ISBLANK($C107),"",IF($V107&lt;&gt;Constants!$B$14,$V107,N107))</f>
        <v/>
      </c>
      <c r="AN107" s="91" t="str">
        <f aca="false">IF(ISBLANK(C107),"",IF(V107&lt;&gt;Constants!$B$14, V107, IF(W107=Constants!$B$7,Z107,IF(W107=Constants!$B$8,AB107,""))))</f>
        <v/>
      </c>
      <c r="AO107" s="92" t="str">
        <f aca="false">IF(ISBLANK(C107),"",W107)</f>
        <v/>
      </c>
      <c r="AP107" s="92" t="str">
        <f aca="false">IF(ISBLANK(C107),"",AJ107)</f>
        <v/>
      </c>
      <c r="AQ107" s="92" t="str">
        <f aca="false">IF(ISBLANK(C107),"",AI107)</f>
        <v/>
      </c>
      <c r="AR107" s="93" t="str">
        <f aca="false">IF(ISBLANK(C107),
  "",
IF(AQ107=Constants!$B$11,COUNTA($C$8:$C$507)+2,IF(AQ107=Constants!$B$12,COUNTA($C$8:$C$507)+1,IF(AQ107=Constants!$B$13,COUNTA($C$8:$C$507),AQ107))))</f>
        <v/>
      </c>
      <c r="AS107" s="3"/>
      <c r="AT107" s="94" t="n">
        <f aca="false">IF(OR(ISNUMBER(AQ107),AQ107="DQ",AQ107="P",AQ107="NS"),
    1,
    0
)</f>
        <v>0</v>
      </c>
      <c r="AU107" s="94" t="n">
        <v>100</v>
      </c>
      <c r="AV107" s="94" t="str">
        <f aca="false">IF(ISBLANK($C107),
    "",
   IF(ISNUMBER(AR107),AR107+ROW($B107)/1000,"")
)</f>
        <v/>
      </c>
      <c r="AW107" s="94" t="str">
        <f aca="false">IF(ISNUMBER(AV107), RANK(AV107,AV$8:AV$507,1), "")</f>
        <v/>
      </c>
      <c r="AX107" s="94" t="str">
        <f aca="false">IF(ISBLANK($C107),
    "",
    $B107
)</f>
        <v/>
      </c>
      <c r="AY107" s="94" t="str">
        <f aca="false">IF(ISBLANK($C107),
    "",
    $C107
)</f>
        <v/>
      </c>
      <c r="AZ107" s="94" t="str">
        <f aca="false">IF(ISBLANK($C107),
    "",
    $D107
)</f>
        <v/>
      </c>
      <c r="BA107" s="94" t="str">
        <f aca="false">AO107</f>
        <v/>
      </c>
      <c r="BB107" s="95" t="str">
        <f aca="false">AN107</f>
        <v/>
      </c>
      <c r="BC107" s="94" t="str">
        <f aca="false">IF(ISBLANK($C107),
    "",
    AQ107
)</f>
        <v/>
      </c>
      <c r="BD107" s="96" t="str">
        <f aca="false">IF(AU107&gt;AT$7,
    "",
    VLOOKUP(AU107,AW$8:BC$507,7,FALSE())
)</f>
        <v/>
      </c>
      <c r="BE107" s="97" t="str">
        <f aca="false">IF(AU107&gt;AT$7,
    "",
    VLOOKUP(AU107,AW$8:BC$507,2,FALSE())
)</f>
        <v/>
      </c>
      <c r="BF107" s="97" t="str">
        <f aca="false">IF(AU107&gt;AT$7,
    "",
    VLOOKUP(AU107,AW$8:BC$507,3,FALSE())
)</f>
        <v/>
      </c>
      <c r="BG107" s="97" t="str">
        <f aca="false">IF(AU107&gt;AT$7,
    "",
    VLOOKUP(AU107,AW$8:BC$507,4,FALSE())
)</f>
        <v/>
      </c>
      <c r="BH107" s="97" t="str">
        <f aca="false">IF(AU107&gt;AT$7,
    "",
    VLOOKUP(AU107,AW$8:BC$507,5,FALSE())
)</f>
        <v/>
      </c>
      <c r="BI107" s="98" t="str">
        <f aca="false">IF(AU107&gt;AT$7,
    "",
    VLOOKUP(AU107,AW$8:BC$507,6,FALSE())
)</f>
        <v/>
      </c>
      <c r="BJ107" s="46"/>
    </row>
    <row r="108" customFormat="false" ht="15.75" hidden="false" customHeight="false" outlineLevel="0" collapsed="false">
      <c r="A108" s="3"/>
      <c r="B108" s="105"/>
      <c r="C108" s="106"/>
      <c r="D108" s="99"/>
      <c r="E108" s="110"/>
      <c r="F108" s="107"/>
      <c r="G108" s="110"/>
      <c r="H108" s="103"/>
      <c r="I108" s="102"/>
      <c r="J108" s="103"/>
      <c r="K108" s="103"/>
      <c r="L108" s="85"/>
      <c r="M108" s="85" t="str">
        <f aca="false">IF(ISBLANK($C108),"",IF(ISBLANK(E108),0,E108))</f>
        <v/>
      </c>
      <c r="N108" s="85" t="str">
        <f aca="false">IF(ISBLANK($C108),"",IF(ISBLANK(F108),0,F108))</f>
        <v/>
      </c>
      <c r="O108" s="86" t="e">
        <f aca="false">IF(AND(NOT(ISBLANK($C108)),NOT($T108),COUNTA($E108:$K108)&gt;0),ISBLANK($F108),FALSE())</f>
        <v>#VALUE!</v>
      </c>
      <c r="P108" s="85" t="str">
        <f aca="false">IF(ISBLANK($C108),"",IF(G108=Constants!$B$9, TRUE(), IF(G108=Constants!$B$10, FALSE(), TRUE())))</f>
        <v/>
      </c>
      <c r="Q108" s="85" t="str">
        <f aca="false">IF(ISBLANK($C108),"",IF(H108=Constants!$B$9, TRUE(), IF(H108=Constants!$B$10, FALSE(), TRUE())))</f>
        <v/>
      </c>
      <c r="R108" s="85" t="str">
        <f aca="false">IF(ISBLANK($C108),"",IF(ISBLANK(I108),Constants!$B$3,I108))</f>
        <v/>
      </c>
      <c r="S108" s="85" t="str">
        <f aca="false">IF(ISBLANK($C108),"",IF(ISBLANK(J108),0,MIN(J108,Constants!$B$6)))</f>
        <v/>
      </c>
      <c r="T108" s="85" t="str">
        <f aca="false">IF(ISBLANK($C108),"",IF(K108=Constants!$B$9, TRUE(), IF(K108=Constants!$B$10, FALSE(),  FALSE())))</f>
        <v/>
      </c>
      <c r="U108" s="85" t="str">
        <f aca="false">IF(ISBLANK($C108),"",AND(R108=Constants!$B$4, S108&lt;Constants!$B$6))</f>
        <v/>
      </c>
      <c r="V108" s="85" t="str">
        <f aca="false">IF(ISBLANK(C108), "", IF(T108, Constants!$B$11, IF(COUNTA(E108:K108)=0, Constants!$B$12, IF(NOT(AND(P108,S108&lt;&gt;0)), Constants!$B$13, IF(O108, Constants!$B$15, Constants!$B$14)))))</f>
        <v/>
      </c>
      <c r="W108" s="85" t="str">
        <f aca="false">IF(OR(ISBLANK($C108), SUMPRODUCT(--(P108:T108&lt;&gt;""))=0), "", IF(V108&lt;&gt;Constants!$B$14, V108, IF(AND(NOT(ISBLANK(J108)),P108,Q108,R108&lt;&gt;Constants!$B$2), Constants!$B$7, IF(AND(P108,OR(NOT(Q108),R108=Constants!$B$2)), Constants!$B$8, "Error"))))</f>
        <v/>
      </c>
      <c r="X108" s="87" t="str">
        <f aca="false">IF(OR(W108=Constants!$B$7,W108=Constants!$B$8), MAX(0, MIN(Constants!$B$6, S108))+IF(AND(R108=Constants!$B$4, NOT(U108)), Constants!$B$5, 0), "")</f>
        <v/>
      </c>
      <c r="Y108" s="85" t="str">
        <f aca="false">IF(ISBLANK($C108),"",IF(AND(ISNUMBER(X108),N108&gt;0),X108/N108, "") )</f>
        <v/>
      </c>
      <c r="Z108" s="85" t="str">
        <f aca="false">IF(AND(NOT(ISBLANK($C108)), W108=Constants!$B$7), Y108, "")</f>
        <v/>
      </c>
      <c r="AA108" s="85" t="str">
        <f aca="false">IF(ISNUMBER(Z108), RANK(Z108,Z$8:Z$507), "")</f>
        <v/>
      </c>
      <c r="AB108" s="85" t="str">
        <f aca="false">IF(AND(NOT(ISBLANK($C108)), W108=Constants!$B$8), Y108, "")</f>
        <v/>
      </c>
      <c r="AC108" s="85" t="str">
        <f aca="false">IF(ISNUMBER(AB108), RANK(AB108,AB$8:AB$507), "")</f>
        <v/>
      </c>
      <c r="AD108" s="85" t="str">
        <f aca="false">IF(ISBLANK($C108),"",IF(V108&lt;&gt;Constants!$B$14, V108, IF(W108=Constants!$B$7, AA108, IF(W108=Constants!$B$8, COUNT($AA$8:$AA$507) + AC108, ""))))</f>
        <v/>
      </c>
      <c r="AE108" s="85" t="str">
        <f aca="false">N108</f>
        <v/>
      </c>
      <c r="AF108" s="85" t="str">
        <f aca="false">IF(ISNUMBER(AE108), RANK(AE108,AE$8:AE$507,1), "")</f>
        <v/>
      </c>
      <c r="AG108" s="88" t="str">
        <f aca="false">IF(ISBLANK(C108), "", ABS(M108-S108))</f>
        <v/>
      </c>
      <c r="AH108" s="85" t="str">
        <f aca="false">IF(ISNUMBER(AG108), RANK(AG108,AG$8:AG$507,1), "")</f>
        <v/>
      </c>
      <c r="AI108" s="85" t="str">
        <f aca="false">IF(ISBLANK(C108),"",IF(V108&lt;&gt;Constants!$B$14, V108, RANK(AD108, AD$8:AD$507, 1)+ SUMPRODUCT(--(AD$8:AD$507=AD108),--(AF108&gt;AF$8:AF$507)) + SUMPRODUCT(--(AD$8:AD$507=AD108),--(AF108=AF$8:AF$507),--(AH108&gt;AH$8:AH$507))))</f>
        <v/>
      </c>
      <c r="AJ108" s="85" t="str">
        <f aca="false">IF(ISBLANK(C108),"",IF(V108&lt;&gt;Constants!$B$14, V108, AD108-AI108))</f>
        <v/>
      </c>
      <c r="AK108" s="89"/>
      <c r="AL108" s="90" t="str">
        <f aca="false">IF(ISBLANK($C108),"",IF($V108&lt;&gt;Constants!$B$14,$V108,X108))</f>
        <v/>
      </c>
      <c r="AM108" s="90" t="str">
        <f aca="false">IF(ISBLANK($C108),"",IF($V108&lt;&gt;Constants!$B$14,$V108,N108))</f>
        <v/>
      </c>
      <c r="AN108" s="91" t="str">
        <f aca="false">IF(ISBLANK(C108),"",IF(V108&lt;&gt;Constants!$B$14, V108, IF(W108=Constants!$B$7,Z108,IF(W108=Constants!$B$8,AB108,""))))</f>
        <v/>
      </c>
      <c r="AO108" s="92" t="str">
        <f aca="false">IF(ISBLANK(C108),"",W108)</f>
        <v/>
      </c>
      <c r="AP108" s="92" t="str">
        <f aca="false">IF(ISBLANK(C108),"",AJ108)</f>
        <v/>
      </c>
      <c r="AQ108" s="92" t="str">
        <f aca="false">IF(ISBLANK(C108),"",AI108)</f>
        <v/>
      </c>
      <c r="AR108" s="93" t="str">
        <f aca="false">IF(ISBLANK(C108),
  "",
IF(AQ108=Constants!$B$11,COUNTA($C$8:$C$507)+2,IF(AQ108=Constants!$B$12,COUNTA($C$8:$C$507)+1,IF(AQ108=Constants!$B$13,COUNTA($C$8:$C$507),AQ108))))</f>
        <v/>
      </c>
      <c r="AS108" s="3"/>
      <c r="AT108" s="94" t="n">
        <f aca="false">IF(OR(ISNUMBER(AQ108),AQ108="DQ",AQ108="P",AQ108="NS"),
    1,
    0
)</f>
        <v>0</v>
      </c>
      <c r="AU108" s="94" t="n">
        <v>101</v>
      </c>
      <c r="AV108" s="94" t="str">
        <f aca="false">IF(ISBLANK($C108),
    "",
   IF(ISNUMBER(AR108),AR108+ROW($B108)/1000,"")
)</f>
        <v/>
      </c>
      <c r="AW108" s="94" t="str">
        <f aca="false">IF(ISNUMBER(AV108), RANK(AV108,AV$8:AV$507,1), "")</f>
        <v/>
      </c>
      <c r="AX108" s="94" t="str">
        <f aca="false">IF(ISBLANK($C108),
    "",
    $B108
)</f>
        <v/>
      </c>
      <c r="AY108" s="94" t="str">
        <f aca="false">IF(ISBLANK($C108),
    "",
    $C108
)</f>
        <v/>
      </c>
      <c r="AZ108" s="94" t="str">
        <f aca="false">IF(ISBLANK($C108),
    "",
    $D108
)</f>
        <v/>
      </c>
      <c r="BA108" s="94" t="str">
        <f aca="false">AO108</f>
        <v/>
      </c>
      <c r="BB108" s="95" t="str">
        <f aca="false">AN108</f>
        <v/>
      </c>
      <c r="BC108" s="94" t="str">
        <f aca="false">IF(ISBLANK($C108),
    "",
    AQ108
)</f>
        <v/>
      </c>
      <c r="BD108" s="96" t="str">
        <f aca="false">IF(AU108&gt;AT$7,
    "",
    VLOOKUP(AU108,AW$8:BC$507,7,FALSE())
)</f>
        <v/>
      </c>
      <c r="BE108" s="97" t="str">
        <f aca="false">IF(AU108&gt;AT$7,
    "",
    VLOOKUP(AU108,AW$8:BC$507,2,FALSE())
)</f>
        <v/>
      </c>
      <c r="BF108" s="97" t="str">
        <f aca="false">IF(AU108&gt;AT$7,
    "",
    VLOOKUP(AU108,AW$8:BC$507,3,FALSE())
)</f>
        <v/>
      </c>
      <c r="BG108" s="97" t="str">
        <f aca="false">IF(AU108&gt;AT$7,
    "",
    VLOOKUP(AU108,AW$8:BC$507,4,FALSE())
)</f>
        <v/>
      </c>
      <c r="BH108" s="97" t="str">
        <f aca="false">IF(AU108&gt;AT$7,
    "",
    VLOOKUP(AU108,AW$8:BC$507,5,FALSE())
)</f>
        <v/>
      </c>
      <c r="BI108" s="98" t="str">
        <f aca="false">IF(AU108&gt;AT$7,
    "",
    VLOOKUP(AU108,AW$8:BC$507,6,FALSE())
)</f>
        <v/>
      </c>
      <c r="BJ108" s="46"/>
    </row>
    <row r="109" customFormat="false" ht="15.75" hidden="false" customHeight="false" outlineLevel="0" collapsed="false">
      <c r="A109" s="3"/>
      <c r="B109" s="105"/>
      <c r="C109" s="106"/>
      <c r="D109" s="99"/>
      <c r="E109" s="110"/>
      <c r="F109" s="107"/>
      <c r="G109" s="110"/>
      <c r="H109" s="103"/>
      <c r="I109" s="102"/>
      <c r="J109" s="103"/>
      <c r="K109" s="103"/>
      <c r="L109" s="85"/>
      <c r="M109" s="85" t="str">
        <f aca="false">IF(ISBLANK($C109),"",IF(ISBLANK(E109),0,E109))</f>
        <v/>
      </c>
      <c r="N109" s="85" t="str">
        <f aca="false">IF(ISBLANK($C109),"",IF(ISBLANK(F109),0,F109))</f>
        <v/>
      </c>
      <c r="O109" s="86" t="e">
        <f aca="false">IF(AND(NOT(ISBLANK($C109)),NOT($T109),COUNTA($E109:$K109)&gt;0),ISBLANK($F109),FALSE())</f>
        <v>#VALUE!</v>
      </c>
      <c r="P109" s="85" t="str">
        <f aca="false">IF(ISBLANK($C109),"",IF(G109=Constants!$B$9, TRUE(), IF(G109=Constants!$B$10, FALSE(), TRUE())))</f>
        <v/>
      </c>
      <c r="Q109" s="85" t="str">
        <f aca="false">IF(ISBLANK($C109),"",IF(H109=Constants!$B$9, TRUE(), IF(H109=Constants!$B$10, FALSE(), TRUE())))</f>
        <v/>
      </c>
      <c r="R109" s="85" t="str">
        <f aca="false">IF(ISBLANK($C109),"",IF(ISBLANK(I109),Constants!$B$3,I109))</f>
        <v/>
      </c>
      <c r="S109" s="85" t="str">
        <f aca="false">IF(ISBLANK($C109),"",IF(ISBLANK(J109),0,MIN(J109,Constants!$B$6)))</f>
        <v/>
      </c>
      <c r="T109" s="85" t="str">
        <f aca="false">IF(ISBLANK($C109),"",IF(K109=Constants!$B$9, TRUE(), IF(K109=Constants!$B$10, FALSE(),  FALSE())))</f>
        <v/>
      </c>
      <c r="U109" s="85" t="str">
        <f aca="false">IF(ISBLANK($C109),"",AND(R109=Constants!$B$4, S109&lt;Constants!$B$6))</f>
        <v/>
      </c>
      <c r="V109" s="85" t="str">
        <f aca="false">IF(ISBLANK(C109), "", IF(T109, Constants!$B$11, IF(COUNTA(E109:K109)=0, Constants!$B$12, IF(NOT(AND(P109,S109&lt;&gt;0)), Constants!$B$13, IF(O109, Constants!$B$15, Constants!$B$14)))))</f>
        <v/>
      </c>
      <c r="W109" s="85" t="str">
        <f aca="false">IF(OR(ISBLANK($C109), SUMPRODUCT(--(P109:T109&lt;&gt;""))=0), "", IF(V109&lt;&gt;Constants!$B$14, V109, IF(AND(NOT(ISBLANK(J109)),P109,Q109,R109&lt;&gt;Constants!$B$2), Constants!$B$7, IF(AND(P109,OR(NOT(Q109),R109=Constants!$B$2)), Constants!$B$8, "Error"))))</f>
        <v/>
      </c>
      <c r="X109" s="87" t="str">
        <f aca="false">IF(OR(W109=Constants!$B$7,W109=Constants!$B$8), MAX(0, MIN(Constants!$B$6, S109))+IF(AND(R109=Constants!$B$4, NOT(U109)), Constants!$B$5, 0), "")</f>
        <v/>
      </c>
      <c r="Y109" s="85" t="str">
        <f aca="false">IF(ISBLANK($C109),"",IF(AND(ISNUMBER(X109),N109&gt;0),X109/N109, "") )</f>
        <v/>
      </c>
      <c r="Z109" s="85" t="str">
        <f aca="false">IF(AND(NOT(ISBLANK($C109)), W109=Constants!$B$7), Y109, "")</f>
        <v/>
      </c>
      <c r="AA109" s="85" t="str">
        <f aca="false">IF(ISNUMBER(Z109), RANK(Z109,Z$8:Z$507), "")</f>
        <v/>
      </c>
      <c r="AB109" s="85" t="str">
        <f aca="false">IF(AND(NOT(ISBLANK($C109)), W109=Constants!$B$8), Y109, "")</f>
        <v/>
      </c>
      <c r="AC109" s="85" t="str">
        <f aca="false">IF(ISNUMBER(AB109), RANK(AB109,AB$8:AB$507), "")</f>
        <v/>
      </c>
      <c r="AD109" s="85" t="str">
        <f aca="false">IF(ISBLANK($C109),"",IF(V109&lt;&gt;Constants!$B$14, V109, IF(W109=Constants!$B$7, AA109, IF(W109=Constants!$B$8, COUNT($AA$8:$AA$507) + AC109, ""))))</f>
        <v/>
      </c>
      <c r="AE109" s="85" t="str">
        <f aca="false">N109</f>
        <v/>
      </c>
      <c r="AF109" s="85" t="str">
        <f aca="false">IF(ISNUMBER(AE109), RANK(AE109,AE$8:AE$507,1), "")</f>
        <v/>
      </c>
      <c r="AG109" s="88" t="str">
        <f aca="false">IF(ISBLANK(C109), "", ABS(M109-S109))</f>
        <v/>
      </c>
      <c r="AH109" s="85" t="str">
        <f aca="false">IF(ISNUMBER(AG109), RANK(AG109,AG$8:AG$507,1), "")</f>
        <v/>
      </c>
      <c r="AI109" s="85" t="str">
        <f aca="false">IF(ISBLANK(C109),"",IF(V109&lt;&gt;Constants!$B$14, V109, RANK(AD109, AD$8:AD$507, 1)+ SUMPRODUCT(--(AD$8:AD$507=AD109),--(AF109&gt;AF$8:AF$507)) + SUMPRODUCT(--(AD$8:AD$507=AD109),--(AF109=AF$8:AF$507),--(AH109&gt;AH$8:AH$507))))</f>
        <v/>
      </c>
      <c r="AJ109" s="85" t="str">
        <f aca="false">IF(ISBLANK(C109),"",IF(V109&lt;&gt;Constants!$B$14, V109, AD109-AI109))</f>
        <v/>
      </c>
      <c r="AK109" s="89"/>
      <c r="AL109" s="90" t="str">
        <f aca="false">IF(ISBLANK($C109),"",IF($V109&lt;&gt;Constants!$B$14,$V109,X109))</f>
        <v/>
      </c>
      <c r="AM109" s="90" t="str">
        <f aca="false">IF(ISBLANK($C109),"",IF($V109&lt;&gt;Constants!$B$14,$V109,N109))</f>
        <v/>
      </c>
      <c r="AN109" s="91" t="str">
        <f aca="false">IF(ISBLANK(C109),"",IF(V109&lt;&gt;Constants!$B$14, V109, IF(W109=Constants!$B$7,Z109,IF(W109=Constants!$B$8,AB109,""))))</f>
        <v/>
      </c>
      <c r="AO109" s="92" t="str">
        <f aca="false">IF(ISBLANK(C109),"",W109)</f>
        <v/>
      </c>
      <c r="AP109" s="92" t="str">
        <f aca="false">IF(ISBLANK(C109),"",AJ109)</f>
        <v/>
      </c>
      <c r="AQ109" s="92" t="str">
        <f aca="false">IF(ISBLANK(C109),"",AI109)</f>
        <v/>
      </c>
      <c r="AR109" s="93" t="str">
        <f aca="false">IF(ISBLANK(C109),
  "",
IF(AQ109=Constants!$B$11,COUNTA($C$8:$C$507)+2,IF(AQ109=Constants!$B$12,COUNTA($C$8:$C$507)+1,IF(AQ109=Constants!$B$13,COUNTA($C$8:$C$507),AQ109))))</f>
        <v/>
      </c>
      <c r="AS109" s="3"/>
      <c r="AT109" s="94" t="n">
        <f aca="false">IF(OR(ISNUMBER(AQ109),AQ109="DQ",AQ109="P",AQ109="NS"),
    1,
    0
)</f>
        <v>0</v>
      </c>
      <c r="AU109" s="94" t="n">
        <v>102</v>
      </c>
      <c r="AV109" s="94" t="str">
        <f aca="false">IF(ISBLANK($C109),
    "",
   IF(ISNUMBER(AR109),AR109+ROW($B109)/1000,"")
)</f>
        <v/>
      </c>
      <c r="AW109" s="94" t="str">
        <f aca="false">IF(ISNUMBER(AV109), RANK(AV109,AV$8:AV$507,1), "")</f>
        <v/>
      </c>
      <c r="AX109" s="94" t="str">
        <f aca="false">IF(ISBLANK($C109),
    "",
    $B109
)</f>
        <v/>
      </c>
      <c r="AY109" s="94" t="str">
        <f aca="false">IF(ISBLANK($C109),
    "",
    $C109
)</f>
        <v/>
      </c>
      <c r="AZ109" s="94" t="str">
        <f aca="false">IF(ISBLANK($C109),
    "",
    $D109
)</f>
        <v/>
      </c>
      <c r="BA109" s="94" t="str">
        <f aca="false">AO109</f>
        <v/>
      </c>
      <c r="BB109" s="95" t="str">
        <f aca="false">AN109</f>
        <v/>
      </c>
      <c r="BC109" s="94" t="str">
        <f aca="false">IF(ISBLANK($C109),
    "",
    AQ109
)</f>
        <v/>
      </c>
      <c r="BD109" s="96" t="str">
        <f aca="false">IF(AU109&gt;AT$7,
    "",
    VLOOKUP(AU109,AW$8:BC$507,7,FALSE())
)</f>
        <v/>
      </c>
      <c r="BE109" s="97" t="str">
        <f aca="false">IF(AU109&gt;AT$7,
    "",
    VLOOKUP(AU109,AW$8:BC$507,2,FALSE())
)</f>
        <v/>
      </c>
      <c r="BF109" s="97" t="str">
        <f aca="false">IF(AU109&gt;AT$7,
    "",
    VLOOKUP(AU109,AW$8:BC$507,3,FALSE())
)</f>
        <v/>
      </c>
      <c r="BG109" s="97" t="str">
        <f aca="false">IF(AU109&gt;AT$7,
    "",
    VLOOKUP(AU109,AW$8:BC$507,4,FALSE())
)</f>
        <v/>
      </c>
      <c r="BH109" s="97" t="str">
        <f aca="false">IF(AU109&gt;AT$7,
    "",
    VLOOKUP(AU109,AW$8:BC$507,5,FALSE())
)</f>
        <v/>
      </c>
      <c r="BI109" s="98" t="str">
        <f aca="false">IF(AU109&gt;AT$7,
    "",
    VLOOKUP(AU109,AW$8:BC$507,6,FALSE())
)</f>
        <v/>
      </c>
      <c r="BJ109" s="46"/>
    </row>
    <row r="110" customFormat="false" ht="15.75" hidden="false" customHeight="false" outlineLevel="0" collapsed="false">
      <c r="A110" s="3"/>
      <c r="B110" s="108"/>
      <c r="C110" s="70"/>
      <c r="D110" s="49"/>
      <c r="E110" s="109"/>
      <c r="F110" s="72"/>
      <c r="G110" s="109"/>
      <c r="H110" s="74"/>
      <c r="I110" s="104"/>
      <c r="J110" s="74"/>
      <c r="K110" s="74"/>
      <c r="L110" s="55"/>
      <c r="M110" s="55" t="str">
        <f aca="false">IF(ISBLANK($C110),"",IF(ISBLANK(E110),0,E110))</f>
        <v/>
      </c>
      <c r="N110" s="55" t="str">
        <f aca="false">IF(ISBLANK($C110),"",IF(ISBLANK(F110),0,F110))</f>
        <v/>
      </c>
      <c r="O110" s="55" t="e">
        <f aca="false">IF(AND(NOT(ISBLANK($C110)),NOT($T110),COUNTA($E110:$K110)&gt;0),ISBLANK($F110),FALSE())</f>
        <v>#VALUE!</v>
      </c>
      <c r="P110" s="55" t="str">
        <f aca="false">IF(ISBLANK($C110),"",IF(G110=Constants!$B$9, TRUE(), IF(G110=Constants!$B$10, FALSE(), TRUE())))</f>
        <v/>
      </c>
      <c r="Q110" s="55" t="str">
        <f aca="false">IF(ISBLANK($C110),"",IF(H110=Constants!$B$9, TRUE(), IF(H110=Constants!$B$10, FALSE(), TRUE())))</f>
        <v/>
      </c>
      <c r="R110" s="55" t="str">
        <f aca="false">IF(ISBLANK($C110),"",IF(ISBLANK(I110),Constants!$B$3,I110))</f>
        <v/>
      </c>
      <c r="S110" s="55" t="str">
        <f aca="false">IF(ISBLANK($C110),"",IF(ISBLANK(J110),0,MIN(J110,Constants!$B$6)))</f>
        <v/>
      </c>
      <c r="T110" s="55" t="str">
        <f aca="false">IF(ISBLANK($C110),"",IF(K110=Constants!$B$9, TRUE(), IF(K110=Constants!$B$10, FALSE(),  FALSE())))</f>
        <v/>
      </c>
      <c r="U110" s="55" t="str">
        <f aca="false">IF(ISBLANK($C110),"",AND(R110=Constants!$B$4, S110&lt;Constants!$B$6))</f>
        <v/>
      </c>
      <c r="V110" s="55" t="str">
        <f aca="false">IF(ISBLANK(C110), "", IF(T110, Constants!$B$11, IF(COUNTA(E110:K110)=0, Constants!$B$12, IF(NOT(AND(P110,S110&lt;&gt;0)), Constants!$B$13, IF(O110, Constants!$B$15, Constants!$B$14)))))</f>
        <v/>
      </c>
      <c r="W110" s="55" t="str">
        <f aca="false">IF(OR(ISBLANK($C110), SUMPRODUCT(--(P110:T110&lt;&gt;""))=0), "", IF(V110&lt;&gt;Constants!$B$14, V110, IF(AND(NOT(ISBLANK(J110)),P110,Q110,R110&lt;&gt;Constants!$B$2), Constants!$B$7, IF(AND(P110,OR(NOT(Q110),R110=Constants!$B$2)), Constants!$B$8, "Error"))))</f>
        <v/>
      </c>
      <c r="X110" s="56" t="str">
        <f aca="false">IF(OR(W110=Constants!$B$7,W110=Constants!$B$8), MAX(0, MIN(Constants!$B$6, S110))+IF(AND(R110=Constants!$B$4, NOT(U110)), Constants!$B$5, 0), "")</f>
        <v/>
      </c>
      <c r="Y110" s="55" t="str">
        <f aca="false">IF(ISBLANK($C110),"",IF(AND(ISNUMBER(X110),N110&gt;0),X110/N110, "") )</f>
        <v/>
      </c>
      <c r="Z110" s="55" t="str">
        <f aca="false">IF(AND(NOT(ISBLANK($C110)), W110=Constants!$B$7), Y110, "")</f>
        <v/>
      </c>
      <c r="AA110" s="55" t="str">
        <f aca="false">IF(ISNUMBER(Z110), RANK(Z110,Z$8:Z$507), "")</f>
        <v/>
      </c>
      <c r="AB110" s="55" t="str">
        <f aca="false">IF(AND(NOT(ISBLANK($C110)), W110=Constants!$B$8), Y110, "")</f>
        <v/>
      </c>
      <c r="AC110" s="55" t="str">
        <f aca="false">IF(ISNUMBER(AB110), RANK(AB110,AB$8:AB$507), "")</f>
        <v/>
      </c>
      <c r="AD110" s="55" t="str">
        <f aca="false">IF(ISBLANK($C110),"",IF(V110&lt;&gt;Constants!$B$14, V110, IF(W110=Constants!$B$7, AA110, IF(W110=Constants!$B$8, COUNT($AA$8:$AA$507) + AC110, ""))))</f>
        <v/>
      </c>
      <c r="AE110" s="55" t="str">
        <f aca="false">N110</f>
        <v/>
      </c>
      <c r="AF110" s="55" t="str">
        <f aca="false">IF(ISNUMBER(AE110), RANK(AE110,AE$8:AE$507,1), "")</f>
        <v/>
      </c>
      <c r="AG110" s="57" t="str">
        <f aca="false">IF(ISBLANK(C110), "", ABS(M110-S110))</f>
        <v/>
      </c>
      <c r="AH110" s="55" t="str">
        <f aca="false">IF(ISNUMBER(AG110), RANK(AG110,AG$8:AG$507,1), "")</f>
        <v/>
      </c>
      <c r="AI110" s="55" t="str">
        <f aca="false">IF(ISBLANK(C110),"",IF(V110&lt;&gt;Constants!$B$14, V110, RANK(AD110, AD$8:AD$507, 1)+ SUMPRODUCT(--(AD$8:AD$507=AD110),--(AF110&gt;AF$8:AF$507)) + SUMPRODUCT(--(AD$8:AD$507=AD110),--(AF110=AF$8:AF$507),--(AH110&gt;AH$8:AH$507))))</f>
        <v/>
      </c>
      <c r="AJ110" s="55" t="str">
        <f aca="false">IF(ISBLANK(C110),"",IF(V110&lt;&gt;Constants!$B$14, V110, AD110-AI110))</f>
        <v/>
      </c>
      <c r="AK110" s="59"/>
      <c r="AL110" s="60" t="str">
        <f aca="false">IF(ISBLANK($C110),"",IF($V110&lt;&gt;Constants!$B$14,$V110,X110))</f>
        <v/>
      </c>
      <c r="AM110" s="60" t="str">
        <f aca="false">IF(ISBLANK($C110),"",IF($V110&lt;&gt;Constants!$B$14,$V110,N110))</f>
        <v/>
      </c>
      <c r="AN110" s="62" t="str">
        <f aca="false">IF(ISBLANK(C110),"",IF(V110&lt;&gt;Constants!$B$14, V110, IF(W110=Constants!$B$7,Z110,IF(W110=Constants!$B$8,AB110,""))))</f>
        <v/>
      </c>
      <c r="AO110" s="63" t="str">
        <f aca="false">IF(ISBLANK(C110),"",W110)</f>
        <v/>
      </c>
      <c r="AP110" s="63" t="str">
        <f aca="false">IF(ISBLANK(C110),"",AJ110)</f>
        <v/>
      </c>
      <c r="AQ110" s="63" t="str">
        <f aca="false">IF(ISBLANK(C110),"",AI110)</f>
        <v/>
      </c>
      <c r="AR110" s="64" t="str">
        <f aca="false">IF(ISBLANK(C110),
  "",
IF(AQ110=Constants!$B$11,COUNTA($C$8:$C$507)+2,IF(AQ110=Constants!$B$12,COUNTA($C$8:$C$507)+1,IF(AQ110=Constants!$B$13,COUNTA($C$8:$C$507),AQ110))))</f>
        <v/>
      </c>
      <c r="AS110" s="3"/>
      <c r="AT110" s="65" t="n">
        <f aca="false">IF(OR(ISNUMBER(AQ110),AQ110="DQ",AQ110="P",AQ110="NS"),
    1,
    0
)</f>
        <v>0</v>
      </c>
      <c r="AU110" s="65" t="n">
        <v>103</v>
      </c>
      <c r="AV110" s="65" t="str">
        <f aca="false">IF(ISBLANK($C110),
    "",
   IF(ISNUMBER(AR110),AR110+ROW($B110)/1000,"")
)</f>
        <v/>
      </c>
      <c r="AW110" s="65" t="str">
        <f aca="false">IF(ISNUMBER(AV110), RANK(AV110,AV$8:AV$507,1), "")</f>
        <v/>
      </c>
      <c r="AX110" s="65" t="str">
        <f aca="false">IF(ISBLANK($C110),
    "",
    $B110
)</f>
        <v/>
      </c>
      <c r="AY110" s="65" t="str">
        <f aca="false">IF(ISBLANK($C110),
    "",
    $C110
)</f>
        <v/>
      </c>
      <c r="AZ110" s="65" t="str">
        <f aca="false">IF(ISBLANK($C110),
    "",
    $D110
)</f>
        <v/>
      </c>
      <c r="BA110" s="65" t="str">
        <f aca="false">AO110</f>
        <v/>
      </c>
      <c r="BB110" s="66" t="str">
        <f aca="false">AN110</f>
        <v/>
      </c>
      <c r="BC110" s="65" t="str">
        <f aca="false">IF(ISBLANK($C110),
    "",
    AQ110
)</f>
        <v/>
      </c>
      <c r="BD110" s="67" t="str">
        <f aca="false">IF(AU110&gt;AT$7,
    "",
    VLOOKUP(AU110,AW$8:BC$507,7,FALSE())
)</f>
        <v/>
      </c>
      <c r="BE110" s="68" t="str">
        <f aca="false">IF(AU110&gt;AT$7,
    "",
    VLOOKUP(AU110,AW$8:BC$507,2,FALSE())
)</f>
        <v/>
      </c>
      <c r="BF110" s="68" t="str">
        <f aca="false">IF(AU110&gt;AT$7,
    "",
    VLOOKUP(AU110,AW$8:BC$507,3,FALSE())
)</f>
        <v/>
      </c>
      <c r="BG110" s="68" t="str">
        <f aca="false">IF(AU110&gt;AT$7,
    "",
    VLOOKUP(AU110,AW$8:BC$507,4,FALSE())
)</f>
        <v/>
      </c>
      <c r="BH110" s="68" t="str">
        <f aca="false">IF(AU110&gt;AT$7,
    "",
    VLOOKUP(AU110,AW$8:BC$507,5,FALSE())
)</f>
        <v/>
      </c>
      <c r="BI110" s="69" t="str">
        <f aca="false">IF(AU110&gt;AT$7,
    "",
    VLOOKUP(AU110,AW$8:BC$507,6,FALSE())
)</f>
        <v/>
      </c>
      <c r="BJ110" s="46"/>
    </row>
    <row r="111" customFormat="false" ht="15.75" hidden="false" customHeight="false" outlineLevel="0" collapsed="false">
      <c r="A111" s="3"/>
      <c r="B111" s="108"/>
      <c r="C111" s="70"/>
      <c r="D111" s="49"/>
      <c r="E111" s="109"/>
      <c r="F111" s="72"/>
      <c r="G111" s="109"/>
      <c r="H111" s="74"/>
      <c r="I111" s="104"/>
      <c r="J111" s="74"/>
      <c r="K111" s="74"/>
      <c r="L111" s="55"/>
      <c r="M111" s="55" t="str">
        <f aca="false">IF(ISBLANK($C111),"",IF(ISBLANK(E111),0,E111))</f>
        <v/>
      </c>
      <c r="N111" s="55" t="str">
        <f aca="false">IF(ISBLANK($C111),"",IF(ISBLANK(F111),0,F111))</f>
        <v/>
      </c>
      <c r="O111" s="55" t="e">
        <f aca="false">IF(AND(NOT(ISBLANK($C111)),NOT($T111),COUNTA($E111:$K111)&gt;0),ISBLANK($F111),FALSE())</f>
        <v>#VALUE!</v>
      </c>
      <c r="P111" s="55" t="str">
        <f aca="false">IF(ISBLANK($C111),"",IF(G111=Constants!$B$9, TRUE(), IF(G111=Constants!$B$10, FALSE(), TRUE())))</f>
        <v/>
      </c>
      <c r="Q111" s="55" t="str">
        <f aca="false">IF(ISBLANK($C111),"",IF(H111=Constants!$B$9, TRUE(), IF(H111=Constants!$B$10, FALSE(), TRUE())))</f>
        <v/>
      </c>
      <c r="R111" s="55" t="str">
        <f aca="false">IF(ISBLANK($C111),"",IF(ISBLANK(I111),Constants!$B$3,I111))</f>
        <v/>
      </c>
      <c r="S111" s="55" t="str">
        <f aca="false">IF(ISBLANK($C111),"",IF(ISBLANK(J111),0,MIN(J111,Constants!$B$6)))</f>
        <v/>
      </c>
      <c r="T111" s="55" t="str">
        <f aca="false">IF(ISBLANK($C111),"",IF(K111=Constants!$B$9, TRUE(), IF(K111=Constants!$B$10, FALSE(),  FALSE())))</f>
        <v/>
      </c>
      <c r="U111" s="55" t="str">
        <f aca="false">IF(ISBLANK($C111),"",AND(R111=Constants!$B$4, S111&lt;Constants!$B$6))</f>
        <v/>
      </c>
      <c r="V111" s="55" t="str">
        <f aca="false">IF(ISBLANK(C111), "", IF(T111, Constants!$B$11, IF(COUNTA(E111:K111)=0, Constants!$B$12, IF(NOT(AND(P111,S111&lt;&gt;0)), Constants!$B$13, IF(O111, Constants!$B$15, Constants!$B$14)))))</f>
        <v/>
      </c>
      <c r="W111" s="55" t="str">
        <f aca="false">IF(OR(ISBLANK($C111), SUMPRODUCT(--(P111:T111&lt;&gt;""))=0), "", IF(V111&lt;&gt;Constants!$B$14, V111, IF(AND(NOT(ISBLANK(J111)),P111,Q111,R111&lt;&gt;Constants!$B$2), Constants!$B$7, IF(AND(P111,OR(NOT(Q111),R111=Constants!$B$2)), Constants!$B$8, "Error"))))</f>
        <v/>
      </c>
      <c r="X111" s="56" t="str">
        <f aca="false">IF(OR(W111=Constants!$B$7,W111=Constants!$B$8), MAX(0, MIN(Constants!$B$6, S111))+IF(AND(R111=Constants!$B$4, NOT(U111)), Constants!$B$5, 0), "")</f>
        <v/>
      </c>
      <c r="Y111" s="55" t="str">
        <f aca="false">IF(ISBLANK($C111),"",IF(AND(ISNUMBER(X111),N111&gt;0),X111/N111, "") )</f>
        <v/>
      </c>
      <c r="Z111" s="55" t="str">
        <f aca="false">IF(AND(NOT(ISBLANK($C111)), W111=Constants!$B$7), Y111, "")</f>
        <v/>
      </c>
      <c r="AA111" s="55" t="str">
        <f aca="false">IF(ISNUMBER(Z111), RANK(Z111,Z$8:Z$507), "")</f>
        <v/>
      </c>
      <c r="AB111" s="55" t="str">
        <f aca="false">IF(AND(NOT(ISBLANK($C111)), W111=Constants!$B$8), Y111, "")</f>
        <v/>
      </c>
      <c r="AC111" s="55" t="str">
        <f aca="false">IF(ISNUMBER(AB111), RANK(AB111,AB$8:AB$507), "")</f>
        <v/>
      </c>
      <c r="AD111" s="55" t="str">
        <f aca="false">IF(ISBLANK($C111),"",IF(V111&lt;&gt;Constants!$B$14, V111, IF(W111=Constants!$B$7, AA111, IF(W111=Constants!$B$8, COUNT($AA$8:$AA$507) + AC111, ""))))</f>
        <v/>
      </c>
      <c r="AE111" s="55" t="str">
        <f aca="false">N111</f>
        <v/>
      </c>
      <c r="AF111" s="55" t="str">
        <f aca="false">IF(ISNUMBER(AE111), RANK(AE111,AE$8:AE$507,1), "")</f>
        <v/>
      </c>
      <c r="AG111" s="57" t="str">
        <f aca="false">IF(ISBLANK(C111), "", ABS(M111-S111))</f>
        <v/>
      </c>
      <c r="AH111" s="55" t="str">
        <f aca="false">IF(ISNUMBER(AG111), RANK(AG111,AG$8:AG$507,1), "")</f>
        <v/>
      </c>
      <c r="AI111" s="55" t="str">
        <f aca="false">IF(ISBLANK(C111),"",IF(V111&lt;&gt;Constants!$B$14, V111, RANK(AD111, AD$8:AD$507, 1)+ SUMPRODUCT(--(AD$8:AD$507=AD111),--(AF111&gt;AF$8:AF$507)) + SUMPRODUCT(--(AD$8:AD$507=AD111),--(AF111=AF$8:AF$507),--(AH111&gt;AH$8:AH$507))))</f>
        <v/>
      </c>
      <c r="AJ111" s="55" t="str">
        <f aca="false">IF(ISBLANK(C111),"",IF(V111&lt;&gt;Constants!$B$14, V111, AD111-AI111))</f>
        <v/>
      </c>
      <c r="AK111" s="59"/>
      <c r="AL111" s="60" t="str">
        <f aca="false">IF(ISBLANK($C111),"",IF($V111&lt;&gt;Constants!$B$14,$V111,X111))</f>
        <v/>
      </c>
      <c r="AM111" s="60" t="str">
        <f aca="false">IF(ISBLANK($C111),"",IF($V111&lt;&gt;Constants!$B$14,$V111,N111))</f>
        <v/>
      </c>
      <c r="AN111" s="62" t="str">
        <f aca="false">IF(ISBLANK(C111),"",IF(V111&lt;&gt;Constants!$B$14, V111, IF(W111=Constants!$B$7,Z111,IF(W111=Constants!$B$8,AB111,""))))</f>
        <v/>
      </c>
      <c r="AO111" s="63" t="str">
        <f aca="false">IF(ISBLANK(C111),"",W111)</f>
        <v/>
      </c>
      <c r="AP111" s="63" t="str">
        <f aca="false">IF(ISBLANK(C111),"",AJ111)</f>
        <v/>
      </c>
      <c r="AQ111" s="63" t="str">
        <f aca="false">IF(ISBLANK(C111),"",AI111)</f>
        <v/>
      </c>
      <c r="AR111" s="64" t="str">
        <f aca="false">IF(ISBLANK(C111),
  "",
IF(AQ111=Constants!$B$11,COUNTA($C$8:$C$507)+2,IF(AQ111=Constants!$B$12,COUNTA($C$8:$C$507)+1,IF(AQ111=Constants!$B$13,COUNTA($C$8:$C$507),AQ111))))</f>
        <v/>
      </c>
      <c r="AS111" s="3"/>
      <c r="AT111" s="65" t="n">
        <f aca="false">IF(OR(ISNUMBER(AQ111),AQ111="DQ",AQ111="P",AQ111="NS"),
    1,
    0
)</f>
        <v>0</v>
      </c>
      <c r="AU111" s="65" t="n">
        <v>104</v>
      </c>
      <c r="AV111" s="65" t="str">
        <f aca="false">IF(ISBLANK($C111),
    "",
   IF(ISNUMBER(AR111),AR111+ROW($B111)/1000,"")
)</f>
        <v/>
      </c>
      <c r="AW111" s="65" t="str">
        <f aca="false">IF(ISNUMBER(AV111), RANK(AV111,AV$8:AV$507,1), "")</f>
        <v/>
      </c>
      <c r="AX111" s="65" t="str">
        <f aca="false">IF(ISBLANK($C111),
    "",
    $B111
)</f>
        <v/>
      </c>
      <c r="AY111" s="65" t="str">
        <f aca="false">IF(ISBLANK($C111),
    "",
    $C111
)</f>
        <v/>
      </c>
      <c r="AZ111" s="65" t="str">
        <f aca="false">IF(ISBLANK($C111),
    "",
    $D111
)</f>
        <v/>
      </c>
      <c r="BA111" s="65" t="str">
        <f aca="false">AO111</f>
        <v/>
      </c>
      <c r="BB111" s="66" t="str">
        <f aca="false">AN111</f>
        <v/>
      </c>
      <c r="BC111" s="65" t="str">
        <f aca="false">IF(ISBLANK($C111),
    "",
    AQ111
)</f>
        <v/>
      </c>
      <c r="BD111" s="67" t="str">
        <f aca="false">IF(AU111&gt;AT$7,
    "",
    VLOOKUP(AU111,AW$8:BC$507,7,FALSE())
)</f>
        <v/>
      </c>
      <c r="BE111" s="68" t="str">
        <f aca="false">IF(AU111&gt;AT$7,
    "",
    VLOOKUP(AU111,AW$8:BC$507,2,FALSE())
)</f>
        <v/>
      </c>
      <c r="BF111" s="68" t="str">
        <f aca="false">IF(AU111&gt;AT$7,
    "",
    VLOOKUP(AU111,AW$8:BC$507,3,FALSE())
)</f>
        <v/>
      </c>
      <c r="BG111" s="68" t="str">
        <f aca="false">IF(AU111&gt;AT$7,
    "",
    VLOOKUP(AU111,AW$8:BC$507,4,FALSE())
)</f>
        <v/>
      </c>
      <c r="BH111" s="68" t="str">
        <f aca="false">IF(AU111&gt;AT$7,
    "",
    VLOOKUP(AU111,AW$8:BC$507,5,FALSE())
)</f>
        <v/>
      </c>
      <c r="BI111" s="69" t="str">
        <f aca="false">IF(AU111&gt;AT$7,
    "",
    VLOOKUP(AU111,AW$8:BC$507,6,FALSE())
)</f>
        <v/>
      </c>
      <c r="BJ111" s="46"/>
    </row>
    <row r="112" customFormat="false" ht="15.75" hidden="false" customHeight="false" outlineLevel="0" collapsed="false">
      <c r="A112" s="3"/>
      <c r="B112" s="108"/>
      <c r="C112" s="70"/>
      <c r="D112" s="49"/>
      <c r="E112" s="109"/>
      <c r="F112" s="72"/>
      <c r="G112" s="109"/>
      <c r="H112" s="74"/>
      <c r="I112" s="104"/>
      <c r="J112" s="74"/>
      <c r="K112" s="74"/>
      <c r="L112" s="55"/>
      <c r="M112" s="55" t="str">
        <f aca="false">IF(ISBLANK($C112),"",IF(ISBLANK(E112),0,E112))</f>
        <v/>
      </c>
      <c r="N112" s="55" t="str">
        <f aca="false">IF(ISBLANK($C112),"",IF(ISBLANK(F112),0,F112))</f>
        <v/>
      </c>
      <c r="O112" s="55" t="e">
        <f aca="false">IF(AND(NOT(ISBLANK($C112)),NOT($T112),COUNTA($E112:$K112)&gt;0),ISBLANK($F112),FALSE())</f>
        <v>#VALUE!</v>
      </c>
      <c r="P112" s="55" t="str">
        <f aca="false">IF(ISBLANK($C112),"",IF(G112=Constants!$B$9, TRUE(), IF(G112=Constants!$B$10, FALSE(), TRUE())))</f>
        <v/>
      </c>
      <c r="Q112" s="55" t="str">
        <f aca="false">IF(ISBLANK($C112),"",IF(H112=Constants!$B$9, TRUE(), IF(H112=Constants!$B$10, FALSE(), TRUE())))</f>
        <v/>
      </c>
      <c r="R112" s="55" t="str">
        <f aca="false">IF(ISBLANK($C112),"",IF(ISBLANK(I112),Constants!$B$3,I112))</f>
        <v/>
      </c>
      <c r="S112" s="55" t="str">
        <f aca="false">IF(ISBLANK($C112),"",IF(ISBLANK(J112),0,MIN(J112,Constants!$B$6)))</f>
        <v/>
      </c>
      <c r="T112" s="55" t="str">
        <f aca="false">IF(ISBLANK($C112),"",IF(K112=Constants!$B$9, TRUE(), IF(K112=Constants!$B$10, FALSE(),  FALSE())))</f>
        <v/>
      </c>
      <c r="U112" s="55" t="str">
        <f aca="false">IF(ISBLANK($C112),"",AND(R112=Constants!$B$4, S112&lt;Constants!$B$6))</f>
        <v/>
      </c>
      <c r="V112" s="55" t="str">
        <f aca="false">IF(ISBLANK(C112), "", IF(T112, Constants!$B$11, IF(COUNTA(E112:K112)=0, Constants!$B$12, IF(NOT(AND(P112,S112&lt;&gt;0)), Constants!$B$13, IF(O112, Constants!$B$15, Constants!$B$14)))))</f>
        <v/>
      </c>
      <c r="W112" s="55" t="str">
        <f aca="false">IF(OR(ISBLANK($C112), SUMPRODUCT(--(P112:T112&lt;&gt;""))=0), "", IF(V112&lt;&gt;Constants!$B$14, V112, IF(AND(NOT(ISBLANK(J112)),P112,Q112,R112&lt;&gt;Constants!$B$2), Constants!$B$7, IF(AND(P112,OR(NOT(Q112),R112=Constants!$B$2)), Constants!$B$8, "Error"))))</f>
        <v/>
      </c>
      <c r="X112" s="56" t="str">
        <f aca="false">IF(OR(W112=Constants!$B$7,W112=Constants!$B$8), MAX(0, MIN(Constants!$B$6, S112))+IF(AND(R112=Constants!$B$4, NOT(U112)), Constants!$B$5, 0), "")</f>
        <v/>
      </c>
      <c r="Y112" s="55" t="str">
        <f aca="false">IF(ISBLANK($C112),"",IF(AND(ISNUMBER(X112),N112&gt;0),X112/N112, "") )</f>
        <v/>
      </c>
      <c r="Z112" s="55" t="str">
        <f aca="false">IF(AND(NOT(ISBLANK($C112)), W112=Constants!$B$7), Y112, "")</f>
        <v/>
      </c>
      <c r="AA112" s="55" t="str">
        <f aca="false">IF(ISNUMBER(Z112), RANK(Z112,Z$8:Z$507), "")</f>
        <v/>
      </c>
      <c r="AB112" s="55" t="str">
        <f aca="false">IF(AND(NOT(ISBLANK($C112)), W112=Constants!$B$8), Y112, "")</f>
        <v/>
      </c>
      <c r="AC112" s="55" t="str">
        <f aca="false">IF(ISNUMBER(AB112), RANK(AB112,AB$8:AB$507), "")</f>
        <v/>
      </c>
      <c r="AD112" s="55" t="str">
        <f aca="false">IF(ISBLANK($C112),"",IF(V112&lt;&gt;Constants!$B$14, V112, IF(W112=Constants!$B$7, AA112, IF(W112=Constants!$B$8, COUNT($AA$8:$AA$507) + AC112, ""))))</f>
        <v/>
      </c>
      <c r="AE112" s="55" t="str">
        <f aca="false">N112</f>
        <v/>
      </c>
      <c r="AF112" s="55" t="str">
        <f aca="false">IF(ISNUMBER(AE112), RANK(AE112,AE$8:AE$507,1), "")</f>
        <v/>
      </c>
      <c r="AG112" s="57" t="str">
        <f aca="false">IF(ISBLANK(C112), "", ABS(M112-S112))</f>
        <v/>
      </c>
      <c r="AH112" s="55" t="str">
        <f aca="false">IF(ISNUMBER(AG112), RANK(AG112,AG$8:AG$507,1), "")</f>
        <v/>
      </c>
      <c r="AI112" s="55" t="str">
        <f aca="false">IF(ISBLANK(C112),"",IF(V112&lt;&gt;Constants!$B$14, V112, RANK(AD112, AD$8:AD$507, 1)+ SUMPRODUCT(--(AD$8:AD$507=AD112),--(AF112&gt;AF$8:AF$507)) + SUMPRODUCT(--(AD$8:AD$507=AD112),--(AF112=AF$8:AF$507),--(AH112&gt;AH$8:AH$507))))</f>
        <v/>
      </c>
      <c r="AJ112" s="55" t="str">
        <f aca="false">IF(ISBLANK(C112),"",IF(V112&lt;&gt;Constants!$B$14, V112, AD112-AI112))</f>
        <v/>
      </c>
      <c r="AK112" s="59"/>
      <c r="AL112" s="60" t="str">
        <f aca="false">IF(ISBLANK($C112),"",IF($V112&lt;&gt;Constants!$B$14,$V112,X112))</f>
        <v/>
      </c>
      <c r="AM112" s="60" t="str">
        <f aca="false">IF(ISBLANK($C112),"",IF($V112&lt;&gt;Constants!$B$14,$V112,N112))</f>
        <v/>
      </c>
      <c r="AN112" s="62" t="str">
        <f aca="false">IF(ISBLANK(C112),"",IF(V112&lt;&gt;Constants!$B$14, V112, IF(W112=Constants!$B$7,Z112,IF(W112=Constants!$B$8,AB112,""))))</f>
        <v/>
      </c>
      <c r="AO112" s="63" t="str">
        <f aca="false">IF(ISBLANK(C112),"",W112)</f>
        <v/>
      </c>
      <c r="AP112" s="63" t="str">
        <f aca="false">IF(ISBLANK(C112),"",AJ112)</f>
        <v/>
      </c>
      <c r="AQ112" s="63" t="str">
        <f aca="false">IF(ISBLANK(C112),"",AI112)</f>
        <v/>
      </c>
      <c r="AR112" s="64" t="str">
        <f aca="false">IF(ISBLANK(C112),
  "",
IF(AQ112=Constants!$B$11,COUNTA($C$8:$C$507)+2,IF(AQ112=Constants!$B$12,COUNTA($C$8:$C$507)+1,IF(AQ112=Constants!$B$13,COUNTA($C$8:$C$507),AQ112))))</f>
        <v/>
      </c>
      <c r="AS112" s="3"/>
      <c r="AT112" s="65" t="n">
        <f aca="false">IF(OR(ISNUMBER(AQ112),AQ112="DQ",AQ112="P",AQ112="NS"),
    1,
    0
)</f>
        <v>0</v>
      </c>
      <c r="AU112" s="65" t="n">
        <v>105</v>
      </c>
      <c r="AV112" s="65" t="str">
        <f aca="false">IF(ISBLANK($C112),
    "",
   IF(ISNUMBER(AR112),AR112+ROW($B112)/1000,"")
)</f>
        <v/>
      </c>
      <c r="AW112" s="65" t="str">
        <f aca="false">IF(ISNUMBER(AV112), RANK(AV112,AV$8:AV$507,1), "")</f>
        <v/>
      </c>
      <c r="AX112" s="65" t="str">
        <f aca="false">IF(ISBLANK($C112),
    "",
    $B112
)</f>
        <v/>
      </c>
      <c r="AY112" s="65" t="str">
        <f aca="false">IF(ISBLANK($C112),
    "",
    $C112
)</f>
        <v/>
      </c>
      <c r="AZ112" s="65" t="str">
        <f aca="false">IF(ISBLANK($C112),
    "",
    $D112
)</f>
        <v/>
      </c>
      <c r="BA112" s="65" t="str">
        <f aca="false">AO112</f>
        <v/>
      </c>
      <c r="BB112" s="66" t="str">
        <f aca="false">AN112</f>
        <v/>
      </c>
      <c r="BC112" s="65" t="str">
        <f aca="false">IF(ISBLANK($C112),
    "",
    AQ112
)</f>
        <v/>
      </c>
      <c r="BD112" s="67" t="str">
        <f aca="false">IF(AU112&gt;AT$7,
    "",
    VLOOKUP(AU112,AW$8:BC$507,7,FALSE())
)</f>
        <v/>
      </c>
      <c r="BE112" s="68" t="str">
        <f aca="false">IF(AU112&gt;AT$7,
    "",
    VLOOKUP(AU112,AW$8:BC$507,2,FALSE())
)</f>
        <v/>
      </c>
      <c r="BF112" s="68" t="str">
        <f aca="false">IF(AU112&gt;AT$7,
    "",
    VLOOKUP(AU112,AW$8:BC$507,3,FALSE())
)</f>
        <v/>
      </c>
      <c r="BG112" s="68" t="str">
        <f aca="false">IF(AU112&gt;AT$7,
    "",
    VLOOKUP(AU112,AW$8:BC$507,4,FALSE())
)</f>
        <v/>
      </c>
      <c r="BH112" s="68" t="str">
        <f aca="false">IF(AU112&gt;AT$7,
    "",
    VLOOKUP(AU112,AW$8:BC$507,5,FALSE())
)</f>
        <v/>
      </c>
      <c r="BI112" s="69" t="str">
        <f aca="false">IF(AU112&gt;AT$7,
    "",
    VLOOKUP(AU112,AW$8:BC$507,6,FALSE())
)</f>
        <v/>
      </c>
      <c r="BJ112" s="46"/>
    </row>
    <row r="113" customFormat="false" ht="15.75" hidden="false" customHeight="false" outlineLevel="0" collapsed="false">
      <c r="A113" s="3"/>
      <c r="B113" s="105"/>
      <c r="C113" s="106"/>
      <c r="D113" s="99"/>
      <c r="E113" s="110"/>
      <c r="F113" s="107"/>
      <c r="G113" s="110"/>
      <c r="H113" s="103"/>
      <c r="I113" s="102"/>
      <c r="J113" s="103"/>
      <c r="K113" s="103"/>
      <c r="L113" s="85"/>
      <c r="M113" s="85" t="str">
        <f aca="false">IF(ISBLANK($C113),"",IF(ISBLANK(E113),0,E113))</f>
        <v/>
      </c>
      <c r="N113" s="85" t="str">
        <f aca="false">IF(ISBLANK($C113),"",IF(ISBLANK(F113),0,F113))</f>
        <v/>
      </c>
      <c r="O113" s="86" t="e">
        <f aca="false">IF(AND(NOT(ISBLANK($C113)),NOT($T113),COUNTA($E113:$K113)&gt;0),ISBLANK($F113),FALSE())</f>
        <v>#VALUE!</v>
      </c>
      <c r="P113" s="85" t="str">
        <f aca="false">IF(ISBLANK($C113),"",IF(G113=Constants!$B$9, TRUE(), IF(G113=Constants!$B$10, FALSE(), TRUE())))</f>
        <v/>
      </c>
      <c r="Q113" s="85" t="str">
        <f aca="false">IF(ISBLANK($C113),"",IF(H113=Constants!$B$9, TRUE(), IF(H113=Constants!$B$10, FALSE(), TRUE())))</f>
        <v/>
      </c>
      <c r="R113" s="85" t="str">
        <f aca="false">IF(ISBLANK($C113),"",IF(ISBLANK(I113),Constants!$B$3,I113))</f>
        <v/>
      </c>
      <c r="S113" s="85" t="str">
        <f aca="false">IF(ISBLANK($C113),"",IF(ISBLANK(J113),0,MIN(J113,Constants!$B$6)))</f>
        <v/>
      </c>
      <c r="T113" s="85" t="str">
        <f aca="false">IF(ISBLANK($C113),"",IF(K113=Constants!$B$9, TRUE(), IF(K113=Constants!$B$10, FALSE(),  FALSE())))</f>
        <v/>
      </c>
      <c r="U113" s="85" t="str">
        <f aca="false">IF(ISBLANK($C113),"",AND(R113=Constants!$B$4, S113&lt;Constants!$B$6))</f>
        <v/>
      </c>
      <c r="V113" s="85" t="str">
        <f aca="false">IF(ISBLANK(C113), "", IF(T113, Constants!$B$11, IF(COUNTA(E113:K113)=0, Constants!$B$12, IF(NOT(AND(P113,S113&lt;&gt;0)), Constants!$B$13, IF(O113, Constants!$B$15, Constants!$B$14)))))</f>
        <v/>
      </c>
      <c r="W113" s="85" t="str">
        <f aca="false">IF(OR(ISBLANK($C113), SUMPRODUCT(--(P113:T113&lt;&gt;""))=0), "", IF(V113&lt;&gt;Constants!$B$14, V113, IF(AND(NOT(ISBLANK(J113)),P113,Q113,R113&lt;&gt;Constants!$B$2), Constants!$B$7, IF(AND(P113,OR(NOT(Q113),R113=Constants!$B$2)), Constants!$B$8, "Error"))))</f>
        <v/>
      </c>
      <c r="X113" s="87" t="str">
        <f aca="false">IF(OR(W113=Constants!$B$7,W113=Constants!$B$8), MAX(0, MIN(Constants!$B$6, S113))+IF(AND(R113=Constants!$B$4, NOT(U113)), Constants!$B$5, 0), "")</f>
        <v/>
      </c>
      <c r="Y113" s="85" t="str">
        <f aca="false">IF(ISBLANK($C113),"",IF(AND(ISNUMBER(X113),N113&gt;0),X113/N113, "") )</f>
        <v/>
      </c>
      <c r="Z113" s="85" t="str">
        <f aca="false">IF(AND(NOT(ISBLANK($C113)), W113=Constants!$B$7), Y113, "")</f>
        <v/>
      </c>
      <c r="AA113" s="85" t="str">
        <f aca="false">IF(ISNUMBER(Z113), RANK(Z113,Z$8:Z$507), "")</f>
        <v/>
      </c>
      <c r="AB113" s="85" t="str">
        <f aca="false">IF(AND(NOT(ISBLANK($C113)), W113=Constants!$B$8), Y113, "")</f>
        <v/>
      </c>
      <c r="AC113" s="85" t="str">
        <f aca="false">IF(ISNUMBER(AB113), RANK(AB113,AB$8:AB$507), "")</f>
        <v/>
      </c>
      <c r="AD113" s="85" t="str">
        <f aca="false">IF(ISBLANK($C113),"",IF(V113&lt;&gt;Constants!$B$14, V113, IF(W113=Constants!$B$7, AA113, IF(W113=Constants!$B$8, COUNT($AA$8:$AA$507) + AC113, ""))))</f>
        <v/>
      </c>
      <c r="AE113" s="85" t="str">
        <f aca="false">N113</f>
        <v/>
      </c>
      <c r="AF113" s="85" t="str">
        <f aca="false">IF(ISNUMBER(AE113), RANK(AE113,AE$8:AE$507,1), "")</f>
        <v/>
      </c>
      <c r="AG113" s="88" t="str">
        <f aca="false">IF(ISBLANK(C113), "", ABS(M113-S113))</f>
        <v/>
      </c>
      <c r="AH113" s="85" t="str">
        <f aca="false">IF(ISNUMBER(AG113), RANK(AG113,AG$8:AG$507,1), "")</f>
        <v/>
      </c>
      <c r="AI113" s="85" t="str">
        <f aca="false">IF(ISBLANK(C113),"",IF(V113&lt;&gt;Constants!$B$14, V113, RANK(AD113, AD$8:AD$507, 1)+ SUMPRODUCT(--(AD$8:AD$507=AD113),--(AF113&gt;AF$8:AF$507)) + SUMPRODUCT(--(AD$8:AD$507=AD113),--(AF113=AF$8:AF$507),--(AH113&gt;AH$8:AH$507))))</f>
        <v/>
      </c>
      <c r="AJ113" s="85" t="str">
        <f aca="false">IF(ISBLANK(C113),"",IF(V113&lt;&gt;Constants!$B$14, V113, AD113-AI113))</f>
        <v/>
      </c>
      <c r="AK113" s="89"/>
      <c r="AL113" s="90" t="str">
        <f aca="false">IF(ISBLANK($C113),"",IF($V113&lt;&gt;Constants!$B$14,$V113,X113))</f>
        <v/>
      </c>
      <c r="AM113" s="90" t="str">
        <f aca="false">IF(ISBLANK($C113),"",IF($V113&lt;&gt;Constants!$B$14,$V113,N113))</f>
        <v/>
      </c>
      <c r="AN113" s="91" t="str">
        <f aca="false">IF(ISBLANK(C113),"",IF(V113&lt;&gt;Constants!$B$14, V113, IF(W113=Constants!$B$7,Z113,IF(W113=Constants!$B$8,AB113,""))))</f>
        <v/>
      </c>
      <c r="AO113" s="92" t="str">
        <f aca="false">IF(ISBLANK(C113),"",W113)</f>
        <v/>
      </c>
      <c r="AP113" s="92" t="str">
        <f aca="false">IF(ISBLANK(C113),"",AJ113)</f>
        <v/>
      </c>
      <c r="AQ113" s="92" t="str">
        <f aca="false">IF(ISBLANK(C113),"",AI113)</f>
        <v/>
      </c>
      <c r="AR113" s="93" t="str">
        <f aca="false">IF(ISBLANK(C113),
  "",
IF(AQ113=Constants!$B$11,COUNTA($C$8:$C$507)+2,IF(AQ113=Constants!$B$12,COUNTA($C$8:$C$507)+1,IF(AQ113=Constants!$B$13,COUNTA($C$8:$C$507),AQ113))))</f>
        <v/>
      </c>
      <c r="AS113" s="3"/>
      <c r="AT113" s="94" t="n">
        <f aca="false">IF(OR(ISNUMBER(AQ113),AQ113="DQ",AQ113="P",AQ113="NS"),
    1,
    0
)</f>
        <v>0</v>
      </c>
      <c r="AU113" s="94" t="n">
        <v>106</v>
      </c>
      <c r="AV113" s="94" t="str">
        <f aca="false">IF(ISBLANK($C113),
    "",
   IF(ISNUMBER(AR113),AR113+ROW($B113)/1000,"")
)</f>
        <v/>
      </c>
      <c r="AW113" s="94" t="str">
        <f aca="false">IF(ISNUMBER(AV113), RANK(AV113,AV$8:AV$507,1), "")</f>
        <v/>
      </c>
      <c r="AX113" s="94" t="str">
        <f aca="false">IF(ISBLANK($C113),
    "",
    $B113
)</f>
        <v/>
      </c>
      <c r="AY113" s="94" t="str">
        <f aca="false">IF(ISBLANK($C113),
    "",
    $C113
)</f>
        <v/>
      </c>
      <c r="AZ113" s="94" t="str">
        <f aca="false">IF(ISBLANK($C113),
    "",
    $D113
)</f>
        <v/>
      </c>
      <c r="BA113" s="94" t="str">
        <f aca="false">AO113</f>
        <v/>
      </c>
      <c r="BB113" s="95" t="str">
        <f aca="false">AN113</f>
        <v/>
      </c>
      <c r="BC113" s="94" t="str">
        <f aca="false">IF(ISBLANK($C113),
    "",
    AQ113
)</f>
        <v/>
      </c>
      <c r="BD113" s="96" t="str">
        <f aca="false">IF(AU113&gt;AT$7,
    "",
    VLOOKUP(AU113,AW$8:BC$507,7,FALSE())
)</f>
        <v/>
      </c>
      <c r="BE113" s="97" t="str">
        <f aca="false">IF(AU113&gt;AT$7,
    "",
    VLOOKUP(AU113,AW$8:BC$507,2,FALSE())
)</f>
        <v/>
      </c>
      <c r="BF113" s="97" t="str">
        <f aca="false">IF(AU113&gt;AT$7,
    "",
    VLOOKUP(AU113,AW$8:BC$507,3,FALSE())
)</f>
        <v/>
      </c>
      <c r="BG113" s="97" t="str">
        <f aca="false">IF(AU113&gt;AT$7,
    "",
    VLOOKUP(AU113,AW$8:BC$507,4,FALSE())
)</f>
        <v/>
      </c>
      <c r="BH113" s="97" t="str">
        <f aca="false">IF(AU113&gt;AT$7,
    "",
    VLOOKUP(AU113,AW$8:BC$507,5,FALSE())
)</f>
        <v/>
      </c>
      <c r="BI113" s="98" t="str">
        <f aca="false">IF(AU113&gt;AT$7,
    "",
    VLOOKUP(AU113,AW$8:BC$507,6,FALSE())
)</f>
        <v/>
      </c>
      <c r="BJ113" s="46"/>
    </row>
    <row r="114" customFormat="false" ht="15.75" hidden="false" customHeight="false" outlineLevel="0" collapsed="false">
      <c r="A114" s="3"/>
      <c r="B114" s="105"/>
      <c r="C114" s="106"/>
      <c r="D114" s="99"/>
      <c r="E114" s="110"/>
      <c r="F114" s="107"/>
      <c r="G114" s="110"/>
      <c r="H114" s="103"/>
      <c r="I114" s="102"/>
      <c r="J114" s="103"/>
      <c r="K114" s="103"/>
      <c r="L114" s="85"/>
      <c r="M114" s="85" t="str">
        <f aca="false">IF(ISBLANK($C114),"",IF(ISBLANK(E114),0,E114))</f>
        <v/>
      </c>
      <c r="N114" s="85" t="str">
        <f aca="false">IF(ISBLANK($C114),"",IF(ISBLANK(F114),0,F114))</f>
        <v/>
      </c>
      <c r="O114" s="86" t="e">
        <f aca="false">IF(AND(NOT(ISBLANK($C114)),NOT($T114),COUNTA($E114:$K114)&gt;0),ISBLANK($F114),FALSE())</f>
        <v>#VALUE!</v>
      </c>
      <c r="P114" s="85" t="str">
        <f aca="false">IF(ISBLANK($C114),"",IF(G114=Constants!$B$9, TRUE(), IF(G114=Constants!$B$10, FALSE(), TRUE())))</f>
        <v/>
      </c>
      <c r="Q114" s="85" t="str">
        <f aca="false">IF(ISBLANK($C114),"",IF(H114=Constants!$B$9, TRUE(), IF(H114=Constants!$B$10, FALSE(), TRUE())))</f>
        <v/>
      </c>
      <c r="R114" s="85" t="str">
        <f aca="false">IF(ISBLANK($C114),"",IF(ISBLANK(I114),Constants!$B$3,I114))</f>
        <v/>
      </c>
      <c r="S114" s="85" t="str">
        <f aca="false">IF(ISBLANK($C114),"",IF(ISBLANK(J114),0,MIN(J114,Constants!$B$6)))</f>
        <v/>
      </c>
      <c r="T114" s="85" t="str">
        <f aca="false">IF(ISBLANK($C114),"",IF(K114=Constants!$B$9, TRUE(), IF(K114=Constants!$B$10, FALSE(),  FALSE())))</f>
        <v/>
      </c>
      <c r="U114" s="85" t="str">
        <f aca="false">IF(ISBLANK($C114),"",AND(R114=Constants!$B$4, S114&lt;Constants!$B$6))</f>
        <v/>
      </c>
      <c r="V114" s="85" t="str">
        <f aca="false">IF(ISBLANK(C114), "", IF(T114, Constants!$B$11, IF(COUNTA(E114:K114)=0, Constants!$B$12, IF(NOT(AND(P114,S114&lt;&gt;0)), Constants!$B$13, IF(O114, Constants!$B$15, Constants!$B$14)))))</f>
        <v/>
      </c>
      <c r="W114" s="85" t="str">
        <f aca="false">IF(OR(ISBLANK($C114), SUMPRODUCT(--(P114:T114&lt;&gt;""))=0), "", IF(V114&lt;&gt;Constants!$B$14, V114, IF(AND(NOT(ISBLANK(J114)),P114,Q114,R114&lt;&gt;Constants!$B$2), Constants!$B$7, IF(AND(P114,OR(NOT(Q114),R114=Constants!$B$2)), Constants!$B$8, "Error"))))</f>
        <v/>
      </c>
      <c r="X114" s="87" t="str">
        <f aca="false">IF(OR(W114=Constants!$B$7,W114=Constants!$B$8), MAX(0, MIN(Constants!$B$6, S114))+IF(AND(R114=Constants!$B$4, NOT(U114)), Constants!$B$5, 0), "")</f>
        <v/>
      </c>
      <c r="Y114" s="85" t="str">
        <f aca="false">IF(ISBLANK($C114),"",IF(AND(ISNUMBER(X114),N114&gt;0),X114/N114, "") )</f>
        <v/>
      </c>
      <c r="Z114" s="85" t="str">
        <f aca="false">IF(AND(NOT(ISBLANK($C114)), W114=Constants!$B$7), Y114, "")</f>
        <v/>
      </c>
      <c r="AA114" s="85" t="str">
        <f aca="false">IF(ISNUMBER(Z114), RANK(Z114,Z$8:Z$507), "")</f>
        <v/>
      </c>
      <c r="AB114" s="85" t="str">
        <f aca="false">IF(AND(NOT(ISBLANK($C114)), W114=Constants!$B$8), Y114, "")</f>
        <v/>
      </c>
      <c r="AC114" s="85" t="str">
        <f aca="false">IF(ISNUMBER(AB114), RANK(AB114,AB$8:AB$507), "")</f>
        <v/>
      </c>
      <c r="AD114" s="85" t="str">
        <f aca="false">IF(ISBLANK($C114),"",IF(V114&lt;&gt;Constants!$B$14, V114, IF(W114=Constants!$B$7, AA114, IF(W114=Constants!$B$8, COUNT($AA$8:$AA$507) + AC114, ""))))</f>
        <v/>
      </c>
      <c r="AE114" s="85" t="str">
        <f aca="false">N114</f>
        <v/>
      </c>
      <c r="AF114" s="85" t="str">
        <f aca="false">IF(ISNUMBER(AE114), RANK(AE114,AE$8:AE$507,1), "")</f>
        <v/>
      </c>
      <c r="AG114" s="88" t="str">
        <f aca="false">IF(ISBLANK(C114), "", ABS(M114-S114))</f>
        <v/>
      </c>
      <c r="AH114" s="85" t="str">
        <f aca="false">IF(ISNUMBER(AG114), RANK(AG114,AG$8:AG$507,1), "")</f>
        <v/>
      </c>
      <c r="AI114" s="85" t="str">
        <f aca="false">IF(ISBLANK(C114),"",IF(V114&lt;&gt;Constants!$B$14, V114, RANK(AD114, AD$8:AD$507, 1)+ SUMPRODUCT(--(AD$8:AD$507=AD114),--(AF114&gt;AF$8:AF$507)) + SUMPRODUCT(--(AD$8:AD$507=AD114),--(AF114=AF$8:AF$507),--(AH114&gt;AH$8:AH$507))))</f>
        <v/>
      </c>
      <c r="AJ114" s="85" t="str">
        <f aca="false">IF(ISBLANK(C114),"",IF(V114&lt;&gt;Constants!$B$14, V114, AD114-AI114))</f>
        <v/>
      </c>
      <c r="AK114" s="89"/>
      <c r="AL114" s="90" t="str">
        <f aca="false">IF(ISBLANK($C114),"",IF($V114&lt;&gt;Constants!$B$14,$V114,X114))</f>
        <v/>
      </c>
      <c r="AM114" s="90" t="str">
        <f aca="false">IF(ISBLANK($C114),"",IF($V114&lt;&gt;Constants!$B$14,$V114,N114))</f>
        <v/>
      </c>
      <c r="AN114" s="91" t="str">
        <f aca="false">IF(ISBLANK(C114),"",IF(V114&lt;&gt;Constants!$B$14, V114, IF(W114=Constants!$B$7,Z114,IF(W114=Constants!$B$8,AB114,""))))</f>
        <v/>
      </c>
      <c r="AO114" s="92" t="str">
        <f aca="false">IF(ISBLANK(C114),"",W114)</f>
        <v/>
      </c>
      <c r="AP114" s="92" t="str">
        <f aca="false">IF(ISBLANK(C114),"",AJ114)</f>
        <v/>
      </c>
      <c r="AQ114" s="92" t="str">
        <f aca="false">IF(ISBLANK(C114),"",AI114)</f>
        <v/>
      </c>
      <c r="AR114" s="93" t="str">
        <f aca="false">IF(ISBLANK(C114),
  "",
IF(AQ114=Constants!$B$11,COUNTA($C$8:$C$507)+2,IF(AQ114=Constants!$B$12,COUNTA($C$8:$C$507)+1,IF(AQ114=Constants!$B$13,COUNTA($C$8:$C$507),AQ114))))</f>
        <v/>
      </c>
      <c r="AS114" s="3"/>
      <c r="AT114" s="94" t="n">
        <f aca="false">IF(OR(ISNUMBER(AQ114),AQ114="DQ",AQ114="P",AQ114="NS"),
    1,
    0
)</f>
        <v>0</v>
      </c>
      <c r="AU114" s="94" t="n">
        <v>107</v>
      </c>
      <c r="AV114" s="94" t="str">
        <f aca="false">IF(ISBLANK($C114),
    "",
   IF(ISNUMBER(AR114),AR114+ROW($B114)/1000,"")
)</f>
        <v/>
      </c>
      <c r="AW114" s="94" t="str">
        <f aca="false">IF(ISNUMBER(AV114), RANK(AV114,AV$8:AV$507,1), "")</f>
        <v/>
      </c>
      <c r="AX114" s="94" t="str">
        <f aca="false">IF(ISBLANK($C114),
    "",
    $B114
)</f>
        <v/>
      </c>
      <c r="AY114" s="94" t="str">
        <f aca="false">IF(ISBLANK($C114),
    "",
    $C114
)</f>
        <v/>
      </c>
      <c r="AZ114" s="94" t="str">
        <f aca="false">IF(ISBLANK($C114),
    "",
    $D114
)</f>
        <v/>
      </c>
      <c r="BA114" s="94" t="str">
        <f aca="false">AO114</f>
        <v/>
      </c>
      <c r="BB114" s="95" t="str">
        <f aca="false">AN114</f>
        <v/>
      </c>
      <c r="BC114" s="94" t="str">
        <f aca="false">IF(ISBLANK($C114),
    "",
    AQ114
)</f>
        <v/>
      </c>
      <c r="BD114" s="96" t="str">
        <f aca="false">IF(AU114&gt;AT$7,
    "",
    VLOOKUP(AU114,AW$8:BC$507,7,FALSE())
)</f>
        <v/>
      </c>
      <c r="BE114" s="97" t="str">
        <f aca="false">IF(AU114&gt;AT$7,
    "",
    VLOOKUP(AU114,AW$8:BC$507,2,FALSE())
)</f>
        <v/>
      </c>
      <c r="BF114" s="97" t="str">
        <f aca="false">IF(AU114&gt;AT$7,
    "",
    VLOOKUP(AU114,AW$8:BC$507,3,FALSE())
)</f>
        <v/>
      </c>
      <c r="BG114" s="97" t="str">
        <f aca="false">IF(AU114&gt;AT$7,
    "",
    VLOOKUP(AU114,AW$8:BC$507,4,FALSE())
)</f>
        <v/>
      </c>
      <c r="BH114" s="97" t="str">
        <f aca="false">IF(AU114&gt;AT$7,
    "",
    VLOOKUP(AU114,AW$8:BC$507,5,FALSE())
)</f>
        <v/>
      </c>
      <c r="BI114" s="98" t="str">
        <f aca="false">IF(AU114&gt;AT$7,
    "",
    VLOOKUP(AU114,AW$8:BC$507,6,FALSE())
)</f>
        <v/>
      </c>
      <c r="BJ114" s="46"/>
    </row>
    <row r="115" customFormat="false" ht="15.75" hidden="false" customHeight="false" outlineLevel="0" collapsed="false">
      <c r="A115" s="3"/>
      <c r="B115" s="105"/>
      <c r="C115" s="106"/>
      <c r="D115" s="99"/>
      <c r="E115" s="110"/>
      <c r="F115" s="107"/>
      <c r="G115" s="110"/>
      <c r="H115" s="103"/>
      <c r="I115" s="102"/>
      <c r="J115" s="103"/>
      <c r="K115" s="103"/>
      <c r="L115" s="85"/>
      <c r="M115" s="85" t="str">
        <f aca="false">IF(ISBLANK($C115),"",IF(ISBLANK(E115),0,E115))</f>
        <v/>
      </c>
      <c r="N115" s="85" t="str">
        <f aca="false">IF(ISBLANK($C115),"",IF(ISBLANK(F115),0,F115))</f>
        <v/>
      </c>
      <c r="O115" s="86" t="e">
        <f aca="false">IF(AND(NOT(ISBLANK($C115)),NOT($T115),COUNTA($E115:$K115)&gt;0),ISBLANK($F115),FALSE())</f>
        <v>#VALUE!</v>
      </c>
      <c r="P115" s="85" t="str">
        <f aca="false">IF(ISBLANK($C115),"",IF(G115=Constants!$B$9, TRUE(), IF(G115=Constants!$B$10, FALSE(), TRUE())))</f>
        <v/>
      </c>
      <c r="Q115" s="85" t="str">
        <f aca="false">IF(ISBLANK($C115),"",IF(H115=Constants!$B$9, TRUE(), IF(H115=Constants!$B$10, FALSE(), TRUE())))</f>
        <v/>
      </c>
      <c r="R115" s="85" t="str">
        <f aca="false">IF(ISBLANK($C115),"",IF(ISBLANK(I115),Constants!$B$3,I115))</f>
        <v/>
      </c>
      <c r="S115" s="85" t="str">
        <f aca="false">IF(ISBLANK($C115),"",IF(ISBLANK(J115),0,MIN(J115,Constants!$B$6)))</f>
        <v/>
      </c>
      <c r="T115" s="85" t="str">
        <f aca="false">IF(ISBLANK($C115),"",IF(K115=Constants!$B$9, TRUE(), IF(K115=Constants!$B$10, FALSE(),  FALSE())))</f>
        <v/>
      </c>
      <c r="U115" s="85" t="str">
        <f aca="false">IF(ISBLANK($C115),"",AND(R115=Constants!$B$4, S115&lt;Constants!$B$6))</f>
        <v/>
      </c>
      <c r="V115" s="85" t="str">
        <f aca="false">IF(ISBLANK(C115), "", IF(T115, Constants!$B$11, IF(COUNTA(E115:K115)=0, Constants!$B$12, IF(NOT(AND(P115,S115&lt;&gt;0)), Constants!$B$13, IF(O115, Constants!$B$15, Constants!$B$14)))))</f>
        <v/>
      </c>
      <c r="W115" s="85" t="str">
        <f aca="false">IF(OR(ISBLANK($C115), SUMPRODUCT(--(P115:T115&lt;&gt;""))=0), "", IF(V115&lt;&gt;Constants!$B$14, V115, IF(AND(NOT(ISBLANK(J115)),P115,Q115,R115&lt;&gt;Constants!$B$2), Constants!$B$7, IF(AND(P115,OR(NOT(Q115),R115=Constants!$B$2)), Constants!$B$8, "Error"))))</f>
        <v/>
      </c>
      <c r="X115" s="87" t="str">
        <f aca="false">IF(OR(W115=Constants!$B$7,W115=Constants!$B$8), MAX(0, MIN(Constants!$B$6, S115))+IF(AND(R115=Constants!$B$4, NOT(U115)), Constants!$B$5, 0), "")</f>
        <v/>
      </c>
      <c r="Y115" s="85" t="str">
        <f aca="false">IF(ISBLANK($C115),"",IF(AND(ISNUMBER(X115),N115&gt;0),X115/N115, "") )</f>
        <v/>
      </c>
      <c r="Z115" s="85" t="str">
        <f aca="false">IF(AND(NOT(ISBLANK($C115)), W115=Constants!$B$7), Y115, "")</f>
        <v/>
      </c>
      <c r="AA115" s="85" t="str">
        <f aca="false">IF(ISNUMBER(Z115), RANK(Z115,Z$8:Z$507), "")</f>
        <v/>
      </c>
      <c r="AB115" s="85" t="str">
        <f aca="false">IF(AND(NOT(ISBLANK($C115)), W115=Constants!$B$8), Y115, "")</f>
        <v/>
      </c>
      <c r="AC115" s="85" t="str">
        <f aca="false">IF(ISNUMBER(AB115), RANK(AB115,AB$8:AB$507), "")</f>
        <v/>
      </c>
      <c r="AD115" s="85" t="str">
        <f aca="false">IF(ISBLANK($C115),"",IF(V115&lt;&gt;Constants!$B$14, V115, IF(W115=Constants!$B$7, AA115, IF(W115=Constants!$B$8, COUNT($AA$8:$AA$507) + AC115, ""))))</f>
        <v/>
      </c>
      <c r="AE115" s="85" t="str">
        <f aca="false">N115</f>
        <v/>
      </c>
      <c r="AF115" s="85" t="str">
        <f aca="false">IF(ISNUMBER(AE115), RANK(AE115,AE$8:AE$507,1), "")</f>
        <v/>
      </c>
      <c r="AG115" s="88" t="str">
        <f aca="false">IF(ISBLANK(C115), "", ABS(M115-S115))</f>
        <v/>
      </c>
      <c r="AH115" s="85" t="str">
        <f aca="false">IF(ISNUMBER(AG115), RANK(AG115,AG$8:AG$507,1), "")</f>
        <v/>
      </c>
      <c r="AI115" s="85" t="str">
        <f aca="false">IF(ISBLANK(C115),"",IF(V115&lt;&gt;Constants!$B$14, V115, RANK(AD115, AD$8:AD$507, 1)+ SUMPRODUCT(--(AD$8:AD$507=AD115),--(AF115&gt;AF$8:AF$507)) + SUMPRODUCT(--(AD$8:AD$507=AD115),--(AF115=AF$8:AF$507),--(AH115&gt;AH$8:AH$507))))</f>
        <v/>
      </c>
      <c r="AJ115" s="85" t="str">
        <f aca="false">IF(ISBLANK(C115),"",IF(V115&lt;&gt;Constants!$B$14, V115, AD115-AI115))</f>
        <v/>
      </c>
      <c r="AK115" s="89"/>
      <c r="AL115" s="90" t="str">
        <f aca="false">IF(ISBLANK($C115),"",IF($V115&lt;&gt;Constants!$B$14,$V115,X115))</f>
        <v/>
      </c>
      <c r="AM115" s="90" t="str">
        <f aca="false">IF(ISBLANK($C115),"",IF($V115&lt;&gt;Constants!$B$14,$V115,N115))</f>
        <v/>
      </c>
      <c r="AN115" s="91" t="str">
        <f aca="false">IF(ISBLANK(C115),"",IF(V115&lt;&gt;Constants!$B$14, V115, IF(W115=Constants!$B$7,Z115,IF(W115=Constants!$B$8,AB115,""))))</f>
        <v/>
      </c>
      <c r="AO115" s="92" t="str">
        <f aca="false">IF(ISBLANK(C115),"",W115)</f>
        <v/>
      </c>
      <c r="AP115" s="92" t="str">
        <f aca="false">IF(ISBLANK(C115),"",AJ115)</f>
        <v/>
      </c>
      <c r="AQ115" s="92" t="str">
        <f aca="false">IF(ISBLANK(C115),"",AI115)</f>
        <v/>
      </c>
      <c r="AR115" s="93" t="str">
        <f aca="false">IF(ISBLANK(C115),
  "",
IF(AQ115=Constants!$B$11,COUNTA($C$8:$C$507)+2,IF(AQ115=Constants!$B$12,COUNTA($C$8:$C$507)+1,IF(AQ115=Constants!$B$13,COUNTA($C$8:$C$507),AQ115))))</f>
        <v/>
      </c>
      <c r="AS115" s="3"/>
      <c r="AT115" s="94" t="n">
        <f aca="false">IF(OR(ISNUMBER(AQ115),AQ115="DQ",AQ115="P",AQ115="NS"),
    1,
    0
)</f>
        <v>0</v>
      </c>
      <c r="AU115" s="94" t="n">
        <v>108</v>
      </c>
      <c r="AV115" s="94" t="str">
        <f aca="false">IF(ISBLANK($C115),
    "",
   IF(ISNUMBER(AR115),AR115+ROW($B115)/1000,"")
)</f>
        <v/>
      </c>
      <c r="AW115" s="94" t="str">
        <f aca="false">IF(ISNUMBER(AV115), RANK(AV115,AV$8:AV$507,1), "")</f>
        <v/>
      </c>
      <c r="AX115" s="94" t="str">
        <f aca="false">IF(ISBLANK($C115),
    "",
    $B115
)</f>
        <v/>
      </c>
      <c r="AY115" s="94" t="str">
        <f aca="false">IF(ISBLANK($C115),
    "",
    $C115
)</f>
        <v/>
      </c>
      <c r="AZ115" s="94" t="str">
        <f aca="false">IF(ISBLANK($C115),
    "",
    $D115
)</f>
        <v/>
      </c>
      <c r="BA115" s="94" t="str">
        <f aca="false">AO115</f>
        <v/>
      </c>
      <c r="BB115" s="95" t="str">
        <f aca="false">AN115</f>
        <v/>
      </c>
      <c r="BC115" s="94" t="str">
        <f aca="false">IF(ISBLANK($C115),
    "",
    AQ115
)</f>
        <v/>
      </c>
      <c r="BD115" s="96" t="str">
        <f aca="false">IF(AU115&gt;AT$7,
    "",
    VLOOKUP(AU115,AW$8:BC$507,7,FALSE())
)</f>
        <v/>
      </c>
      <c r="BE115" s="97" t="str">
        <f aca="false">IF(AU115&gt;AT$7,
    "",
    VLOOKUP(AU115,AW$8:BC$507,2,FALSE())
)</f>
        <v/>
      </c>
      <c r="BF115" s="97" t="str">
        <f aca="false">IF(AU115&gt;AT$7,
    "",
    VLOOKUP(AU115,AW$8:BC$507,3,FALSE())
)</f>
        <v/>
      </c>
      <c r="BG115" s="97" t="str">
        <f aca="false">IF(AU115&gt;AT$7,
    "",
    VLOOKUP(AU115,AW$8:BC$507,4,FALSE())
)</f>
        <v/>
      </c>
      <c r="BH115" s="97" t="str">
        <f aca="false">IF(AU115&gt;AT$7,
    "",
    VLOOKUP(AU115,AW$8:BC$507,5,FALSE())
)</f>
        <v/>
      </c>
      <c r="BI115" s="98" t="str">
        <f aca="false">IF(AU115&gt;AT$7,
    "",
    VLOOKUP(AU115,AW$8:BC$507,6,FALSE())
)</f>
        <v/>
      </c>
      <c r="BJ115" s="46"/>
    </row>
    <row r="116" customFormat="false" ht="15.75" hidden="false" customHeight="false" outlineLevel="0" collapsed="false">
      <c r="A116" s="3"/>
      <c r="B116" s="108"/>
      <c r="C116" s="70"/>
      <c r="D116" s="49"/>
      <c r="E116" s="109"/>
      <c r="F116" s="72"/>
      <c r="G116" s="109"/>
      <c r="H116" s="74"/>
      <c r="I116" s="104"/>
      <c r="J116" s="74"/>
      <c r="K116" s="74"/>
      <c r="L116" s="55"/>
      <c r="M116" s="55" t="str">
        <f aca="false">IF(ISBLANK($C116),"",IF(ISBLANK(E116),0,E116))</f>
        <v/>
      </c>
      <c r="N116" s="55" t="str">
        <f aca="false">IF(ISBLANK($C116),"",IF(ISBLANK(F116),0,F116))</f>
        <v/>
      </c>
      <c r="O116" s="55" t="e">
        <f aca="false">IF(AND(NOT(ISBLANK($C116)),NOT($T116),COUNTA($E116:$K116)&gt;0),ISBLANK($F116),FALSE())</f>
        <v>#VALUE!</v>
      </c>
      <c r="P116" s="55" t="str">
        <f aca="false">IF(ISBLANK($C116),"",IF(G116=Constants!$B$9, TRUE(), IF(G116=Constants!$B$10, FALSE(), TRUE())))</f>
        <v/>
      </c>
      <c r="Q116" s="55" t="str">
        <f aca="false">IF(ISBLANK($C116),"",IF(H116=Constants!$B$9, TRUE(), IF(H116=Constants!$B$10, FALSE(), TRUE())))</f>
        <v/>
      </c>
      <c r="R116" s="55" t="str">
        <f aca="false">IF(ISBLANK($C116),"",IF(ISBLANK(I116),Constants!$B$3,I116))</f>
        <v/>
      </c>
      <c r="S116" s="55" t="str">
        <f aca="false">IF(ISBLANK($C116),"",IF(ISBLANK(J116),0,MIN(J116,Constants!$B$6)))</f>
        <v/>
      </c>
      <c r="T116" s="55" t="str">
        <f aca="false">IF(ISBLANK($C116),"",IF(K116=Constants!$B$9, TRUE(), IF(K116=Constants!$B$10, FALSE(),  FALSE())))</f>
        <v/>
      </c>
      <c r="U116" s="55" t="str">
        <f aca="false">IF(ISBLANK($C116),"",AND(R116=Constants!$B$4, S116&lt;Constants!$B$6))</f>
        <v/>
      </c>
      <c r="V116" s="55" t="str">
        <f aca="false">IF(ISBLANK(C116), "", IF(T116, Constants!$B$11, IF(COUNTA(E116:K116)=0, Constants!$B$12, IF(NOT(AND(P116,S116&lt;&gt;0)), Constants!$B$13, IF(O116, Constants!$B$15, Constants!$B$14)))))</f>
        <v/>
      </c>
      <c r="W116" s="55" t="str">
        <f aca="false">IF(OR(ISBLANK($C116), SUMPRODUCT(--(P116:T116&lt;&gt;""))=0), "", IF(V116&lt;&gt;Constants!$B$14, V116, IF(AND(NOT(ISBLANK(J116)),P116,Q116,R116&lt;&gt;Constants!$B$2), Constants!$B$7, IF(AND(P116,OR(NOT(Q116),R116=Constants!$B$2)), Constants!$B$8, "Error"))))</f>
        <v/>
      </c>
      <c r="X116" s="56" t="str">
        <f aca="false">IF(OR(W116=Constants!$B$7,W116=Constants!$B$8), MAX(0, MIN(Constants!$B$6, S116))+IF(AND(R116=Constants!$B$4, NOT(U116)), Constants!$B$5, 0), "")</f>
        <v/>
      </c>
      <c r="Y116" s="55" t="str">
        <f aca="false">IF(ISBLANK($C116),"",IF(AND(ISNUMBER(X116),N116&gt;0),X116/N116, "") )</f>
        <v/>
      </c>
      <c r="Z116" s="55" t="str">
        <f aca="false">IF(AND(NOT(ISBLANK($C116)), W116=Constants!$B$7), Y116, "")</f>
        <v/>
      </c>
      <c r="AA116" s="55" t="str">
        <f aca="false">IF(ISNUMBER(Z116), RANK(Z116,Z$8:Z$507), "")</f>
        <v/>
      </c>
      <c r="AB116" s="55" t="str">
        <f aca="false">IF(AND(NOT(ISBLANK($C116)), W116=Constants!$B$8), Y116, "")</f>
        <v/>
      </c>
      <c r="AC116" s="55" t="str">
        <f aca="false">IF(ISNUMBER(AB116), RANK(AB116,AB$8:AB$507), "")</f>
        <v/>
      </c>
      <c r="AD116" s="55" t="str">
        <f aca="false">IF(ISBLANK($C116),"",IF(V116&lt;&gt;Constants!$B$14, V116, IF(W116=Constants!$B$7, AA116, IF(W116=Constants!$B$8, COUNT($AA$8:$AA$507) + AC116, ""))))</f>
        <v/>
      </c>
      <c r="AE116" s="55" t="str">
        <f aca="false">N116</f>
        <v/>
      </c>
      <c r="AF116" s="55" t="str">
        <f aca="false">IF(ISNUMBER(AE116), RANK(AE116,AE$8:AE$507,1), "")</f>
        <v/>
      </c>
      <c r="AG116" s="57" t="str">
        <f aca="false">IF(ISBLANK(C116), "", ABS(M116-S116))</f>
        <v/>
      </c>
      <c r="AH116" s="55" t="str">
        <f aca="false">IF(ISNUMBER(AG116), RANK(AG116,AG$8:AG$507,1), "")</f>
        <v/>
      </c>
      <c r="AI116" s="55" t="str">
        <f aca="false">IF(ISBLANK(C116),"",IF(V116&lt;&gt;Constants!$B$14, V116, RANK(AD116, AD$8:AD$507, 1)+ SUMPRODUCT(--(AD$8:AD$507=AD116),--(AF116&gt;AF$8:AF$507)) + SUMPRODUCT(--(AD$8:AD$507=AD116),--(AF116=AF$8:AF$507),--(AH116&gt;AH$8:AH$507))))</f>
        <v/>
      </c>
      <c r="AJ116" s="55" t="str">
        <f aca="false">IF(ISBLANK(C116),"",IF(V116&lt;&gt;Constants!$B$14, V116, AD116-AI116))</f>
        <v/>
      </c>
      <c r="AK116" s="59"/>
      <c r="AL116" s="60" t="str">
        <f aca="false">IF(ISBLANK($C116),"",IF($V116&lt;&gt;Constants!$B$14,$V116,X116))</f>
        <v/>
      </c>
      <c r="AM116" s="60" t="str">
        <f aca="false">IF(ISBLANK($C116),"",IF($V116&lt;&gt;Constants!$B$14,$V116,N116))</f>
        <v/>
      </c>
      <c r="AN116" s="62" t="str">
        <f aca="false">IF(ISBLANK(C116),"",IF(V116&lt;&gt;Constants!$B$14, V116, IF(W116=Constants!$B$7,Z116,IF(W116=Constants!$B$8,AB116,""))))</f>
        <v/>
      </c>
      <c r="AO116" s="63" t="str">
        <f aca="false">IF(ISBLANK(C116),"",W116)</f>
        <v/>
      </c>
      <c r="AP116" s="63" t="str">
        <f aca="false">IF(ISBLANK(C116),"",AJ116)</f>
        <v/>
      </c>
      <c r="AQ116" s="63" t="str">
        <f aca="false">IF(ISBLANK(C116),"",AI116)</f>
        <v/>
      </c>
      <c r="AR116" s="64" t="str">
        <f aca="false">IF(ISBLANK(C116),
  "",
IF(AQ116=Constants!$B$11,COUNTA($C$8:$C$507)+2,IF(AQ116=Constants!$B$12,COUNTA($C$8:$C$507)+1,IF(AQ116=Constants!$B$13,COUNTA($C$8:$C$507),AQ116))))</f>
        <v/>
      </c>
      <c r="AS116" s="3"/>
      <c r="AT116" s="65" t="n">
        <f aca="false">IF(OR(ISNUMBER(AQ116),AQ116="DQ",AQ116="P",AQ116="NS"),
    1,
    0
)</f>
        <v>0</v>
      </c>
      <c r="AU116" s="65" t="n">
        <v>109</v>
      </c>
      <c r="AV116" s="65" t="str">
        <f aca="false">IF(ISBLANK($C116),
    "",
   IF(ISNUMBER(AR116),AR116+ROW($B116)/1000,"")
)</f>
        <v/>
      </c>
      <c r="AW116" s="65" t="str">
        <f aca="false">IF(ISNUMBER(AV116), RANK(AV116,AV$8:AV$507,1), "")</f>
        <v/>
      </c>
      <c r="AX116" s="65" t="str">
        <f aca="false">IF(ISBLANK($C116),
    "",
    $B116
)</f>
        <v/>
      </c>
      <c r="AY116" s="65" t="str">
        <f aca="false">IF(ISBLANK($C116),
    "",
    $C116
)</f>
        <v/>
      </c>
      <c r="AZ116" s="65" t="str">
        <f aca="false">IF(ISBLANK($C116),
    "",
    $D116
)</f>
        <v/>
      </c>
      <c r="BA116" s="65" t="str">
        <f aca="false">AO116</f>
        <v/>
      </c>
      <c r="BB116" s="66" t="str">
        <f aca="false">AN116</f>
        <v/>
      </c>
      <c r="BC116" s="65" t="str">
        <f aca="false">IF(ISBLANK($C116),
    "",
    AQ116
)</f>
        <v/>
      </c>
      <c r="BD116" s="67" t="str">
        <f aca="false">IF(AU116&gt;AT$7,
    "",
    VLOOKUP(AU116,AW$8:BC$507,7,FALSE())
)</f>
        <v/>
      </c>
      <c r="BE116" s="68" t="str">
        <f aca="false">IF(AU116&gt;AT$7,
    "",
    VLOOKUP(AU116,AW$8:BC$507,2,FALSE())
)</f>
        <v/>
      </c>
      <c r="BF116" s="68" t="str">
        <f aca="false">IF(AU116&gt;AT$7,
    "",
    VLOOKUP(AU116,AW$8:BC$507,3,FALSE())
)</f>
        <v/>
      </c>
      <c r="BG116" s="68" t="str">
        <f aca="false">IF(AU116&gt;AT$7,
    "",
    VLOOKUP(AU116,AW$8:BC$507,4,FALSE())
)</f>
        <v/>
      </c>
      <c r="BH116" s="68" t="str">
        <f aca="false">IF(AU116&gt;AT$7,
    "",
    VLOOKUP(AU116,AW$8:BC$507,5,FALSE())
)</f>
        <v/>
      </c>
      <c r="BI116" s="69" t="str">
        <f aca="false">IF(AU116&gt;AT$7,
    "",
    VLOOKUP(AU116,AW$8:BC$507,6,FALSE())
)</f>
        <v/>
      </c>
      <c r="BJ116" s="46"/>
    </row>
    <row r="117" customFormat="false" ht="15.75" hidden="false" customHeight="false" outlineLevel="0" collapsed="false">
      <c r="A117" s="3"/>
      <c r="B117" s="108"/>
      <c r="C117" s="70"/>
      <c r="D117" s="49"/>
      <c r="E117" s="109"/>
      <c r="F117" s="72"/>
      <c r="G117" s="109"/>
      <c r="H117" s="74"/>
      <c r="I117" s="104"/>
      <c r="J117" s="74"/>
      <c r="K117" s="74"/>
      <c r="L117" s="55"/>
      <c r="M117" s="55" t="str">
        <f aca="false">IF(ISBLANK($C117),"",IF(ISBLANK(E117),0,E117))</f>
        <v/>
      </c>
      <c r="N117" s="55" t="str">
        <f aca="false">IF(ISBLANK($C117),"",IF(ISBLANK(F117),0,F117))</f>
        <v/>
      </c>
      <c r="O117" s="55" t="e">
        <f aca="false">IF(AND(NOT(ISBLANK($C117)),NOT($T117),COUNTA($E117:$K117)&gt;0),ISBLANK($F117),FALSE())</f>
        <v>#VALUE!</v>
      </c>
      <c r="P117" s="55" t="str">
        <f aca="false">IF(ISBLANK($C117),"",IF(G117=Constants!$B$9, TRUE(), IF(G117=Constants!$B$10, FALSE(), TRUE())))</f>
        <v/>
      </c>
      <c r="Q117" s="55" t="str">
        <f aca="false">IF(ISBLANK($C117),"",IF(H117=Constants!$B$9, TRUE(), IF(H117=Constants!$B$10, FALSE(), TRUE())))</f>
        <v/>
      </c>
      <c r="R117" s="55" t="str">
        <f aca="false">IF(ISBLANK($C117),"",IF(ISBLANK(I117),Constants!$B$3,I117))</f>
        <v/>
      </c>
      <c r="S117" s="55" t="str">
        <f aca="false">IF(ISBLANK($C117),"",IF(ISBLANK(J117),0,MIN(J117,Constants!$B$6)))</f>
        <v/>
      </c>
      <c r="T117" s="55" t="str">
        <f aca="false">IF(ISBLANK($C117),"",IF(K117=Constants!$B$9, TRUE(), IF(K117=Constants!$B$10, FALSE(),  FALSE())))</f>
        <v/>
      </c>
      <c r="U117" s="55" t="str">
        <f aca="false">IF(ISBLANK($C117),"",AND(R117=Constants!$B$4, S117&lt;Constants!$B$6))</f>
        <v/>
      </c>
      <c r="V117" s="55" t="str">
        <f aca="false">IF(ISBLANK(C117), "", IF(T117, Constants!$B$11, IF(COUNTA(E117:K117)=0, Constants!$B$12, IF(NOT(AND(P117,S117&lt;&gt;0)), Constants!$B$13, IF(O117, Constants!$B$15, Constants!$B$14)))))</f>
        <v/>
      </c>
      <c r="W117" s="55" t="str">
        <f aca="false">IF(OR(ISBLANK($C117), SUMPRODUCT(--(P117:T117&lt;&gt;""))=0), "", IF(V117&lt;&gt;Constants!$B$14, V117, IF(AND(NOT(ISBLANK(J117)),P117,Q117,R117&lt;&gt;Constants!$B$2), Constants!$B$7, IF(AND(P117,OR(NOT(Q117),R117=Constants!$B$2)), Constants!$B$8, "Error"))))</f>
        <v/>
      </c>
      <c r="X117" s="56" t="str">
        <f aca="false">IF(OR(W117=Constants!$B$7,W117=Constants!$B$8), MAX(0, MIN(Constants!$B$6, S117))+IF(AND(R117=Constants!$B$4, NOT(U117)), Constants!$B$5, 0), "")</f>
        <v/>
      </c>
      <c r="Y117" s="55" t="str">
        <f aca="false">IF(ISBLANK($C117),"",IF(AND(ISNUMBER(X117),N117&gt;0),X117/N117, "") )</f>
        <v/>
      </c>
      <c r="Z117" s="55" t="str">
        <f aca="false">IF(AND(NOT(ISBLANK($C117)), W117=Constants!$B$7), Y117, "")</f>
        <v/>
      </c>
      <c r="AA117" s="55" t="str">
        <f aca="false">IF(ISNUMBER(Z117), RANK(Z117,Z$8:Z$507), "")</f>
        <v/>
      </c>
      <c r="AB117" s="55" t="str">
        <f aca="false">IF(AND(NOT(ISBLANK($C117)), W117=Constants!$B$8), Y117, "")</f>
        <v/>
      </c>
      <c r="AC117" s="55" t="str">
        <f aca="false">IF(ISNUMBER(AB117), RANK(AB117,AB$8:AB$507), "")</f>
        <v/>
      </c>
      <c r="AD117" s="55" t="str">
        <f aca="false">IF(ISBLANK($C117),"",IF(V117&lt;&gt;Constants!$B$14, V117, IF(W117=Constants!$B$7, AA117, IF(W117=Constants!$B$8, COUNT($AA$8:$AA$507) + AC117, ""))))</f>
        <v/>
      </c>
      <c r="AE117" s="55" t="str">
        <f aca="false">N117</f>
        <v/>
      </c>
      <c r="AF117" s="55" t="str">
        <f aca="false">IF(ISNUMBER(AE117), RANK(AE117,AE$8:AE$507,1), "")</f>
        <v/>
      </c>
      <c r="AG117" s="57" t="str">
        <f aca="false">IF(ISBLANK(C117), "", ABS(M117-S117))</f>
        <v/>
      </c>
      <c r="AH117" s="55" t="str">
        <f aca="false">IF(ISNUMBER(AG117), RANK(AG117,AG$8:AG$507,1), "")</f>
        <v/>
      </c>
      <c r="AI117" s="55" t="str">
        <f aca="false">IF(ISBLANK(C117),"",IF(V117&lt;&gt;Constants!$B$14, V117, RANK(AD117, AD$8:AD$507, 1)+ SUMPRODUCT(--(AD$8:AD$507=AD117),--(AF117&gt;AF$8:AF$507)) + SUMPRODUCT(--(AD$8:AD$507=AD117),--(AF117=AF$8:AF$507),--(AH117&gt;AH$8:AH$507))))</f>
        <v/>
      </c>
      <c r="AJ117" s="55" t="str">
        <f aca="false">IF(ISBLANK(C117),"",IF(V117&lt;&gt;Constants!$B$14, V117, AD117-AI117))</f>
        <v/>
      </c>
      <c r="AK117" s="59"/>
      <c r="AL117" s="60" t="str">
        <f aca="false">IF(ISBLANK($C117),"",IF($V117&lt;&gt;Constants!$B$14,$V117,X117))</f>
        <v/>
      </c>
      <c r="AM117" s="60" t="str">
        <f aca="false">IF(ISBLANK($C117),"",IF($V117&lt;&gt;Constants!$B$14,$V117,N117))</f>
        <v/>
      </c>
      <c r="AN117" s="62" t="str">
        <f aca="false">IF(ISBLANK(C117),"",IF(V117&lt;&gt;Constants!$B$14, V117, IF(W117=Constants!$B$7,Z117,IF(W117=Constants!$B$8,AB117,""))))</f>
        <v/>
      </c>
      <c r="AO117" s="63" t="str">
        <f aca="false">IF(ISBLANK(C117),"",W117)</f>
        <v/>
      </c>
      <c r="AP117" s="63" t="str">
        <f aca="false">IF(ISBLANK(C117),"",AJ117)</f>
        <v/>
      </c>
      <c r="AQ117" s="63" t="str">
        <f aca="false">IF(ISBLANK(C117),"",AI117)</f>
        <v/>
      </c>
      <c r="AR117" s="64" t="str">
        <f aca="false">IF(ISBLANK(C117),
  "",
IF(AQ117=Constants!$B$11,COUNTA($C$8:$C$507)+2,IF(AQ117=Constants!$B$12,COUNTA($C$8:$C$507)+1,IF(AQ117=Constants!$B$13,COUNTA($C$8:$C$507),AQ117))))</f>
        <v/>
      </c>
      <c r="AS117" s="3"/>
      <c r="AT117" s="65" t="n">
        <f aca="false">IF(OR(ISNUMBER(AQ117),AQ117="DQ",AQ117="P",AQ117="NS"),
    1,
    0
)</f>
        <v>0</v>
      </c>
      <c r="AU117" s="65" t="n">
        <v>110</v>
      </c>
      <c r="AV117" s="65" t="str">
        <f aca="false">IF(ISBLANK($C117),
    "",
   IF(ISNUMBER(AR117),AR117+ROW($B117)/1000,"")
)</f>
        <v/>
      </c>
      <c r="AW117" s="65" t="str">
        <f aca="false">IF(ISNUMBER(AV117), RANK(AV117,AV$8:AV$507,1), "")</f>
        <v/>
      </c>
      <c r="AX117" s="65" t="str">
        <f aca="false">IF(ISBLANK($C117),
    "",
    $B117
)</f>
        <v/>
      </c>
      <c r="AY117" s="65" t="str">
        <f aca="false">IF(ISBLANK($C117),
    "",
    $C117
)</f>
        <v/>
      </c>
      <c r="AZ117" s="65" t="str">
        <f aca="false">IF(ISBLANK($C117),
    "",
    $D117
)</f>
        <v/>
      </c>
      <c r="BA117" s="65" t="str">
        <f aca="false">AO117</f>
        <v/>
      </c>
      <c r="BB117" s="66" t="str">
        <f aca="false">AN117</f>
        <v/>
      </c>
      <c r="BC117" s="65" t="str">
        <f aca="false">IF(ISBLANK($C117),
    "",
    AQ117
)</f>
        <v/>
      </c>
      <c r="BD117" s="67" t="str">
        <f aca="false">IF(AU117&gt;AT$7,
    "",
    VLOOKUP(AU117,AW$8:BC$507,7,FALSE())
)</f>
        <v/>
      </c>
      <c r="BE117" s="68" t="str">
        <f aca="false">IF(AU117&gt;AT$7,
    "",
    VLOOKUP(AU117,AW$8:BC$507,2,FALSE())
)</f>
        <v/>
      </c>
      <c r="BF117" s="68" t="str">
        <f aca="false">IF(AU117&gt;AT$7,
    "",
    VLOOKUP(AU117,AW$8:BC$507,3,FALSE())
)</f>
        <v/>
      </c>
      <c r="BG117" s="68" t="str">
        <f aca="false">IF(AU117&gt;AT$7,
    "",
    VLOOKUP(AU117,AW$8:BC$507,4,FALSE())
)</f>
        <v/>
      </c>
      <c r="BH117" s="68" t="str">
        <f aca="false">IF(AU117&gt;AT$7,
    "",
    VLOOKUP(AU117,AW$8:BC$507,5,FALSE())
)</f>
        <v/>
      </c>
      <c r="BI117" s="69" t="str">
        <f aca="false">IF(AU117&gt;AT$7,
    "",
    VLOOKUP(AU117,AW$8:BC$507,6,FALSE())
)</f>
        <v/>
      </c>
      <c r="BJ117" s="46"/>
    </row>
    <row r="118" customFormat="false" ht="15.75" hidden="false" customHeight="false" outlineLevel="0" collapsed="false">
      <c r="A118" s="3"/>
      <c r="B118" s="108"/>
      <c r="C118" s="70"/>
      <c r="D118" s="49"/>
      <c r="E118" s="109"/>
      <c r="F118" s="72"/>
      <c r="G118" s="109"/>
      <c r="H118" s="74"/>
      <c r="I118" s="104"/>
      <c r="J118" s="74"/>
      <c r="K118" s="74"/>
      <c r="L118" s="55"/>
      <c r="M118" s="55" t="str">
        <f aca="false">IF(ISBLANK($C118),"",IF(ISBLANK(E118),0,E118))</f>
        <v/>
      </c>
      <c r="N118" s="55" t="str">
        <f aca="false">IF(ISBLANK($C118),"",IF(ISBLANK(F118),0,F118))</f>
        <v/>
      </c>
      <c r="O118" s="55" t="e">
        <f aca="false">IF(AND(NOT(ISBLANK($C118)),NOT($T118),COUNTA($E118:$K118)&gt;0),ISBLANK($F118),FALSE())</f>
        <v>#VALUE!</v>
      </c>
      <c r="P118" s="55" t="str">
        <f aca="false">IF(ISBLANK($C118),"",IF(G118=Constants!$B$9, TRUE(), IF(G118=Constants!$B$10, FALSE(), TRUE())))</f>
        <v/>
      </c>
      <c r="Q118" s="55" t="str">
        <f aca="false">IF(ISBLANK($C118),"",IF(H118=Constants!$B$9, TRUE(), IF(H118=Constants!$B$10, FALSE(), TRUE())))</f>
        <v/>
      </c>
      <c r="R118" s="55" t="str">
        <f aca="false">IF(ISBLANK($C118),"",IF(ISBLANK(I118),Constants!$B$3,I118))</f>
        <v/>
      </c>
      <c r="S118" s="55" t="str">
        <f aca="false">IF(ISBLANK($C118),"",IF(ISBLANK(J118),0,MIN(J118,Constants!$B$6)))</f>
        <v/>
      </c>
      <c r="T118" s="55" t="str">
        <f aca="false">IF(ISBLANK($C118),"",IF(K118=Constants!$B$9, TRUE(), IF(K118=Constants!$B$10, FALSE(),  FALSE())))</f>
        <v/>
      </c>
      <c r="U118" s="55" t="str">
        <f aca="false">IF(ISBLANK($C118),"",AND(R118=Constants!$B$4, S118&lt;Constants!$B$6))</f>
        <v/>
      </c>
      <c r="V118" s="55" t="str">
        <f aca="false">IF(ISBLANK(C118), "", IF(T118, Constants!$B$11, IF(COUNTA(E118:K118)=0, Constants!$B$12, IF(NOT(AND(P118,S118&lt;&gt;0)), Constants!$B$13, IF(O118, Constants!$B$15, Constants!$B$14)))))</f>
        <v/>
      </c>
      <c r="W118" s="55" t="str">
        <f aca="false">IF(OR(ISBLANK($C118), SUMPRODUCT(--(P118:T118&lt;&gt;""))=0), "", IF(V118&lt;&gt;Constants!$B$14, V118, IF(AND(NOT(ISBLANK(J118)),P118,Q118,R118&lt;&gt;Constants!$B$2), Constants!$B$7, IF(AND(P118,OR(NOT(Q118),R118=Constants!$B$2)), Constants!$B$8, "Error"))))</f>
        <v/>
      </c>
      <c r="X118" s="56" t="str">
        <f aca="false">IF(OR(W118=Constants!$B$7,W118=Constants!$B$8), MAX(0, MIN(Constants!$B$6, S118))+IF(AND(R118=Constants!$B$4, NOT(U118)), Constants!$B$5, 0), "")</f>
        <v/>
      </c>
      <c r="Y118" s="55" t="str">
        <f aca="false">IF(ISBLANK($C118),"",IF(AND(ISNUMBER(X118),N118&gt;0),X118/N118, "") )</f>
        <v/>
      </c>
      <c r="Z118" s="55" t="str">
        <f aca="false">IF(AND(NOT(ISBLANK($C118)), W118=Constants!$B$7), Y118, "")</f>
        <v/>
      </c>
      <c r="AA118" s="55" t="str">
        <f aca="false">IF(ISNUMBER(Z118), RANK(Z118,Z$8:Z$507), "")</f>
        <v/>
      </c>
      <c r="AB118" s="55" t="str">
        <f aca="false">IF(AND(NOT(ISBLANK($C118)), W118=Constants!$B$8), Y118, "")</f>
        <v/>
      </c>
      <c r="AC118" s="55" t="str">
        <f aca="false">IF(ISNUMBER(AB118), RANK(AB118,AB$8:AB$507), "")</f>
        <v/>
      </c>
      <c r="AD118" s="55" t="str">
        <f aca="false">IF(ISBLANK($C118),"",IF(V118&lt;&gt;Constants!$B$14, V118, IF(W118=Constants!$B$7, AA118, IF(W118=Constants!$B$8, COUNT($AA$8:$AA$507) + AC118, ""))))</f>
        <v/>
      </c>
      <c r="AE118" s="55" t="str">
        <f aca="false">N118</f>
        <v/>
      </c>
      <c r="AF118" s="55" t="str">
        <f aca="false">IF(ISNUMBER(AE118), RANK(AE118,AE$8:AE$507,1), "")</f>
        <v/>
      </c>
      <c r="AG118" s="57" t="str">
        <f aca="false">IF(ISBLANK(C118), "", ABS(M118-S118))</f>
        <v/>
      </c>
      <c r="AH118" s="55" t="str">
        <f aca="false">IF(ISNUMBER(AG118), RANK(AG118,AG$8:AG$507,1), "")</f>
        <v/>
      </c>
      <c r="AI118" s="55" t="str">
        <f aca="false">IF(ISBLANK(C118),"",IF(V118&lt;&gt;Constants!$B$14, V118, RANK(AD118, AD$8:AD$507, 1)+ SUMPRODUCT(--(AD$8:AD$507=AD118),--(AF118&gt;AF$8:AF$507)) + SUMPRODUCT(--(AD$8:AD$507=AD118),--(AF118=AF$8:AF$507),--(AH118&gt;AH$8:AH$507))))</f>
        <v/>
      </c>
      <c r="AJ118" s="55" t="str">
        <f aca="false">IF(ISBLANK(C118),"",IF(V118&lt;&gt;Constants!$B$14, V118, AD118-AI118))</f>
        <v/>
      </c>
      <c r="AK118" s="59"/>
      <c r="AL118" s="60" t="str">
        <f aca="false">IF(ISBLANK($C118),"",IF($V118&lt;&gt;Constants!$B$14,$V118,X118))</f>
        <v/>
      </c>
      <c r="AM118" s="60" t="str">
        <f aca="false">IF(ISBLANK($C118),"",IF($V118&lt;&gt;Constants!$B$14,$V118,N118))</f>
        <v/>
      </c>
      <c r="AN118" s="62" t="str">
        <f aca="false">IF(ISBLANK(C118),"",IF(V118&lt;&gt;Constants!$B$14, V118, IF(W118=Constants!$B$7,Z118,IF(W118=Constants!$B$8,AB118,""))))</f>
        <v/>
      </c>
      <c r="AO118" s="63" t="str">
        <f aca="false">IF(ISBLANK(C118),"",W118)</f>
        <v/>
      </c>
      <c r="AP118" s="63" t="str">
        <f aca="false">IF(ISBLANK(C118),"",AJ118)</f>
        <v/>
      </c>
      <c r="AQ118" s="63" t="str">
        <f aca="false">IF(ISBLANK(C118),"",AI118)</f>
        <v/>
      </c>
      <c r="AR118" s="64" t="str">
        <f aca="false">IF(ISBLANK(C118),
  "",
IF(AQ118=Constants!$B$11,COUNTA($C$8:$C$507)+2,IF(AQ118=Constants!$B$12,COUNTA($C$8:$C$507)+1,IF(AQ118=Constants!$B$13,COUNTA($C$8:$C$507),AQ118))))</f>
        <v/>
      </c>
      <c r="AS118" s="3"/>
      <c r="AT118" s="65" t="n">
        <f aca="false">IF(OR(ISNUMBER(AQ118),AQ118="DQ",AQ118="P",AQ118="NS"),
    1,
    0
)</f>
        <v>0</v>
      </c>
      <c r="AU118" s="65" t="n">
        <v>111</v>
      </c>
      <c r="AV118" s="65" t="str">
        <f aca="false">IF(ISBLANK($C118),
    "",
   IF(ISNUMBER(AR118),AR118+ROW($B118)/1000,"")
)</f>
        <v/>
      </c>
      <c r="AW118" s="65" t="str">
        <f aca="false">IF(ISNUMBER(AV118), RANK(AV118,AV$8:AV$507,1), "")</f>
        <v/>
      </c>
      <c r="AX118" s="65" t="str">
        <f aca="false">IF(ISBLANK($C118),
    "",
    $B118
)</f>
        <v/>
      </c>
      <c r="AY118" s="65" t="str">
        <f aca="false">IF(ISBLANK($C118),
    "",
    $C118
)</f>
        <v/>
      </c>
      <c r="AZ118" s="65" t="str">
        <f aca="false">IF(ISBLANK($C118),
    "",
    $D118
)</f>
        <v/>
      </c>
      <c r="BA118" s="65" t="str">
        <f aca="false">AO118</f>
        <v/>
      </c>
      <c r="BB118" s="66" t="str">
        <f aca="false">AN118</f>
        <v/>
      </c>
      <c r="BC118" s="65" t="str">
        <f aca="false">IF(ISBLANK($C118),
    "",
    AQ118
)</f>
        <v/>
      </c>
      <c r="BD118" s="67" t="str">
        <f aca="false">IF(AU118&gt;AT$7,
    "",
    VLOOKUP(AU118,AW$8:BC$507,7,FALSE())
)</f>
        <v/>
      </c>
      <c r="BE118" s="68" t="str">
        <f aca="false">IF(AU118&gt;AT$7,
    "",
    VLOOKUP(AU118,AW$8:BC$507,2,FALSE())
)</f>
        <v/>
      </c>
      <c r="BF118" s="68" t="str">
        <f aca="false">IF(AU118&gt;AT$7,
    "",
    VLOOKUP(AU118,AW$8:BC$507,3,FALSE())
)</f>
        <v/>
      </c>
      <c r="BG118" s="68" t="str">
        <f aca="false">IF(AU118&gt;AT$7,
    "",
    VLOOKUP(AU118,AW$8:BC$507,4,FALSE())
)</f>
        <v/>
      </c>
      <c r="BH118" s="68" t="str">
        <f aca="false">IF(AU118&gt;AT$7,
    "",
    VLOOKUP(AU118,AW$8:BC$507,5,FALSE())
)</f>
        <v/>
      </c>
      <c r="BI118" s="69" t="str">
        <f aca="false">IF(AU118&gt;AT$7,
    "",
    VLOOKUP(AU118,AW$8:BC$507,6,FALSE())
)</f>
        <v/>
      </c>
      <c r="BJ118" s="46"/>
    </row>
    <row r="119" customFormat="false" ht="15.75" hidden="false" customHeight="false" outlineLevel="0" collapsed="false">
      <c r="A119" s="3"/>
      <c r="B119" s="105"/>
      <c r="C119" s="106"/>
      <c r="D119" s="99"/>
      <c r="E119" s="110"/>
      <c r="F119" s="107"/>
      <c r="G119" s="110"/>
      <c r="H119" s="103"/>
      <c r="I119" s="102"/>
      <c r="J119" s="103"/>
      <c r="K119" s="103"/>
      <c r="L119" s="85"/>
      <c r="M119" s="85" t="str">
        <f aca="false">IF(ISBLANK($C119),"",IF(ISBLANK(E119),0,E119))</f>
        <v/>
      </c>
      <c r="N119" s="85" t="str">
        <f aca="false">IF(ISBLANK($C119),"",IF(ISBLANK(F119),0,F119))</f>
        <v/>
      </c>
      <c r="O119" s="86" t="e">
        <f aca="false">IF(AND(NOT(ISBLANK($C119)),NOT($T119),COUNTA($E119:$K119)&gt;0),ISBLANK($F119),FALSE())</f>
        <v>#VALUE!</v>
      </c>
      <c r="P119" s="85" t="str">
        <f aca="false">IF(ISBLANK($C119),"",IF(G119=Constants!$B$9, TRUE(), IF(G119=Constants!$B$10, FALSE(), TRUE())))</f>
        <v/>
      </c>
      <c r="Q119" s="85" t="str">
        <f aca="false">IF(ISBLANK($C119),"",IF(H119=Constants!$B$9, TRUE(), IF(H119=Constants!$B$10, FALSE(), TRUE())))</f>
        <v/>
      </c>
      <c r="R119" s="85" t="str">
        <f aca="false">IF(ISBLANK($C119),"",IF(ISBLANK(I119),Constants!$B$3,I119))</f>
        <v/>
      </c>
      <c r="S119" s="85" t="str">
        <f aca="false">IF(ISBLANK($C119),"",IF(ISBLANK(J119),0,MIN(J119,Constants!$B$6)))</f>
        <v/>
      </c>
      <c r="T119" s="85" t="str">
        <f aca="false">IF(ISBLANK($C119),"",IF(K119=Constants!$B$9, TRUE(), IF(K119=Constants!$B$10, FALSE(),  FALSE())))</f>
        <v/>
      </c>
      <c r="U119" s="85" t="str">
        <f aca="false">IF(ISBLANK($C119),"",AND(R119=Constants!$B$4, S119&lt;Constants!$B$6))</f>
        <v/>
      </c>
      <c r="V119" s="85" t="str">
        <f aca="false">IF(ISBLANK(C119), "", IF(T119, Constants!$B$11, IF(COUNTA(E119:K119)=0, Constants!$B$12, IF(NOT(AND(P119,S119&lt;&gt;0)), Constants!$B$13, IF(O119, Constants!$B$15, Constants!$B$14)))))</f>
        <v/>
      </c>
      <c r="W119" s="85" t="str">
        <f aca="false">IF(OR(ISBLANK($C119), SUMPRODUCT(--(P119:T119&lt;&gt;""))=0), "", IF(V119&lt;&gt;Constants!$B$14, V119, IF(AND(NOT(ISBLANK(J119)),P119,Q119,R119&lt;&gt;Constants!$B$2), Constants!$B$7, IF(AND(P119,OR(NOT(Q119),R119=Constants!$B$2)), Constants!$B$8, "Error"))))</f>
        <v/>
      </c>
      <c r="X119" s="87" t="str">
        <f aca="false">IF(OR(W119=Constants!$B$7,W119=Constants!$B$8), MAX(0, MIN(Constants!$B$6, S119))+IF(AND(R119=Constants!$B$4, NOT(U119)), Constants!$B$5, 0), "")</f>
        <v/>
      </c>
      <c r="Y119" s="85" t="str">
        <f aca="false">IF(ISBLANK($C119),"",IF(AND(ISNUMBER(X119),N119&gt;0),X119/N119, "") )</f>
        <v/>
      </c>
      <c r="Z119" s="85" t="str">
        <f aca="false">IF(AND(NOT(ISBLANK($C119)), W119=Constants!$B$7), Y119, "")</f>
        <v/>
      </c>
      <c r="AA119" s="85" t="str">
        <f aca="false">IF(ISNUMBER(Z119), RANK(Z119,Z$8:Z$507), "")</f>
        <v/>
      </c>
      <c r="AB119" s="85" t="str">
        <f aca="false">IF(AND(NOT(ISBLANK($C119)), W119=Constants!$B$8), Y119, "")</f>
        <v/>
      </c>
      <c r="AC119" s="85" t="str">
        <f aca="false">IF(ISNUMBER(AB119), RANK(AB119,AB$8:AB$507), "")</f>
        <v/>
      </c>
      <c r="AD119" s="85" t="str">
        <f aca="false">IF(ISBLANK($C119),"",IF(V119&lt;&gt;Constants!$B$14, V119, IF(W119=Constants!$B$7, AA119, IF(W119=Constants!$B$8, COUNT($AA$8:$AA$507) + AC119, ""))))</f>
        <v/>
      </c>
      <c r="AE119" s="85" t="str">
        <f aca="false">N119</f>
        <v/>
      </c>
      <c r="AF119" s="85" t="str">
        <f aca="false">IF(ISNUMBER(AE119), RANK(AE119,AE$8:AE$507,1), "")</f>
        <v/>
      </c>
      <c r="AG119" s="88" t="str">
        <f aca="false">IF(ISBLANK(C119), "", ABS(M119-S119))</f>
        <v/>
      </c>
      <c r="AH119" s="85" t="str">
        <f aca="false">IF(ISNUMBER(AG119), RANK(AG119,AG$8:AG$507,1), "")</f>
        <v/>
      </c>
      <c r="AI119" s="85" t="str">
        <f aca="false">IF(ISBLANK(C119),"",IF(V119&lt;&gt;Constants!$B$14, V119, RANK(AD119, AD$8:AD$507, 1)+ SUMPRODUCT(--(AD$8:AD$507=AD119),--(AF119&gt;AF$8:AF$507)) + SUMPRODUCT(--(AD$8:AD$507=AD119),--(AF119=AF$8:AF$507),--(AH119&gt;AH$8:AH$507))))</f>
        <v/>
      </c>
      <c r="AJ119" s="85" t="str">
        <f aca="false">IF(ISBLANK(C119),"",IF(V119&lt;&gt;Constants!$B$14, V119, AD119-AI119))</f>
        <v/>
      </c>
      <c r="AK119" s="89"/>
      <c r="AL119" s="90" t="str">
        <f aca="false">IF(ISBLANK($C119),"",IF($V119&lt;&gt;Constants!$B$14,$V119,X119))</f>
        <v/>
      </c>
      <c r="AM119" s="90" t="str">
        <f aca="false">IF(ISBLANK($C119),"",IF($V119&lt;&gt;Constants!$B$14,$V119,N119))</f>
        <v/>
      </c>
      <c r="AN119" s="91" t="str">
        <f aca="false">IF(ISBLANK(C119),"",IF(V119&lt;&gt;Constants!$B$14, V119, IF(W119=Constants!$B$7,Z119,IF(W119=Constants!$B$8,AB119,""))))</f>
        <v/>
      </c>
      <c r="AO119" s="92" t="str">
        <f aca="false">IF(ISBLANK(C119),"",W119)</f>
        <v/>
      </c>
      <c r="AP119" s="92" t="str">
        <f aca="false">IF(ISBLANK(C119),"",AJ119)</f>
        <v/>
      </c>
      <c r="AQ119" s="92" t="str">
        <f aca="false">IF(ISBLANK(C119),"",AI119)</f>
        <v/>
      </c>
      <c r="AR119" s="93" t="str">
        <f aca="false">IF(ISBLANK(C119),
  "",
IF(AQ119=Constants!$B$11,COUNTA($C$8:$C$507)+2,IF(AQ119=Constants!$B$12,COUNTA($C$8:$C$507)+1,IF(AQ119=Constants!$B$13,COUNTA($C$8:$C$507),AQ119))))</f>
        <v/>
      </c>
      <c r="AS119" s="3"/>
      <c r="AT119" s="94" t="n">
        <f aca="false">IF(OR(ISNUMBER(AQ119),AQ119="DQ",AQ119="P",AQ119="NS"),
    1,
    0
)</f>
        <v>0</v>
      </c>
      <c r="AU119" s="94" t="n">
        <v>112</v>
      </c>
      <c r="AV119" s="94" t="str">
        <f aca="false">IF(ISBLANK($C119),
    "",
   IF(ISNUMBER(AR119),AR119+ROW($B119)/1000,"")
)</f>
        <v/>
      </c>
      <c r="AW119" s="94" t="str">
        <f aca="false">IF(ISNUMBER(AV119), RANK(AV119,AV$8:AV$507,1), "")</f>
        <v/>
      </c>
      <c r="AX119" s="94" t="str">
        <f aca="false">IF(ISBLANK($C119),
    "",
    $B119
)</f>
        <v/>
      </c>
      <c r="AY119" s="94" t="str">
        <f aca="false">IF(ISBLANK($C119),
    "",
    $C119
)</f>
        <v/>
      </c>
      <c r="AZ119" s="94" t="str">
        <f aca="false">IF(ISBLANK($C119),
    "",
    $D119
)</f>
        <v/>
      </c>
      <c r="BA119" s="94" t="str">
        <f aca="false">AO119</f>
        <v/>
      </c>
      <c r="BB119" s="95" t="str">
        <f aca="false">AN119</f>
        <v/>
      </c>
      <c r="BC119" s="94" t="str">
        <f aca="false">IF(ISBLANK($C119),
    "",
    AQ119
)</f>
        <v/>
      </c>
      <c r="BD119" s="96" t="str">
        <f aca="false">IF(AU119&gt;AT$7,
    "",
    VLOOKUP(AU119,AW$8:BC$507,7,FALSE())
)</f>
        <v/>
      </c>
      <c r="BE119" s="97" t="str">
        <f aca="false">IF(AU119&gt;AT$7,
    "",
    VLOOKUP(AU119,AW$8:BC$507,2,FALSE())
)</f>
        <v/>
      </c>
      <c r="BF119" s="97" t="str">
        <f aca="false">IF(AU119&gt;AT$7,
    "",
    VLOOKUP(AU119,AW$8:BC$507,3,FALSE())
)</f>
        <v/>
      </c>
      <c r="BG119" s="97" t="str">
        <f aca="false">IF(AU119&gt;AT$7,
    "",
    VLOOKUP(AU119,AW$8:BC$507,4,FALSE())
)</f>
        <v/>
      </c>
      <c r="BH119" s="97" t="str">
        <f aca="false">IF(AU119&gt;AT$7,
    "",
    VLOOKUP(AU119,AW$8:BC$507,5,FALSE())
)</f>
        <v/>
      </c>
      <c r="BI119" s="98" t="str">
        <f aca="false">IF(AU119&gt;AT$7,
    "",
    VLOOKUP(AU119,AW$8:BC$507,6,FALSE())
)</f>
        <v/>
      </c>
      <c r="BJ119" s="46"/>
    </row>
    <row r="120" customFormat="false" ht="15.75" hidden="false" customHeight="false" outlineLevel="0" collapsed="false">
      <c r="A120" s="3"/>
      <c r="B120" s="105"/>
      <c r="C120" s="106"/>
      <c r="D120" s="99"/>
      <c r="E120" s="110"/>
      <c r="F120" s="107"/>
      <c r="G120" s="110"/>
      <c r="H120" s="103"/>
      <c r="I120" s="102"/>
      <c r="J120" s="103"/>
      <c r="K120" s="103"/>
      <c r="L120" s="85"/>
      <c r="M120" s="85" t="str">
        <f aca="false">IF(ISBLANK($C120),"",IF(ISBLANK(E120),0,E120))</f>
        <v/>
      </c>
      <c r="N120" s="85" t="str">
        <f aca="false">IF(ISBLANK($C120),"",IF(ISBLANK(F120),0,F120))</f>
        <v/>
      </c>
      <c r="O120" s="86" t="e">
        <f aca="false">IF(AND(NOT(ISBLANK($C120)),NOT($T120),COUNTA($E120:$K120)&gt;0),ISBLANK($F120),FALSE())</f>
        <v>#VALUE!</v>
      </c>
      <c r="P120" s="85" t="str">
        <f aca="false">IF(ISBLANK($C120),"",IF(G120=Constants!$B$9, TRUE(), IF(G120=Constants!$B$10, FALSE(), TRUE())))</f>
        <v/>
      </c>
      <c r="Q120" s="85" t="str">
        <f aca="false">IF(ISBLANK($C120),"",IF(H120=Constants!$B$9, TRUE(), IF(H120=Constants!$B$10, FALSE(), TRUE())))</f>
        <v/>
      </c>
      <c r="R120" s="85" t="str">
        <f aca="false">IF(ISBLANK($C120),"",IF(ISBLANK(I120),Constants!$B$3,I120))</f>
        <v/>
      </c>
      <c r="S120" s="85" t="str">
        <f aca="false">IF(ISBLANK($C120),"",IF(ISBLANK(J120),0,MIN(J120,Constants!$B$6)))</f>
        <v/>
      </c>
      <c r="T120" s="85" t="str">
        <f aca="false">IF(ISBLANK($C120),"",IF(K120=Constants!$B$9, TRUE(), IF(K120=Constants!$B$10, FALSE(),  FALSE())))</f>
        <v/>
      </c>
      <c r="U120" s="85" t="str">
        <f aca="false">IF(ISBLANK($C120),"",AND(R120=Constants!$B$4, S120&lt;Constants!$B$6))</f>
        <v/>
      </c>
      <c r="V120" s="85" t="str">
        <f aca="false">IF(ISBLANK(C120), "", IF(T120, Constants!$B$11, IF(COUNTA(E120:K120)=0, Constants!$B$12, IF(NOT(AND(P120,S120&lt;&gt;0)), Constants!$B$13, IF(O120, Constants!$B$15, Constants!$B$14)))))</f>
        <v/>
      </c>
      <c r="W120" s="85" t="str">
        <f aca="false">IF(OR(ISBLANK($C120), SUMPRODUCT(--(P120:T120&lt;&gt;""))=0), "", IF(V120&lt;&gt;Constants!$B$14, V120, IF(AND(NOT(ISBLANK(J120)),P120,Q120,R120&lt;&gt;Constants!$B$2), Constants!$B$7, IF(AND(P120,OR(NOT(Q120),R120=Constants!$B$2)), Constants!$B$8, "Error"))))</f>
        <v/>
      </c>
      <c r="X120" s="87" t="str">
        <f aca="false">IF(OR(W120=Constants!$B$7,W120=Constants!$B$8), MAX(0, MIN(Constants!$B$6, S120))+IF(AND(R120=Constants!$B$4, NOT(U120)), Constants!$B$5, 0), "")</f>
        <v/>
      </c>
      <c r="Y120" s="85" t="str">
        <f aca="false">IF(ISBLANK($C120),"",IF(AND(ISNUMBER(X120),N120&gt;0),X120/N120, "") )</f>
        <v/>
      </c>
      <c r="Z120" s="85" t="str">
        <f aca="false">IF(AND(NOT(ISBLANK($C120)), W120=Constants!$B$7), Y120, "")</f>
        <v/>
      </c>
      <c r="AA120" s="85" t="str">
        <f aca="false">IF(ISNUMBER(Z120), RANK(Z120,Z$8:Z$507), "")</f>
        <v/>
      </c>
      <c r="AB120" s="85" t="str">
        <f aca="false">IF(AND(NOT(ISBLANK($C120)), W120=Constants!$B$8), Y120, "")</f>
        <v/>
      </c>
      <c r="AC120" s="85" t="str">
        <f aca="false">IF(ISNUMBER(AB120), RANK(AB120,AB$8:AB$507), "")</f>
        <v/>
      </c>
      <c r="AD120" s="85" t="str">
        <f aca="false">IF(ISBLANK($C120),"",IF(V120&lt;&gt;Constants!$B$14, V120, IF(W120=Constants!$B$7, AA120, IF(W120=Constants!$B$8, COUNT($AA$8:$AA$507) + AC120, ""))))</f>
        <v/>
      </c>
      <c r="AE120" s="85" t="str">
        <f aca="false">N120</f>
        <v/>
      </c>
      <c r="AF120" s="85" t="str">
        <f aca="false">IF(ISNUMBER(AE120), RANK(AE120,AE$8:AE$507,1), "")</f>
        <v/>
      </c>
      <c r="AG120" s="88" t="str">
        <f aca="false">IF(ISBLANK(C120), "", ABS(M120-S120))</f>
        <v/>
      </c>
      <c r="AH120" s="85" t="str">
        <f aca="false">IF(ISNUMBER(AG120), RANK(AG120,AG$8:AG$507,1), "")</f>
        <v/>
      </c>
      <c r="AI120" s="85" t="str">
        <f aca="false">IF(ISBLANK(C120),"",IF(V120&lt;&gt;Constants!$B$14, V120, RANK(AD120, AD$8:AD$507, 1)+ SUMPRODUCT(--(AD$8:AD$507=AD120),--(AF120&gt;AF$8:AF$507)) + SUMPRODUCT(--(AD$8:AD$507=AD120),--(AF120=AF$8:AF$507),--(AH120&gt;AH$8:AH$507))))</f>
        <v/>
      </c>
      <c r="AJ120" s="85" t="str">
        <f aca="false">IF(ISBLANK(C120),"",IF(V120&lt;&gt;Constants!$B$14, V120, AD120-AI120))</f>
        <v/>
      </c>
      <c r="AK120" s="89"/>
      <c r="AL120" s="90" t="str">
        <f aca="false">IF(ISBLANK($C120),"",IF($V120&lt;&gt;Constants!$B$14,$V120,X120))</f>
        <v/>
      </c>
      <c r="AM120" s="90" t="str">
        <f aca="false">IF(ISBLANK($C120),"",IF($V120&lt;&gt;Constants!$B$14,$V120,N120))</f>
        <v/>
      </c>
      <c r="AN120" s="91" t="str">
        <f aca="false">IF(ISBLANK(C120),"",IF(V120&lt;&gt;Constants!$B$14, V120, IF(W120=Constants!$B$7,Z120,IF(W120=Constants!$B$8,AB120,""))))</f>
        <v/>
      </c>
      <c r="AO120" s="92" t="str">
        <f aca="false">IF(ISBLANK(C120),"",W120)</f>
        <v/>
      </c>
      <c r="AP120" s="92" t="str">
        <f aca="false">IF(ISBLANK(C120),"",AJ120)</f>
        <v/>
      </c>
      <c r="AQ120" s="92" t="str">
        <f aca="false">IF(ISBLANK(C120),"",AI120)</f>
        <v/>
      </c>
      <c r="AR120" s="93" t="str">
        <f aca="false">IF(ISBLANK(C120),
  "",
IF(AQ120=Constants!$B$11,COUNTA($C$8:$C$507)+2,IF(AQ120=Constants!$B$12,COUNTA($C$8:$C$507)+1,IF(AQ120=Constants!$B$13,COUNTA($C$8:$C$507),AQ120))))</f>
        <v/>
      </c>
      <c r="AS120" s="3"/>
      <c r="AT120" s="94" t="n">
        <f aca="false">IF(OR(ISNUMBER(AQ120),AQ120="DQ",AQ120="P",AQ120="NS"),
    1,
    0
)</f>
        <v>0</v>
      </c>
      <c r="AU120" s="94" t="n">
        <v>113</v>
      </c>
      <c r="AV120" s="94" t="str">
        <f aca="false">IF(ISBLANK($C120),
    "",
   IF(ISNUMBER(AR120),AR120+ROW($B120)/1000,"")
)</f>
        <v/>
      </c>
      <c r="AW120" s="94" t="str">
        <f aca="false">IF(ISNUMBER(AV120), RANK(AV120,AV$8:AV$507,1), "")</f>
        <v/>
      </c>
      <c r="AX120" s="94" t="str">
        <f aca="false">IF(ISBLANK($C120),
    "",
    $B120
)</f>
        <v/>
      </c>
      <c r="AY120" s="94" t="str">
        <f aca="false">IF(ISBLANK($C120),
    "",
    $C120
)</f>
        <v/>
      </c>
      <c r="AZ120" s="94" t="str">
        <f aca="false">IF(ISBLANK($C120),
    "",
    $D120
)</f>
        <v/>
      </c>
      <c r="BA120" s="94" t="str">
        <f aca="false">AO120</f>
        <v/>
      </c>
      <c r="BB120" s="95" t="str">
        <f aca="false">AN120</f>
        <v/>
      </c>
      <c r="BC120" s="94" t="str">
        <f aca="false">IF(ISBLANK($C120),
    "",
    AQ120
)</f>
        <v/>
      </c>
      <c r="BD120" s="96" t="str">
        <f aca="false">IF(AU120&gt;AT$7,
    "",
    VLOOKUP(AU120,AW$8:BC$507,7,FALSE())
)</f>
        <v/>
      </c>
      <c r="BE120" s="97" t="str">
        <f aca="false">IF(AU120&gt;AT$7,
    "",
    VLOOKUP(AU120,AW$8:BC$507,2,FALSE())
)</f>
        <v/>
      </c>
      <c r="BF120" s="97" t="str">
        <f aca="false">IF(AU120&gt;AT$7,
    "",
    VLOOKUP(AU120,AW$8:BC$507,3,FALSE())
)</f>
        <v/>
      </c>
      <c r="BG120" s="97" t="str">
        <f aca="false">IF(AU120&gt;AT$7,
    "",
    VLOOKUP(AU120,AW$8:BC$507,4,FALSE())
)</f>
        <v/>
      </c>
      <c r="BH120" s="97" t="str">
        <f aca="false">IF(AU120&gt;AT$7,
    "",
    VLOOKUP(AU120,AW$8:BC$507,5,FALSE())
)</f>
        <v/>
      </c>
      <c r="BI120" s="98" t="str">
        <f aca="false">IF(AU120&gt;AT$7,
    "",
    VLOOKUP(AU120,AW$8:BC$507,6,FALSE())
)</f>
        <v/>
      </c>
      <c r="BJ120" s="46"/>
    </row>
    <row r="121" customFormat="false" ht="15.75" hidden="false" customHeight="false" outlineLevel="0" collapsed="false">
      <c r="A121" s="3"/>
      <c r="B121" s="105"/>
      <c r="C121" s="106"/>
      <c r="D121" s="99"/>
      <c r="E121" s="110"/>
      <c r="F121" s="107"/>
      <c r="G121" s="110"/>
      <c r="H121" s="103"/>
      <c r="I121" s="102"/>
      <c r="J121" s="103"/>
      <c r="K121" s="103"/>
      <c r="L121" s="85"/>
      <c r="M121" s="85" t="str">
        <f aca="false">IF(ISBLANK($C121),"",IF(ISBLANK(E121),0,E121))</f>
        <v/>
      </c>
      <c r="N121" s="85" t="str">
        <f aca="false">IF(ISBLANK($C121),"",IF(ISBLANK(F121),0,F121))</f>
        <v/>
      </c>
      <c r="O121" s="86" t="e">
        <f aca="false">IF(AND(NOT(ISBLANK($C121)),NOT($T121),COUNTA($E121:$K121)&gt;0),ISBLANK($F121),FALSE())</f>
        <v>#VALUE!</v>
      </c>
      <c r="P121" s="85" t="str">
        <f aca="false">IF(ISBLANK($C121),"",IF(G121=Constants!$B$9, TRUE(), IF(G121=Constants!$B$10, FALSE(), TRUE())))</f>
        <v/>
      </c>
      <c r="Q121" s="85" t="str">
        <f aca="false">IF(ISBLANK($C121),"",IF(H121=Constants!$B$9, TRUE(), IF(H121=Constants!$B$10, FALSE(), TRUE())))</f>
        <v/>
      </c>
      <c r="R121" s="85" t="str">
        <f aca="false">IF(ISBLANK($C121),"",IF(ISBLANK(I121),Constants!$B$3,I121))</f>
        <v/>
      </c>
      <c r="S121" s="85" t="str">
        <f aca="false">IF(ISBLANK($C121),"",IF(ISBLANK(J121),0,MIN(J121,Constants!$B$6)))</f>
        <v/>
      </c>
      <c r="T121" s="85" t="str">
        <f aca="false">IF(ISBLANK($C121),"",IF(K121=Constants!$B$9, TRUE(), IF(K121=Constants!$B$10, FALSE(),  FALSE())))</f>
        <v/>
      </c>
      <c r="U121" s="85" t="str">
        <f aca="false">IF(ISBLANK($C121),"",AND(R121=Constants!$B$4, S121&lt;Constants!$B$6))</f>
        <v/>
      </c>
      <c r="V121" s="85" t="str">
        <f aca="false">IF(ISBLANK(C121), "", IF(T121, Constants!$B$11, IF(COUNTA(E121:K121)=0, Constants!$B$12, IF(NOT(AND(P121,S121&lt;&gt;0)), Constants!$B$13, IF(O121, Constants!$B$15, Constants!$B$14)))))</f>
        <v/>
      </c>
      <c r="W121" s="85" t="str">
        <f aca="false">IF(OR(ISBLANK($C121), SUMPRODUCT(--(P121:T121&lt;&gt;""))=0), "", IF(V121&lt;&gt;Constants!$B$14, V121, IF(AND(NOT(ISBLANK(J121)),P121,Q121,R121&lt;&gt;Constants!$B$2), Constants!$B$7, IF(AND(P121,OR(NOT(Q121),R121=Constants!$B$2)), Constants!$B$8, "Error"))))</f>
        <v/>
      </c>
      <c r="X121" s="87" t="str">
        <f aca="false">IF(OR(W121=Constants!$B$7,W121=Constants!$B$8), MAX(0, MIN(Constants!$B$6, S121))+IF(AND(R121=Constants!$B$4, NOT(U121)), Constants!$B$5, 0), "")</f>
        <v/>
      </c>
      <c r="Y121" s="85" t="str">
        <f aca="false">IF(ISBLANK($C121),"",IF(AND(ISNUMBER(X121),N121&gt;0),X121/N121, "") )</f>
        <v/>
      </c>
      <c r="Z121" s="85" t="str">
        <f aca="false">IF(AND(NOT(ISBLANK($C121)), W121=Constants!$B$7), Y121, "")</f>
        <v/>
      </c>
      <c r="AA121" s="85" t="str">
        <f aca="false">IF(ISNUMBER(Z121), RANK(Z121,Z$8:Z$507), "")</f>
        <v/>
      </c>
      <c r="AB121" s="85" t="str">
        <f aca="false">IF(AND(NOT(ISBLANK($C121)), W121=Constants!$B$8), Y121, "")</f>
        <v/>
      </c>
      <c r="AC121" s="85" t="str">
        <f aca="false">IF(ISNUMBER(AB121), RANK(AB121,AB$8:AB$507), "")</f>
        <v/>
      </c>
      <c r="AD121" s="85" t="str">
        <f aca="false">IF(ISBLANK($C121),"",IF(V121&lt;&gt;Constants!$B$14, V121, IF(W121=Constants!$B$7, AA121, IF(W121=Constants!$B$8, COUNT($AA$8:$AA$507) + AC121, ""))))</f>
        <v/>
      </c>
      <c r="AE121" s="85" t="str">
        <f aca="false">N121</f>
        <v/>
      </c>
      <c r="AF121" s="85" t="str">
        <f aca="false">IF(ISNUMBER(AE121), RANK(AE121,AE$8:AE$507,1), "")</f>
        <v/>
      </c>
      <c r="AG121" s="88" t="str">
        <f aca="false">IF(ISBLANK(C121), "", ABS(M121-S121))</f>
        <v/>
      </c>
      <c r="AH121" s="85" t="str">
        <f aca="false">IF(ISNUMBER(AG121), RANK(AG121,AG$8:AG$507,1), "")</f>
        <v/>
      </c>
      <c r="AI121" s="85" t="str">
        <f aca="false">IF(ISBLANK(C121),"",IF(V121&lt;&gt;Constants!$B$14, V121, RANK(AD121, AD$8:AD$507, 1)+ SUMPRODUCT(--(AD$8:AD$507=AD121),--(AF121&gt;AF$8:AF$507)) + SUMPRODUCT(--(AD$8:AD$507=AD121),--(AF121=AF$8:AF$507),--(AH121&gt;AH$8:AH$507))))</f>
        <v/>
      </c>
      <c r="AJ121" s="85" t="str">
        <f aca="false">IF(ISBLANK(C121),"",IF(V121&lt;&gt;Constants!$B$14, V121, AD121-AI121))</f>
        <v/>
      </c>
      <c r="AK121" s="89"/>
      <c r="AL121" s="90" t="str">
        <f aca="false">IF(ISBLANK($C121),"",IF($V121&lt;&gt;Constants!$B$14,$V121,X121))</f>
        <v/>
      </c>
      <c r="AM121" s="90" t="str">
        <f aca="false">IF(ISBLANK($C121),"",IF($V121&lt;&gt;Constants!$B$14,$V121,N121))</f>
        <v/>
      </c>
      <c r="AN121" s="91" t="str">
        <f aca="false">IF(ISBLANK(C121),"",IF(V121&lt;&gt;Constants!$B$14, V121, IF(W121=Constants!$B$7,Z121,IF(W121=Constants!$B$8,AB121,""))))</f>
        <v/>
      </c>
      <c r="AO121" s="92" t="str">
        <f aca="false">IF(ISBLANK(C121),"",W121)</f>
        <v/>
      </c>
      <c r="AP121" s="92" t="str">
        <f aca="false">IF(ISBLANK(C121),"",AJ121)</f>
        <v/>
      </c>
      <c r="AQ121" s="92" t="str">
        <f aca="false">IF(ISBLANK(C121),"",AI121)</f>
        <v/>
      </c>
      <c r="AR121" s="93" t="str">
        <f aca="false">IF(ISBLANK(C121),
  "",
IF(AQ121=Constants!$B$11,COUNTA($C$8:$C$507)+2,IF(AQ121=Constants!$B$12,COUNTA($C$8:$C$507)+1,IF(AQ121=Constants!$B$13,COUNTA($C$8:$C$507),AQ121))))</f>
        <v/>
      </c>
      <c r="AS121" s="3"/>
      <c r="AT121" s="94" t="n">
        <f aca="false">IF(OR(ISNUMBER(AQ121),AQ121="DQ",AQ121="P",AQ121="NS"),
    1,
    0
)</f>
        <v>0</v>
      </c>
      <c r="AU121" s="94" t="n">
        <v>114</v>
      </c>
      <c r="AV121" s="94" t="str">
        <f aca="false">IF(ISBLANK($C121),
    "",
   IF(ISNUMBER(AR121),AR121+ROW($B121)/1000,"")
)</f>
        <v/>
      </c>
      <c r="AW121" s="94" t="str">
        <f aca="false">IF(ISNUMBER(AV121), RANK(AV121,AV$8:AV$507,1), "")</f>
        <v/>
      </c>
      <c r="AX121" s="94" t="str">
        <f aca="false">IF(ISBLANK($C121),
    "",
    $B121
)</f>
        <v/>
      </c>
      <c r="AY121" s="94" t="str">
        <f aca="false">IF(ISBLANK($C121),
    "",
    $C121
)</f>
        <v/>
      </c>
      <c r="AZ121" s="94" t="str">
        <f aca="false">IF(ISBLANK($C121),
    "",
    $D121
)</f>
        <v/>
      </c>
      <c r="BA121" s="94" t="str">
        <f aca="false">AO121</f>
        <v/>
      </c>
      <c r="BB121" s="95" t="str">
        <f aca="false">AN121</f>
        <v/>
      </c>
      <c r="BC121" s="94" t="str">
        <f aca="false">IF(ISBLANK($C121),
    "",
    AQ121
)</f>
        <v/>
      </c>
      <c r="BD121" s="96" t="str">
        <f aca="false">IF(AU121&gt;AT$7,
    "",
    VLOOKUP(AU121,AW$8:BC$507,7,FALSE())
)</f>
        <v/>
      </c>
      <c r="BE121" s="97" t="str">
        <f aca="false">IF(AU121&gt;AT$7,
    "",
    VLOOKUP(AU121,AW$8:BC$507,2,FALSE())
)</f>
        <v/>
      </c>
      <c r="BF121" s="97" t="str">
        <f aca="false">IF(AU121&gt;AT$7,
    "",
    VLOOKUP(AU121,AW$8:BC$507,3,FALSE())
)</f>
        <v/>
      </c>
      <c r="BG121" s="97" t="str">
        <f aca="false">IF(AU121&gt;AT$7,
    "",
    VLOOKUP(AU121,AW$8:BC$507,4,FALSE())
)</f>
        <v/>
      </c>
      <c r="BH121" s="97" t="str">
        <f aca="false">IF(AU121&gt;AT$7,
    "",
    VLOOKUP(AU121,AW$8:BC$507,5,FALSE())
)</f>
        <v/>
      </c>
      <c r="BI121" s="98" t="str">
        <f aca="false">IF(AU121&gt;AT$7,
    "",
    VLOOKUP(AU121,AW$8:BC$507,6,FALSE())
)</f>
        <v/>
      </c>
      <c r="BJ121" s="46"/>
    </row>
    <row r="122" customFormat="false" ht="15.75" hidden="false" customHeight="false" outlineLevel="0" collapsed="false">
      <c r="A122" s="3"/>
      <c r="B122" s="108"/>
      <c r="C122" s="70"/>
      <c r="D122" s="49"/>
      <c r="E122" s="109"/>
      <c r="F122" s="72"/>
      <c r="G122" s="109"/>
      <c r="H122" s="74"/>
      <c r="I122" s="104"/>
      <c r="J122" s="74"/>
      <c r="K122" s="74"/>
      <c r="L122" s="55"/>
      <c r="M122" s="55" t="str">
        <f aca="false">IF(ISBLANK($C122),"",IF(ISBLANK(E122),0,E122))</f>
        <v/>
      </c>
      <c r="N122" s="55" t="str">
        <f aca="false">IF(ISBLANK($C122),"",IF(ISBLANK(F122),0,F122))</f>
        <v/>
      </c>
      <c r="O122" s="55" t="e">
        <f aca="false">IF(AND(NOT(ISBLANK($C122)),NOT($T122),COUNTA($E122:$K122)&gt;0),ISBLANK($F122),FALSE())</f>
        <v>#VALUE!</v>
      </c>
      <c r="P122" s="55" t="str">
        <f aca="false">IF(ISBLANK($C122),"",IF(G122=Constants!$B$9, TRUE(), IF(G122=Constants!$B$10, FALSE(), TRUE())))</f>
        <v/>
      </c>
      <c r="Q122" s="55" t="str">
        <f aca="false">IF(ISBLANK($C122),"",IF(H122=Constants!$B$9, TRUE(), IF(H122=Constants!$B$10, FALSE(), TRUE())))</f>
        <v/>
      </c>
      <c r="R122" s="55" t="str">
        <f aca="false">IF(ISBLANK($C122),"",IF(ISBLANK(I122),Constants!$B$3,I122))</f>
        <v/>
      </c>
      <c r="S122" s="55" t="str">
        <f aca="false">IF(ISBLANK($C122),"",IF(ISBLANK(J122),0,MIN(J122,Constants!$B$6)))</f>
        <v/>
      </c>
      <c r="T122" s="55" t="str">
        <f aca="false">IF(ISBLANK($C122),"",IF(K122=Constants!$B$9, TRUE(), IF(K122=Constants!$B$10, FALSE(),  FALSE())))</f>
        <v/>
      </c>
      <c r="U122" s="55" t="str">
        <f aca="false">IF(ISBLANK($C122),"",AND(R122=Constants!$B$4, S122&lt;Constants!$B$6))</f>
        <v/>
      </c>
      <c r="V122" s="55" t="str">
        <f aca="false">IF(ISBLANK(C122), "", IF(T122, Constants!$B$11, IF(COUNTA(E122:K122)=0, Constants!$B$12, IF(NOT(AND(P122,S122&lt;&gt;0)), Constants!$B$13, IF(O122, Constants!$B$15, Constants!$B$14)))))</f>
        <v/>
      </c>
      <c r="W122" s="55" t="str">
        <f aca="false">IF(OR(ISBLANK($C122), SUMPRODUCT(--(P122:T122&lt;&gt;""))=0), "", IF(V122&lt;&gt;Constants!$B$14, V122, IF(AND(NOT(ISBLANK(J122)),P122,Q122,R122&lt;&gt;Constants!$B$2), Constants!$B$7, IF(AND(P122,OR(NOT(Q122),R122=Constants!$B$2)), Constants!$B$8, "Error"))))</f>
        <v/>
      </c>
      <c r="X122" s="56" t="str">
        <f aca="false">IF(OR(W122=Constants!$B$7,W122=Constants!$B$8), MAX(0, MIN(Constants!$B$6, S122))+IF(AND(R122=Constants!$B$4, NOT(U122)), Constants!$B$5, 0), "")</f>
        <v/>
      </c>
      <c r="Y122" s="55" t="str">
        <f aca="false">IF(ISBLANK($C122),"",IF(AND(ISNUMBER(X122),N122&gt;0),X122/N122, "") )</f>
        <v/>
      </c>
      <c r="Z122" s="55" t="str">
        <f aca="false">IF(AND(NOT(ISBLANK($C122)), W122=Constants!$B$7), Y122, "")</f>
        <v/>
      </c>
      <c r="AA122" s="55" t="str">
        <f aca="false">IF(ISNUMBER(Z122), RANK(Z122,Z$8:Z$507), "")</f>
        <v/>
      </c>
      <c r="AB122" s="55" t="str">
        <f aca="false">IF(AND(NOT(ISBLANK($C122)), W122=Constants!$B$8), Y122, "")</f>
        <v/>
      </c>
      <c r="AC122" s="55" t="str">
        <f aca="false">IF(ISNUMBER(AB122), RANK(AB122,AB$8:AB$507), "")</f>
        <v/>
      </c>
      <c r="AD122" s="55" t="str">
        <f aca="false">IF(ISBLANK($C122),"",IF(V122&lt;&gt;Constants!$B$14, V122, IF(W122=Constants!$B$7, AA122, IF(W122=Constants!$B$8, COUNT($AA$8:$AA$507) + AC122, ""))))</f>
        <v/>
      </c>
      <c r="AE122" s="55" t="str">
        <f aca="false">N122</f>
        <v/>
      </c>
      <c r="AF122" s="55" t="str">
        <f aca="false">IF(ISNUMBER(AE122), RANK(AE122,AE$8:AE$507,1), "")</f>
        <v/>
      </c>
      <c r="AG122" s="57" t="str">
        <f aca="false">IF(ISBLANK(C122), "", ABS(M122-S122))</f>
        <v/>
      </c>
      <c r="AH122" s="55" t="str">
        <f aca="false">IF(ISNUMBER(AG122), RANK(AG122,AG$8:AG$507,1), "")</f>
        <v/>
      </c>
      <c r="AI122" s="55" t="str">
        <f aca="false">IF(ISBLANK(C122),"",IF(V122&lt;&gt;Constants!$B$14, V122, RANK(AD122, AD$8:AD$507, 1)+ SUMPRODUCT(--(AD$8:AD$507=AD122),--(AF122&gt;AF$8:AF$507)) + SUMPRODUCT(--(AD$8:AD$507=AD122),--(AF122=AF$8:AF$507),--(AH122&gt;AH$8:AH$507))))</f>
        <v/>
      </c>
      <c r="AJ122" s="55" t="str">
        <f aca="false">IF(ISBLANK(C122),"",IF(V122&lt;&gt;Constants!$B$14, V122, AD122-AI122))</f>
        <v/>
      </c>
      <c r="AK122" s="59"/>
      <c r="AL122" s="60" t="str">
        <f aca="false">IF(ISBLANK($C122),"",IF($V122&lt;&gt;Constants!$B$14,$V122,X122))</f>
        <v/>
      </c>
      <c r="AM122" s="60" t="str">
        <f aca="false">IF(ISBLANK($C122),"",IF($V122&lt;&gt;Constants!$B$14,$V122,N122))</f>
        <v/>
      </c>
      <c r="AN122" s="62" t="str">
        <f aca="false">IF(ISBLANK(C122),"",IF(V122&lt;&gt;Constants!$B$14, V122, IF(W122=Constants!$B$7,Z122,IF(W122=Constants!$B$8,AB122,""))))</f>
        <v/>
      </c>
      <c r="AO122" s="63" t="str">
        <f aca="false">IF(ISBLANK(C122),"",W122)</f>
        <v/>
      </c>
      <c r="AP122" s="63" t="str">
        <f aca="false">IF(ISBLANK(C122),"",AJ122)</f>
        <v/>
      </c>
      <c r="AQ122" s="63" t="str">
        <f aca="false">IF(ISBLANK(C122),"",AI122)</f>
        <v/>
      </c>
      <c r="AR122" s="64" t="str">
        <f aca="false">IF(ISBLANK(C122),
  "",
IF(AQ122=Constants!$B$11,COUNTA($C$8:$C$507)+2,IF(AQ122=Constants!$B$12,COUNTA($C$8:$C$507)+1,IF(AQ122=Constants!$B$13,COUNTA($C$8:$C$507),AQ122))))</f>
        <v/>
      </c>
      <c r="AS122" s="3"/>
      <c r="AT122" s="65" t="n">
        <f aca="false">IF(OR(ISNUMBER(AQ122),AQ122="DQ",AQ122="P",AQ122="NS"),
    1,
    0
)</f>
        <v>0</v>
      </c>
      <c r="AU122" s="65" t="n">
        <v>115</v>
      </c>
      <c r="AV122" s="65" t="str">
        <f aca="false">IF(ISBLANK($C122),
    "",
   IF(ISNUMBER(AR122),AR122+ROW($B122)/1000,"")
)</f>
        <v/>
      </c>
      <c r="AW122" s="65" t="str">
        <f aca="false">IF(ISNUMBER(AV122), RANK(AV122,AV$8:AV$507,1), "")</f>
        <v/>
      </c>
      <c r="AX122" s="65" t="str">
        <f aca="false">IF(ISBLANK($C122),
    "",
    $B122
)</f>
        <v/>
      </c>
      <c r="AY122" s="65" t="str">
        <f aca="false">IF(ISBLANK($C122),
    "",
    $C122
)</f>
        <v/>
      </c>
      <c r="AZ122" s="65" t="str">
        <f aca="false">IF(ISBLANK($C122),
    "",
    $D122
)</f>
        <v/>
      </c>
      <c r="BA122" s="65" t="str">
        <f aca="false">AO122</f>
        <v/>
      </c>
      <c r="BB122" s="66" t="str">
        <f aca="false">AN122</f>
        <v/>
      </c>
      <c r="BC122" s="65" t="str">
        <f aca="false">IF(ISBLANK($C122),
    "",
    AQ122
)</f>
        <v/>
      </c>
      <c r="BD122" s="67" t="str">
        <f aca="false">IF(AU122&gt;AT$7,
    "",
    VLOOKUP(AU122,AW$8:BC$507,7,FALSE())
)</f>
        <v/>
      </c>
      <c r="BE122" s="68" t="str">
        <f aca="false">IF(AU122&gt;AT$7,
    "",
    VLOOKUP(AU122,AW$8:BC$507,2,FALSE())
)</f>
        <v/>
      </c>
      <c r="BF122" s="68" t="str">
        <f aca="false">IF(AU122&gt;AT$7,
    "",
    VLOOKUP(AU122,AW$8:BC$507,3,FALSE())
)</f>
        <v/>
      </c>
      <c r="BG122" s="68" t="str">
        <f aca="false">IF(AU122&gt;AT$7,
    "",
    VLOOKUP(AU122,AW$8:BC$507,4,FALSE())
)</f>
        <v/>
      </c>
      <c r="BH122" s="68" t="str">
        <f aca="false">IF(AU122&gt;AT$7,
    "",
    VLOOKUP(AU122,AW$8:BC$507,5,FALSE())
)</f>
        <v/>
      </c>
      <c r="BI122" s="69" t="str">
        <f aca="false">IF(AU122&gt;AT$7,
    "",
    VLOOKUP(AU122,AW$8:BC$507,6,FALSE())
)</f>
        <v/>
      </c>
      <c r="BJ122" s="46"/>
    </row>
    <row r="123" customFormat="false" ht="15.75" hidden="false" customHeight="false" outlineLevel="0" collapsed="false">
      <c r="A123" s="3"/>
      <c r="B123" s="108"/>
      <c r="C123" s="70"/>
      <c r="D123" s="49"/>
      <c r="E123" s="109"/>
      <c r="F123" s="72"/>
      <c r="G123" s="109"/>
      <c r="H123" s="74"/>
      <c r="I123" s="104"/>
      <c r="J123" s="74"/>
      <c r="K123" s="74"/>
      <c r="L123" s="55"/>
      <c r="M123" s="55" t="str">
        <f aca="false">IF(ISBLANK($C123),"",IF(ISBLANK(E123),0,E123))</f>
        <v/>
      </c>
      <c r="N123" s="55" t="str">
        <f aca="false">IF(ISBLANK($C123),"",IF(ISBLANK(F123),0,F123))</f>
        <v/>
      </c>
      <c r="O123" s="55" t="e">
        <f aca="false">IF(AND(NOT(ISBLANK($C123)),NOT($T123),COUNTA($E123:$K123)&gt;0),ISBLANK($F123),FALSE())</f>
        <v>#VALUE!</v>
      </c>
      <c r="P123" s="55" t="str">
        <f aca="false">IF(ISBLANK($C123),"",IF(G123=Constants!$B$9, TRUE(), IF(G123=Constants!$B$10, FALSE(), TRUE())))</f>
        <v/>
      </c>
      <c r="Q123" s="55" t="str">
        <f aca="false">IF(ISBLANK($C123),"",IF(H123=Constants!$B$9, TRUE(), IF(H123=Constants!$B$10, FALSE(), TRUE())))</f>
        <v/>
      </c>
      <c r="R123" s="55" t="str">
        <f aca="false">IF(ISBLANK($C123),"",IF(ISBLANK(I123),Constants!$B$3,I123))</f>
        <v/>
      </c>
      <c r="S123" s="55" t="str">
        <f aca="false">IF(ISBLANK($C123),"",IF(ISBLANK(J123),0,MIN(J123,Constants!$B$6)))</f>
        <v/>
      </c>
      <c r="T123" s="55" t="str">
        <f aca="false">IF(ISBLANK($C123),"",IF(K123=Constants!$B$9, TRUE(), IF(K123=Constants!$B$10, FALSE(),  FALSE())))</f>
        <v/>
      </c>
      <c r="U123" s="55" t="str">
        <f aca="false">IF(ISBLANK($C123),"",AND(R123=Constants!$B$4, S123&lt;Constants!$B$6))</f>
        <v/>
      </c>
      <c r="V123" s="55" t="str">
        <f aca="false">IF(ISBLANK(C123), "", IF(T123, Constants!$B$11, IF(COUNTA(E123:K123)=0, Constants!$B$12, IF(NOT(AND(P123,S123&lt;&gt;0)), Constants!$B$13, IF(O123, Constants!$B$15, Constants!$B$14)))))</f>
        <v/>
      </c>
      <c r="W123" s="55" t="str">
        <f aca="false">IF(OR(ISBLANK($C123), SUMPRODUCT(--(P123:T123&lt;&gt;""))=0), "", IF(V123&lt;&gt;Constants!$B$14, V123, IF(AND(NOT(ISBLANK(J123)),P123,Q123,R123&lt;&gt;Constants!$B$2), Constants!$B$7, IF(AND(P123,OR(NOT(Q123),R123=Constants!$B$2)), Constants!$B$8, "Error"))))</f>
        <v/>
      </c>
      <c r="X123" s="56" t="str">
        <f aca="false">IF(OR(W123=Constants!$B$7,W123=Constants!$B$8), MAX(0, MIN(Constants!$B$6, S123))+IF(AND(R123=Constants!$B$4, NOT(U123)), Constants!$B$5, 0), "")</f>
        <v/>
      </c>
      <c r="Y123" s="55" t="str">
        <f aca="false">IF(ISBLANK($C123),"",IF(AND(ISNUMBER(X123),N123&gt;0),X123/N123, "") )</f>
        <v/>
      </c>
      <c r="Z123" s="55" t="str">
        <f aca="false">IF(AND(NOT(ISBLANK($C123)), W123=Constants!$B$7), Y123, "")</f>
        <v/>
      </c>
      <c r="AA123" s="55" t="str">
        <f aca="false">IF(ISNUMBER(Z123), RANK(Z123,Z$8:Z$507), "")</f>
        <v/>
      </c>
      <c r="AB123" s="55" t="str">
        <f aca="false">IF(AND(NOT(ISBLANK($C123)), W123=Constants!$B$8), Y123, "")</f>
        <v/>
      </c>
      <c r="AC123" s="55" t="str">
        <f aca="false">IF(ISNUMBER(AB123), RANK(AB123,AB$8:AB$507), "")</f>
        <v/>
      </c>
      <c r="AD123" s="55" t="str">
        <f aca="false">IF(ISBLANK($C123),"",IF(V123&lt;&gt;Constants!$B$14, V123, IF(W123=Constants!$B$7, AA123, IF(W123=Constants!$B$8, COUNT($AA$8:$AA$507) + AC123, ""))))</f>
        <v/>
      </c>
      <c r="AE123" s="55" t="str">
        <f aca="false">N123</f>
        <v/>
      </c>
      <c r="AF123" s="55" t="str">
        <f aca="false">IF(ISNUMBER(AE123), RANK(AE123,AE$8:AE$507,1), "")</f>
        <v/>
      </c>
      <c r="AG123" s="57" t="str">
        <f aca="false">IF(ISBLANK(C123), "", ABS(M123-S123))</f>
        <v/>
      </c>
      <c r="AH123" s="55" t="str">
        <f aca="false">IF(ISNUMBER(AG123), RANK(AG123,AG$8:AG$507,1), "")</f>
        <v/>
      </c>
      <c r="AI123" s="55" t="str">
        <f aca="false">IF(ISBLANK(C123),"",IF(V123&lt;&gt;Constants!$B$14, V123, RANK(AD123, AD$8:AD$507, 1)+ SUMPRODUCT(--(AD$8:AD$507=AD123),--(AF123&gt;AF$8:AF$507)) + SUMPRODUCT(--(AD$8:AD$507=AD123),--(AF123=AF$8:AF$507),--(AH123&gt;AH$8:AH$507))))</f>
        <v/>
      </c>
      <c r="AJ123" s="55" t="str">
        <f aca="false">IF(ISBLANK(C123),"",IF(V123&lt;&gt;Constants!$B$14, V123, AD123-AI123))</f>
        <v/>
      </c>
      <c r="AK123" s="59"/>
      <c r="AL123" s="60" t="str">
        <f aca="false">IF(ISBLANK($C123),"",IF($V123&lt;&gt;Constants!$B$14,$V123,X123))</f>
        <v/>
      </c>
      <c r="AM123" s="60" t="str">
        <f aca="false">IF(ISBLANK($C123),"",IF($V123&lt;&gt;Constants!$B$14,$V123,N123))</f>
        <v/>
      </c>
      <c r="AN123" s="62" t="str">
        <f aca="false">IF(ISBLANK(C123),"",IF(V123&lt;&gt;Constants!$B$14, V123, IF(W123=Constants!$B$7,Z123,IF(W123=Constants!$B$8,AB123,""))))</f>
        <v/>
      </c>
      <c r="AO123" s="63" t="str">
        <f aca="false">IF(ISBLANK(C123),"",W123)</f>
        <v/>
      </c>
      <c r="AP123" s="63" t="str">
        <f aca="false">IF(ISBLANK(C123),"",AJ123)</f>
        <v/>
      </c>
      <c r="AQ123" s="63" t="str">
        <f aca="false">IF(ISBLANK(C123),"",AI123)</f>
        <v/>
      </c>
      <c r="AR123" s="64" t="str">
        <f aca="false">IF(ISBLANK(C123),
  "",
IF(AQ123=Constants!$B$11,COUNTA($C$8:$C$507)+2,IF(AQ123=Constants!$B$12,COUNTA($C$8:$C$507)+1,IF(AQ123=Constants!$B$13,COUNTA($C$8:$C$507),AQ123))))</f>
        <v/>
      </c>
      <c r="AS123" s="3"/>
      <c r="AT123" s="65" t="n">
        <f aca="false">IF(OR(ISNUMBER(AQ123),AQ123="DQ",AQ123="P",AQ123="NS"),
    1,
    0
)</f>
        <v>0</v>
      </c>
      <c r="AU123" s="65" t="n">
        <v>116</v>
      </c>
      <c r="AV123" s="65" t="str">
        <f aca="false">IF(ISBLANK($C123),
    "",
   IF(ISNUMBER(AR123),AR123+ROW($B123)/1000,"")
)</f>
        <v/>
      </c>
      <c r="AW123" s="65" t="str">
        <f aca="false">IF(ISNUMBER(AV123), RANK(AV123,AV$8:AV$507,1), "")</f>
        <v/>
      </c>
      <c r="AX123" s="65" t="str">
        <f aca="false">IF(ISBLANK($C123),
    "",
    $B123
)</f>
        <v/>
      </c>
      <c r="AY123" s="65" t="str">
        <f aca="false">IF(ISBLANK($C123),
    "",
    $C123
)</f>
        <v/>
      </c>
      <c r="AZ123" s="65" t="str">
        <f aca="false">IF(ISBLANK($C123),
    "",
    $D123
)</f>
        <v/>
      </c>
      <c r="BA123" s="65" t="str">
        <f aca="false">AO123</f>
        <v/>
      </c>
      <c r="BB123" s="66" t="str">
        <f aca="false">AN123</f>
        <v/>
      </c>
      <c r="BC123" s="65" t="str">
        <f aca="false">IF(ISBLANK($C123),
    "",
    AQ123
)</f>
        <v/>
      </c>
      <c r="BD123" s="67" t="str">
        <f aca="false">IF(AU123&gt;AT$7,
    "",
    VLOOKUP(AU123,AW$8:BC$507,7,FALSE())
)</f>
        <v/>
      </c>
      <c r="BE123" s="68" t="str">
        <f aca="false">IF(AU123&gt;AT$7,
    "",
    VLOOKUP(AU123,AW$8:BC$507,2,FALSE())
)</f>
        <v/>
      </c>
      <c r="BF123" s="68" t="str">
        <f aca="false">IF(AU123&gt;AT$7,
    "",
    VLOOKUP(AU123,AW$8:BC$507,3,FALSE())
)</f>
        <v/>
      </c>
      <c r="BG123" s="68" t="str">
        <f aca="false">IF(AU123&gt;AT$7,
    "",
    VLOOKUP(AU123,AW$8:BC$507,4,FALSE())
)</f>
        <v/>
      </c>
      <c r="BH123" s="68" t="str">
        <f aca="false">IF(AU123&gt;AT$7,
    "",
    VLOOKUP(AU123,AW$8:BC$507,5,FALSE())
)</f>
        <v/>
      </c>
      <c r="BI123" s="69" t="str">
        <f aca="false">IF(AU123&gt;AT$7,
    "",
    VLOOKUP(AU123,AW$8:BC$507,6,FALSE())
)</f>
        <v/>
      </c>
      <c r="BJ123" s="46"/>
    </row>
    <row r="124" customFormat="false" ht="15.75" hidden="false" customHeight="false" outlineLevel="0" collapsed="false">
      <c r="A124" s="3"/>
      <c r="B124" s="108"/>
      <c r="C124" s="70"/>
      <c r="D124" s="49"/>
      <c r="E124" s="109"/>
      <c r="F124" s="72"/>
      <c r="G124" s="109"/>
      <c r="H124" s="74"/>
      <c r="I124" s="104"/>
      <c r="J124" s="74"/>
      <c r="K124" s="74"/>
      <c r="L124" s="55"/>
      <c r="M124" s="55" t="str">
        <f aca="false">IF(ISBLANK($C124),"",IF(ISBLANK(E124),0,E124))</f>
        <v/>
      </c>
      <c r="N124" s="55" t="str">
        <f aca="false">IF(ISBLANK($C124),"",IF(ISBLANK(F124),0,F124))</f>
        <v/>
      </c>
      <c r="O124" s="55" t="e">
        <f aca="false">IF(AND(NOT(ISBLANK($C124)),NOT($T124),COUNTA($E124:$K124)&gt;0),ISBLANK($F124),FALSE())</f>
        <v>#VALUE!</v>
      </c>
      <c r="P124" s="55" t="str">
        <f aca="false">IF(ISBLANK($C124),"",IF(G124=Constants!$B$9, TRUE(), IF(G124=Constants!$B$10, FALSE(), TRUE())))</f>
        <v/>
      </c>
      <c r="Q124" s="55" t="str">
        <f aca="false">IF(ISBLANK($C124),"",IF(H124=Constants!$B$9, TRUE(), IF(H124=Constants!$B$10, FALSE(), TRUE())))</f>
        <v/>
      </c>
      <c r="R124" s="55" t="str">
        <f aca="false">IF(ISBLANK($C124),"",IF(ISBLANK(I124),Constants!$B$3,I124))</f>
        <v/>
      </c>
      <c r="S124" s="55" t="str">
        <f aca="false">IF(ISBLANK($C124),"",IF(ISBLANK(J124),0,MIN(J124,Constants!$B$6)))</f>
        <v/>
      </c>
      <c r="T124" s="55" t="str">
        <f aca="false">IF(ISBLANK($C124),"",IF(K124=Constants!$B$9, TRUE(), IF(K124=Constants!$B$10, FALSE(),  FALSE())))</f>
        <v/>
      </c>
      <c r="U124" s="55" t="str">
        <f aca="false">IF(ISBLANK($C124),"",AND(R124=Constants!$B$4, S124&lt;Constants!$B$6))</f>
        <v/>
      </c>
      <c r="V124" s="55" t="str">
        <f aca="false">IF(ISBLANK(C124), "", IF(T124, Constants!$B$11, IF(COUNTA(E124:K124)=0, Constants!$B$12, IF(NOT(AND(P124,S124&lt;&gt;0)), Constants!$B$13, IF(O124, Constants!$B$15, Constants!$B$14)))))</f>
        <v/>
      </c>
      <c r="W124" s="55" t="str">
        <f aca="false">IF(OR(ISBLANK($C124), SUMPRODUCT(--(P124:T124&lt;&gt;""))=0), "", IF(V124&lt;&gt;Constants!$B$14, V124, IF(AND(NOT(ISBLANK(J124)),P124,Q124,R124&lt;&gt;Constants!$B$2), Constants!$B$7, IF(AND(P124,OR(NOT(Q124),R124=Constants!$B$2)), Constants!$B$8, "Error"))))</f>
        <v/>
      </c>
      <c r="X124" s="56" t="str">
        <f aca="false">IF(OR(W124=Constants!$B$7,W124=Constants!$B$8), MAX(0, MIN(Constants!$B$6, S124))+IF(AND(R124=Constants!$B$4, NOT(U124)), Constants!$B$5, 0), "")</f>
        <v/>
      </c>
      <c r="Y124" s="55" t="str">
        <f aca="false">IF(ISBLANK($C124),"",IF(AND(ISNUMBER(X124),N124&gt;0),X124/N124, "") )</f>
        <v/>
      </c>
      <c r="Z124" s="55" t="str">
        <f aca="false">IF(AND(NOT(ISBLANK($C124)), W124=Constants!$B$7), Y124, "")</f>
        <v/>
      </c>
      <c r="AA124" s="55" t="str">
        <f aca="false">IF(ISNUMBER(Z124), RANK(Z124,Z$8:Z$507), "")</f>
        <v/>
      </c>
      <c r="AB124" s="55" t="str">
        <f aca="false">IF(AND(NOT(ISBLANK($C124)), W124=Constants!$B$8), Y124, "")</f>
        <v/>
      </c>
      <c r="AC124" s="55" t="str">
        <f aca="false">IF(ISNUMBER(AB124), RANK(AB124,AB$8:AB$507), "")</f>
        <v/>
      </c>
      <c r="AD124" s="55" t="str">
        <f aca="false">IF(ISBLANK($C124),"",IF(V124&lt;&gt;Constants!$B$14, V124, IF(W124=Constants!$B$7, AA124, IF(W124=Constants!$B$8, COUNT($AA$8:$AA$507) + AC124, ""))))</f>
        <v/>
      </c>
      <c r="AE124" s="55" t="str">
        <f aca="false">N124</f>
        <v/>
      </c>
      <c r="AF124" s="55" t="str">
        <f aca="false">IF(ISNUMBER(AE124), RANK(AE124,AE$8:AE$507,1), "")</f>
        <v/>
      </c>
      <c r="AG124" s="57" t="str">
        <f aca="false">IF(ISBLANK(C124), "", ABS(M124-S124))</f>
        <v/>
      </c>
      <c r="AH124" s="55" t="str">
        <f aca="false">IF(ISNUMBER(AG124), RANK(AG124,AG$8:AG$507,1), "")</f>
        <v/>
      </c>
      <c r="AI124" s="55" t="str">
        <f aca="false">IF(ISBLANK(C124),"",IF(V124&lt;&gt;Constants!$B$14, V124, RANK(AD124, AD$8:AD$507, 1)+ SUMPRODUCT(--(AD$8:AD$507=AD124),--(AF124&gt;AF$8:AF$507)) + SUMPRODUCT(--(AD$8:AD$507=AD124),--(AF124=AF$8:AF$507),--(AH124&gt;AH$8:AH$507))))</f>
        <v/>
      </c>
      <c r="AJ124" s="55" t="str">
        <f aca="false">IF(ISBLANK(C124),"",IF(V124&lt;&gt;Constants!$B$14, V124, AD124-AI124))</f>
        <v/>
      </c>
      <c r="AK124" s="59"/>
      <c r="AL124" s="60" t="str">
        <f aca="false">IF(ISBLANK($C124),"",IF($V124&lt;&gt;Constants!$B$14,$V124,X124))</f>
        <v/>
      </c>
      <c r="AM124" s="60" t="str">
        <f aca="false">IF(ISBLANK($C124),"",IF($V124&lt;&gt;Constants!$B$14,$V124,N124))</f>
        <v/>
      </c>
      <c r="AN124" s="62" t="str">
        <f aca="false">IF(ISBLANK(C124),"",IF(V124&lt;&gt;Constants!$B$14, V124, IF(W124=Constants!$B$7,Z124,IF(W124=Constants!$B$8,AB124,""))))</f>
        <v/>
      </c>
      <c r="AO124" s="63" t="str">
        <f aca="false">IF(ISBLANK(C124),"",W124)</f>
        <v/>
      </c>
      <c r="AP124" s="63" t="str">
        <f aca="false">IF(ISBLANK(C124),"",AJ124)</f>
        <v/>
      </c>
      <c r="AQ124" s="63" t="str">
        <f aca="false">IF(ISBLANK(C124),"",AI124)</f>
        <v/>
      </c>
      <c r="AR124" s="64" t="str">
        <f aca="false">IF(ISBLANK(C124),
  "",
IF(AQ124=Constants!$B$11,COUNTA($C$8:$C$507)+2,IF(AQ124=Constants!$B$12,COUNTA($C$8:$C$507)+1,IF(AQ124=Constants!$B$13,COUNTA($C$8:$C$507),AQ124))))</f>
        <v/>
      </c>
      <c r="AS124" s="3"/>
      <c r="AT124" s="65" t="n">
        <f aca="false">IF(OR(ISNUMBER(AQ124),AQ124="DQ",AQ124="P",AQ124="NS"),
    1,
    0
)</f>
        <v>0</v>
      </c>
      <c r="AU124" s="65" t="n">
        <v>117</v>
      </c>
      <c r="AV124" s="65" t="str">
        <f aca="false">IF(ISBLANK($C124),
    "",
   IF(ISNUMBER(AR124),AR124+ROW($B124)/1000,"")
)</f>
        <v/>
      </c>
      <c r="AW124" s="65" t="str">
        <f aca="false">IF(ISNUMBER(AV124), RANK(AV124,AV$8:AV$507,1), "")</f>
        <v/>
      </c>
      <c r="AX124" s="65" t="str">
        <f aca="false">IF(ISBLANK($C124),
    "",
    $B124
)</f>
        <v/>
      </c>
      <c r="AY124" s="65" t="str">
        <f aca="false">IF(ISBLANK($C124),
    "",
    $C124
)</f>
        <v/>
      </c>
      <c r="AZ124" s="65" t="str">
        <f aca="false">IF(ISBLANK($C124),
    "",
    $D124
)</f>
        <v/>
      </c>
      <c r="BA124" s="65" t="str">
        <f aca="false">AO124</f>
        <v/>
      </c>
      <c r="BB124" s="66" t="str">
        <f aca="false">AN124</f>
        <v/>
      </c>
      <c r="BC124" s="65" t="str">
        <f aca="false">IF(ISBLANK($C124),
    "",
    AQ124
)</f>
        <v/>
      </c>
      <c r="BD124" s="67" t="str">
        <f aca="false">IF(AU124&gt;AT$7,
    "",
    VLOOKUP(AU124,AW$8:BC$507,7,FALSE())
)</f>
        <v/>
      </c>
      <c r="BE124" s="68" t="str">
        <f aca="false">IF(AU124&gt;AT$7,
    "",
    VLOOKUP(AU124,AW$8:BC$507,2,FALSE())
)</f>
        <v/>
      </c>
      <c r="BF124" s="68" t="str">
        <f aca="false">IF(AU124&gt;AT$7,
    "",
    VLOOKUP(AU124,AW$8:BC$507,3,FALSE())
)</f>
        <v/>
      </c>
      <c r="BG124" s="68" t="str">
        <f aca="false">IF(AU124&gt;AT$7,
    "",
    VLOOKUP(AU124,AW$8:BC$507,4,FALSE())
)</f>
        <v/>
      </c>
      <c r="BH124" s="68" t="str">
        <f aca="false">IF(AU124&gt;AT$7,
    "",
    VLOOKUP(AU124,AW$8:BC$507,5,FALSE())
)</f>
        <v/>
      </c>
      <c r="BI124" s="69" t="str">
        <f aca="false">IF(AU124&gt;AT$7,
    "",
    VLOOKUP(AU124,AW$8:BC$507,6,FALSE())
)</f>
        <v/>
      </c>
      <c r="BJ124" s="46"/>
    </row>
    <row r="125" customFormat="false" ht="15.75" hidden="false" customHeight="false" outlineLevel="0" collapsed="false">
      <c r="A125" s="3"/>
      <c r="B125" s="105"/>
      <c r="C125" s="106"/>
      <c r="D125" s="99"/>
      <c r="E125" s="110"/>
      <c r="F125" s="107"/>
      <c r="G125" s="110"/>
      <c r="H125" s="103"/>
      <c r="I125" s="102"/>
      <c r="J125" s="103"/>
      <c r="K125" s="103"/>
      <c r="L125" s="85"/>
      <c r="M125" s="85" t="str">
        <f aca="false">IF(ISBLANK($C125),"",IF(ISBLANK(E125),0,E125))</f>
        <v/>
      </c>
      <c r="N125" s="85" t="str">
        <f aca="false">IF(ISBLANK($C125),"",IF(ISBLANK(F125),0,F125))</f>
        <v/>
      </c>
      <c r="O125" s="86" t="e">
        <f aca="false">IF(AND(NOT(ISBLANK($C125)),NOT($T125),COUNTA($E125:$K125)&gt;0),ISBLANK($F125),FALSE())</f>
        <v>#VALUE!</v>
      </c>
      <c r="P125" s="85" t="str">
        <f aca="false">IF(ISBLANK($C125),"",IF(G125=Constants!$B$9, TRUE(), IF(G125=Constants!$B$10, FALSE(), TRUE())))</f>
        <v/>
      </c>
      <c r="Q125" s="85" t="str">
        <f aca="false">IF(ISBLANK($C125),"",IF(H125=Constants!$B$9, TRUE(), IF(H125=Constants!$B$10, FALSE(), TRUE())))</f>
        <v/>
      </c>
      <c r="R125" s="85" t="str">
        <f aca="false">IF(ISBLANK($C125),"",IF(ISBLANK(I125),Constants!$B$3,I125))</f>
        <v/>
      </c>
      <c r="S125" s="85" t="str">
        <f aca="false">IF(ISBLANK($C125),"",IF(ISBLANK(J125),0,MIN(J125,Constants!$B$6)))</f>
        <v/>
      </c>
      <c r="T125" s="85" t="str">
        <f aca="false">IF(ISBLANK($C125),"",IF(K125=Constants!$B$9, TRUE(), IF(K125=Constants!$B$10, FALSE(),  FALSE())))</f>
        <v/>
      </c>
      <c r="U125" s="85" t="str">
        <f aca="false">IF(ISBLANK($C125),"",AND(R125=Constants!$B$4, S125&lt;Constants!$B$6))</f>
        <v/>
      </c>
      <c r="V125" s="85" t="str">
        <f aca="false">IF(ISBLANK(C125), "", IF(T125, Constants!$B$11, IF(COUNTA(E125:K125)=0, Constants!$B$12, IF(NOT(AND(P125,S125&lt;&gt;0)), Constants!$B$13, IF(O125, Constants!$B$15, Constants!$B$14)))))</f>
        <v/>
      </c>
      <c r="W125" s="85" t="str">
        <f aca="false">IF(OR(ISBLANK($C125), SUMPRODUCT(--(P125:T125&lt;&gt;""))=0), "", IF(V125&lt;&gt;Constants!$B$14, V125, IF(AND(NOT(ISBLANK(J125)),P125,Q125,R125&lt;&gt;Constants!$B$2), Constants!$B$7, IF(AND(P125,OR(NOT(Q125),R125=Constants!$B$2)), Constants!$B$8, "Error"))))</f>
        <v/>
      </c>
      <c r="X125" s="87" t="str">
        <f aca="false">IF(OR(W125=Constants!$B$7,W125=Constants!$B$8), MAX(0, MIN(Constants!$B$6, S125))+IF(AND(R125=Constants!$B$4, NOT(U125)), Constants!$B$5, 0), "")</f>
        <v/>
      </c>
      <c r="Y125" s="85" t="str">
        <f aca="false">IF(ISBLANK($C125),"",IF(AND(ISNUMBER(X125),N125&gt;0),X125/N125, "") )</f>
        <v/>
      </c>
      <c r="Z125" s="85" t="str">
        <f aca="false">IF(AND(NOT(ISBLANK($C125)), W125=Constants!$B$7), Y125, "")</f>
        <v/>
      </c>
      <c r="AA125" s="85" t="str">
        <f aca="false">IF(ISNUMBER(Z125), RANK(Z125,Z$8:Z$507), "")</f>
        <v/>
      </c>
      <c r="AB125" s="85" t="str">
        <f aca="false">IF(AND(NOT(ISBLANK($C125)), W125=Constants!$B$8), Y125, "")</f>
        <v/>
      </c>
      <c r="AC125" s="85" t="str">
        <f aca="false">IF(ISNUMBER(AB125), RANK(AB125,AB$8:AB$507), "")</f>
        <v/>
      </c>
      <c r="AD125" s="85" t="str">
        <f aca="false">IF(ISBLANK($C125),"",IF(V125&lt;&gt;Constants!$B$14, V125, IF(W125=Constants!$B$7, AA125, IF(W125=Constants!$B$8, COUNT($AA$8:$AA$507) + AC125, ""))))</f>
        <v/>
      </c>
      <c r="AE125" s="85" t="str">
        <f aca="false">N125</f>
        <v/>
      </c>
      <c r="AF125" s="85" t="str">
        <f aca="false">IF(ISNUMBER(AE125), RANK(AE125,AE$8:AE$507,1), "")</f>
        <v/>
      </c>
      <c r="AG125" s="88" t="str">
        <f aca="false">IF(ISBLANK(C125), "", ABS(M125-S125))</f>
        <v/>
      </c>
      <c r="AH125" s="85" t="str">
        <f aca="false">IF(ISNUMBER(AG125), RANK(AG125,AG$8:AG$507,1), "")</f>
        <v/>
      </c>
      <c r="AI125" s="85" t="str">
        <f aca="false">IF(ISBLANK(C125),"",IF(V125&lt;&gt;Constants!$B$14, V125, RANK(AD125, AD$8:AD$507, 1)+ SUMPRODUCT(--(AD$8:AD$507=AD125),--(AF125&gt;AF$8:AF$507)) + SUMPRODUCT(--(AD$8:AD$507=AD125),--(AF125=AF$8:AF$507),--(AH125&gt;AH$8:AH$507))))</f>
        <v/>
      </c>
      <c r="AJ125" s="85" t="str">
        <f aca="false">IF(ISBLANK(C125),"",IF(V125&lt;&gt;Constants!$B$14, V125, AD125-AI125))</f>
        <v/>
      </c>
      <c r="AK125" s="89"/>
      <c r="AL125" s="90" t="str">
        <f aca="false">IF(ISBLANK($C125),"",IF($V125&lt;&gt;Constants!$B$14,$V125,X125))</f>
        <v/>
      </c>
      <c r="AM125" s="90" t="str">
        <f aca="false">IF(ISBLANK($C125),"",IF($V125&lt;&gt;Constants!$B$14,$V125,N125))</f>
        <v/>
      </c>
      <c r="AN125" s="91" t="str">
        <f aca="false">IF(ISBLANK(C125),"",IF(V125&lt;&gt;Constants!$B$14, V125, IF(W125=Constants!$B$7,Z125,IF(W125=Constants!$B$8,AB125,""))))</f>
        <v/>
      </c>
      <c r="AO125" s="92" t="str">
        <f aca="false">IF(ISBLANK(C125),"",W125)</f>
        <v/>
      </c>
      <c r="AP125" s="92" t="str">
        <f aca="false">IF(ISBLANK(C125),"",AJ125)</f>
        <v/>
      </c>
      <c r="AQ125" s="92" t="str">
        <f aca="false">IF(ISBLANK(C125),"",AI125)</f>
        <v/>
      </c>
      <c r="AR125" s="93" t="str">
        <f aca="false">IF(ISBLANK(C125),
  "",
IF(AQ125=Constants!$B$11,COUNTA($C$8:$C$507)+2,IF(AQ125=Constants!$B$12,COUNTA($C$8:$C$507)+1,IF(AQ125=Constants!$B$13,COUNTA($C$8:$C$507),AQ125))))</f>
        <v/>
      </c>
      <c r="AS125" s="3"/>
      <c r="AT125" s="94" t="n">
        <f aca="false">IF(OR(ISNUMBER(AQ125),AQ125="DQ",AQ125="P",AQ125="NS"),
    1,
    0
)</f>
        <v>0</v>
      </c>
      <c r="AU125" s="94" t="n">
        <v>118</v>
      </c>
      <c r="AV125" s="94" t="str">
        <f aca="false">IF(ISBLANK($C125),
    "",
   IF(ISNUMBER(AR125),AR125+ROW($B125)/1000,"")
)</f>
        <v/>
      </c>
      <c r="AW125" s="94" t="str">
        <f aca="false">IF(ISNUMBER(AV125), RANK(AV125,AV$8:AV$507,1), "")</f>
        <v/>
      </c>
      <c r="AX125" s="94" t="str">
        <f aca="false">IF(ISBLANK($C125),
    "",
    $B125
)</f>
        <v/>
      </c>
      <c r="AY125" s="94" t="str">
        <f aca="false">IF(ISBLANK($C125),
    "",
    $C125
)</f>
        <v/>
      </c>
      <c r="AZ125" s="94" t="str">
        <f aca="false">IF(ISBLANK($C125),
    "",
    $D125
)</f>
        <v/>
      </c>
      <c r="BA125" s="94" t="str">
        <f aca="false">AO125</f>
        <v/>
      </c>
      <c r="BB125" s="95" t="str">
        <f aca="false">AN125</f>
        <v/>
      </c>
      <c r="BC125" s="94" t="str">
        <f aca="false">IF(ISBLANK($C125),
    "",
    AQ125
)</f>
        <v/>
      </c>
      <c r="BD125" s="96" t="str">
        <f aca="false">IF(AU125&gt;AT$7,
    "",
    VLOOKUP(AU125,AW$8:BC$507,7,FALSE())
)</f>
        <v/>
      </c>
      <c r="BE125" s="97" t="str">
        <f aca="false">IF(AU125&gt;AT$7,
    "",
    VLOOKUP(AU125,AW$8:BC$507,2,FALSE())
)</f>
        <v/>
      </c>
      <c r="BF125" s="97" t="str">
        <f aca="false">IF(AU125&gt;AT$7,
    "",
    VLOOKUP(AU125,AW$8:BC$507,3,FALSE())
)</f>
        <v/>
      </c>
      <c r="BG125" s="97" t="str">
        <f aca="false">IF(AU125&gt;AT$7,
    "",
    VLOOKUP(AU125,AW$8:BC$507,4,FALSE())
)</f>
        <v/>
      </c>
      <c r="BH125" s="97" t="str">
        <f aca="false">IF(AU125&gt;AT$7,
    "",
    VLOOKUP(AU125,AW$8:BC$507,5,FALSE())
)</f>
        <v/>
      </c>
      <c r="BI125" s="98" t="str">
        <f aca="false">IF(AU125&gt;AT$7,
    "",
    VLOOKUP(AU125,AW$8:BC$507,6,FALSE())
)</f>
        <v/>
      </c>
      <c r="BJ125" s="46"/>
    </row>
    <row r="126" customFormat="false" ht="15.75" hidden="false" customHeight="false" outlineLevel="0" collapsed="false">
      <c r="A126" s="3"/>
      <c r="B126" s="105"/>
      <c r="C126" s="106"/>
      <c r="D126" s="99"/>
      <c r="E126" s="110"/>
      <c r="F126" s="107"/>
      <c r="G126" s="110"/>
      <c r="H126" s="103"/>
      <c r="I126" s="102"/>
      <c r="J126" s="103"/>
      <c r="K126" s="103"/>
      <c r="L126" s="85"/>
      <c r="M126" s="85" t="str">
        <f aca="false">IF(ISBLANK($C126),"",IF(ISBLANK(E126),0,E126))</f>
        <v/>
      </c>
      <c r="N126" s="85" t="str">
        <f aca="false">IF(ISBLANK($C126),"",IF(ISBLANK(F126),0,F126))</f>
        <v/>
      </c>
      <c r="O126" s="86" t="e">
        <f aca="false">IF(AND(NOT(ISBLANK($C126)),NOT($T126),COUNTA($E126:$K126)&gt;0),ISBLANK($F126),FALSE())</f>
        <v>#VALUE!</v>
      </c>
      <c r="P126" s="85" t="str">
        <f aca="false">IF(ISBLANK($C126),"",IF(G126=Constants!$B$9, TRUE(), IF(G126=Constants!$B$10, FALSE(), TRUE())))</f>
        <v/>
      </c>
      <c r="Q126" s="85" t="str">
        <f aca="false">IF(ISBLANK($C126),"",IF(H126=Constants!$B$9, TRUE(), IF(H126=Constants!$B$10, FALSE(), TRUE())))</f>
        <v/>
      </c>
      <c r="R126" s="85" t="str">
        <f aca="false">IF(ISBLANK($C126),"",IF(ISBLANK(I126),Constants!$B$3,I126))</f>
        <v/>
      </c>
      <c r="S126" s="85" t="str">
        <f aca="false">IF(ISBLANK($C126),"",IF(ISBLANK(J126),0,MIN(J126,Constants!$B$6)))</f>
        <v/>
      </c>
      <c r="T126" s="85" t="str">
        <f aca="false">IF(ISBLANK($C126),"",IF(K126=Constants!$B$9, TRUE(), IF(K126=Constants!$B$10, FALSE(),  FALSE())))</f>
        <v/>
      </c>
      <c r="U126" s="85" t="str">
        <f aca="false">IF(ISBLANK($C126),"",AND(R126=Constants!$B$4, S126&lt;Constants!$B$6))</f>
        <v/>
      </c>
      <c r="V126" s="85" t="str">
        <f aca="false">IF(ISBLANK(C126), "", IF(T126, Constants!$B$11, IF(COUNTA(E126:K126)=0, Constants!$B$12, IF(NOT(AND(P126,S126&lt;&gt;0)), Constants!$B$13, IF(O126, Constants!$B$15, Constants!$B$14)))))</f>
        <v/>
      </c>
      <c r="W126" s="85" t="str">
        <f aca="false">IF(OR(ISBLANK($C126), SUMPRODUCT(--(P126:T126&lt;&gt;""))=0), "", IF(V126&lt;&gt;Constants!$B$14, V126, IF(AND(NOT(ISBLANK(J126)),P126,Q126,R126&lt;&gt;Constants!$B$2), Constants!$B$7, IF(AND(P126,OR(NOT(Q126),R126=Constants!$B$2)), Constants!$B$8, "Error"))))</f>
        <v/>
      </c>
      <c r="X126" s="87" t="str">
        <f aca="false">IF(OR(W126=Constants!$B$7,W126=Constants!$B$8), MAX(0, MIN(Constants!$B$6, S126))+IF(AND(R126=Constants!$B$4, NOT(U126)), Constants!$B$5, 0), "")</f>
        <v/>
      </c>
      <c r="Y126" s="85" t="str">
        <f aca="false">IF(ISBLANK($C126),"",IF(AND(ISNUMBER(X126),N126&gt;0),X126/N126, "") )</f>
        <v/>
      </c>
      <c r="Z126" s="85" t="str">
        <f aca="false">IF(AND(NOT(ISBLANK($C126)), W126=Constants!$B$7), Y126, "")</f>
        <v/>
      </c>
      <c r="AA126" s="85" t="str">
        <f aca="false">IF(ISNUMBER(Z126), RANK(Z126,Z$8:Z$507), "")</f>
        <v/>
      </c>
      <c r="AB126" s="85" t="str">
        <f aca="false">IF(AND(NOT(ISBLANK($C126)), W126=Constants!$B$8), Y126, "")</f>
        <v/>
      </c>
      <c r="AC126" s="85" t="str">
        <f aca="false">IF(ISNUMBER(AB126), RANK(AB126,AB$8:AB$507), "")</f>
        <v/>
      </c>
      <c r="AD126" s="85" t="str">
        <f aca="false">IF(ISBLANK($C126),"",IF(V126&lt;&gt;Constants!$B$14, V126, IF(W126=Constants!$B$7, AA126, IF(W126=Constants!$B$8, COUNT($AA$8:$AA$507) + AC126, ""))))</f>
        <v/>
      </c>
      <c r="AE126" s="85" t="str">
        <f aca="false">N126</f>
        <v/>
      </c>
      <c r="AF126" s="85" t="str">
        <f aca="false">IF(ISNUMBER(AE126), RANK(AE126,AE$8:AE$507,1), "")</f>
        <v/>
      </c>
      <c r="AG126" s="88" t="str">
        <f aca="false">IF(ISBLANK(C126), "", ABS(M126-S126))</f>
        <v/>
      </c>
      <c r="AH126" s="85" t="str">
        <f aca="false">IF(ISNUMBER(AG126), RANK(AG126,AG$8:AG$507,1), "")</f>
        <v/>
      </c>
      <c r="AI126" s="85" t="str">
        <f aca="false">IF(ISBLANK(C126),"",IF(V126&lt;&gt;Constants!$B$14, V126, RANK(AD126, AD$8:AD$507, 1)+ SUMPRODUCT(--(AD$8:AD$507=AD126),--(AF126&gt;AF$8:AF$507)) + SUMPRODUCT(--(AD$8:AD$507=AD126),--(AF126=AF$8:AF$507),--(AH126&gt;AH$8:AH$507))))</f>
        <v/>
      </c>
      <c r="AJ126" s="85" t="str">
        <f aca="false">IF(ISBLANK(C126),"",IF(V126&lt;&gt;Constants!$B$14, V126, AD126-AI126))</f>
        <v/>
      </c>
      <c r="AK126" s="89"/>
      <c r="AL126" s="90" t="str">
        <f aca="false">IF(ISBLANK($C126),"",IF($V126&lt;&gt;Constants!$B$14,$V126,X126))</f>
        <v/>
      </c>
      <c r="AM126" s="90" t="str">
        <f aca="false">IF(ISBLANK($C126),"",IF($V126&lt;&gt;Constants!$B$14,$V126,N126))</f>
        <v/>
      </c>
      <c r="AN126" s="91" t="str">
        <f aca="false">IF(ISBLANK(C126),"",IF(V126&lt;&gt;Constants!$B$14, V126, IF(W126=Constants!$B$7,Z126,IF(W126=Constants!$B$8,AB126,""))))</f>
        <v/>
      </c>
      <c r="AO126" s="92" t="str">
        <f aca="false">IF(ISBLANK(C126),"",W126)</f>
        <v/>
      </c>
      <c r="AP126" s="92" t="str">
        <f aca="false">IF(ISBLANK(C126),"",AJ126)</f>
        <v/>
      </c>
      <c r="AQ126" s="92" t="str">
        <f aca="false">IF(ISBLANK(C126),"",AI126)</f>
        <v/>
      </c>
      <c r="AR126" s="93" t="str">
        <f aca="false">IF(ISBLANK(C126),
  "",
IF(AQ126=Constants!$B$11,COUNTA($C$8:$C$507)+2,IF(AQ126=Constants!$B$12,COUNTA($C$8:$C$507)+1,IF(AQ126=Constants!$B$13,COUNTA($C$8:$C$507),AQ126))))</f>
        <v/>
      </c>
      <c r="AS126" s="3"/>
      <c r="AT126" s="94" t="n">
        <f aca="false">IF(OR(ISNUMBER(AQ126),AQ126="DQ",AQ126="P",AQ126="NS"),
    1,
    0
)</f>
        <v>0</v>
      </c>
      <c r="AU126" s="94" t="n">
        <v>119</v>
      </c>
      <c r="AV126" s="94" t="str">
        <f aca="false">IF(ISBLANK($C126),
    "",
   IF(ISNUMBER(AR126),AR126+ROW($B126)/1000,"")
)</f>
        <v/>
      </c>
      <c r="AW126" s="94" t="str">
        <f aca="false">IF(ISNUMBER(AV126), RANK(AV126,AV$8:AV$507,1), "")</f>
        <v/>
      </c>
      <c r="AX126" s="94" t="str">
        <f aca="false">IF(ISBLANK($C126),
    "",
    $B126
)</f>
        <v/>
      </c>
      <c r="AY126" s="94" t="str">
        <f aca="false">IF(ISBLANK($C126),
    "",
    $C126
)</f>
        <v/>
      </c>
      <c r="AZ126" s="94" t="str">
        <f aca="false">IF(ISBLANK($C126),
    "",
    $D126
)</f>
        <v/>
      </c>
      <c r="BA126" s="94" t="str">
        <f aca="false">AO126</f>
        <v/>
      </c>
      <c r="BB126" s="95" t="str">
        <f aca="false">AN126</f>
        <v/>
      </c>
      <c r="BC126" s="94" t="str">
        <f aca="false">IF(ISBLANK($C126),
    "",
    AQ126
)</f>
        <v/>
      </c>
      <c r="BD126" s="96" t="str">
        <f aca="false">IF(AU126&gt;AT$7,
    "",
    VLOOKUP(AU126,AW$8:BC$507,7,FALSE())
)</f>
        <v/>
      </c>
      <c r="BE126" s="97" t="str">
        <f aca="false">IF(AU126&gt;AT$7,
    "",
    VLOOKUP(AU126,AW$8:BC$507,2,FALSE())
)</f>
        <v/>
      </c>
      <c r="BF126" s="97" t="str">
        <f aca="false">IF(AU126&gt;AT$7,
    "",
    VLOOKUP(AU126,AW$8:BC$507,3,FALSE())
)</f>
        <v/>
      </c>
      <c r="BG126" s="97" t="str">
        <f aca="false">IF(AU126&gt;AT$7,
    "",
    VLOOKUP(AU126,AW$8:BC$507,4,FALSE())
)</f>
        <v/>
      </c>
      <c r="BH126" s="97" t="str">
        <f aca="false">IF(AU126&gt;AT$7,
    "",
    VLOOKUP(AU126,AW$8:BC$507,5,FALSE())
)</f>
        <v/>
      </c>
      <c r="BI126" s="98" t="str">
        <f aca="false">IF(AU126&gt;AT$7,
    "",
    VLOOKUP(AU126,AW$8:BC$507,6,FALSE())
)</f>
        <v/>
      </c>
      <c r="BJ126" s="46"/>
    </row>
    <row r="127" customFormat="false" ht="15.75" hidden="false" customHeight="false" outlineLevel="0" collapsed="false">
      <c r="A127" s="3"/>
      <c r="B127" s="105"/>
      <c r="C127" s="106"/>
      <c r="D127" s="99"/>
      <c r="E127" s="110"/>
      <c r="F127" s="107"/>
      <c r="G127" s="110"/>
      <c r="H127" s="103"/>
      <c r="I127" s="102"/>
      <c r="J127" s="103"/>
      <c r="K127" s="103"/>
      <c r="L127" s="85"/>
      <c r="M127" s="85" t="str">
        <f aca="false">IF(ISBLANK($C127),"",IF(ISBLANK(E127),0,E127))</f>
        <v/>
      </c>
      <c r="N127" s="85" t="str">
        <f aca="false">IF(ISBLANK($C127),"",IF(ISBLANK(F127),0,F127))</f>
        <v/>
      </c>
      <c r="O127" s="86" t="e">
        <f aca="false">IF(AND(NOT(ISBLANK($C127)),NOT($T127),COUNTA($E127:$K127)&gt;0),ISBLANK($F127),FALSE())</f>
        <v>#VALUE!</v>
      </c>
      <c r="P127" s="85" t="str">
        <f aca="false">IF(ISBLANK($C127),"",IF(G127=Constants!$B$9, TRUE(), IF(G127=Constants!$B$10, FALSE(), TRUE())))</f>
        <v/>
      </c>
      <c r="Q127" s="85" t="str">
        <f aca="false">IF(ISBLANK($C127),"",IF(H127=Constants!$B$9, TRUE(), IF(H127=Constants!$B$10, FALSE(), TRUE())))</f>
        <v/>
      </c>
      <c r="R127" s="85" t="str">
        <f aca="false">IF(ISBLANK($C127),"",IF(ISBLANK(I127),Constants!$B$3,I127))</f>
        <v/>
      </c>
      <c r="S127" s="85" t="str">
        <f aca="false">IF(ISBLANK($C127),"",IF(ISBLANK(J127),0,MIN(J127,Constants!$B$6)))</f>
        <v/>
      </c>
      <c r="T127" s="85" t="str">
        <f aca="false">IF(ISBLANK($C127),"",IF(K127=Constants!$B$9, TRUE(), IF(K127=Constants!$B$10, FALSE(),  FALSE())))</f>
        <v/>
      </c>
      <c r="U127" s="85" t="str">
        <f aca="false">IF(ISBLANK($C127),"",AND(R127=Constants!$B$4, S127&lt;Constants!$B$6))</f>
        <v/>
      </c>
      <c r="V127" s="85" t="str">
        <f aca="false">IF(ISBLANK(C127), "", IF(T127, Constants!$B$11, IF(COUNTA(E127:K127)=0, Constants!$B$12, IF(NOT(AND(P127,S127&lt;&gt;0)), Constants!$B$13, IF(O127, Constants!$B$15, Constants!$B$14)))))</f>
        <v/>
      </c>
      <c r="W127" s="85" t="str">
        <f aca="false">IF(OR(ISBLANK($C127), SUMPRODUCT(--(P127:T127&lt;&gt;""))=0), "", IF(V127&lt;&gt;Constants!$B$14, V127, IF(AND(NOT(ISBLANK(J127)),P127,Q127,R127&lt;&gt;Constants!$B$2), Constants!$B$7, IF(AND(P127,OR(NOT(Q127),R127=Constants!$B$2)), Constants!$B$8, "Error"))))</f>
        <v/>
      </c>
      <c r="X127" s="87" t="str">
        <f aca="false">IF(OR(W127=Constants!$B$7,W127=Constants!$B$8), MAX(0, MIN(Constants!$B$6, S127))+IF(AND(R127=Constants!$B$4, NOT(U127)), Constants!$B$5, 0), "")</f>
        <v/>
      </c>
      <c r="Y127" s="85" t="str">
        <f aca="false">IF(ISBLANK($C127),"",IF(AND(ISNUMBER(X127),N127&gt;0),X127/N127, "") )</f>
        <v/>
      </c>
      <c r="Z127" s="85" t="str">
        <f aca="false">IF(AND(NOT(ISBLANK($C127)), W127=Constants!$B$7), Y127, "")</f>
        <v/>
      </c>
      <c r="AA127" s="85" t="str">
        <f aca="false">IF(ISNUMBER(Z127), RANK(Z127,Z$8:Z$507), "")</f>
        <v/>
      </c>
      <c r="AB127" s="85" t="str">
        <f aca="false">IF(AND(NOT(ISBLANK($C127)), W127=Constants!$B$8), Y127, "")</f>
        <v/>
      </c>
      <c r="AC127" s="85" t="str">
        <f aca="false">IF(ISNUMBER(AB127), RANK(AB127,AB$8:AB$507), "")</f>
        <v/>
      </c>
      <c r="AD127" s="85" t="str">
        <f aca="false">IF(ISBLANK($C127),"",IF(V127&lt;&gt;Constants!$B$14, V127, IF(W127=Constants!$B$7, AA127, IF(W127=Constants!$B$8, COUNT($AA$8:$AA$507) + AC127, ""))))</f>
        <v/>
      </c>
      <c r="AE127" s="85" t="str">
        <f aca="false">N127</f>
        <v/>
      </c>
      <c r="AF127" s="85" t="str">
        <f aca="false">IF(ISNUMBER(AE127), RANK(AE127,AE$8:AE$507,1), "")</f>
        <v/>
      </c>
      <c r="AG127" s="88" t="str">
        <f aca="false">IF(ISBLANK(C127), "", ABS(M127-S127))</f>
        <v/>
      </c>
      <c r="AH127" s="85" t="str">
        <f aca="false">IF(ISNUMBER(AG127), RANK(AG127,AG$8:AG$507,1), "")</f>
        <v/>
      </c>
      <c r="AI127" s="85" t="str">
        <f aca="false">IF(ISBLANK(C127),"",IF(V127&lt;&gt;Constants!$B$14, V127, RANK(AD127, AD$8:AD$507, 1)+ SUMPRODUCT(--(AD$8:AD$507=AD127),--(AF127&gt;AF$8:AF$507)) + SUMPRODUCT(--(AD$8:AD$507=AD127),--(AF127=AF$8:AF$507),--(AH127&gt;AH$8:AH$507))))</f>
        <v/>
      </c>
      <c r="AJ127" s="85" t="str">
        <f aca="false">IF(ISBLANK(C127),"",IF(V127&lt;&gt;Constants!$B$14, V127, AD127-AI127))</f>
        <v/>
      </c>
      <c r="AK127" s="89"/>
      <c r="AL127" s="90" t="str">
        <f aca="false">IF(ISBLANK($C127),"",IF($V127&lt;&gt;Constants!$B$14,$V127,X127))</f>
        <v/>
      </c>
      <c r="AM127" s="90" t="str">
        <f aca="false">IF(ISBLANK($C127),"",IF($V127&lt;&gt;Constants!$B$14,$V127,N127))</f>
        <v/>
      </c>
      <c r="AN127" s="91" t="str">
        <f aca="false">IF(ISBLANK(C127),"",IF(V127&lt;&gt;Constants!$B$14, V127, IF(W127=Constants!$B$7,Z127,IF(W127=Constants!$B$8,AB127,""))))</f>
        <v/>
      </c>
      <c r="AO127" s="92" t="str">
        <f aca="false">IF(ISBLANK(C127),"",W127)</f>
        <v/>
      </c>
      <c r="AP127" s="92" t="str">
        <f aca="false">IF(ISBLANK(C127),"",AJ127)</f>
        <v/>
      </c>
      <c r="AQ127" s="92" t="str">
        <f aca="false">IF(ISBLANK(C127),"",AI127)</f>
        <v/>
      </c>
      <c r="AR127" s="93" t="str">
        <f aca="false">IF(ISBLANK(C127),
  "",
IF(AQ127=Constants!$B$11,COUNTA($C$8:$C$507)+2,IF(AQ127=Constants!$B$12,COUNTA($C$8:$C$507)+1,IF(AQ127=Constants!$B$13,COUNTA($C$8:$C$507),AQ127))))</f>
        <v/>
      </c>
      <c r="AS127" s="3"/>
      <c r="AT127" s="94" t="n">
        <f aca="false">IF(OR(ISNUMBER(AQ127),AQ127="DQ",AQ127="P",AQ127="NS"),
    1,
    0
)</f>
        <v>0</v>
      </c>
      <c r="AU127" s="94" t="n">
        <v>120</v>
      </c>
      <c r="AV127" s="94" t="str">
        <f aca="false">IF(ISBLANK($C127),
    "",
   IF(ISNUMBER(AR127),AR127+ROW($B127)/1000,"")
)</f>
        <v/>
      </c>
      <c r="AW127" s="94" t="str">
        <f aca="false">IF(ISNUMBER(AV127), RANK(AV127,AV$8:AV$507,1), "")</f>
        <v/>
      </c>
      <c r="AX127" s="94" t="str">
        <f aca="false">IF(ISBLANK($C127),
    "",
    $B127
)</f>
        <v/>
      </c>
      <c r="AY127" s="94" t="str">
        <f aca="false">IF(ISBLANK($C127),
    "",
    $C127
)</f>
        <v/>
      </c>
      <c r="AZ127" s="94" t="str">
        <f aca="false">IF(ISBLANK($C127),
    "",
    $D127
)</f>
        <v/>
      </c>
      <c r="BA127" s="94" t="str">
        <f aca="false">AO127</f>
        <v/>
      </c>
      <c r="BB127" s="95" t="str">
        <f aca="false">AN127</f>
        <v/>
      </c>
      <c r="BC127" s="94" t="str">
        <f aca="false">IF(ISBLANK($C127),
    "",
    AQ127
)</f>
        <v/>
      </c>
      <c r="BD127" s="96" t="str">
        <f aca="false">IF(AU127&gt;AT$7,
    "",
    VLOOKUP(AU127,AW$8:BC$507,7,FALSE())
)</f>
        <v/>
      </c>
      <c r="BE127" s="97" t="str">
        <f aca="false">IF(AU127&gt;AT$7,
    "",
    VLOOKUP(AU127,AW$8:BC$507,2,FALSE())
)</f>
        <v/>
      </c>
      <c r="BF127" s="97" t="str">
        <f aca="false">IF(AU127&gt;AT$7,
    "",
    VLOOKUP(AU127,AW$8:BC$507,3,FALSE())
)</f>
        <v/>
      </c>
      <c r="BG127" s="97" t="str">
        <f aca="false">IF(AU127&gt;AT$7,
    "",
    VLOOKUP(AU127,AW$8:BC$507,4,FALSE())
)</f>
        <v/>
      </c>
      <c r="BH127" s="97" t="str">
        <f aca="false">IF(AU127&gt;AT$7,
    "",
    VLOOKUP(AU127,AW$8:BC$507,5,FALSE())
)</f>
        <v/>
      </c>
      <c r="BI127" s="98" t="str">
        <f aca="false">IF(AU127&gt;AT$7,
    "",
    VLOOKUP(AU127,AW$8:BC$507,6,FALSE())
)</f>
        <v/>
      </c>
      <c r="BJ127" s="46"/>
    </row>
    <row r="128" customFormat="false" ht="15.75" hidden="false" customHeight="false" outlineLevel="0" collapsed="false">
      <c r="A128" s="3"/>
      <c r="B128" s="108"/>
      <c r="C128" s="70"/>
      <c r="D128" s="49"/>
      <c r="E128" s="109"/>
      <c r="F128" s="72"/>
      <c r="G128" s="109"/>
      <c r="H128" s="74"/>
      <c r="I128" s="104"/>
      <c r="J128" s="74"/>
      <c r="K128" s="74"/>
      <c r="L128" s="55"/>
      <c r="M128" s="55" t="str">
        <f aca="false">IF(ISBLANK($C128),"",IF(ISBLANK(E128),0,E128))</f>
        <v/>
      </c>
      <c r="N128" s="55" t="str">
        <f aca="false">IF(ISBLANK($C128),"",IF(ISBLANK(F128),0,F128))</f>
        <v/>
      </c>
      <c r="O128" s="55" t="e">
        <f aca="false">IF(AND(NOT(ISBLANK($C128)),NOT($T128),COUNTA($E128:$K128)&gt;0),ISBLANK($F128),FALSE())</f>
        <v>#VALUE!</v>
      </c>
      <c r="P128" s="55" t="str">
        <f aca="false">IF(ISBLANK($C128),"",IF(G128=Constants!$B$9, TRUE(), IF(G128=Constants!$B$10, FALSE(), TRUE())))</f>
        <v/>
      </c>
      <c r="Q128" s="55" t="str">
        <f aca="false">IF(ISBLANK($C128),"",IF(H128=Constants!$B$9, TRUE(), IF(H128=Constants!$B$10, FALSE(), TRUE())))</f>
        <v/>
      </c>
      <c r="R128" s="55" t="str">
        <f aca="false">IF(ISBLANK($C128),"",IF(ISBLANK(I128),Constants!$B$3,I128))</f>
        <v/>
      </c>
      <c r="S128" s="55" t="str">
        <f aca="false">IF(ISBLANK($C128),"",IF(ISBLANK(J128),0,MIN(J128,Constants!$B$6)))</f>
        <v/>
      </c>
      <c r="T128" s="55" t="str">
        <f aca="false">IF(ISBLANK($C128),"",IF(K128=Constants!$B$9, TRUE(), IF(K128=Constants!$B$10, FALSE(),  FALSE())))</f>
        <v/>
      </c>
      <c r="U128" s="55" t="str">
        <f aca="false">IF(ISBLANK($C128),"",AND(R128=Constants!$B$4, S128&lt;Constants!$B$6))</f>
        <v/>
      </c>
      <c r="V128" s="55" t="str">
        <f aca="false">IF(ISBLANK(C128), "", IF(T128, Constants!$B$11, IF(COUNTA(E128:K128)=0, Constants!$B$12, IF(NOT(AND(P128,S128&lt;&gt;0)), Constants!$B$13, IF(O128, Constants!$B$15, Constants!$B$14)))))</f>
        <v/>
      </c>
      <c r="W128" s="55" t="str">
        <f aca="false">IF(OR(ISBLANK($C128), SUMPRODUCT(--(P128:T128&lt;&gt;""))=0), "", IF(V128&lt;&gt;Constants!$B$14, V128, IF(AND(NOT(ISBLANK(J128)),P128,Q128,R128&lt;&gt;Constants!$B$2), Constants!$B$7, IF(AND(P128,OR(NOT(Q128),R128=Constants!$B$2)), Constants!$B$8, "Error"))))</f>
        <v/>
      </c>
      <c r="X128" s="56" t="str">
        <f aca="false">IF(OR(W128=Constants!$B$7,W128=Constants!$B$8), MAX(0, MIN(Constants!$B$6, S128))+IF(AND(R128=Constants!$B$4, NOT(U128)), Constants!$B$5, 0), "")</f>
        <v/>
      </c>
      <c r="Y128" s="55" t="str">
        <f aca="false">IF(ISBLANK($C128),"",IF(AND(ISNUMBER(X128),N128&gt;0),X128/N128, "") )</f>
        <v/>
      </c>
      <c r="Z128" s="55" t="str">
        <f aca="false">IF(AND(NOT(ISBLANK($C128)), W128=Constants!$B$7), Y128, "")</f>
        <v/>
      </c>
      <c r="AA128" s="55" t="str">
        <f aca="false">IF(ISNUMBER(Z128), RANK(Z128,Z$8:Z$507), "")</f>
        <v/>
      </c>
      <c r="AB128" s="55" t="str">
        <f aca="false">IF(AND(NOT(ISBLANK($C128)), W128=Constants!$B$8), Y128, "")</f>
        <v/>
      </c>
      <c r="AC128" s="55" t="str">
        <f aca="false">IF(ISNUMBER(AB128), RANK(AB128,AB$8:AB$507), "")</f>
        <v/>
      </c>
      <c r="AD128" s="55" t="str">
        <f aca="false">IF(ISBLANK($C128),"",IF(V128&lt;&gt;Constants!$B$14, V128, IF(W128=Constants!$B$7, AA128, IF(W128=Constants!$B$8, COUNT($AA$8:$AA$507) + AC128, ""))))</f>
        <v/>
      </c>
      <c r="AE128" s="55" t="str">
        <f aca="false">N128</f>
        <v/>
      </c>
      <c r="AF128" s="55" t="str">
        <f aca="false">IF(ISNUMBER(AE128), RANK(AE128,AE$8:AE$507,1), "")</f>
        <v/>
      </c>
      <c r="AG128" s="57" t="str">
        <f aca="false">IF(ISBLANK(C128), "", ABS(M128-S128))</f>
        <v/>
      </c>
      <c r="AH128" s="55" t="str">
        <f aca="false">IF(ISNUMBER(AG128), RANK(AG128,AG$8:AG$507,1), "")</f>
        <v/>
      </c>
      <c r="AI128" s="55" t="str">
        <f aca="false">IF(ISBLANK(C128),"",IF(V128&lt;&gt;Constants!$B$14, V128, RANK(AD128, AD$8:AD$507, 1)+ SUMPRODUCT(--(AD$8:AD$507=AD128),--(AF128&gt;AF$8:AF$507)) + SUMPRODUCT(--(AD$8:AD$507=AD128),--(AF128=AF$8:AF$507),--(AH128&gt;AH$8:AH$507))))</f>
        <v/>
      </c>
      <c r="AJ128" s="55" t="str">
        <f aca="false">IF(ISBLANK(C128),"",IF(V128&lt;&gt;Constants!$B$14, V128, AD128-AI128))</f>
        <v/>
      </c>
      <c r="AK128" s="59"/>
      <c r="AL128" s="60" t="str">
        <f aca="false">IF(ISBLANK($C128),"",IF($V128&lt;&gt;Constants!$B$14,$V128,X128))</f>
        <v/>
      </c>
      <c r="AM128" s="60" t="str">
        <f aca="false">IF(ISBLANK($C128),"",IF($V128&lt;&gt;Constants!$B$14,$V128,N128))</f>
        <v/>
      </c>
      <c r="AN128" s="62" t="str">
        <f aca="false">IF(ISBLANK(C128),"",IF(V128&lt;&gt;Constants!$B$14, V128, IF(W128=Constants!$B$7,Z128,IF(W128=Constants!$B$8,AB128,""))))</f>
        <v/>
      </c>
      <c r="AO128" s="63" t="str">
        <f aca="false">IF(ISBLANK(C128),"",W128)</f>
        <v/>
      </c>
      <c r="AP128" s="63" t="str">
        <f aca="false">IF(ISBLANK(C128),"",AJ128)</f>
        <v/>
      </c>
      <c r="AQ128" s="63" t="str">
        <f aca="false">IF(ISBLANK(C128),"",AI128)</f>
        <v/>
      </c>
      <c r="AR128" s="64" t="str">
        <f aca="false">IF(ISBLANK(C128),
  "",
IF(AQ128=Constants!$B$11,COUNTA($C$8:$C$507)+2,IF(AQ128=Constants!$B$12,COUNTA($C$8:$C$507)+1,IF(AQ128=Constants!$B$13,COUNTA($C$8:$C$507),AQ128))))</f>
        <v/>
      </c>
      <c r="AS128" s="3"/>
      <c r="AT128" s="65" t="n">
        <f aca="false">IF(OR(ISNUMBER(AQ128),AQ128="DQ",AQ128="P",AQ128="NS"),
    1,
    0
)</f>
        <v>0</v>
      </c>
      <c r="AU128" s="65" t="n">
        <v>121</v>
      </c>
      <c r="AV128" s="65" t="str">
        <f aca="false">IF(ISBLANK($C128),
    "",
   IF(ISNUMBER(AR128),AR128+ROW($B128)/1000,"")
)</f>
        <v/>
      </c>
      <c r="AW128" s="65" t="str">
        <f aca="false">IF(ISNUMBER(AV128), RANK(AV128,AV$8:AV$507,1), "")</f>
        <v/>
      </c>
      <c r="AX128" s="65" t="str">
        <f aca="false">IF(ISBLANK($C128),
    "",
    $B128
)</f>
        <v/>
      </c>
      <c r="AY128" s="65" t="str">
        <f aca="false">IF(ISBLANK($C128),
    "",
    $C128
)</f>
        <v/>
      </c>
      <c r="AZ128" s="65" t="str">
        <f aca="false">IF(ISBLANK($C128),
    "",
    $D128
)</f>
        <v/>
      </c>
      <c r="BA128" s="65" t="str">
        <f aca="false">AO128</f>
        <v/>
      </c>
      <c r="BB128" s="66" t="str">
        <f aca="false">AN128</f>
        <v/>
      </c>
      <c r="BC128" s="65" t="str">
        <f aca="false">IF(ISBLANK($C128),
    "",
    AQ128
)</f>
        <v/>
      </c>
      <c r="BD128" s="67" t="str">
        <f aca="false">IF(AU128&gt;AT$7,
    "",
    VLOOKUP(AU128,AW$8:BC$507,7,FALSE())
)</f>
        <v/>
      </c>
      <c r="BE128" s="68" t="str">
        <f aca="false">IF(AU128&gt;AT$7,
    "",
    VLOOKUP(AU128,AW$8:BC$507,2,FALSE())
)</f>
        <v/>
      </c>
      <c r="BF128" s="68" t="str">
        <f aca="false">IF(AU128&gt;AT$7,
    "",
    VLOOKUP(AU128,AW$8:BC$507,3,FALSE())
)</f>
        <v/>
      </c>
      <c r="BG128" s="68" t="str">
        <f aca="false">IF(AU128&gt;AT$7,
    "",
    VLOOKUP(AU128,AW$8:BC$507,4,FALSE())
)</f>
        <v/>
      </c>
      <c r="BH128" s="68" t="str">
        <f aca="false">IF(AU128&gt;AT$7,
    "",
    VLOOKUP(AU128,AW$8:BC$507,5,FALSE())
)</f>
        <v/>
      </c>
      <c r="BI128" s="69" t="str">
        <f aca="false">IF(AU128&gt;AT$7,
    "",
    VLOOKUP(AU128,AW$8:BC$507,6,FALSE())
)</f>
        <v/>
      </c>
      <c r="BJ128" s="46"/>
    </row>
    <row r="129" customFormat="false" ht="15.75" hidden="false" customHeight="false" outlineLevel="0" collapsed="false">
      <c r="A129" s="3"/>
      <c r="B129" s="108"/>
      <c r="C129" s="70"/>
      <c r="D129" s="49"/>
      <c r="E129" s="109"/>
      <c r="F129" s="72"/>
      <c r="G129" s="109"/>
      <c r="H129" s="74"/>
      <c r="I129" s="104"/>
      <c r="J129" s="74"/>
      <c r="K129" s="74"/>
      <c r="L129" s="55"/>
      <c r="M129" s="55" t="str">
        <f aca="false">IF(ISBLANK($C129),"",IF(ISBLANK(E129),0,E129))</f>
        <v/>
      </c>
      <c r="N129" s="55" t="str">
        <f aca="false">IF(ISBLANK($C129),"",IF(ISBLANK(F129),0,F129))</f>
        <v/>
      </c>
      <c r="O129" s="55" t="e">
        <f aca="false">IF(AND(NOT(ISBLANK($C129)),NOT($T129),COUNTA($E129:$K129)&gt;0),ISBLANK($F129),FALSE())</f>
        <v>#VALUE!</v>
      </c>
      <c r="P129" s="55" t="str">
        <f aca="false">IF(ISBLANK($C129),"",IF(G129=Constants!$B$9, TRUE(), IF(G129=Constants!$B$10, FALSE(), TRUE())))</f>
        <v/>
      </c>
      <c r="Q129" s="55" t="str">
        <f aca="false">IF(ISBLANK($C129),"",IF(H129=Constants!$B$9, TRUE(), IF(H129=Constants!$B$10, FALSE(), TRUE())))</f>
        <v/>
      </c>
      <c r="R129" s="55" t="str">
        <f aca="false">IF(ISBLANK($C129),"",IF(ISBLANK(I129),Constants!$B$3,I129))</f>
        <v/>
      </c>
      <c r="S129" s="55" t="str">
        <f aca="false">IF(ISBLANK($C129),"",IF(ISBLANK(J129),0,MIN(J129,Constants!$B$6)))</f>
        <v/>
      </c>
      <c r="T129" s="55" t="str">
        <f aca="false">IF(ISBLANK($C129),"",IF(K129=Constants!$B$9, TRUE(), IF(K129=Constants!$B$10, FALSE(),  FALSE())))</f>
        <v/>
      </c>
      <c r="U129" s="55" t="str">
        <f aca="false">IF(ISBLANK($C129),"",AND(R129=Constants!$B$4, S129&lt;Constants!$B$6))</f>
        <v/>
      </c>
      <c r="V129" s="55" t="str">
        <f aca="false">IF(ISBLANK(C129), "", IF(T129, Constants!$B$11, IF(COUNTA(E129:K129)=0, Constants!$B$12, IF(NOT(AND(P129,S129&lt;&gt;0)), Constants!$B$13, IF(O129, Constants!$B$15, Constants!$B$14)))))</f>
        <v/>
      </c>
      <c r="W129" s="55" t="str">
        <f aca="false">IF(OR(ISBLANK($C129), SUMPRODUCT(--(P129:T129&lt;&gt;""))=0), "", IF(V129&lt;&gt;Constants!$B$14, V129, IF(AND(NOT(ISBLANK(J129)),P129,Q129,R129&lt;&gt;Constants!$B$2), Constants!$B$7, IF(AND(P129,OR(NOT(Q129),R129=Constants!$B$2)), Constants!$B$8, "Error"))))</f>
        <v/>
      </c>
      <c r="X129" s="56" t="str">
        <f aca="false">IF(OR(W129=Constants!$B$7,W129=Constants!$B$8), MAX(0, MIN(Constants!$B$6, S129))+IF(AND(R129=Constants!$B$4, NOT(U129)), Constants!$B$5, 0), "")</f>
        <v/>
      </c>
      <c r="Y129" s="55" t="str">
        <f aca="false">IF(ISBLANK($C129),"",IF(AND(ISNUMBER(X129),N129&gt;0),X129/N129, "") )</f>
        <v/>
      </c>
      <c r="Z129" s="55" t="str">
        <f aca="false">IF(AND(NOT(ISBLANK($C129)), W129=Constants!$B$7), Y129, "")</f>
        <v/>
      </c>
      <c r="AA129" s="55" t="str">
        <f aca="false">IF(ISNUMBER(Z129), RANK(Z129,Z$8:Z$507), "")</f>
        <v/>
      </c>
      <c r="AB129" s="55" t="str">
        <f aca="false">IF(AND(NOT(ISBLANK($C129)), W129=Constants!$B$8), Y129, "")</f>
        <v/>
      </c>
      <c r="AC129" s="55" t="str">
        <f aca="false">IF(ISNUMBER(AB129), RANK(AB129,AB$8:AB$507), "")</f>
        <v/>
      </c>
      <c r="AD129" s="55" t="str">
        <f aca="false">IF(ISBLANK($C129),"",IF(V129&lt;&gt;Constants!$B$14, V129, IF(W129=Constants!$B$7, AA129, IF(W129=Constants!$B$8, COUNT($AA$8:$AA$507) + AC129, ""))))</f>
        <v/>
      </c>
      <c r="AE129" s="55" t="str">
        <f aca="false">N129</f>
        <v/>
      </c>
      <c r="AF129" s="55" t="str">
        <f aca="false">IF(ISNUMBER(AE129), RANK(AE129,AE$8:AE$507,1), "")</f>
        <v/>
      </c>
      <c r="AG129" s="57" t="str">
        <f aca="false">IF(ISBLANK(C129), "", ABS(M129-S129))</f>
        <v/>
      </c>
      <c r="AH129" s="55" t="str">
        <f aca="false">IF(ISNUMBER(AG129), RANK(AG129,AG$8:AG$507,1), "")</f>
        <v/>
      </c>
      <c r="AI129" s="55" t="str">
        <f aca="false">IF(ISBLANK(C129),"",IF(V129&lt;&gt;Constants!$B$14, V129, RANK(AD129, AD$8:AD$507, 1)+ SUMPRODUCT(--(AD$8:AD$507=AD129),--(AF129&gt;AF$8:AF$507)) + SUMPRODUCT(--(AD$8:AD$507=AD129),--(AF129=AF$8:AF$507),--(AH129&gt;AH$8:AH$507))))</f>
        <v/>
      </c>
      <c r="AJ129" s="55" t="str">
        <f aca="false">IF(ISBLANK(C129),"",IF(V129&lt;&gt;Constants!$B$14, V129, AD129-AI129))</f>
        <v/>
      </c>
      <c r="AK129" s="59"/>
      <c r="AL129" s="60" t="str">
        <f aca="false">IF(ISBLANK($C129),"",IF($V129&lt;&gt;Constants!$B$14,$V129,X129))</f>
        <v/>
      </c>
      <c r="AM129" s="60" t="str">
        <f aca="false">IF(ISBLANK($C129),"",IF($V129&lt;&gt;Constants!$B$14,$V129,N129))</f>
        <v/>
      </c>
      <c r="AN129" s="62" t="str">
        <f aca="false">IF(ISBLANK(C129),"",IF(V129&lt;&gt;Constants!$B$14, V129, IF(W129=Constants!$B$7,Z129,IF(W129=Constants!$B$8,AB129,""))))</f>
        <v/>
      </c>
      <c r="AO129" s="63" t="str">
        <f aca="false">IF(ISBLANK(C129),"",W129)</f>
        <v/>
      </c>
      <c r="AP129" s="63" t="str">
        <f aca="false">IF(ISBLANK(C129),"",AJ129)</f>
        <v/>
      </c>
      <c r="AQ129" s="63" t="str">
        <f aca="false">IF(ISBLANK(C129),"",AI129)</f>
        <v/>
      </c>
      <c r="AR129" s="64" t="str">
        <f aca="false">IF(ISBLANK(C129),
  "",
IF(AQ129=Constants!$B$11,COUNTA($C$8:$C$507)+2,IF(AQ129=Constants!$B$12,COUNTA($C$8:$C$507)+1,IF(AQ129=Constants!$B$13,COUNTA($C$8:$C$507),AQ129))))</f>
        <v/>
      </c>
      <c r="AS129" s="3"/>
      <c r="AT129" s="65" t="n">
        <f aca="false">IF(OR(ISNUMBER(AQ129),AQ129="DQ",AQ129="P",AQ129="NS"),
    1,
    0
)</f>
        <v>0</v>
      </c>
      <c r="AU129" s="65" t="n">
        <v>122</v>
      </c>
      <c r="AV129" s="65" t="str">
        <f aca="false">IF(ISBLANK($C129),
    "",
   IF(ISNUMBER(AR129),AR129+ROW($B129)/1000,"")
)</f>
        <v/>
      </c>
      <c r="AW129" s="65" t="str">
        <f aca="false">IF(ISNUMBER(AV129), RANK(AV129,AV$8:AV$507,1), "")</f>
        <v/>
      </c>
      <c r="AX129" s="65" t="str">
        <f aca="false">IF(ISBLANK($C129),
    "",
    $B129
)</f>
        <v/>
      </c>
      <c r="AY129" s="65" t="str">
        <f aca="false">IF(ISBLANK($C129),
    "",
    $C129
)</f>
        <v/>
      </c>
      <c r="AZ129" s="65" t="str">
        <f aca="false">IF(ISBLANK($C129),
    "",
    $D129
)</f>
        <v/>
      </c>
      <c r="BA129" s="65" t="str">
        <f aca="false">AO129</f>
        <v/>
      </c>
      <c r="BB129" s="66" t="str">
        <f aca="false">AN129</f>
        <v/>
      </c>
      <c r="BC129" s="65" t="str">
        <f aca="false">IF(ISBLANK($C129),
    "",
    AQ129
)</f>
        <v/>
      </c>
      <c r="BD129" s="67" t="str">
        <f aca="false">IF(AU129&gt;AT$7,
    "",
    VLOOKUP(AU129,AW$8:BC$507,7,FALSE())
)</f>
        <v/>
      </c>
      <c r="BE129" s="68" t="str">
        <f aca="false">IF(AU129&gt;AT$7,
    "",
    VLOOKUP(AU129,AW$8:BC$507,2,FALSE())
)</f>
        <v/>
      </c>
      <c r="BF129" s="68" t="str">
        <f aca="false">IF(AU129&gt;AT$7,
    "",
    VLOOKUP(AU129,AW$8:BC$507,3,FALSE())
)</f>
        <v/>
      </c>
      <c r="BG129" s="68" t="str">
        <f aca="false">IF(AU129&gt;AT$7,
    "",
    VLOOKUP(AU129,AW$8:BC$507,4,FALSE())
)</f>
        <v/>
      </c>
      <c r="BH129" s="68" t="str">
        <f aca="false">IF(AU129&gt;AT$7,
    "",
    VLOOKUP(AU129,AW$8:BC$507,5,FALSE())
)</f>
        <v/>
      </c>
      <c r="BI129" s="69" t="str">
        <f aca="false">IF(AU129&gt;AT$7,
    "",
    VLOOKUP(AU129,AW$8:BC$507,6,FALSE())
)</f>
        <v/>
      </c>
      <c r="BJ129" s="46"/>
    </row>
    <row r="130" customFormat="false" ht="15.75" hidden="false" customHeight="false" outlineLevel="0" collapsed="false">
      <c r="A130" s="3"/>
      <c r="B130" s="108"/>
      <c r="C130" s="70"/>
      <c r="D130" s="49"/>
      <c r="E130" s="109"/>
      <c r="F130" s="72"/>
      <c r="G130" s="109"/>
      <c r="H130" s="74"/>
      <c r="I130" s="104"/>
      <c r="J130" s="74"/>
      <c r="K130" s="74"/>
      <c r="L130" s="55"/>
      <c r="M130" s="55" t="str">
        <f aca="false">IF(ISBLANK($C130),"",IF(ISBLANK(E130),0,E130))</f>
        <v/>
      </c>
      <c r="N130" s="55" t="str">
        <f aca="false">IF(ISBLANK($C130),"",IF(ISBLANK(F130),0,F130))</f>
        <v/>
      </c>
      <c r="O130" s="55" t="e">
        <f aca="false">IF(AND(NOT(ISBLANK($C130)),NOT($T130),COUNTA($E130:$K130)&gt;0),ISBLANK($F130),FALSE())</f>
        <v>#VALUE!</v>
      </c>
      <c r="P130" s="55" t="str">
        <f aca="false">IF(ISBLANK($C130),"",IF(G130=Constants!$B$9, TRUE(), IF(G130=Constants!$B$10, FALSE(), TRUE())))</f>
        <v/>
      </c>
      <c r="Q130" s="55" t="str">
        <f aca="false">IF(ISBLANK($C130),"",IF(H130=Constants!$B$9, TRUE(), IF(H130=Constants!$B$10, FALSE(), TRUE())))</f>
        <v/>
      </c>
      <c r="R130" s="55" t="str">
        <f aca="false">IF(ISBLANK($C130),"",IF(ISBLANK(I130),Constants!$B$3,I130))</f>
        <v/>
      </c>
      <c r="S130" s="55" t="str">
        <f aca="false">IF(ISBLANK($C130),"",IF(ISBLANK(J130),0,MIN(J130,Constants!$B$6)))</f>
        <v/>
      </c>
      <c r="T130" s="55" t="str">
        <f aca="false">IF(ISBLANK($C130),"",IF(K130=Constants!$B$9, TRUE(), IF(K130=Constants!$B$10, FALSE(),  FALSE())))</f>
        <v/>
      </c>
      <c r="U130" s="55" t="str">
        <f aca="false">IF(ISBLANK($C130),"",AND(R130=Constants!$B$4, S130&lt;Constants!$B$6))</f>
        <v/>
      </c>
      <c r="V130" s="55" t="str">
        <f aca="false">IF(ISBLANK(C130), "", IF(T130, Constants!$B$11, IF(COUNTA(E130:K130)=0, Constants!$B$12, IF(NOT(AND(P130,S130&lt;&gt;0)), Constants!$B$13, IF(O130, Constants!$B$15, Constants!$B$14)))))</f>
        <v/>
      </c>
      <c r="W130" s="55" t="str">
        <f aca="false">IF(OR(ISBLANK($C130), SUMPRODUCT(--(P130:T130&lt;&gt;""))=0), "", IF(V130&lt;&gt;Constants!$B$14, V130, IF(AND(NOT(ISBLANK(J130)),P130,Q130,R130&lt;&gt;Constants!$B$2), Constants!$B$7, IF(AND(P130,OR(NOT(Q130),R130=Constants!$B$2)), Constants!$B$8, "Error"))))</f>
        <v/>
      </c>
      <c r="X130" s="56" t="str">
        <f aca="false">IF(OR(W130=Constants!$B$7,W130=Constants!$B$8), MAX(0, MIN(Constants!$B$6, S130))+IF(AND(R130=Constants!$B$4, NOT(U130)), Constants!$B$5, 0), "")</f>
        <v/>
      </c>
      <c r="Y130" s="55" t="str">
        <f aca="false">IF(ISBLANK($C130),"",IF(AND(ISNUMBER(X130),N130&gt;0),X130/N130, "") )</f>
        <v/>
      </c>
      <c r="Z130" s="55" t="str">
        <f aca="false">IF(AND(NOT(ISBLANK($C130)), W130=Constants!$B$7), Y130, "")</f>
        <v/>
      </c>
      <c r="AA130" s="55" t="str">
        <f aca="false">IF(ISNUMBER(Z130), RANK(Z130,Z$8:Z$507), "")</f>
        <v/>
      </c>
      <c r="AB130" s="55" t="str">
        <f aca="false">IF(AND(NOT(ISBLANK($C130)), W130=Constants!$B$8), Y130, "")</f>
        <v/>
      </c>
      <c r="AC130" s="55" t="str">
        <f aca="false">IF(ISNUMBER(AB130), RANK(AB130,AB$8:AB$507), "")</f>
        <v/>
      </c>
      <c r="AD130" s="55" t="str">
        <f aca="false">IF(ISBLANK($C130),"",IF(V130&lt;&gt;Constants!$B$14, V130, IF(W130=Constants!$B$7, AA130, IF(W130=Constants!$B$8, COUNT($AA$8:$AA$507) + AC130, ""))))</f>
        <v/>
      </c>
      <c r="AE130" s="55" t="str">
        <f aca="false">N130</f>
        <v/>
      </c>
      <c r="AF130" s="55" t="str">
        <f aca="false">IF(ISNUMBER(AE130), RANK(AE130,AE$8:AE$507,1), "")</f>
        <v/>
      </c>
      <c r="AG130" s="57" t="str">
        <f aca="false">IF(ISBLANK(C130), "", ABS(M130-S130))</f>
        <v/>
      </c>
      <c r="AH130" s="55" t="str">
        <f aca="false">IF(ISNUMBER(AG130), RANK(AG130,AG$8:AG$507,1), "")</f>
        <v/>
      </c>
      <c r="AI130" s="55" t="str">
        <f aca="false">IF(ISBLANK(C130),"",IF(V130&lt;&gt;Constants!$B$14, V130, RANK(AD130, AD$8:AD$507, 1)+ SUMPRODUCT(--(AD$8:AD$507=AD130),--(AF130&gt;AF$8:AF$507)) + SUMPRODUCT(--(AD$8:AD$507=AD130),--(AF130=AF$8:AF$507),--(AH130&gt;AH$8:AH$507))))</f>
        <v/>
      </c>
      <c r="AJ130" s="55" t="str">
        <f aca="false">IF(ISBLANK(C130),"",IF(V130&lt;&gt;Constants!$B$14, V130, AD130-AI130))</f>
        <v/>
      </c>
      <c r="AK130" s="59"/>
      <c r="AL130" s="60" t="str">
        <f aca="false">IF(ISBLANK($C130),"",IF($V130&lt;&gt;Constants!$B$14,$V130,X130))</f>
        <v/>
      </c>
      <c r="AM130" s="60" t="str">
        <f aca="false">IF(ISBLANK($C130),"",IF($V130&lt;&gt;Constants!$B$14,$V130,N130))</f>
        <v/>
      </c>
      <c r="AN130" s="62" t="str">
        <f aca="false">IF(ISBLANK(C130),"",IF(V130&lt;&gt;Constants!$B$14, V130, IF(W130=Constants!$B$7,Z130,IF(W130=Constants!$B$8,AB130,""))))</f>
        <v/>
      </c>
      <c r="AO130" s="63" t="str">
        <f aca="false">IF(ISBLANK(C130),"",W130)</f>
        <v/>
      </c>
      <c r="AP130" s="63" t="str">
        <f aca="false">IF(ISBLANK(C130),"",AJ130)</f>
        <v/>
      </c>
      <c r="AQ130" s="63" t="str">
        <f aca="false">IF(ISBLANK(C130),"",AI130)</f>
        <v/>
      </c>
      <c r="AR130" s="64" t="str">
        <f aca="false">IF(ISBLANK(C130),
  "",
IF(AQ130=Constants!$B$11,COUNTA($C$8:$C$507)+2,IF(AQ130=Constants!$B$12,COUNTA($C$8:$C$507)+1,IF(AQ130=Constants!$B$13,COUNTA($C$8:$C$507),AQ130))))</f>
        <v/>
      </c>
      <c r="AS130" s="3"/>
      <c r="AT130" s="65" t="n">
        <f aca="false">IF(OR(ISNUMBER(AQ130),AQ130="DQ",AQ130="P",AQ130="NS"),
    1,
    0
)</f>
        <v>0</v>
      </c>
      <c r="AU130" s="65" t="n">
        <v>123</v>
      </c>
      <c r="AV130" s="65" t="str">
        <f aca="false">IF(ISBLANK($C130),
    "",
   IF(ISNUMBER(AR130),AR130+ROW($B130)/1000,"")
)</f>
        <v/>
      </c>
      <c r="AW130" s="65" t="str">
        <f aca="false">IF(ISNUMBER(AV130), RANK(AV130,AV$8:AV$507,1), "")</f>
        <v/>
      </c>
      <c r="AX130" s="65" t="str">
        <f aca="false">IF(ISBLANK($C130),
    "",
    $B130
)</f>
        <v/>
      </c>
      <c r="AY130" s="65" t="str">
        <f aca="false">IF(ISBLANK($C130),
    "",
    $C130
)</f>
        <v/>
      </c>
      <c r="AZ130" s="65" t="str">
        <f aca="false">IF(ISBLANK($C130),
    "",
    $D130
)</f>
        <v/>
      </c>
      <c r="BA130" s="65" t="str">
        <f aca="false">AO130</f>
        <v/>
      </c>
      <c r="BB130" s="66" t="str">
        <f aca="false">AN130</f>
        <v/>
      </c>
      <c r="BC130" s="65" t="str">
        <f aca="false">IF(ISBLANK($C130),
    "",
    AQ130
)</f>
        <v/>
      </c>
      <c r="BD130" s="67" t="str">
        <f aca="false">IF(AU130&gt;AT$7,
    "",
    VLOOKUP(AU130,AW$8:BC$507,7,FALSE())
)</f>
        <v/>
      </c>
      <c r="BE130" s="68" t="str">
        <f aca="false">IF(AU130&gt;AT$7,
    "",
    VLOOKUP(AU130,AW$8:BC$507,2,FALSE())
)</f>
        <v/>
      </c>
      <c r="BF130" s="68" t="str">
        <f aca="false">IF(AU130&gt;AT$7,
    "",
    VLOOKUP(AU130,AW$8:BC$507,3,FALSE())
)</f>
        <v/>
      </c>
      <c r="BG130" s="68" t="str">
        <f aca="false">IF(AU130&gt;AT$7,
    "",
    VLOOKUP(AU130,AW$8:BC$507,4,FALSE())
)</f>
        <v/>
      </c>
      <c r="BH130" s="68" t="str">
        <f aca="false">IF(AU130&gt;AT$7,
    "",
    VLOOKUP(AU130,AW$8:BC$507,5,FALSE())
)</f>
        <v/>
      </c>
      <c r="BI130" s="69" t="str">
        <f aca="false">IF(AU130&gt;AT$7,
    "",
    VLOOKUP(AU130,AW$8:BC$507,6,FALSE())
)</f>
        <v/>
      </c>
      <c r="BJ130" s="46"/>
    </row>
    <row r="131" customFormat="false" ht="15.75" hidden="false" customHeight="false" outlineLevel="0" collapsed="false">
      <c r="A131" s="3"/>
      <c r="B131" s="105"/>
      <c r="C131" s="106"/>
      <c r="D131" s="99"/>
      <c r="E131" s="110"/>
      <c r="F131" s="107"/>
      <c r="G131" s="110"/>
      <c r="H131" s="103"/>
      <c r="I131" s="102"/>
      <c r="J131" s="103"/>
      <c r="K131" s="103"/>
      <c r="L131" s="85"/>
      <c r="M131" s="85" t="str">
        <f aca="false">IF(ISBLANK($C131),"",IF(ISBLANK(E131),0,E131))</f>
        <v/>
      </c>
      <c r="N131" s="85" t="str">
        <f aca="false">IF(ISBLANK($C131),"",IF(ISBLANK(F131),0,F131))</f>
        <v/>
      </c>
      <c r="O131" s="86" t="e">
        <f aca="false">IF(AND(NOT(ISBLANK($C131)),NOT($T131),COUNTA($E131:$K131)&gt;0),ISBLANK($F131),FALSE())</f>
        <v>#VALUE!</v>
      </c>
      <c r="P131" s="85" t="str">
        <f aca="false">IF(ISBLANK($C131),"",IF(G131=Constants!$B$9, TRUE(), IF(G131=Constants!$B$10, FALSE(), TRUE())))</f>
        <v/>
      </c>
      <c r="Q131" s="85" t="str">
        <f aca="false">IF(ISBLANK($C131),"",IF(H131=Constants!$B$9, TRUE(), IF(H131=Constants!$B$10, FALSE(), TRUE())))</f>
        <v/>
      </c>
      <c r="R131" s="85" t="str">
        <f aca="false">IF(ISBLANK($C131),"",IF(ISBLANK(I131),Constants!$B$3,I131))</f>
        <v/>
      </c>
      <c r="S131" s="85" t="str">
        <f aca="false">IF(ISBLANK($C131),"",IF(ISBLANK(J131),0,MIN(J131,Constants!$B$6)))</f>
        <v/>
      </c>
      <c r="T131" s="85" t="str">
        <f aca="false">IF(ISBLANK($C131),"",IF(K131=Constants!$B$9, TRUE(), IF(K131=Constants!$B$10, FALSE(),  FALSE())))</f>
        <v/>
      </c>
      <c r="U131" s="85" t="str">
        <f aca="false">IF(ISBLANK($C131),"",AND(R131=Constants!$B$4, S131&lt;Constants!$B$6))</f>
        <v/>
      </c>
      <c r="V131" s="85" t="str">
        <f aca="false">IF(ISBLANK(C131), "", IF(T131, Constants!$B$11, IF(COUNTA(E131:K131)=0, Constants!$B$12, IF(NOT(AND(P131,S131&lt;&gt;0)), Constants!$B$13, IF(O131, Constants!$B$15, Constants!$B$14)))))</f>
        <v/>
      </c>
      <c r="W131" s="85" t="str">
        <f aca="false">IF(OR(ISBLANK($C131), SUMPRODUCT(--(P131:T131&lt;&gt;""))=0), "", IF(V131&lt;&gt;Constants!$B$14, V131, IF(AND(NOT(ISBLANK(J131)),P131,Q131,R131&lt;&gt;Constants!$B$2), Constants!$B$7, IF(AND(P131,OR(NOT(Q131),R131=Constants!$B$2)), Constants!$B$8, "Error"))))</f>
        <v/>
      </c>
      <c r="X131" s="87" t="str">
        <f aca="false">IF(OR(W131=Constants!$B$7,W131=Constants!$B$8), MAX(0, MIN(Constants!$B$6, S131))+IF(AND(R131=Constants!$B$4, NOT(U131)), Constants!$B$5, 0), "")</f>
        <v/>
      </c>
      <c r="Y131" s="85" t="str">
        <f aca="false">IF(ISBLANK($C131),"",IF(AND(ISNUMBER(X131),N131&gt;0),X131/N131, "") )</f>
        <v/>
      </c>
      <c r="Z131" s="85" t="str">
        <f aca="false">IF(AND(NOT(ISBLANK($C131)), W131=Constants!$B$7), Y131, "")</f>
        <v/>
      </c>
      <c r="AA131" s="85" t="str">
        <f aca="false">IF(ISNUMBER(Z131), RANK(Z131,Z$8:Z$507), "")</f>
        <v/>
      </c>
      <c r="AB131" s="85" t="str">
        <f aca="false">IF(AND(NOT(ISBLANK($C131)), W131=Constants!$B$8), Y131, "")</f>
        <v/>
      </c>
      <c r="AC131" s="85" t="str">
        <f aca="false">IF(ISNUMBER(AB131), RANK(AB131,AB$8:AB$507), "")</f>
        <v/>
      </c>
      <c r="AD131" s="85" t="str">
        <f aca="false">IF(ISBLANK($C131),"",IF(V131&lt;&gt;Constants!$B$14, V131, IF(W131=Constants!$B$7, AA131, IF(W131=Constants!$B$8, COUNT($AA$8:$AA$507) + AC131, ""))))</f>
        <v/>
      </c>
      <c r="AE131" s="85" t="str">
        <f aca="false">N131</f>
        <v/>
      </c>
      <c r="AF131" s="85" t="str">
        <f aca="false">IF(ISNUMBER(AE131), RANK(AE131,AE$8:AE$507,1), "")</f>
        <v/>
      </c>
      <c r="AG131" s="88" t="str">
        <f aca="false">IF(ISBLANK(C131), "", ABS(M131-S131))</f>
        <v/>
      </c>
      <c r="AH131" s="85" t="str">
        <f aca="false">IF(ISNUMBER(AG131), RANK(AG131,AG$8:AG$507,1), "")</f>
        <v/>
      </c>
      <c r="AI131" s="85" t="str">
        <f aca="false">IF(ISBLANK(C131),"",IF(V131&lt;&gt;Constants!$B$14, V131, RANK(AD131, AD$8:AD$507, 1)+ SUMPRODUCT(--(AD$8:AD$507=AD131),--(AF131&gt;AF$8:AF$507)) + SUMPRODUCT(--(AD$8:AD$507=AD131),--(AF131=AF$8:AF$507),--(AH131&gt;AH$8:AH$507))))</f>
        <v/>
      </c>
      <c r="AJ131" s="85" t="str">
        <f aca="false">IF(ISBLANK(C131),"",IF(V131&lt;&gt;Constants!$B$14, V131, AD131-AI131))</f>
        <v/>
      </c>
      <c r="AK131" s="89"/>
      <c r="AL131" s="90" t="str">
        <f aca="false">IF(ISBLANK($C131),"",IF($V131&lt;&gt;Constants!$B$14,$V131,X131))</f>
        <v/>
      </c>
      <c r="AM131" s="90" t="str">
        <f aca="false">IF(ISBLANK($C131),"",IF($V131&lt;&gt;Constants!$B$14,$V131,N131))</f>
        <v/>
      </c>
      <c r="AN131" s="91" t="str">
        <f aca="false">IF(ISBLANK(C131),"",IF(V131&lt;&gt;Constants!$B$14, V131, IF(W131=Constants!$B$7,Z131,IF(W131=Constants!$B$8,AB131,""))))</f>
        <v/>
      </c>
      <c r="AO131" s="92" t="str">
        <f aca="false">IF(ISBLANK(C131),"",W131)</f>
        <v/>
      </c>
      <c r="AP131" s="92" t="str">
        <f aca="false">IF(ISBLANK(C131),"",AJ131)</f>
        <v/>
      </c>
      <c r="AQ131" s="92" t="str">
        <f aca="false">IF(ISBLANK(C131),"",AI131)</f>
        <v/>
      </c>
      <c r="AR131" s="93" t="str">
        <f aca="false">IF(ISBLANK(C131),
  "",
IF(AQ131=Constants!$B$11,COUNTA($C$8:$C$507)+2,IF(AQ131=Constants!$B$12,COUNTA($C$8:$C$507)+1,IF(AQ131=Constants!$B$13,COUNTA($C$8:$C$507),AQ131))))</f>
        <v/>
      </c>
      <c r="AS131" s="3"/>
      <c r="AT131" s="94" t="n">
        <f aca="false">IF(OR(ISNUMBER(AQ131),AQ131="DQ",AQ131="P",AQ131="NS"),
    1,
    0
)</f>
        <v>0</v>
      </c>
      <c r="AU131" s="94" t="n">
        <v>124</v>
      </c>
      <c r="AV131" s="94" t="str">
        <f aca="false">IF(ISBLANK($C131),
    "",
   IF(ISNUMBER(AR131),AR131+ROW($B131)/1000,"")
)</f>
        <v/>
      </c>
      <c r="AW131" s="94" t="str">
        <f aca="false">IF(ISNUMBER(AV131), RANK(AV131,AV$8:AV$507,1), "")</f>
        <v/>
      </c>
      <c r="AX131" s="94" t="str">
        <f aca="false">IF(ISBLANK($C131),
    "",
    $B131
)</f>
        <v/>
      </c>
      <c r="AY131" s="94" t="str">
        <f aca="false">IF(ISBLANK($C131),
    "",
    $C131
)</f>
        <v/>
      </c>
      <c r="AZ131" s="94" t="str">
        <f aca="false">IF(ISBLANK($C131),
    "",
    $D131
)</f>
        <v/>
      </c>
      <c r="BA131" s="94" t="str">
        <f aca="false">AO131</f>
        <v/>
      </c>
      <c r="BB131" s="95" t="str">
        <f aca="false">AN131</f>
        <v/>
      </c>
      <c r="BC131" s="94" t="str">
        <f aca="false">IF(ISBLANK($C131),
    "",
    AQ131
)</f>
        <v/>
      </c>
      <c r="BD131" s="96" t="str">
        <f aca="false">IF(AU131&gt;AT$7,
    "",
    VLOOKUP(AU131,AW$8:BC$507,7,FALSE())
)</f>
        <v/>
      </c>
      <c r="BE131" s="97" t="str">
        <f aca="false">IF(AU131&gt;AT$7,
    "",
    VLOOKUP(AU131,AW$8:BC$507,2,FALSE())
)</f>
        <v/>
      </c>
      <c r="BF131" s="97" t="str">
        <f aca="false">IF(AU131&gt;AT$7,
    "",
    VLOOKUP(AU131,AW$8:BC$507,3,FALSE())
)</f>
        <v/>
      </c>
      <c r="BG131" s="97" t="str">
        <f aca="false">IF(AU131&gt;AT$7,
    "",
    VLOOKUP(AU131,AW$8:BC$507,4,FALSE())
)</f>
        <v/>
      </c>
      <c r="BH131" s="97" t="str">
        <f aca="false">IF(AU131&gt;AT$7,
    "",
    VLOOKUP(AU131,AW$8:BC$507,5,FALSE())
)</f>
        <v/>
      </c>
      <c r="BI131" s="98" t="str">
        <f aca="false">IF(AU131&gt;AT$7,
    "",
    VLOOKUP(AU131,AW$8:BC$507,6,FALSE())
)</f>
        <v/>
      </c>
      <c r="BJ131" s="46"/>
    </row>
    <row r="132" customFormat="false" ht="15.75" hidden="false" customHeight="false" outlineLevel="0" collapsed="false">
      <c r="A132" s="3"/>
      <c r="B132" s="105"/>
      <c r="C132" s="106"/>
      <c r="D132" s="99"/>
      <c r="E132" s="110"/>
      <c r="F132" s="107"/>
      <c r="G132" s="110"/>
      <c r="H132" s="103"/>
      <c r="I132" s="102"/>
      <c r="J132" s="103"/>
      <c r="K132" s="103"/>
      <c r="L132" s="85"/>
      <c r="M132" s="85" t="str">
        <f aca="false">IF(ISBLANK($C132),"",IF(ISBLANK(E132),0,E132))</f>
        <v/>
      </c>
      <c r="N132" s="85" t="str">
        <f aca="false">IF(ISBLANK($C132),"",IF(ISBLANK(F132),0,F132))</f>
        <v/>
      </c>
      <c r="O132" s="86" t="e">
        <f aca="false">IF(AND(NOT(ISBLANK($C132)),NOT($T132),COUNTA($E132:$K132)&gt;0),ISBLANK($F132),FALSE())</f>
        <v>#VALUE!</v>
      </c>
      <c r="P132" s="85" t="str">
        <f aca="false">IF(ISBLANK($C132),"",IF(G132=Constants!$B$9, TRUE(), IF(G132=Constants!$B$10, FALSE(), TRUE())))</f>
        <v/>
      </c>
      <c r="Q132" s="85" t="str">
        <f aca="false">IF(ISBLANK($C132),"",IF(H132=Constants!$B$9, TRUE(), IF(H132=Constants!$B$10, FALSE(), TRUE())))</f>
        <v/>
      </c>
      <c r="R132" s="85" t="str">
        <f aca="false">IF(ISBLANK($C132),"",IF(ISBLANK(I132),Constants!$B$3,I132))</f>
        <v/>
      </c>
      <c r="S132" s="85" t="str">
        <f aca="false">IF(ISBLANK($C132),"",IF(ISBLANK(J132),0,MIN(J132,Constants!$B$6)))</f>
        <v/>
      </c>
      <c r="T132" s="85" t="str">
        <f aca="false">IF(ISBLANK($C132),"",IF(K132=Constants!$B$9, TRUE(), IF(K132=Constants!$B$10, FALSE(),  FALSE())))</f>
        <v/>
      </c>
      <c r="U132" s="85" t="str">
        <f aca="false">IF(ISBLANK($C132),"",AND(R132=Constants!$B$4, S132&lt;Constants!$B$6))</f>
        <v/>
      </c>
      <c r="V132" s="85" t="str">
        <f aca="false">IF(ISBLANK(C132), "", IF(T132, Constants!$B$11, IF(COUNTA(E132:K132)=0, Constants!$B$12, IF(NOT(AND(P132,S132&lt;&gt;0)), Constants!$B$13, IF(O132, Constants!$B$15, Constants!$B$14)))))</f>
        <v/>
      </c>
      <c r="W132" s="85" t="str">
        <f aca="false">IF(OR(ISBLANK($C132), SUMPRODUCT(--(P132:T132&lt;&gt;""))=0), "", IF(V132&lt;&gt;Constants!$B$14, V132, IF(AND(NOT(ISBLANK(J132)),P132,Q132,R132&lt;&gt;Constants!$B$2), Constants!$B$7, IF(AND(P132,OR(NOT(Q132),R132=Constants!$B$2)), Constants!$B$8, "Error"))))</f>
        <v/>
      </c>
      <c r="X132" s="87" t="str">
        <f aca="false">IF(OR(W132=Constants!$B$7,W132=Constants!$B$8), MAX(0, MIN(Constants!$B$6, S132))+IF(AND(R132=Constants!$B$4, NOT(U132)), Constants!$B$5, 0), "")</f>
        <v/>
      </c>
      <c r="Y132" s="85" t="str">
        <f aca="false">IF(ISBLANK($C132),"",IF(AND(ISNUMBER(X132),N132&gt;0),X132/N132, "") )</f>
        <v/>
      </c>
      <c r="Z132" s="85" t="str">
        <f aca="false">IF(AND(NOT(ISBLANK($C132)), W132=Constants!$B$7), Y132, "")</f>
        <v/>
      </c>
      <c r="AA132" s="85" t="str">
        <f aca="false">IF(ISNUMBER(Z132), RANK(Z132,Z$8:Z$507), "")</f>
        <v/>
      </c>
      <c r="AB132" s="85" t="str">
        <f aca="false">IF(AND(NOT(ISBLANK($C132)), W132=Constants!$B$8), Y132, "")</f>
        <v/>
      </c>
      <c r="AC132" s="85" t="str">
        <f aca="false">IF(ISNUMBER(AB132), RANK(AB132,AB$8:AB$507), "")</f>
        <v/>
      </c>
      <c r="AD132" s="85" t="str">
        <f aca="false">IF(ISBLANK($C132),"",IF(V132&lt;&gt;Constants!$B$14, V132, IF(W132=Constants!$B$7, AA132, IF(W132=Constants!$B$8, COUNT($AA$8:$AA$507) + AC132, ""))))</f>
        <v/>
      </c>
      <c r="AE132" s="85" t="str">
        <f aca="false">N132</f>
        <v/>
      </c>
      <c r="AF132" s="85" t="str">
        <f aca="false">IF(ISNUMBER(AE132), RANK(AE132,AE$8:AE$507,1), "")</f>
        <v/>
      </c>
      <c r="AG132" s="88" t="str">
        <f aca="false">IF(ISBLANK(C132), "", ABS(M132-S132))</f>
        <v/>
      </c>
      <c r="AH132" s="85" t="str">
        <f aca="false">IF(ISNUMBER(AG132), RANK(AG132,AG$8:AG$507,1), "")</f>
        <v/>
      </c>
      <c r="AI132" s="85" t="str">
        <f aca="false">IF(ISBLANK(C132),"",IF(V132&lt;&gt;Constants!$B$14, V132, RANK(AD132, AD$8:AD$507, 1)+ SUMPRODUCT(--(AD$8:AD$507=AD132),--(AF132&gt;AF$8:AF$507)) + SUMPRODUCT(--(AD$8:AD$507=AD132),--(AF132=AF$8:AF$507),--(AH132&gt;AH$8:AH$507))))</f>
        <v/>
      </c>
      <c r="AJ132" s="85" t="str">
        <f aca="false">IF(ISBLANK(C132),"",IF(V132&lt;&gt;Constants!$B$14, V132, AD132-AI132))</f>
        <v/>
      </c>
      <c r="AK132" s="89"/>
      <c r="AL132" s="90" t="str">
        <f aca="false">IF(ISBLANK($C132),"",IF($V132&lt;&gt;Constants!$B$14,$V132,X132))</f>
        <v/>
      </c>
      <c r="AM132" s="90" t="str">
        <f aca="false">IF(ISBLANK($C132),"",IF($V132&lt;&gt;Constants!$B$14,$V132,N132))</f>
        <v/>
      </c>
      <c r="AN132" s="91" t="str">
        <f aca="false">IF(ISBLANK(C132),"",IF(V132&lt;&gt;Constants!$B$14, V132, IF(W132=Constants!$B$7,Z132,IF(W132=Constants!$B$8,AB132,""))))</f>
        <v/>
      </c>
      <c r="AO132" s="92" t="str">
        <f aca="false">IF(ISBLANK(C132),"",W132)</f>
        <v/>
      </c>
      <c r="AP132" s="92" t="str">
        <f aca="false">IF(ISBLANK(C132),"",AJ132)</f>
        <v/>
      </c>
      <c r="AQ132" s="92" t="str">
        <f aca="false">IF(ISBLANK(C132),"",AI132)</f>
        <v/>
      </c>
      <c r="AR132" s="93" t="str">
        <f aca="false">IF(ISBLANK(C132),
  "",
IF(AQ132=Constants!$B$11,COUNTA($C$8:$C$507)+2,IF(AQ132=Constants!$B$12,COUNTA($C$8:$C$507)+1,IF(AQ132=Constants!$B$13,COUNTA($C$8:$C$507),AQ132))))</f>
        <v/>
      </c>
      <c r="AS132" s="3"/>
      <c r="AT132" s="94" t="n">
        <f aca="false">IF(OR(ISNUMBER(AQ132),AQ132="DQ",AQ132="P",AQ132="NS"),
    1,
    0
)</f>
        <v>0</v>
      </c>
      <c r="AU132" s="94" t="n">
        <v>125</v>
      </c>
      <c r="AV132" s="94" t="str">
        <f aca="false">IF(ISBLANK($C132),
    "",
   IF(ISNUMBER(AR132),AR132+ROW($B132)/1000,"")
)</f>
        <v/>
      </c>
      <c r="AW132" s="94" t="str">
        <f aca="false">IF(ISNUMBER(AV132), RANK(AV132,AV$8:AV$507,1), "")</f>
        <v/>
      </c>
      <c r="AX132" s="94" t="str">
        <f aca="false">IF(ISBLANK($C132),
    "",
    $B132
)</f>
        <v/>
      </c>
      <c r="AY132" s="94" t="str">
        <f aca="false">IF(ISBLANK($C132),
    "",
    $C132
)</f>
        <v/>
      </c>
      <c r="AZ132" s="94" t="str">
        <f aca="false">IF(ISBLANK($C132),
    "",
    $D132
)</f>
        <v/>
      </c>
      <c r="BA132" s="94" t="str">
        <f aca="false">AO132</f>
        <v/>
      </c>
      <c r="BB132" s="95" t="str">
        <f aca="false">AN132</f>
        <v/>
      </c>
      <c r="BC132" s="94" t="str">
        <f aca="false">IF(ISBLANK($C132),
    "",
    AQ132
)</f>
        <v/>
      </c>
      <c r="BD132" s="96" t="str">
        <f aca="false">IF(AU132&gt;AT$7,
    "",
    VLOOKUP(AU132,AW$8:BC$507,7,FALSE())
)</f>
        <v/>
      </c>
      <c r="BE132" s="97" t="str">
        <f aca="false">IF(AU132&gt;AT$7,
    "",
    VLOOKUP(AU132,AW$8:BC$507,2,FALSE())
)</f>
        <v/>
      </c>
      <c r="BF132" s="97" t="str">
        <f aca="false">IF(AU132&gt;AT$7,
    "",
    VLOOKUP(AU132,AW$8:BC$507,3,FALSE())
)</f>
        <v/>
      </c>
      <c r="BG132" s="97" t="str">
        <f aca="false">IF(AU132&gt;AT$7,
    "",
    VLOOKUP(AU132,AW$8:BC$507,4,FALSE())
)</f>
        <v/>
      </c>
      <c r="BH132" s="97" t="str">
        <f aca="false">IF(AU132&gt;AT$7,
    "",
    VLOOKUP(AU132,AW$8:BC$507,5,FALSE())
)</f>
        <v/>
      </c>
      <c r="BI132" s="98" t="str">
        <f aca="false">IF(AU132&gt;AT$7,
    "",
    VLOOKUP(AU132,AW$8:BC$507,6,FALSE())
)</f>
        <v/>
      </c>
      <c r="BJ132" s="46"/>
    </row>
    <row r="133" customFormat="false" ht="15.75" hidden="false" customHeight="false" outlineLevel="0" collapsed="false">
      <c r="A133" s="3"/>
      <c r="B133" s="105"/>
      <c r="C133" s="106"/>
      <c r="D133" s="99"/>
      <c r="E133" s="110"/>
      <c r="F133" s="107"/>
      <c r="G133" s="110"/>
      <c r="H133" s="103"/>
      <c r="I133" s="102"/>
      <c r="J133" s="103"/>
      <c r="K133" s="103"/>
      <c r="L133" s="85"/>
      <c r="M133" s="85" t="str">
        <f aca="false">IF(ISBLANK($C133),"",IF(ISBLANK(E133),0,E133))</f>
        <v/>
      </c>
      <c r="N133" s="85" t="str">
        <f aca="false">IF(ISBLANK($C133),"",IF(ISBLANK(F133),0,F133))</f>
        <v/>
      </c>
      <c r="O133" s="86" t="e">
        <f aca="false">IF(AND(NOT(ISBLANK($C133)),NOT($T133),COUNTA($E133:$K133)&gt;0),ISBLANK($F133),FALSE())</f>
        <v>#VALUE!</v>
      </c>
      <c r="P133" s="85" t="str">
        <f aca="false">IF(ISBLANK($C133),"",IF(G133=Constants!$B$9, TRUE(), IF(G133=Constants!$B$10, FALSE(), TRUE())))</f>
        <v/>
      </c>
      <c r="Q133" s="85" t="str">
        <f aca="false">IF(ISBLANK($C133),"",IF(H133=Constants!$B$9, TRUE(), IF(H133=Constants!$B$10, FALSE(), TRUE())))</f>
        <v/>
      </c>
      <c r="R133" s="85" t="str">
        <f aca="false">IF(ISBLANK($C133),"",IF(ISBLANK(I133),Constants!$B$3,I133))</f>
        <v/>
      </c>
      <c r="S133" s="85" t="str">
        <f aca="false">IF(ISBLANK($C133),"",IF(ISBLANK(J133),0,MIN(J133,Constants!$B$6)))</f>
        <v/>
      </c>
      <c r="T133" s="85" t="str">
        <f aca="false">IF(ISBLANK($C133),"",IF(K133=Constants!$B$9, TRUE(), IF(K133=Constants!$B$10, FALSE(),  FALSE())))</f>
        <v/>
      </c>
      <c r="U133" s="85" t="str">
        <f aca="false">IF(ISBLANK($C133),"",AND(R133=Constants!$B$4, S133&lt;Constants!$B$6))</f>
        <v/>
      </c>
      <c r="V133" s="85" t="str">
        <f aca="false">IF(ISBLANK(C133), "", IF(T133, Constants!$B$11, IF(COUNTA(E133:K133)=0, Constants!$B$12, IF(NOT(AND(P133,S133&lt;&gt;0)), Constants!$B$13, IF(O133, Constants!$B$15, Constants!$B$14)))))</f>
        <v/>
      </c>
      <c r="W133" s="85" t="str">
        <f aca="false">IF(OR(ISBLANK($C133), SUMPRODUCT(--(P133:T133&lt;&gt;""))=0), "", IF(V133&lt;&gt;Constants!$B$14, V133, IF(AND(NOT(ISBLANK(J133)),P133,Q133,R133&lt;&gt;Constants!$B$2), Constants!$B$7, IF(AND(P133,OR(NOT(Q133),R133=Constants!$B$2)), Constants!$B$8, "Error"))))</f>
        <v/>
      </c>
      <c r="X133" s="87" t="str">
        <f aca="false">IF(OR(W133=Constants!$B$7,W133=Constants!$B$8), MAX(0, MIN(Constants!$B$6, S133))+IF(AND(R133=Constants!$B$4, NOT(U133)), Constants!$B$5, 0), "")</f>
        <v/>
      </c>
      <c r="Y133" s="85" t="str">
        <f aca="false">IF(ISBLANK($C133),"",IF(AND(ISNUMBER(X133),N133&gt;0),X133/N133, "") )</f>
        <v/>
      </c>
      <c r="Z133" s="85" t="str">
        <f aca="false">IF(AND(NOT(ISBLANK($C133)), W133=Constants!$B$7), Y133, "")</f>
        <v/>
      </c>
      <c r="AA133" s="85" t="str">
        <f aca="false">IF(ISNUMBER(Z133), RANK(Z133,Z$8:Z$507), "")</f>
        <v/>
      </c>
      <c r="AB133" s="85" t="str">
        <f aca="false">IF(AND(NOT(ISBLANK($C133)), W133=Constants!$B$8), Y133, "")</f>
        <v/>
      </c>
      <c r="AC133" s="85" t="str">
        <f aca="false">IF(ISNUMBER(AB133), RANK(AB133,AB$8:AB$507), "")</f>
        <v/>
      </c>
      <c r="AD133" s="85" t="str">
        <f aca="false">IF(ISBLANK($C133),"",IF(V133&lt;&gt;Constants!$B$14, V133, IF(W133=Constants!$B$7, AA133, IF(W133=Constants!$B$8, COUNT($AA$8:$AA$507) + AC133, ""))))</f>
        <v/>
      </c>
      <c r="AE133" s="85" t="str">
        <f aca="false">N133</f>
        <v/>
      </c>
      <c r="AF133" s="85" t="str">
        <f aca="false">IF(ISNUMBER(AE133), RANK(AE133,AE$8:AE$507,1), "")</f>
        <v/>
      </c>
      <c r="AG133" s="88" t="str">
        <f aca="false">IF(ISBLANK(C133), "", ABS(M133-S133))</f>
        <v/>
      </c>
      <c r="AH133" s="85" t="str">
        <f aca="false">IF(ISNUMBER(AG133), RANK(AG133,AG$8:AG$507,1), "")</f>
        <v/>
      </c>
      <c r="AI133" s="85" t="str">
        <f aca="false">IF(ISBLANK(C133),"",IF(V133&lt;&gt;Constants!$B$14, V133, RANK(AD133, AD$8:AD$507, 1)+ SUMPRODUCT(--(AD$8:AD$507=AD133),--(AF133&gt;AF$8:AF$507)) + SUMPRODUCT(--(AD$8:AD$507=AD133),--(AF133=AF$8:AF$507),--(AH133&gt;AH$8:AH$507))))</f>
        <v/>
      </c>
      <c r="AJ133" s="85" t="str">
        <f aca="false">IF(ISBLANK(C133),"",IF(V133&lt;&gt;Constants!$B$14, V133, AD133-AI133))</f>
        <v/>
      </c>
      <c r="AK133" s="89"/>
      <c r="AL133" s="90" t="str">
        <f aca="false">IF(ISBLANK($C133),"",IF($V133&lt;&gt;Constants!$B$14,$V133,X133))</f>
        <v/>
      </c>
      <c r="AM133" s="90" t="str">
        <f aca="false">IF(ISBLANK($C133),"",IF($V133&lt;&gt;Constants!$B$14,$V133,N133))</f>
        <v/>
      </c>
      <c r="AN133" s="91" t="str">
        <f aca="false">IF(ISBLANK(C133),"",IF(V133&lt;&gt;Constants!$B$14, V133, IF(W133=Constants!$B$7,Z133,IF(W133=Constants!$B$8,AB133,""))))</f>
        <v/>
      </c>
      <c r="AO133" s="92" t="str">
        <f aca="false">IF(ISBLANK(C133),"",W133)</f>
        <v/>
      </c>
      <c r="AP133" s="92" t="str">
        <f aca="false">IF(ISBLANK(C133),"",AJ133)</f>
        <v/>
      </c>
      <c r="AQ133" s="92" t="str">
        <f aca="false">IF(ISBLANK(C133),"",AI133)</f>
        <v/>
      </c>
      <c r="AR133" s="93" t="str">
        <f aca="false">IF(ISBLANK(C133),
  "",
IF(AQ133=Constants!$B$11,COUNTA($C$8:$C$507)+2,IF(AQ133=Constants!$B$12,COUNTA($C$8:$C$507)+1,IF(AQ133=Constants!$B$13,COUNTA($C$8:$C$507),AQ133))))</f>
        <v/>
      </c>
      <c r="AS133" s="3"/>
      <c r="AT133" s="94" t="n">
        <f aca="false">IF(OR(ISNUMBER(AQ133),AQ133="DQ",AQ133="P",AQ133="NS"),
    1,
    0
)</f>
        <v>0</v>
      </c>
      <c r="AU133" s="94" t="n">
        <v>126</v>
      </c>
      <c r="AV133" s="94" t="str">
        <f aca="false">IF(ISBLANK($C133),
    "",
   IF(ISNUMBER(AR133),AR133+ROW($B133)/1000,"")
)</f>
        <v/>
      </c>
      <c r="AW133" s="94" t="str">
        <f aca="false">IF(ISNUMBER(AV133), RANK(AV133,AV$8:AV$507,1), "")</f>
        <v/>
      </c>
      <c r="AX133" s="94" t="str">
        <f aca="false">IF(ISBLANK($C133),
    "",
    $B133
)</f>
        <v/>
      </c>
      <c r="AY133" s="94" t="str">
        <f aca="false">IF(ISBLANK($C133),
    "",
    $C133
)</f>
        <v/>
      </c>
      <c r="AZ133" s="94" t="str">
        <f aca="false">IF(ISBLANK($C133),
    "",
    $D133
)</f>
        <v/>
      </c>
      <c r="BA133" s="94" t="str">
        <f aca="false">AO133</f>
        <v/>
      </c>
      <c r="BB133" s="95" t="str">
        <f aca="false">AN133</f>
        <v/>
      </c>
      <c r="BC133" s="94" t="str">
        <f aca="false">IF(ISBLANK($C133),
    "",
    AQ133
)</f>
        <v/>
      </c>
      <c r="BD133" s="96" t="str">
        <f aca="false">IF(AU133&gt;AT$7,
    "",
    VLOOKUP(AU133,AW$8:BC$507,7,FALSE())
)</f>
        <v/>
      </c>
      <c r="BE133" s="97" t="str">
        <f aca="false">IF(AU133&gt;AT$7,
    "",
    VLOOKUP(AU133,AW$8:BC$507,2,FALSE())
)</f>
        <v/>
      </c>
      <c r="BF133" s="97" t="str">
        <f aca="false">IF(AU133&gt;AT$7,
    "",
    VLOOKUP(AU133,AW$8:BC$507,3,FALSE())
)</f>
        <v/>
      </c>
      <c r="BG133" s="97" t="str">
        <f aca="false">IF(AU133&gt;AT$7,
    "",
    VLOOKUP(AU133,AW$8:BC$507,4,FALSE())
)</f>
        <v/>
      </c>
      <c r="BH133" s="97" t="str">
        <f aca="false">IF(AU133&gt;AT$7,
    "",
    VLOOKUP(AU133,AW$8:BC$507,5,FALSE())
)</f>
        <v/>
      </c>
      <c r="BI133" s="98" t="str">
        <f aca="false">IF(AU133&gt;AT$7,
    "",
    VLOOKUP(AU133,AW$8:BC$507,6,FALSE())
)</f>
        <v/>
      </c>
      <c r="BJ133" s="46"/>
    </row>
    <row r="134" customFormat="false" ht="15.75" hidden="false" customHeight="false" outlineLevel="0" collapsed="false">
      <c r="A134" s="3"/>
      <c r="B134" s="108"/>
      <c r="C134" s="70"/>
      <c r="D134" s="49"/>
      <c r="E134" s="109"/>
      <c r="F134" s="72"/>
      <c r="G134" s="109"/>
      <c r="H134" s="74"/>
      <c r="I134" s="104"/>
      <c r="J134" s="74"/>
      <c r="K134" s="74"/>
      <c r="L134" s="55"/>
      <c r="M134" s="55" t="str">
        <f aca="false">IF(ISBLANK($C134),"",IF(ISBLANK(E134),0,E134))</f>
        <v/>
      </c>
      <c r="N134" s="55" t="str">
        <f aca="false">IF(ISBLANK($C134),"",IF(ISBLANK(F134),0,F134))</f>
        <v/>
      </c>
      <c r="O134" s="55" t="e">
        <f aca="false">IF(AND(NOT(ISBLANK($C134)),NOT($T134),COUNTA($E134:$K134)&gt;0),ISBLANK($F134),FALSE())</f>
        <v>#VALUE!</v>
      </c>
      <c r="P134" s="55" t="str">
        <f aca="false">IF(ISBLANK($C134),"",IF(G134=Constants!$B$9, TRUE(), IF(G134=Constants!$B$10, FALSE(), TRUE())))</f>
        <v/>
      </c>
      <c r="Q134" s="55" t="str">
        <f aca="false">IF(ISBLANK($C134),"",IF(H134=Constants!$B$9, TRUE(), IF(H134=Constants!$B$10, FALSE(), TRUE())))</f>
        <v/>
      </c>
      <c r="R134" s="55" t="str">
        <f aca="false">IF(ISBLANK($C134),"",IF(ISBLANK(I134),Constants!$B$3,I134))</f>
        <v/>
      </c>
      <c r="S134" s="55" t="str">
        <f aca="false">IF(ISBLANK($C134),"",IF(ISBLANK(J134),0,MIN(J134,Constants!$B$6)))</f>
        <v/>
      </c>
      <c r="T134" s="55" t="str">
        <f aca="false">IF(ISBLANK($C134),"",IF(K134=Constants!$B$9, TRUE(), IF(K134=Constants!$B$10, FALSE(),  FALSE())))</f>
        <v/>
      </c>
      <c r="U134" s="55" t="str">
        <f aca="false">IF(ISBLANK($C134),"",AND(R134=Constants!$B$4, S134&lt;Constants!$B$6))</f>
        <v/>
      </c>
      <c r="V134" s="55" t="str">
        <f aca="false">IF(ISBLANK(C134), "", IF(T134, Constants!$B$11, IF(COUNTA(E134:K134)=0, Constants!$B$12, IF(NOT(AND(P134,S134&lt;&gt;0)), Constants!$B$13, IF(O134, Constants!$B$15, Constants!$B$14)))))</f>
        <v/>
      </c>
      <c r="W134" s="55" t="str">
        <f aca="false">IF(OR(ISBLANK($C134), SUMPRODUCT(--(P134:T134&lt;&gt;""))=0), "", IF(V134&lt;&gt;Constants!$B$14, V134, IF(AND(NOT(ISBLANK(J134)),P134,Q134,R134&lt;&gt;Constants!$B$2), Constants!$B$7, IF(AND(P134,OR(NOT(Q134),R134=Constants!$B$2)), Constants!$B$8, "Error"))))</f>
        <v/>
      </c>
      <c r="X134" s="56" t="str">
        <f aca="false">IF(OR(W134=Constants!$B$7,W134=Constants!$B$8), MAX(0, MIN(Constants!$B$6, S134))+IF(AND(R134=Constants!$B$4, NOT(U134)), Constants!$B$5, 0), "")</f>
        <v/>
      </c>
      <c r="Y134" s="55" t="str">
        <f aca="false">IF(ISBLANK($C134),"",IF(AND(ISNUMBER(X134),N134&gt;0),X134/N134, "") )</f>
        <v/>
      </c>
      <c r="Z134" s="55" t="str">
        <f aca="false">IF(AND(NOT(ISBLANK($C134)), W134=Constants!$B$7), Y134, "")</f>
        <v/>
      </c>
      <c r="AA134" s="55" t="str">
        <f aca="false">IF(ISNUMBER(Z134), RANK(Z134,Z$8:Z$507), "")</f>
        <v/>
      </c>
      <c r="AB134" s="55" t="str">
        <f aca="false">IF(AND(NOT(ISBLANK($C134)), W134=Constants!$B$8), Y134, "")</f>
        <v/>
      </c>
      <c r="AC134" s="55" t="str">
        <f aca="false">IF(ISNUMBER(AB134), RANK(AB134,AB$8:AB$507), "")</f>
        <v/>
      </c>
      <c r="AD134" s="55" t="str">
        <f aca="false">IF(ISBLANK($C134),"",IF(V134&lt;&gt;Constants!$B$14, V134, IF(W134=Constants!$B$7, AA134, IF(W134=Constants!$B$8, COUNT($AA$8:$AA$507) + AC134, ""))))</f>
        <v/>
      </c>
      <c r="AE134" s="55" t="str">
        <f aca="false">N134</f>
        <v/>
      </c>
      <c r="AF134" s="55" t="str">
        <f aca="false">IF(ISNUMBER(AE134), RANK(AE134,AE$8:AE$507,1), "")</f>
        <v/>
      </c>
      <c r="AG134" s="57" t="str">
        <f aca="false">IF(ISBLANK(C134), "", ABS(M134-S134))</f>
        <v/>
      </c>
      <c r="AH134" s="55" t="str">
        <f aca="false">IF(ISNUMBER(AG134), RANK(AG134,AG$8:AG$507,1), "")</f>
        <v/>
      </c>
      <c r="AI134" s="55" t="str">
        <f aca="false">IF(ISBLANK(C134),"",IF(V134&lt;&gt;Constants!$B$14, V134, RANK(AD134, AD$8:AD$507, 1)+ SUMPRODUCT(--(AD$8:AD$507=AD134),--(AF134&gt;AF$8:AF$507)) + SUMPRODUCT(--(AD$8:AD$507=AD134),--(AF134=AF$8:AF$507),--(AH134&gt;AH$8:AH$507))))</f>
        <v/>
      </c>
      <c r="AJ134" s="55" t="str">
        <f aca="false">IF(ISBLANK(C134),"",IF(V134&lt;&gt;Constants!$B$14, V134, AD134-AI134))</f>
        <v/>
      </c>
      <c r="AK134" s="59"/>
      <c r="AL134" s="60" t="str">
        <f aca="false">IF(ISBLANK($C134),"",IF($V134&lt;&gt;Constants!$B$14,$V134,X134))</f>
        <v/>
      </c>
      <c r="AM134" s="60" t="str">
        <f aca="false">IF(ISBLANK($C134),"",IF($V134&lt;&gt;Constants!$B$14,$V134,N134))</f>
        <v/>
      </c>
      <c r="AN134" s="62" t="str">
        <f aca="false">IF(ISBLANK(C134),"",IF(V134&lt;&gt;Constants!$B$14, V134, IF(W134=Constants!$B$7,Z134,IF(W134=Constants!$B$8,AB134,""))))</f>
        <v/>
      </c>
      <c r="AO134" s="63" t="str">
        <f aca="false">IF(ISBLANK(C134),"",W134)</f>
        <v/>
      </c>
      <c r="AP134" s="63" t="str">
        <f aca="false">IF(ISBLANK(C134),"",AJ134)</f>
        <v/>
      </c>
      <c r="AQ134" s="63" t="str">
        <f aca="false">IF(ISBLANK(C134),"",AI134)</f>
        <v/>
      </c>
      <c r="AR134" s="64" t="str">
        <f aca="false">IF(ISBLANK(C134),
  "",
IF(AQ134=Constants!$B$11,COUNTA($C$8:$C$507)+2,IF(AQ134=Constants!$B$12,COUNTA($C$8:$C$507)+1,IF(AQ134=Constants!$B$13,COUNTA($C$8:$C$507),AQ134))))</f>
        <v/>
      </c>
      <c r="AS134" s="3"/>
      <c r="AT134" s="65" t="n">
        <f aca="false">IF(OR(ISNUMBER(AQ134),AQ134="DQ",AQ134="P",AQ134="NS"),
    1,
    0
)</f>
        <v>0</v>
      </c>
      <c r="AU134" s="65" t="n">
        <v>127</v>
      </c>
      <c r="AV134" s="65" t="str">
        <f aca="false">IF(ISBLANK($C134),
    "",
   IF(ISNUMBER(AR134),AR134+ROW($B134)/1000,"")
)</f>
        <v/>
      </c>
      <c r="AW134" s="65" t="str">
        <f aca="false">IF(ISNUMBER(AV134), RANK(AV134,AV$8:AV$507,1), "")</f>
        <v/>
      </c>
      <c r="AX134" s="65" t="str">
        <f aca="false">IF(ISBLANK($C134),
    "",
    $B134
)</f>
        <v/>
      </c>
      <c r="AY134" s="65" t="str">
        <f aca="false">IF(ISBLANK($C134),
    "",
    $C134
)</f>
        <v/>
      </c>
      <c r="AZ134" s="65" t="str">
        <f aca="false">IF(ISBLANK($C134),
    "",
    $D134
)</f>
        <v/>
      </c>
      <c r="BA134" s="65" t="str">
        <f aca="false">AO134</f>
        <v/>
      </c>
      <c r="BB134" s="66" t="str">
        <f aca="false">AN134</f>
        <v/>
      </c>
      <c r="BC134" s="65" t="str">
        <f aca="false">IF(ISBLANK($C134),
    "",
    AQ134
)</f>
        <v/>
      </c>
      <c r="BD134" s="67" t="str">
        <f aca="false">IF(AU134&gt;AT$7,
    "",
    VLOOKUP(AU134,AW$8:BC$507,7,FALSE())
)</f>
        <v/>
      </c>
      <c r="BE134" s="68" t="str">
        <f aca="false">IF(AU134&gt;AT$7,
    "",
    VLOOKUP(AU134,AW$8:BC$507,2,FALSE())
)</f>
        <v/>
      </c>
      <c r="BF134" s="68" t="str">
        <f aca="false">IF(AU134&gt;AT$7,
    "",
    VLOOKUP(AU134,AW$8:BC$507,3,FALSE())
)</f>
        <v/>
      </c>
      <c r="BG134" s="68" t="str">
        <f aca="false">IF(AU134&gt;AT$7,
    "",
    VLOOKUP(AU134,AW$8:BC$507,4,FALSE())
)</f>
        <v/>
      </c>
      <c r="BH134" s="68" t="str">
        <f aca="false">IF(AU134&gt;AT$7,
    "",
    VLOOKUP(AU134,AW$8:BC$507,5,FALSE())
)</f>
        <v/>
      </c>
      <c r="BI134" s="69" t="str">
        <f aca="false">IF(AU134&gt;AT$7,
    "",
    VLOOKUP(AU134,AW$8:BC$507,6,FALSE())
)</f>
        <v/>
      </c>
      <c r="BJ134" s="46"/>
    </row>
    <row r="135" customFormat="false" ht="15.75" hidden="false" customHeight="false" outlineLevel="0" collapsed="false">
      <c r="A135" s="3"/>
      <c r="B135" s="108"/>
      <c r="C135" s="70"/>
      <c r="D135" s="49"/>
      <c r="E135" s="109"/>
      <c r="F135" s="72"/>
      <c r="G135" s="109"/>
      <c r="H135" s="74"/>
      <c r="I135" s="104"/>
      <c r="J135" s="74"/>
      <c r="K135" s="74"/>
      <c r="L135" s="55"/>
      <c r="M135" s="55" t="str">
        <f aca="false">IF(ISBLANK($C135),"",IF(ISBLANK(E135),0,E135))</f>
        <v/>
      </c>
      <c r="N135" s="55" t="str">
        <f aca="false">IF(ISBLANK($C135),"",IF(ISBLANK(F135),0,F135))</f>
        <v/>
      </c>
      <c r="O135" s="55" t="e">
        <f aca="false">IF(AND(NOT(ISBLANK($C135)),NOT($T135),COUNTA($E135:$K135)&gt;0),ISBLANK($F135),FALSE())</f>
        <v>#VALUE!</v>
      </c>
      <c r="P135" s="55" t="str">
        <f aca="false">IF(ISBLANK($C135),"",IF(G135=Constants!$B$9, TRUE(), IF(G135=Constants!$B$10, FALSE(), TRUE())))</f>
        <v/>
      </c>
      <c r="Q135" s="55" t="str">
        <f aca="false">IF(ISBLANK($C135),"",IF(H135=Constants!$B$9, TRUE(), IF(H135=Constants!$B$10, FALSE(), TRUE())))</f>
        <v/>
      </c>
      <c r="R135" s="55" t="str">
        <f aca="false">IF(ISBLANK($C135),"",IF(ISBLANK(I135),Constants!$B$3,I135))</f>
        <v/>
      </c>
      <c r="S135" s="55" t="str">
        <f aca="false">IF(ISBLANK($C135),"",IF(ISBLANK(J135),0,MIN(J135,Constants!$B$6)))</f>
        <v/>
      </c>
      <c r="T135" s="55" t="str">
        <f aca="false">IF(ISBLANK($C135),"",IF(K135=Constants!$B$9, TRUE(), IF(K135=Constants!$B$10, FALSE(),  FALSE())))</f>
        <v/>
      </c>
      <c r="U135" s="55" t="str">
        <f aca="false">IF(ISBLANK($C135),"",AND(R135=Constants!$B$4, S135&lt;Constants!$B$6))</f>
        <v/>
      </c>
      <c r="V135" s="55" t="str">
        <f aca="false">IF(ISBLANK(C135), "", IF(T135, Constants!$B$11, IF(COUNTA(E135:K135)=0, Constants!$B$12, IF(NOT(AND(P135,S135&lt;&gt;0)), Constants!$B$13, IF(O135, Constants!$B$15, Constants!$B$14)))))</f>
        <v/>
      </c>
      <c r="W135" s="55" t="str">
        <f aca="false">IF(OR(ISBLANK($C135), SUMPRODUCT(--(P135:T135&lt;&gt;""))=0), "", IF(V135&lt;&gt;Constants!$B$14, V135, IF(AND(NOT(ISBLANK(J135)),P135,Q135,R135&lt;&gt;Constants!$B$2), Constants!$B$7, IF(AND(P135,OR(NOT(Q135),R135=Constants!$B$2)), Constants!$B$8, "Error"))))</f>
        <v/>
      </c>
      <c r="X135" s="56" t="str">
        <f aca="false">IF(OR(W135=Constants!$B$7,W135=Constants!$B$8), MAX(0, MIN(Constants!$B$6, S135))+IF(AND(R135=Constants!$B$4, NOT(U135)), Constants!$B$5, 0), "")</f>
        <v/>
      </c>
      <c r="Y135" s="55" t="str">
        <f aca="false">IF(ISBLANK($C135),"",IF(AND(ISNUMBER(X135),N135&gt;0),X135/N135, "") )</f>
        <v/>
      </c>
      <c r="Z135" s="55" t="str">
        <f aca="false">IF(AND(NOT(ISBLANK($C135)), W135=Constants!$B$7), Y135, "")</f>
        <v/>
      </c>
      <c r="AA135" s="55" t="str">
        <f aca="false">IF(ISNUMBER(Z135), RANK(Z135,Z$8:Z$507), "")</f>
        <v/>
      </c>
      <c r="AB135" s="55" t="str">
        <f aca="false">IF(AND(NOT(ISBLANK($C135)), W135=Constants!$B$8), Y135, "")</f>
        <v/>
      </c>
      <c r="AC135" s="55" t="str">
        <f aca="false">IF(ISNUMBER(AB135), RANK(AB135,AB$8:AB$507), "")</f>
        <v/>
      </c>
      <c r="AD135" s="55" t="str">
        <f aca="false">IF(ISBLANK($C135),"",IF(V135&lt;&gt;Constants!$B$14, V135, IF(W135=Constants!$B$7, AA135, IF(W135=Constants!$B$8, COUNT($AA$8:$AA$507) + AC135, ""))))</f>
        <v/>
      </c>
      <c r="AE135" s="55" t="str">
        <f aca="false">N135</f>
        <v/>
      </c>
      <c r="AF135" s="55" t="str">
        <f aca="false">IF(ISNUMBER(AE135), RANK(AE135,AE$8:AE$507,1), "")</f>
        <v/>
      </c>
      <c r="AG135" s="57" t="str">
        <f aca="false">IF(ISBLANK(C135), "", ABS(M135-S135))</f>
        <v/>
      </c>
      <c r="AH135" s="55" t="str">
        <f aca="false">IF(ISNUMBER(AG135), RANK(AG135,AG$8:AG$507,1), "")</f>
        <v/>
      </c>
      <c r="AI135" s="55" t="str">
        <f aca="false">IF(ISBLANK(C135),"",IF(V135&lt;&gt;Constants!$B$14, V135, RANK(AD135, AD$8:AD$507, 1)+ SUMPRODUCT(--(AD$8:AD$507=AD135),--(AF135&gt;AF$8:AF$507)) + SUMPRODUCT(--(AD$8:AD$507=AD135),--(AF135=AF$8:AF$507),--(AH135&gt;AH$8:AH$507))))</f>
        <v/>
      </c>
      <c r="AJ135" s="55" t="str">
        <f aca="false">IF(ISBLANK(C135),"",IF(V135&lt;&gt;Constants!$B$14, V135, AD135-AI135))</f>
        <v/>
      </c>
      <c r="AK135" s="59"/>
      <c r="AL135" s="60" t="str">
        <f aca="false">IF(ISBLANK($C135),"",IF($V135&lt;&gt;Constants!$B$14,$V135,X135))</f>
        <v/>
      </c>
      <c r="AM135" s="60" t="str">
        <f aca="false">IF(ISBLANK($C135),"",IF($V135&lt;&gt;Constants!$B$14,$V135,N135))</f>
        <v/>
      </c>
      <c r="AN135" s="62" t="str">
        <f aca="false">IF(ISBLANK(C135),"",IF(V135&lt;&gt;Constants!$B$14, V135, IF(W135=Constants!$B$7,Z135,IF(W135=Constants!$B$8,AB135,""))))</f>
        <v/>
      </c>
      <c r="AO135" s="63" t="str">
        <f aca="false">IF(ISBLANK(C135),"",W135)</f>
        <v/>
      </c>
      <c r="AP135" s="63" t="str">
        <f aca="false">IF(ISBLANK(C135),"",AJ135)</f>
        <v/>
      </c>
      <c r="AQ135" s="63" t="str">
        <f aca="false">IF(ISBLANK(C135),"",AI135)</f>
        <v/>
      </c>
      <c r="AR135" s="64" t="str">
        <f aca="false">IF(ISBLANK(C135),
  "",
IF(AQ135=Constants!$B$11,COUNTA($C$8:$C$507)+2,IF(AQ135=Constants!$B$12,COUNTA($C$8:$C$507)+1,IF(AQ135=Constants!$B$13,COUNTA($C$8:$C$507),AQ135))))</f>
        <v/>
      </c>
      <c r="AS135" s="3"/>
      <c r="AT135" s="65" t="n">
        <f aca="false">IF(OR(ISNUMBER(AQ135),AQ135="DQ",AQ135="P",AQ135="NS"),
    1,
    0
)</f>
        <v>0</v>
      </c>
      <c r="AU135" s="65" t="n">
        <v>128</v>
      </c>
      <c r="AV135" s="65" t="str">
        <f aca="false">IF(ISBLANK($C135),
    "",
   IF(ISNUMBER(AR135),AR135+ROW($B135)/1000,"")
)</f>
        <v/>
      </c>
      <c r="AW135" s="65" t="str">
        <f aca="false">IF(ISNUMBER(AV135), RANK(AV135,AV$8:AV$507,1), "")</f>
        <v/>
      </c>
      <c r="AX135" s="65" t="str">
        <f aca="false">IF(ISBLANK($C135),
    "",
    $B135
)</f>
        <v/>
      </c>
      <c r="AY135" s="65" t="str">
        <f aca="false">IF(ISBLANK($C135),
    "",
    $C135
)</f>
        <v/>
      </c>
      <c r="AZ135" s="65" t="str">
        <f aca="false">IF(ISBLANK($C135),
    "",
    $D135
)</f>
        <v/>
      </c>
      <c r="BA135" s="65" t="str">
        <f aca="false">AO135</f>
        <v/>
      </c>
      <c r="BB135" s="66" t="str">
        <f aca="false">AN135</f>
        <v/>
      </c>
      <c r="BC135" s="65" t="str">
        <f aca="false">IF(ISBLANK($C135),
    "",
    AQ135
)</f>
        <v/>
      </c>
      <c r="BD135" s="67" t="str">
        <f aca="false">IF(AU135&gt;AT$7,
    "",
    VLOOKUP(AU135,AW$8:BC$507,7,FALSE())
)</f>
        <v/>
      </c>
      <c r="BE135" s="68" t="str">
        <f aca="false">IF(AU135&gt;AT$7,
    "",
    VLOOKUP(AU135,AW$8:BC$507,2,FALSE())
)</f>
        <v/>
      </c>
      <c r="BF135" s="68" t="str">
        <f aca="false">IF(AU135&gt;AT$7,
    "",
    VLOOKUP(AU135,AW$8:BC$507,3,FALSE())
)</f>
        <v/>
      </c>
      <c r="BG135" s="68" t="str">
        <f aca="false">IF(AU135&gt;AT$7,
    "",
    VLOOKUP(AU135,AW$8:BC$507,4,FALSE())
)</f>
        <v/>
      </c>
      <c r="BH135" s="68" t="str">
        <f aca="false">IF(AU135&gt;AT$7,
    "",
    VLOOKUP(AU135,AW$8:BC$507,5,FALSE())
)</f>
        <v/>
      </c>
      <c r="BI135" s="69" t="str">
        <f aca="false">IF(AU135&gt;AT$7,
    "",
    VLOOKUP(AU135,AW$8:BC$507,6,FALSE())
)</f>
        <v/>
      </c>
      <c r="BJ135" s="46"/>
    </row>
    <row r="136" customFormat="false" ht="15.75" hidden="false" customHeight="false" outlineLevel="0" collapsed="false">
      <c r="A136" s="3"/>
      <c r="B136" s="108"/>
      <c r="C136" s="70"/>
      <c r="D136" s="49"/>
      <c r="E136" s="109"/>
      <c r="F136" s="72"/>
      <c r="G136" s="109"/>
      <c r="H136" s="74"/>
      <c r="I136" s="104"/>
      <c r="J136" s="74"/>
      <c r="K136" s="74"/>
      <c r="L136" s="55"/>
      <c r="M136" s="55" t="str">
        <f aca="false">IF(ISBLANK($C136),"",IF(ISBLANK(E136),0,E136))</f>
        <v/>
      </c>
      <c r="N136" s="55" t="str">
        <f aca="false">IF(ISBLANK($C136),"",IF(ISBLANK(F136),0,F136))</f>
        <v/>
      </c>
      <c r="O136" s="55" t="e">
        <f aca="false">IF(AND(NOT(ISBLANK($C136)),NOT($T136),COUNTA($E136:$K136)&gt;0),ISBLANK($F136),FALSE())</f>
        <v>#VALUE!</v>
      </c>
      <c r="P136" s="55" t="str">
        <f aca="false">IF(ISBLANK($C136),"",IF(G136=Constants!$B$9, TRUE(), IF(G136=Constants!$B$10, FALSE(), TRUE())))</f>
        <v/>
      </c>
      <c r="Q136" s="55" t="str">
        <f aca="false">IF(ISBLANK($C136),"",IF(H136=Constants!$B$9, TRUE(), IF(H136=Constants!$B$10, FALSE(), TRUE())))</f>
        <v/>
      </c>
      <c r="R136" s="55" t="str">
        <f aca="false">IF(ISBLANK($C136),"",IF(ISBLANK(I136),Constants!$B$3,I136))</f>
        <v/>
      </c>
      <c r="S136" s="55" t="str">
        <f aca="false">IF(ISBLANK($C136),"",IF(ISBLANK(J136),0,MIN(J136,Constants!$B$6)))</f>
        <v/>
      </c>
      <c r="T136" s="55" t="str">
        <f aca="false">IF(ISBLANK($C136),"",IF(K136=Constants!$B$9, TRUE(), IF(K136=Constants!$B$10, FALSE(),  FALSE())))</f>
        <v/>
      </c>
      <c r="U136" s="55" t="str">
        <f aca="false">IF(ISBLANK($C136),"",AND(R136=Constants!$B$4, S136&lt;Constants!$B$6))</f>
        <v/>
      </c>
      <c r="V136" s="55" t="str">
        <f aca="false">IF(ISBLANK(C136), "", IF(T136, Constants!$B$11, IF(COUNTA(E136:K136)=0, Constants!$B$12, IF(NOT(AND(P136,S136&lt;&gt;0)), Constants!$B$13, IF(O136, Constants!$B$15, Constants!$B$14)))))</f>
        <v/>
      </c>
      <c r="W136" s="55" t="str">
        <f aca="false">IF(OR(ISBLANK($C136), SUMPRODUCT(--(P136:T136&lt;&gt;""))=0), "", IF(V136&lt;&gt;Constants!$B$14, V136, IF(AND(NOT(ISBLANK(J136)),P136,Q136,R136&lt;&gt;Constants!$B$2), Constants!$B$7, IF(AND(P136,OR(NOT(Q136),R136=Constants!$B$2)), Constants!$B$8, "Error"))))</f>
        <v/>
      </c>
      <c r="X136" s="56" t="str">
        <f aca="false">IF(OR(W136=Constants!$B$7,W136=Constants!$B$8), MAX(0, MIN(Constants!$B$6, S136))+IF(AND(R136=Constants!$B$4, NOT(U136)), Constants!$B$5, 0), "")</f>
        <v/>
      </c>
      <c r="Y136" s="55" t="str">
        <f aca="false">IF(ISBLANK($C136),"",IF(AND(ISNUMBER(X136),N136&gt;0),X136/N136, "") )</f>
        <v/>
      </c>
      <c r="Z136" s="55" t="str">
        <f aca="false">IF(AND(NOT(ISBLANK($C136)), W136=Constants!$B$7), Y136, "")</f>
        <v/>
      </c>
      <c r="AA136" s="55" t="str">
        <f aca="false">IF(ISNUMBER(Z136), RANK(Z136,Z$8:Z$507), "")</f>
        <v/>
      </c>
      <c r="AB136" s="55" t="str">
        <f aca="false">IF(AND(NOT(ISBLANK($C136)), W136=Constants!$B$8), Y136, "")</f>
        <v/>
      </c>
      <c r="AC136" s="55" t="str">
        <f aca="false">IF(ISNUMBER(AB136), RANK(AB136,AB$8:AB$507), "")</f>
        <v/>
      </c>
      <c r="AD136" s="55" t="str">
        <f aca="false">IF(ISBLANK($C136),"",IF(V136&lt;&gt;Constants!$B$14, V136, IF(W136=Constants!$B$7, AA136, IF(W136=Constants!$B$8, COUNT($AA$8:$AA$507) + AC136, ""))))</f>
        <v/>
      </c>
      <c r="AE136" s="55" t="str">
        <f aca="false">N136</f>
        <v/>
      </c>
      <c r="AF136" s="55" t="str">
        <f aca="false">IF(ISNUMBER(AE136), RANK(AE136,AE$8:AE$507,1), "")</f>
        <v/>
      </c>
      <c r="AG136" s="57" t="str">
        <f aca="false">IF(ISBLANK(C136), "", ABS(M136-S136))</f>
        <v/>
      </c>
      <c r="AH136" s="55" t="str">
        <f aca="false">IF(ISNUMBER(AG136), RANK(AG136,AG$8:AG$507,1), "")</f>
        <v/>
      </c>
      <c r="AI136" s="55" t="str">
        <f aca="false">IF(ISBLANK(C136),"",IF(V136&lt;&gt;Constants!$B$14, V136, RANK(AD136, AD$8:AD$507, 1)+ SUMPRODUCT(--(AD$8:AD$507=AD136),--(AF136&gt;AF$8:AF$507)) + SUMPRODUCT(--(AD$8:AD$507=AD136),--(AF136=AF$8:AF$507),--(AH136&gt;AH$8:AH$507))))</f>
        <v/>
      </c>
      <c r="AJ136" s="55" t="str">
        <f aca="false">IF(ISBLANK(C136),"",IF(V136&lt;&gt;Constants!$B$14, V136, AD136-AI136))</f>
        <v/>
      </c>
      <c r="AK136" s="59"/>
      <c r="AL136" s="60" t="str">
        <f aca="false">IF(ISBLANK($C136),"",IF($V136&lt;&gt;Constants!$B$14,$V136,X136))</f>
        <v/>
      </c>
      <c r="AM136" s="60" t="str">
        <f aca="false">IF(ISBLANK($C136),"",IF($V136&lt;&gt;Constants!$B$14,$V136,N136))</f>
        <v/>
      </c>
      <c r="AN136" s="62" t="str">
        <f aca="false">IF(ISBLANK(C136),"",IF(V136&lt;&gt;Constants!$B$14, V136, IF(W136=Constants!$B$7,Z136,IF(W136=Constants!$B$8,AB136,""))))</f>
        <v/>
      </c>
      <c r="AO136" s="63" t="str">
        <f aca="false">IF(ISBLANK(C136),"",W136)</f>
        <v/>
      </c>
      <c r="AP136" s="63" t="str">
        <f aca="false">IF(ISBLANK(C136),"",AJ136)</f>
        <v/>
      </c>
      <c r="AQ136" s="63" t="str">
        <f aca="false">IF(ISBLANK(C136),"",AI136)</f>
        <v/>
      </c>
      <c r="AR136" s="64" t="str">
        <f aca="false">IF(ISBLANK(C136),
  "",
IF(AQ136=Constants!$B$11,COUNTA($C$8:$C$507)+2,IF(AQ136=Constants!$B$12,COUNTA($C$8:$C$507)+1,IF(AQ136=Constants!$B$13,COUNTA($C$8:$C$507),AQ136))))</f>
        <v/>
      </c>
      <c r="AS136" s="3"/>
      <c r="AT136" s="65" t="n">
        <f aca="false">IF(OR(ISNUMBER(AQ136),AQ136="DQ",AQ136="P",AQ136="NS"),
    1,
    0
)</f>
        <v>0</v>
      </c>
      <c r="AU136" s="65" t="n">
        <v>129</v>
      </c>
      <c r="AV136" s="65" t="str">
        <f aca="false">IF(ISBLANK($C136),
    "",
   IF(ISNUMBER(AR136),AR136+ROW($B136)/1000,"")
)</f>
        <v/>
      </c>
      <c r="AW136" s="65" t="str">
        <f aca="false">IF(ISNUMBER(AV136), RANK(AV136,AV$8:AV$507,1), "")</f>
        <v/>
      </c>
      <c r="AX136" s="65" t="str">
        <f aca="false">IF(ISBLANK($C136),
    "",
    $B136
)</f>
        <v/>
      </c>
      <c r="AY136" s="65" t="str">
        <f aca="false">IF(ISBLANK($C136),
    "",
    $C136
)</f>
        <v/>
      </c>
      <c r="AZ136" s="65" t="str">
        <f aca="false">IF(ISBLANK($C136),
    "",
    $D136
)</f>
        <v/>
      </c>
      <c r="BA136" s="65" t="str">
        <f aca="false">AO136</f>
        <v/>
      </c>
      <c r="BB136" s="66" t="str">
        <f aca="false">AN136</f>
        <v/>
      </c>
      <c r="BC136" s="65" t="str">
        <f aca="false">IF(ISBLANK($C136),
    "",
    AQ136
)</f>
        <v/>
      </c>
      <c r="BD136" s="67" t="str">
        <f aca="false">IF(AU136&gt;AT$7,
    "",
    VLOOKUP(AU136,AW$8:BC$507,7,FALSE())
)</f>
        <v/>
      </c>
      <c r="BE136" s="68" t="str">
        <f aca="false">IF(AU136&gt;AT$7,
    "",
    VLOOKUP(AU136,AW$8:BC$507,2,FALSE())
)</f>
        <v/>
      </c>
      <c r="BF136" s="68" t="str">
        <f aca="false">IF(AU136&gt;AT$7,
    "",
    VLOOKUP(AU136,AW$8:BC$507,3,FALSE())
)</f>
        <v/>
      </c>
      <c r="BG136" s="68" t="str">
        <f aca="false">IF(AU136&gt;AT$7,
    "",
    VLOOKUP(AU136,AW$8:BC$507,4,FALSE())
)</f>
        <v/>
      </c>
      <c r="BH136" s="68" t="str">
        <f aca="false">IF(AU136&gt;AT$7,
    "",
    VLOOKUP(AU136,AW$8:BC$507,5,FALSE())
)</f>
        <v/>
      </c>
      <c r="BI136" s="69" t="str">
        <f aca="false">IF(AU136&gt;AT$7,
    "",
    VLOOKUP(AU136,AW$8:BC$507,6,FALSE())
)</f>
        <v/>
      </c>
      <c r="BJ136" s="46"/>
    </row>
    <row r="137" customFormat="false" ht="15.75" hidden="false" customHeight="false" outlineLevel="0" collapsed="false">
      <c r="A137" s="3"/>
      <c r="B137" s="105"/>
      <c r="C137" s="106"/>
      <c r="D137" s="99"/>
      <c r="E137" s="110"/>
      <c r="F137" s="107"/>
      <c r="G137" s="110"/>
      <c r="H137" s="103"/>
      <c r="I137" s="102"/>
      <c r="J137" s="103"/>
      <c r="K137" s="103"/>
      <c r="L137" s="85"/>
      <c r="M137" s="85" t="str">
        <f aca="false">IF(ISBLANK($C137),"",IF(ISBLANK(E137),0,E137))</f>
        <v/>
      </c>
      <c r="N137" s="85" t="str">
        <f aca="false">IF(ISBLANK($C137),"",IF(ISBLANK(F137),0,F137))</f>
        <v/>
      </c>
      <c r="O137" s="86" t="e">
        <f aca="false">IF(AND(NOT(ISBLANK($C137)),NOT($T137),COUNTA($E137:$K137)&gt;0),ISBLANK($F137),FALSE())</f>
        <v>#VALUE!</v>
      </c>
      <c r="P137" s="85" t="str">
        <f aca="false">IF(ISBLANK($C137),"",IF(G137=Constants!$B$9, TRUE(), IF(G137=Constants!$B$10, FALSE(), TRUE())))</f>
        <v/>
      </c>
      <c r="Q137" s="85" t="str">
        <f aca="false">IF(ISBLANK($C137),"",IF(H137=Constants!$B$9, TRUE(), IF(H137=Constants!$B$10, FALSE(), TRUE())))</f>
        <v/>
      </c>
      <c r="R137" s="85" t="str">
        <f aca="false">IF(ISBLANK($C137),"",IF(ISBLANK(I137),Constants!$B$3,I137))</f>
        <v/>
      </c>
      <c r="S137" s="85" t="str">
        <f aca="false">IF(ISBLANK($C137),"",IF(ISBLANK(J137),0,MIN(J137,Constants!$B$6)))</f>
        <v/>
      </c>
      <c r="T137" s="85" t="str">
        <f aca="false">IF(ISBLANK($C137),"",IF(K137=Constants!$B$9, TRUE(), IF(K137=Constants!$B$10, FALSE(),  FALSE())))</f>
        <v/>
      </c>
      <c r="U137" s="85" t="str">
        <f aca="false">IF(ISBLANK($C137),"",AND(R137=Constants!$B$4, S137&lt;Constants!$B$6))</f>
        <v/>
      </c>
      <c r="V137" s="85" t="str">
        <f aca="false">IF(ISBLANK(C137), "", IF(T137, Constants!$B$11, IF(COUNTA(E137:K137)=0, Constants!$B$12, IF(NOT(AND(P137,S137&lt;&gt;0)), Constants!$B$13, IF(O137, Constants!$B$15, Constants!$B$14)))))</f>
        <v/>
      </c>
      <c r="W137" s="85" t="str">
        <f aca="false">IF(OR(ISBLANK($C137), SUMPRODUCT(--(P137:T137&lt;&gt;""))=0), "", IF(V137&lt;&gt;Constants!$B$14, V137, IF(AND(NOT(ISBLANK(J137)),P137,Q137,R137&lt;&gt;Constants!$B$2), Constants!$B$7, IF(AND(P137,OR(NOT(Q137),R137=Constants!$B$2)), Constants!$B$8, "Error"))))</f>
        <v/>
      </c>
      <c r="X137" s="87" t="str">
        <f aca="false">IF(OR(W137=Constants!$B$7,W137=Constants!$B$8), MAX(0, MIN(Constants!$B$6, S137))+IF(AND(R137=Constants!$B$4, NOT(U137)), Constants!$B$5, 0), "")</f>
        <v/>
      </c>
      <c r="Y137" s="85" t="str">
        <f aca="false">IF(ISBLANK($C137),"",IF(AND(ISNUMBER(X137),N137&gt;0),X137/N137, "") )</f>
        <v/>
      </c>
      <c r="Z137" s="85" t="str">
        <f aca="false">IF(AND(NOT(ISBLANK($C137)), W137=Constants!$B$7), Y137, "")</f>
        <v/>
      </c>
      <c r="AA137" s="85" t="str">
        <f aca="false">IF(ISNUMBER(Z137), RANK(Z137,Z$8:Z$507), "")</f>
        <v/>
      </c>
      <c r="AB137" s="85" t="str">
        <f aca="false">IF(AND(NOT(ISBLANK($C137)), W137=Constants!$B$8), Y137, "")</f>
        <v/>
      </c>
      <c r="AC137" s="85" t="str">
        <f aca="false">IF(ISNUMBER(AB137), RANK(AB137,AB$8:AB$507), "")</f>
        <v/>
      </c>
      <c r="AD137" s="85" t="str">
        <f aca="false">IF(ISBLANK($C137),"",IF(V137&lt;&gt;Constants!$B$14, V137, IF(W137=Constants!$B$7, AA137, IF(W137=Constants!$B$8, COUNT($AA$8:$AA$507) + AC137, ""))))</f>
        <v/>
      </c>
      <c r="AE137" s="85" t="str">
        <f aca="false">N137</f>
        <v/>
      </c>
      <c r="AF137" s="85" t="str">
        <f aca="false">IF(ISNUMBER(AE137), RANK(AE137,AE$8:AE$507,1), "")</f>
        <v/>
      </c>
      <c r="AG137" s="88" t="str">
        <f aca="false">IF(ISBLANK(C137), "", ABS(M137-S137))</f>
        <v/>
      </c>
      <c r="AH137" s="85" t="str">
        <f aca="false">IF(ISNUMBER(AG137), RANK(AG137,AG$8:AG$507,1), "")</f>
        <v/>
      </c>
      <c r="AI137" s="85" t="str">
        <f aca="false">IF(ISBLANK(C137),"",IF(V137&lt;&gt;Constants!$B$14, V137, RANK(AD137, AD$8:AD$507, 1)+ SUMPRODUCT(--(AD$8:AD$507=AD137),--(AF137&gt;AF$8:AF$507)) + SUMPRODUCT(--(AD$8:AD$507=AD137),--(AF137=AF$8:AF$507),--(AH137&gt;AH$8:AH$507))))</f>
        <v/>
      </c>
      <c r="AJ137" s="85" t="str">
        <f aca="false">IF(ISBLANK(C137),"",IF(V137&lt;&gt;Constants!$B$14, V137, AD137-AI137))</f>
        <v/>
      </c>
      <c r="AK137" s="89"/>
      <c r="AL137" s="90" t="str">
        <f aca="false">IF(ISBLANK($C137),"",IF($V137&lt;&gt;Constants!$B$14,$V137,X137))</f>
        <v/>
      </c>
      <c r="AM137" s="90" t="str">
        <f aca="false">IF(ISBLANK($C137),"",IF($V137&lt;&gt;Constants!$B$14,$V137,N137))</f>
        <v/>
      </c>
      <c r="AN137" s="91" t="str">
        <f aca="false">IF(ISBLANK(C137),"",IF(V137&lt;&gt;Constants!$B$14, V137, IF(W137=Constants!$B$7,Z137,IF(W137=Constants!$B$8,AB137,""))))</f>
        <v/>
      </c>
      <c r="AO137" s="92" t="str">
        <f aca="false">IF(ISBLANK(C137),"",W137)</f>
        <v/>
      </c>
      <c r="AP137" s="92" t="str">
        <f aca="false">IF(ISBLANK(C137),"",AJ137)</f>
        <v/>
      </c>
      <c r="AQ137" s="92" t="str">
        <f aca="false">IF(ISBLANK(C137),"",AI137)</f>
        <v/>
      </c>
      <c r="AR137" s="93" t="str">
        <f aca="false">IF(ISBLANK(C137),
  "",
IF(AQ137=Constants!$B$11,COUNTA($C$8:$C$507)+2,IF(AQ137=Constants!$B$12,COUNTA($C$8:$C$507)+1,IF(AQ137=Constants!$B$13,COUNTA($C$8:$C$507),AQ137))))</f>
        <v/>
      </c>
      <c r="AS137" s="3"/>
      <c r="AT137" s="94" t="n">
        <f aca="false">IF(OR(ISNUMBER(AQ137),AQ137="DQ",AQ137="P",AQ137="NS"),
    1,
    0
)</f>
        <v>0</v>
      </c>
      <c r="AU137" s="94" t="n">
        <v>130</v>
      </c>
      <c r="AV137" s="94" t="str">
        <f aca="false">IF(ISBLANK($C137),
    "",
   IF(ISNUMBER(AR137),AR137+ROW($B137)/1000,"")
)</f>
        <v/>
      </c>
      <c r="AW137" s="94" t="str">
        <f aca="false">IF(ISNUMBER(AV137), RANK(AV137,AV$8:AV$507,1), "")</f>
        <v/>
      </c>
      <c r="AX137" s="94" t="str">
        <f aca="false">IF(ISBLANK($C137),
    "",
    $B137
)</f>
        <v/>
      </c>
      <c r="AY137" s="94" t="str">
        <f aca="false">IF(ISBLANK($C137),
    "",
    $C137
)</f>
        <v/>
      </c>
      <c r="AZ137" s="94" t="str">
        <f aca="false">IF(ISBLANK($C137),
    "",
    $D137
)</f>
        <v/>
      </c>
      <c r="BA137" s="94" t="str">
        <f aca="false">AO137</f>
        <v/>
      </c>
      <c r="BB137" s="95" t="str">
        <f aca="false">AN137</f>
        <v/>
      </c>
      <c r="BC137" s="94" t="str">
        <f aca="false">IF(ISBLANK($C137),
    "",
    AQ137
)</f>
        <v/>
      </c>
      <c r="BD137" s="96" t="str">
        <f aca="false">IF(AU137&gt;AT$7,
    "",
    VLOOKUP(AU137,AW$8:BC$507,7,FALSE())
)</f>
        <v/>
      </c>
      <c r="BE137" s="97" t="str">
        <f aca="false">IF(AU137&gt;AT$7,
    "",
    VLOOKUP(AU137,AW$8:BC$507,2,FALSE())
)</f>
        <v/>
      </c>
      <c r="BF137" s="97" t="str">
        <f aca="false">IF(AU137&gt;AT$7,
    "",
    VLOOKUP(AU137,AW$8:BC$507,3,FALSE())
)</f>
        <v/>
      </c>
      <c r="BG137" s="97" t="str">
        <f aca="false">IF(AU137&gt;AT$7,
    "",
    VLOOKUP(AU137,AW$8:BC$507,4,FALSE())
)</f>
        <v/>
      </c>
      <c r="BH137" s="97" t="str">
        <f aca="false">IF(AU137&gt;AT$7,
    "",
    VLOOKUP(AU137,AW$8:BC$507,5,FALSE())
)</f>
        <v/>
      </c>
      <c r="BI137" s="98" t="str">
        <f aca="false">IF(AU137&gt;AT$7,
    "",
    VLOOKUP(AU137,AW$8:BC$507,6,FALSE())
)</f>
        <v/>
      </c>
      <c r="BJ137" s="46"/>
    </row>
    <row r="138" customFormat="false" ht="15.75" hidden="false" customHeight="false" outlineLevel="0" collapsed="false">
      <c r="A138" s="3"/>
      <c r="B138" s="105"/>
      <c r="C138" s="106"/>
      <c r="D138" s="99"/>
      <c r="E138" s="110"/>
      <c r="F138" s="107"/>
      <c r="G138" s="110"/>
      <c r="H138" s="103"/>
      <c r="I138" s="102"/>
      <c r="J138" s="103"/>
      <c r="K138" s="103"/>
      <c r="L138" s="85"/>
      <c r="M138" s="85" t="str">
        <f aca="false">IF(ISBLANK($C138),"",IF(ISBLANK(E138),0,E138))</f>
        <v/>
      </c>
      <c r="N138" s="85" t="str">
        <f aca="false">IF(ISBLANK($C138),"",IF(ISBLANK(F138),0,F138))</f>
        <v/>
      </c>
      <c r="O138" s="86" t="e">
        <f aca="false">IF(AND(NOT(ISBLANK($C138)),NOT($T138),COUNTA($E138:$K138)&gt;0),ISBLANK($F138),FALSE())</f>
        <v>#VALUE!</v>
      </c>
      <c r="P138" s="85" t="str">
        <f aca="false">IF(ISBLANK($C138),"",IF(G138=Constants!$B$9, TRUE(), IF(G138=Constants!$B$10, FALSE(), TRUE())))</f>
        <v/>
      </c>
      <c r="Q138" s="85" t="str">
        <f aca="false">IF(ISBLANK($C138),"",IF(H138=Constants!$B$9, TRUE(), IF(H138=Constants!$B$10, FALSE(), TRUE())))</f>
        <v/>
      </c>
      <c r="R138" s="85" t="str">
        <f aca="false">IF(ISBLANK($C138),"",IF(ISBLANK(I138),Constants!$B$3,I138))</f>
        <v/>
      </c>
      <c r="S138" s="85" t="str">
        <f aca="false">IF(ISBLANK($C138),"",IF(ISBLANK(J138),0,MIN(J138,Constants!$B$6)))</f>
        <v/>
      </c>
      <c r="T138" s="85" t="str">
        <f aca="false">IF(ISBLANK($C138),"",IF(K138=Constants!$B$9, TRUE(), IF(K138=Constants!$B$10, FALSE(),  FALSE())))</f>
        <v/>
      </c>
      <c r="U138" s="85" t="str">
        <f aca="false">IF(ISBLANK($C138),"",AND(R138=Constants!$B$4, S138&lt;Constants!$B$6))</f>
        <v/>
      </c>
      <c r="V138" s="85" t="str">
        <f aca="false">IF(ISBLANK(C138), "", IF(T138, Constants!$B$11, IF(COUNTA(E138:K138)=0, Constants!$B$12, IF(NOT(AND(P138,S138&lt;&gt;0)), Constants!$B$13, IF(O138, Constants!$B$15, Constants!$B$14)))))</f>
        <v/>
      </c>
      <c r="W138" s="85" t="str">
        <f aca="false">IF(OR(ISBLANK($C138), SUMPRODUCT(--(P138:T138&lt;&gt;""))=0), "", IF(V138&lt;&gt;Constants!$B$14, V138, IF(AND(NOT(ISBLANK(J138)),P138,Q138,R138&lt;&gt;Constants!$B$2), Constants!$B$7, IF(AND(P138,OR(NOT(Q138),R138=Constants!$B$2)), Constants!$B$8, "Error"))))</f>
        <v/>
      </c>
      <c r="X138" s="87" t="str">
        <f aca="false">IF(OR(W138=Constants!$B$7,W138=Constants!$B$8), MAX(0, MIN(Constants!$B$6, S138))+IF(AND(R138=Constants!$B$4, NOT(U138)), Constants!$B$5, 0), "")</f>
        <v/>
      </c>
      <c r="Y138" s="85" t="str">
        <f aca="false">IF(ISBLANK($C138),"",IF(AND(ISNUMBER(X138),N138&gt;0),X138/N138, "") )</f>
        <v/>
      </c>
      <c r="Z138" s="85" t="str">
        <f aca="false">IF(AND(NOT(ISBLANK($C138)), W138=Constants!$B$7), Y138, "")</f>
        <v/>
      </c>
      <c r="AA138" s="85" t="str">
        <f aca="false">IF(ISNUMBER(Z138), RANK(Z138,Z$8:Z$507), "")</f>
        <v/>
      </c>
      <c r="AB138" s="85" t="str">
        <f aca="false">IF(AND(NOT(ISBLANK($C138)), W138=Constants!$B$8), Y138, "")</f>
        <v/>
      </c>
      <c r="AC138" s="85" t="str">
        <f aca="false">IF(ISNUMBER(AB138), RANK(AB138,AB$8:AB$507), "")</f>
        <v/>
      </c>
      <c r="AD138" s="85" t="str">
        <f aca="false">IF(ISBLANK($C138),"",IF(V138&lt;&gt;Constants!$B$14, V138, IF(W138=Constants!$B$7, AA138, IF(W138=Constants!$B$8, COUNT($AA$8:$AA$507) + AC138, ""))))</f>
        <v/>
      </c>
      <c r="AE138" s="85" t="str">
        <f aca="false">N138</f>
        <v/>
      </c>
      <c r="AF138" s="85" t="str">
        <f aca="false">IF(ISNUMBER(AE138), RANK(AE138,AE$8:AE$507,1), "")</f>
        <v/>
      </c>
      <c r="AG138" s="88" t="str">
        <f aca="false">IF(ISBLANK(C138), "", ABS(M138-S138))</f>
        <v/>
      </c>
      <c r="AH138" s="85" t="str">
        <f aca="false">IF(ISNUMBER(AG138), RANK(AG138,AG$8:AG$507,1), "")</f>
        <v/>
      </c>
      <c r="AI138" s="85" t="str">
        <f aca="false">IF(ISBLANK(C138),"",IF(V138&lt;&gt;Constants!$B$14, V138, RANK(AD138, AD$8:AD$507, 1)+ SUMPRODUCT(--(AD$8:AD$507=AD138),--(AF138&gt;AF$8:AF$507)) + SUMPRODUCT(--(AD$8:AD$507=AD138),--(AF138=AF$8:AF$507),--(AH138&gt;AH$8:AH$507))))</f>
        <v/>
      </c>
      <c r="AJ138" s="85" t="str">
        <f aca="false">IF(ISBLANK(C138),"",IF(V138&lt;&gt;Constants!$B$14, V138, AD138-AI138))</f>
        <v/>
      </c>
      <c r="AK138" s="89"/>
      <c r="AL138" s="90" t="str">
        <f aca="false">IF(ISBLANK($C138),"",IF($V138&lt;&gt;Constants!$B$14,$V138,X138))</f>
        <v/>
      </c>
      <c r="AM138" s="90" t="str">
        <f aca="false">IF(ISBLANK($C138),"",IF($V138&lt;&gt;Constants!$B$14,$V138,N138))</f>
        <v/>
      </c>
      <c r="AN138" s="91" t="str">
        <f aca="false">IF(ISBLANK(C138),"",IF(V138&lt;&gt;Constants!$B$14, V138, IF(W138=Constants!$B$7,Z138,IF(W138=Constants!$B$8,AB138,""))))</f>
        <v/>
      </c>
      <c r="AO138" s="92" t="str">
        <f aca="false">IF(ISBLANK(C138),"",W138)</f>
        <v/>
      </c>
      <c r="AP138" s="92" t="str">
        <f aca="false">IF(ISBLANK(C138),"",AJ138)</f>
        <v/>
      </c>
      <c r="AQ138" s="92" t="str">
        <f aca="false">IF(ISBLANK(C138),"",AI138)</f>
        <v/>
      </c>
      <c r="AR138" s="93" t="str">
        <f aca="false">IF(ISBLANK(C138),
  "",
IF(AQ138=Constants!$B$11,COUNTA($C$8:$C$507)+2,IF(AQ138=Constants!$B$12,COUNTA($C$8:$C$507)+1,IF(AQ138=Constants!$B$13,COUNTA($C$8:$C$507),AQ138))))</f>
        <v/>
      </c>
      <c r="AS138" s="3"/>
      <c r="AT138" s="94" t="n">
        <f aca="false">IF(OR(ISNUMBER(AQ138),AQ138="DQ",AQ138="P",AQ138="NS"),
    1,
    0
)</f>
        <v>0</v>
      </c>
      <c r="AU138" s="94" t="n">
        <v>131</v>
      </c>
      <c r="AV138" s="94" t="str">
        <f aca="false">IF(ISBLANK($C138),
    "",
   IF(ISNUMBER(AR138),AR138+ROW($B138)/1000,"")
)</f>
        <v/>
      </c>
      <c r="AW138" s="94" t="str">
        <f aca="false">IF(ISNUMBER(AV138), RANK(AV138,AV$8:AV$507,1), "")</f>
        <v/>
      </c>
      <c r="AX138" s="94" t="str">
        <f aca="false">IF(ISBLANK($C138),
    "",
    $B138
)</f>
        <v/>
      </c>
      <c r="AY138" s="94" t="str">
        <f aca="false">IF(ISBLANK($C138),
    "",
    $C138
)</f>
        <v/>
      </c>
      <c r="AZ138" s="94" t="str">
        <f aca="false">IF(ISBLANK($C138),
    "",
    $D138
)</f>
        <v/>
      </c>
      <c r="BA138" s="94" t="str">
        <f aca="false">AO138</f>
        <v/>
      </c>
      <c r="BB138" s="95" t="str">
        <f aca="false">AN138</f>
        <v/>
      </c>
      <c r="BC138" s="94" t="str">
        <f aca="false">IF(ISBLANK($C138),
    "",
    AQ138
)</f>
        <v/>
      </c>
      <c r="BD138" s="96" t="str">
        <f aca="false">IF(AU138&gt;AT$7,
    "",
    VLOOKUP(AU138,AW$8:BC$507,7,FALSE())
)</f>
        <v/>
      </c>
      <c r="BE138" s="97" t="str">
        <f aca="false">IF(AU138&gt;AT$7,
    "",
    VLOOKUP(AU138,AW$8:BC$507,2,FALSE())
)</f>
        <v/>
      </c>
      <c r="BF138" s="97" t="str">
        <f aca="false">IF(AU138&gt;AT$7,
    "",
    VLOOKUP(AU138,AW$8:BC$507,3,FALSE())
)</f>
        <v/>
      </c>
      <c r="BG138" s="97" t="str">
        <f aca="false">IF(AU138&gt;AT$7,
    "",
    VLOOKUP(AU138,AW$8:BC$507,4,FALSE())
)</f>
        <v/>
      </c>
      <c r="BH138" s="97" t="str">
        <f aca="false">IF(AU138&gt;AT$7,
    "",
    VLOOKUP(AU138,AW$8:BC$507,5,FALSE())
)</f>
        <v/>
      </c>
      <c r="BI138" s="98" t="str">
        <f aca="false">IF(AU138&gt;AT$7,
    "",
    VLOOKUP(AU138,AW$8:BC$507,6,FALSE())
)</f>
        <v/>
      </c>
      <c r="BJ138" s="46"/>
    </row>
    <row r="139" customFormat="false" ht="15.75" hidden="false" customHeight="false" outlineLevel="0" collapsed="false">
      <c r="A139" s="3"/>
      <c r="B139" s="105"/>
      <c r="C139" s="106"/>
      <c r="D139" s="99"/>
      <c r="E139" s="110"/>
      <c r="F139" s="107"/>
      <c r="G139" s="110"/>
      <c r="H139" s="103"/>
      <c r="I139" s="102"/>
      <c r="J139" s="103"/>
      <c r="K139" s="103"/>
      <c r="L139" s="85"/>
      <c r="M139" s="85" t="str">
        <f aca="false">IF(ISBLANK($C139),"",IF(ISBLANK(E139),0,E139))</f>
        <v/>
      </c>
      <c r="N139" s="85" t="str">
        <f aca="false">IF(ISBLANK($C139),"",IF(ISBLANK(F139),0,F139))</f>
        <v/>
      </c>
      <c r="O139" s="86" t="e">
        <f aca="false">IF(AND(NOT(ISBLANK($C139)),NOT($T139),COUNTA($E139:$K139)&gt;0),ISBLANK($F139),FALSE())</f>
        <v>#VALUE!</v>
      </c>
      <c r="P139" s="85" t="str">
        <f aca="false">IF(ISBLANK($C139),"",IF(G139=Constants!$B$9, TRUE(), IF(G139=Constants!$B$10, FALSE(), TRUE())))</f>
        <v/>
      </c>
      <c r="Q139" s="85" t="str">
        <f aca="false">IF(ISBLANK($C139),"",IF(H139=Constants!$B$9, TRUE(), IF(H139=Constants!$B$10, FALSE(), TRUE())))</f>
        <v/>
      </c>
      <c r="R139" s="85" t="str">
        <f aca="false">IF(ISBLANK($C139),"",IF(ISBLANK(I139),Constants!$B$3,I139))</f>
        <v/>
      </c>
      <c r="S139" s="85" t="str">
        <f aca="false">IF(ISBLANK($C139),"",IF(ISBLANK(J139),0,MIN(J139,Constants!$B$6)))</f>
        <v/>
      </c>
      <c r="T139" s="85" t="str">
        <f aca="false">IF(ISBLANK($C139),"",IF(K139=Constants!$B$9, TRUE(), IF(K139=Constants!$B$10, FALSE(),  FALSE())))</f>
        <v/>
      </c>
      <c r="U139" s="85" t="str">
        <f aca="false">IF(ISBLANK($C139),"",AND(R139=Constants!$B$4, S139&lt;Constants!$B$6))</f>
        <v/>
      </c>
      <c r="V139" s="85" t="str">
        <f aca="false">IF(ISBLANK(C139), "", IF(T139, Constants!$B$11, IF(COUNTA(E139:K139)=0, Constants!$B$12, IF(NOT(AND(P139,S139&lt;&gt;0)), Constants!$B$13, IF(O139, Constants!$B$15, Constants!$B$14)))))</f>
        <v/>
      </c>
      <c r="W139" s="85" t="str">
        <f aca="false">IF(OR(ISBLANK($C139), SUMPRODUCT(--(P139:T139&lt;&gt;""))=0), "", IF(V139&lt;&gt;Constants!$B$14, V139, IF(AND(NOT(ISBLANK(J139)),P139,Q139,R139&lt;&gt;Constants!$B$2), Constants!$B$7, IF(AND(P139,OR(NOT(Q139),R139=Constants!$B$2)), Constants!$B$8, "Error"))))</f>
        <v/>
      </c>
      <c r="X139" s="87" t="str">
        <f aca="false">IF(OR(W139=Constants!$B$7,W139=Constants!$B$8), MAX(0, MIN(Constants!$B$6, S139))+IF(AND(R139=Constants!$B$4, NOT(U139)), Constants!$B$5, 0), "")</f>
        <v/>
      </c>
      <c r="Y139" s="85" t="str">
        <f aca="false">IF(ISBLANK($C139),"",IF(AND(ISNUMBER(X139),N139&gt;0),X139/N139, "") )</f>
        <v/>
      </c>
      <c r="Z139" s="85" t="str">
        <f aca="false">IF(AND(NOT(ISBLANK($C139)), W139=Constants!$B$7), Y139, "")</f>
        <v/>
      </c>
      <c r="AA139" s="85" t="str">
        <f aca="false">IF(ISNUMBER(Z139), RANK(Z139,Z$8:Z$507), "")</f>
        <v/>
      </c>
      <c r="AB139" s="85" t="str">
        <f aca="false">IF(AND(NOT(ISBLANK($C139)), W139=Constants!$B$8), Y139, "")</f>
        <v/>
      </c>
      <c r="AC139" s="85" t="str">
        <f aca="false">IF(ISNUMBER(AB139), RANK(AB139,AB$8:AB$507), "")</f>
        <v/>
      </c>
      <c r="AD139" s="85" t="str">
        <f aca="false">IF(ISBLANK($C139),"",IF(V139&lt;&gt;Constants!$B$14, V139, IF(W139=Constants!$B$7, AA139, IF(W139=Constants!$B$8, COUNT($AA$8:$AA$507) + AC139, ""))))</f>
        <v/>
      </c>
      <c r="AE139" s="85" t="str">
        <f aca="false">N139</f>
        <v/>
      </c>
      <c r="AF139" s="85" t="str">
        <f aca="false">IF(ISNUMBER(AE139), RANK(AE139,AE$8:AE$507,1), "")</f>
        <v/>
      </c>
      <c r="AG139" s="88" t="str">
        <f aca="false">IF(ISBLANK(C139), "", ABS(M139-S139))</f>
        <v/>
      </c>
      <c r="AH139" s="85" t="str">
        <f aca="false">IF(ISNUMBER(AG139), RANK(AG139,AG$8:AG$507,1), "")</f>
        <v/>
      </c>
      <c r="AI139" s="85" t="str">
        <f aca="false">IF(ISBLANK(C139),"",IF(V139&lt;&gt;Constants!$B$14, V139, RANK(AD139, AD$8:AD$507, 1)+ SUMPRODUCT(--(AD$8:AD$507=AD139),--(AF139&gt;AF$8:AF$507)) + SUMPRODUCT(--(AD$8:AD$507=AD139),--(AF139=AF$8:AF$507),--(AH139&gt;AH$8:AH$507))))</f>
        <v/>
      </c>
      <c r="AJ139" s="85" t="str">
        <f aca="false">IF(ISBLANK(C139),"",IF(V139&lt;&gt;Constants!$B$14, V139, AD139-AI139))</f>
        <v/>
      </c>
      <c r="AK139" s="89"/>
      <c r="AL139" s="90" t="str">
        <f aca="false">IF(ISBLANK($C139),"",IF($V139&lt;&gt;Constants!$B$14,$V139,X139))</f>
        <v/>
      </c>
      <c r="AM139" s="90" t="str">
        <f aca="false">IF(ISBLANK($C139),"",IF($V139&lt;&gt;Constants!$B$14,$V139,N139))</f>
        <v/>
      </c>
      <c r="AN139" s="91" t="str">
        <f aca="false">IF(ISBLANK(C139),"",IF(V139&lt;&gt;Constants!$B$14, V139, IF(W139=Constants!$B$7,Z139,IF(W139=Constants!$B$8,AB139,""))))</f>
        <v/>
      </c>
      <c r="AO139" s="92" t="str">
        <f aca="false">IF(ISBLANK(C139),"",W139)</f>
        <v/>
      </c>
      <c r="AP139" s="92" t="str">
        <f aca="false">IF(ISBLANK(C139),"",AJ139)</f>
        <v/>
      </c>
      <c r="AQ139" s="92" t="str">
        <f aca="false">IF(ISBLANK(C139),"",AI139)</f>
        <v/>
      </c>
      <c r="AR139" s="93" t="str">
        <f aca="false">IF(ISBLANK(C139),
  "",
IF(AQ139=Constants!$B$11,COUNTA($C$8:$C$507)+2,IF(AQ139=Constants!$B$12,COUNTA($C$8:$C$507)+1,IF(AQ139=Constants!$B$13,COUNTA($C$8:$C$507),AQ139))))</f>
        <v/>
      </c>
      <c r="AS139" s="3"/>
      <c r="AT139" s="94" t="n">
        <f aca="false">IF(OR(ISNUMBER(AQ139),AQ139="DQ",AQ139="P",AQ139="NS"),
    1,
    0
)</f>
        <v>0</v>
      </c>
      <c r="AU139" s="94" t="n">
        <v>132</v>
      </c>
      <c r="AV139" s="94" t="str">
        <f aca="false">IF(ISBLANK($C139),
    "",
   IF(ISNUMBER(AR139),AR139+ROW($B139)/1000,"")
)</f>
        <v/>
      </c>
      <c r="AW139" s="94" t="str">
        <f aca="false">IF(ISNUMBER(AV139), RANK(AV139,AV$8:AV$507,1), "")</f>
        <v/>
      </c>
      <c r="AX139" s="94" t="str">
        <f aca="false">IF(ISBLANK($C139),
    "",
    $B139
)</f>
        <v/>
      </c>
      <c r="AY139" s="94" t="str">
        <f aca="false">IF(ISBLANK($C139),
    "",
    $C139
)</f>
        <v/>
      </c>
      <c r="AZ139" s="94" t="str">
        <f aca="false">IF(ISBLANK($C139),
    "",
    $D139
)</f>
        <v/>
      </c>
      <c r="BA139" s="94" t="str">
        <f aca="false">AO139</f>
        <v/>
      </c>
      <c r="BB139" s="95" t="str">
        <f aca="false">AN139</f>
        <v/>
      </c>
      <c r="BC139" s="94" t="str">
        <f aca="false">IF(ISBLANK($C139),
    "",
    AQ139
)</f>
        <v/>
      </c>
      <c r="BD139" s="96" t="str">
        <f aca="false">IF(AU139&gt;AT$7,
    "",
    VLOOKUP(AU139,AW$8:BC$507,7,FALSE())
)</f>
        <v/>
      </c>
      <c r="BE139" s="97" t="str">
        <f aca="false">IF(AU139&gt;AT$7,
    "",
    VLOOKUP(AU139,AW$8:BC$507,2,FALSE())
)</f>
        <v/>
      </c>
      <c r="BF139" s="97" t="str">
        <f aca="false">IF(AU139&gt;AT$7,
    "",
    VLOOKUP(AU139,AW$8:BC$507,3,FALSE())
)</f>
        <v/>
      </c>
      <c r="BG139" s="97" t="str">
        <f aca="false">IF(AU139&gt;AT$7,
    "",
    VLOOKUP(AU139,AW$8:BC$507,4,FALSE())
)</f>
        <v/>
      </c>
      <c r="BH139" s="97" t="str">
        <f aca="false">IF(AU139&gt;AT$7,
    "",
    VLOOKUP(AU139,AW$8:BC$507,5,FALSE())
)</f>
        <v/>
      </c>
      <c r="BI139" s="98" t="str">
        <f aca="false">IF(AU139&gt;AT$7,
    "",
    VLOOKUP(AU139,AW$8:BC$507,6,FALSE())
)</f>
        <v/>
      </c>
      <c r="BJ139" s="46"/>
    </row>
    <row r="140" customFormat="false" ht="15.75" hidden="false" customHeight="false" outlineLevel="0" collapsed="false">
      <c r="A140" s="3"/>
      <c r="B140" s="108"/>
      <c r="C140" s="70"/>
      <c r="D140" s="49"/>
      <c r="E140" s="109"/>
      <c r="F140" s="72"/>
      <c r="G140" s="109"/>
      <c r="H140" s="74"/>
      <c r="I140" s="104"/>
      <c r="J140" s="74"/>
      <c r="K140" s="74"/>
      <c r="L140" s="55"/>
      <c r="M140" s="55" t="str">
        <f aca="false">IF(ISBLANK($C140),"",IF(ISBLANK(E140),0,E140))</f>
        <v/>
      </c>
      <c r="N140" s="55" t="str">
        <f aca="false">IF(ISBLANK($C140),"",IF(ISBLANK(F140),0,F140))</f>
        <v/>
      </c>
      <c r="O140" s="55" t="e">
        <f aca="false">IF(AND(NOT(ISBLANK($C140)),NOT($T140),COUNTA($E140:$K140)&gt;0),ISBLANK($F140),FALSE())</f>
        <v>#VALUE!</v>
      </c>
      <c r="P140" s="55" t="str">
        <f aca="false">IF(ISBLANK($C140),"",IF(G140=Constants!$B$9, TRUE(), IF(G140=Constants!$B$10, FALSE(), TRUE())))</f>
        <v/>
      </c>
      <c r="Q140" s="55" t="str">
        <f aca="false">IF(ISBLANK($C140),"",IF(H140=Constants!$B$9, TRUE(), IF(H140=Constants!$B$10, FALSE(), TRUE())))</f>
        <v/>
      </c>
      <c r="R140" s="55" t="str">
        <f aca="false">IF(ISBLANK($C140),"",IF(ISBLANK(I140),Constants!$B$3,I140))</f>
        <v/>
      </c>
      <c r="S140" s="55" t="str">
        <f aca="false">IF(ISBLANK($C140),"",IF(ISBLANK(J140),0,MIN(J140,Constants!$B$6)))</f>
        <v/>
      </c>
      <c r="T140" s="55" t="str">
        <f aca="false">IF(ISBLANK($C140),"",IF(K140=Constants!$B$9, TRUE(), IF(K140=Constants!$B$10, FALSE(),  FALSE())))</f>
        <v/>
      </c>
      <c r="U140" s="55" t="str">
        <f aca="false">IF(ISBLANK($C140),"",AND(R140=Constants!$B$4, S140&lt;Constants!$B$6))</f>
        <v/>
      </c>
      <c r="V140" s="55" t="str">
        <f aca="false">IF(ISBLANK(C140), "", IF(T140, Constants!$B$11, IF(COUNTA(E140:K140)=0, Constants!$B$12, IF(NOT(AND(P140,S140&lt;&gt;0)), Constants!$B$13, IF(O140, Constants!$B$15, Constants!$B$14)))))</f>
        <v/>
      </c>
      <c r="W140" s="55" t="str">
        <f aca="false">IF(OR(ISBLANK($C140), SUMPRODUCT(--(P140:T140&lt;&gt;""))=0), "", IF(V140&lt;&gt;Constants!$B$14, V140, IF(AND(NOT(ISBLANK(J140)),P140,Q140,R140&lt;&gt;Constants!$B$2), Constants!$B$7, IF(AND(P140,OR(NOT(Q140),R140=Constants!$B$2)), Constants!$B$8, "Error"))))</f>
        <v/>
      </c>
      <c r="X140" s="56" t="str">
        <f aca="false">IF(OR(W140=Constants!$B$7,W140=Constants!$B$8), MAX(0, MIN(Constants!$B$6, S140))+IF(AND(R140=Constants!$B$4, NOT(U140)), Constants!$B$5, 0), "")</f>
        <v/>
      </c>
      <c r="Y140" s="55" t="str">
        <f aca="false">IF(ISBLANK($C140),"",IF(AND(ISNUMBER(X140),N140&gt;0),X140/N140, "") )</f>
        <v/>
      </c>
      <c r="Z140" s="55" t="str">
        <f aca="false">IF(AND(NOT(ISBLANK($C140)), W140=Constants!$B$7), Y140, "")</f>
        <v/>
      </c>
      <c r="AA140" s="55" t="str">
        <f aca="false">IF(ISNUMBER(Z140), RANK(Z140,Z$8:Z$507), "")</f>
        <v/>
      </c>
      <c r="AB140" s="55" t="str">
        <f aca="false">IF(AND(NOT(ISBLANK($C140)), W140=Constants!$B$8), Y140, "")</f>
        <v/>
      </c>
      <c r="AC140" s="55" t="str">
        <f aca="false">IF(ISNUMBER(AB140), RANK(AB140,AB$8:AB$507), "")</f>
        <v/>
      </c>
      <c r="AD140" s="55" t="str">
        <f aca="false">IF(ISBLANK($C140),"",IF(V140&lt;&gt;Constants!$B$14, V140, IF(W140=Constants!$B$7, AA140, IF(W140=Constants!$B$8, COUNT($AA$8:$AA$507) + AC140, ""))))</f>
        <v/>
      </c>
      <c r="AE140" s="55" t="str">
        <f aca="false">N140</f>
        <v/>
      </c>
      <c r="AF140" s="55" t="str">
        <f aca="false">IF(ISNUMBER(AE140), RANK(AE140,AE$8:AE$507,1), "")</f>
        <v/>
      </c>
      <c r="AG140" s="57" t="str">
        <f aca="false">IF(ISBLANK(C140), "", ABS(M140-S140))</f>
        <v/>
      </c>
      <c r="AH140" s="55" t="str">
        <f aca="false">IF(ISNUMBER(AG140), RANK(AG140,AG$8:AG$507,1), "")</f>
        <v/>
      </c>
      <c r="AI140" s="55" t="str">
        <f aca="false">IF(ISBLANK(C140),"",IF(V140&lt;&gt;Constants!$B$14, V140, RANK(AD140, AD$8:AD$507, 1)+ SUMPRODUCT(--(AD$8:AD$507=AD140),--(AF140&gt;AF$8:AF$507)) + SUMPRODUCT(--(AD$8:AD$507=AD140),--(AF140=AF$8:AF$507),--(AH140&gt;AH$8:AH$507))))</f>
        <v/>
      </c>
      <c r="AJ140" s="55" t="str">
        <f aca="false">IF(ISBLANK(C140),"",IF(V140&lt;&gt;Constants!$B$14, V140, AD140-AI140))</f>
        <v/>
      </c>
      <c r="AK140" s="59"/>
      <c r="AL140" s="60" t="str">
        <f aca="false">IF(ISBLANK($C140),"",IF($V140&lt;&gt;Constants!$B$14,$V140,X140))</f>
        <v/>
      </c>
      <c r="AM140" s="60" t="str">
        <f aca="false">IF(ISBLANK($C140),"",IF($V140&lt;&gt;Constants!$B$14,$V140,N140))</f>
        <v/>
      </c>
      <c r="AN140" s="62" t="str">
        <f aca="false">IF(ISBLANK(C140),"",IF(V140&lt;&gt;Constants!$B$14, V140, IF(W140=Constants!$B$7,Z140,IF(W140=Constants!$B$8,AB140,""))))</f>
        <v/>
      </c>
      <c r="AO140" s="63" t="str">
        <f aca="false">IF(ISBLANK(C140),"",W140)</f>
        <v/>
      </c>
      <c r="AP140" s="63" t="str">
        <f aca="false">IF(ISBLANK(C140),"",AJ140)</f>
        <v/>
      </c>
      <c r="AQ140" s="63" t="str">
        <f aca="false">IF(ISBLANK(C140),"",AI140)</f>
        <v/>
      </c>
      <c r="AR140" s="64" t="str">
        <f aca="false">IF(ISBLANK(C140),
  "",
IF(AQ140=Constants!$B$11,COUNTA($C$8:$C$507)+2,IF(AQ140=Constants!$B$12,COUNTA($C$8:$C$507)+1,IF(AQ140=Constants!$B$13,COUNTA($C$8:$C$507),AQ140))))</f>
        <v/>
      </c>
      <c r="AS140" s="3"/>
      <c r="AT140" s="65" t="n">
        <f aca="false">IF(OR(ISNUMBER(AQ140),AQ140="DQ",AQ140="P",AQ140="NS"),
    1,
    0
)</f>
        <v>0</v>
      </c>
      <c r="AU140" s="65" t="n">
        <v>133</v>
      </c>
      <c r="AV140" s="65" t="str">
        <f aca="false">IF(ISBLANK($C140),
    "",
   IF(ISNUMBER(AR140),AR140+ROW($B140)/1000,"")
)</f>
        <v/>
      </c>
      <c r="AW140" s="65" t="str">
        <f aca="false">IF(ISNUMBER(AV140), RANK(AV140,AV$8:AV$507,1), "")</f>
        <v/>
      </c>
      <c r="AX140" s="65" t="str">
        <f aca="false">IF(ISBLANK($C140),
    "",
    $B140
)</f>
        <v/>
      </c>
      <c r="AY140" s="65" t="str">
        <f aca="false">IF(ISBLANK($C140),
    "",
    $C140
)</f>
        <v/>
      </c>
      <c r="AZ140" s="65" t="str">
        <f aca="false">IF(ISBLANK($C140),
    "",
    $D140
)</f>
        <v/>
      </c>
      <c r="BA140" s="65" t="str">
        <f aca="false">AO140</f>
        <v/>
      </c>
      <c r="BB140" s="66" t="str">
        <f aca="false">AN140</f>
        <v/>
      </c>
      <c r="BC140" s="65" t="str">
        <f aca="false">IF(ISBLANK($C140),
    "",
    AQ140
)</f>
        <v/>
      </c>
      <c r="BD140" s="67" t="str">
        <f aca="false">IF(AU140&gt;AT$7,
    "",
    VLOOKUP(AU140,AW$8:BC$507,7,FALSE())
)</f>
        <v/>
      </c>
      <c r="BE140" s="68" t="str">
        <f aca="false">IF(AU140&gt;AT$7,
    "",
    VLOOKUP(AU140,AW$8:BC$507,2,FALSE())
)</f>
        <v/>
      </c>
      <c r="BF140" s="68" t="str">
        <f aca="false">IF(AU140&gt;AT$7,
    "",
    VLOOKUP(AU140,AW$8:BC$507,3,FALSE())
)</f>
        <v/>
      </c>
      <c r="BG140" s="68" t="str">
        <f aca="false">IF(AU140&gt;AT$7,
    "",
    VLOOKUP(AU140,AW$8:BC$507,4,FALSE())
)</f>
        <v/>
      </c>
      <c r="BH140" s="68" t="str">
        <f aca="false">IF(AU140&gt;AT$7,
    "",
    VLOOKUP(AU140,AW$8:BC$507,5,FALSE())
)</f>
        <v/>
      </c>
      <c r="BI140" s="69" t="str">
        <f aca="false">IF(AU140&gt;AT$7,
    "",
    VLOOKUP(AU140,AW$8:BC$507,6,FALSE())
)</f>
        <v/>
      </c>
      <c r="BJ140" s="46"/>
    </row>
    <row r="141" customFormat="false" ht="15.75" hidden="false" customHeight="false" outlineLevel="0" collapsed="false">
      <c r="A141" s="3"/>
      <c r="B141" s="108"/>
      <c r="C141" s="70"/>
      <c r="D141" s="49"/>
      <c r="E141" s="109"/>
      <c r="F141" s="72"/>
      <c r="G141" s="109"/>
      <c r="H141" s="74"/>
      <c r="I141" s="104"/>
      <c r="J141" s="74"/>
      <c r="K141" s="74"/>
      <c r="L141" s="55"/>
      <c r="M141" s="55" t="str">
        <f aca="false">IF(ISBLANK($C141),"",IF(ISBLANK(E141),0,E141))</f>
        <v/>
      </c>
      <c r="N141" s="55" t="str">
        <f aca="false">IF(ISBLANK($C141),"",IF(ISBLANK(F141),0,F141))</f>
        <v/>
      </c>
      <c r="O141" s="55" t="e">
        <f aca="false">IF(AND(NOT(ISBLANK($C141)),NOT($T141),COUNTA($E141:$K141)&gt;0),ISBLANK($F141),FALSE())</f>
        <v>#VALUE!</v>
      </c>
      <c r="P141" s="55" t="str">
        <f aca="false">IF(ISBLANK($C141),"",IF(G141=Constants!$B$9, TRUE(), IF(G141=Constants!$B$10, FALSE(), TRUE())))</f>
        <v/>
      </c>
      <c r="Q141" s="55" t="str">
        <f aca="false">IF(ISBLANK($C141),"",IF(H141=Constants!$B$9, TRUE(), IF(H141=Constants!$B$10, FALSE(), TRUE())))</f>
        <v/>
      </c>
      <c r="R141" s="55" t="str">
        <f aca="false">IF(ISBLANK($C141),"",IF(ISBLANK(I141),Constants!$B$3,I141))</f>
        <v/>
      </c>
      <c r="S141" s="55" t="str">
        <f aca="false">IF(ISBLANK($C141),"",IF(ISBLANK(J141),0,MIN(J141,Constants!$B$6)))</f>
        <v/>
      </c>
      <c r="T141" s="55" t="str">
        <f aca="false">IF(ISBLANK($C141),"",IF(K141=Constants!$B$9, TRUE(), IF(K141=Constants!$B$10, FALSE(),  FALSE())))</f>
        <v/>
      </c>
      <c r="U141" s="55" t="str">
        <f aca="false">IF(ISBLANK($C141),"",AND(R141=Constants!$B$4, S141&lt;Constants!$B$6))</f>
        <v/>
      </c>
      <c r="V141" s="55" t="str">
        <f aca="false">IF(ISBLANK(C141), "", IF(T141, Constants!$B$11, IF(COUNTA(E141:K141)=0, Constants!$B$12, IF(NOT(AND(P141,S141&lt;&gt;0)), Constants!$B$13, IF(O141, Constants!$B$15, Constants!$B$14)))))</f>
        <v/>
      </c>
      <c r="W141" s="55" t="str">
        <f aca="false">IF(OR(ISBLANK($C141), SUMPRODUCT(--(P141:T141&lt;&gt;""))=0), "", IF(V141&lt;&gt;Constants!$B$14, V141, IF(AND(NOT(ISBLANK(J141)),P141,Q141,R141&lt;&gt;Constants!$B$2), Constants!$B$7, IF(AND(P141,OR(NOT(Q141),R141=Constants!$B$2)), Constants!$B$8, "Error"))))</f>
        <v/>
      </c>
      <c r="X141" s="56" t="str">
        <f aca="false">IF(OR(W141=Constants!$B$7,W141=Constants!$B$8), MAX(0, MIN(Constants!$B$6, S141))+IF(AND(R141=Constants!$B$4, NOT(U141)), Constants!$B$5, 0), "")</f>
        <v/>
      </c>
      <c r="Y141" s="55" t="str">
        <f aca="false">IF(ISBLANK($C141),"",IF(AND(ISNUMBER(X141),N141&gt;0),X141/N141, "") )</f>
        <v/>
      </c>
      <c r="Z141" s="55" t="str">
        <f aca="false">IF(AND(NOT(ISBLANK($C141)), W141=Constants!$B$7), Y141, "")</f>
        <v/>
      </c>
      <c r="AA141" s="55" t="str">
        <f aca="false">IF(ISNUMBER(Z141), RANK(Z141,Z$8:Z$507), "")</f>
        <v/>
      </c>
      <c r="AB141" s="55" t="str">
        <f aca="false">IF(AND(NOT(ISBLANK($C141)), W141=Constants!$B$8), Y141, "")</f>
        <v/>
      </c>
      <c r="AC141" s="55" t="str">
        <f aca="false">IF(ISNUMBER(AB141), RANK(AB141,AB$8:AB$507), "")</f>
        <v/>
      </c>
      <c r="AD141" s="55" t="str">
        <f aca="false">IF(ISBLANK($C141),"",IF(V141&lt;&gt;Constants!$B$14, V141, IF(W141=Constants!$B$7, AA141, IF(W141=Constants!$B$8, COUNT($AA$8:$AA$507) + AC141, ""))))</f>
        <v/>
      </c>
      <c r="AE141" s="55" t="str">
        <f aca="false">N141</f>
        <v/>
      </c>
      <c r="AF141" s="55" t="str">
        <f aca="false">IF(ISNUMBER(AE141), RANK(AE141,AE$8:AE$507,1), "")</f>
        <v/>
      </c>
      <c r="AG141" s="57" t="str">
        <f aca="false">IF(ISBLANK(C141), "", ABS(M141-S141))</f>
        <v/>
      </c>
      <c r="AH141" s="55" t="str">
        <f aca="false">IF(ISNUMBER(AG141), RANK(AG141,AG$8:AG$507,1), "")</f>
        <v/>
      </c>
      <c r="AI141" s="55" t="str">
        <f aca="false">IF(ISBLANK(C141),"",IF(V141&lt;&gt;Constants!$B$14, V141, RANK(AD141, AD$8:AD$507, 1)+ SUMPRODUCT(--(AD$8:AD$507=AD141),--(AF141&gt;AF$8:AF$507)) + SUMPRODUCT(--(AD$8:AD$507=AD141),--(AF141=AF$8:AF$507),--(AH141&gt;AH$8:AH$507))))</f>
        <v/>
      </c>
      <c r="AJ141" s="55" t="str">
        <f aca="false">IF(ISBLANK(C141),"",IF(V141&lt;&gt;Constants!$B$14, V141, AD141-AI141))</f>
        <v/>
      </c>
      <c r="AK141" s="59"/>
      <c r="AL141" s="60" t="str">
        <f aca="false">IF(ISBLANK($C141),"",IF($V141&lt;&gt;Constants!$B$14,$V141,X141))</f>
        <v/>
      </c>
      <c r="AM141" s="60" t="str">
        <f aca="false">IF(ISBLANK($C141),"",IF($V141&lt;&gt;Constants!$B$14,$V141,N141))</f>
        <v/>
      </c>
      <c r="AN141" s="62" t="str">
        <f aca="false">IF(ISBLANK(C141),"",IF(V141&lt;&gt;Constants!$B$14, V141, IF(W141=Constants!$B$7,Z141,IF(W141=Constants!$B$8,AB141,""))))</f>
        <v/>
      </c>
      <c r="AO141" s="63" t="str">
        <f aca="false">IF(ISBLANK(C141),"",W141)</f>
        <v/>
      </c>
      <c r="AP141" s="63" t="str">
        <f aca="false">IF(ISBLANK(C141),"",AJ141)</f>
        <v/>
      </c>
      <c r="AQ141" s="63" t="str">
        <f aca="false">IF(ISBLANK(C141),"",AI141)</f>
        <v/>
      </c>
      <c r="AR141" s="64" t="str">
        <f aca="false">IF(ISBLANK(C141),
  "",
IF(AQ141=Constants!$B$11,COUNTA($C$8:$C$507)+2,IF(AQ141=Constants!$B$12,COUNTA($C$8:$C$507)+1,IF(AQ141=Constants!$B$13,COUNTA($C$8:$C$507),AQ141))))</f>
        <v/>
      </c>
      <c r="AS141" s="3"/>
      <c r="AT141" s="65" t="n">
        <f aca="false">IF(OR(ISNUMBER(AQ141),AQ141="DQ",AQ141="P",AQ141="NS"),
    1,
    0
)</f>
        <v>0</v>
      </c>
      <c r="AU141" s="65" t="n">
        <v>134</v>
      </c>
      <c r="AV141" s="65" t="str">
        <f aca="false">IF(ISBLANK($C141),
    "",
   IF(ISNUMBER(AR141),AR141+ROW($B141)/1000,"")
)</f>
        <v/>
      </c>
      <c r="AW141" s="65" t="str">
        <f aca="false">IF(ISNUMBER(AV141), RANK(AV141,AV$8:AV$507,1), "")</f>
        <v/>
      </c>
      <c r="AX141" s="65" t="str">
        <f aca="false">IF(ISBLANK($C141),
    "",
    $B141
)</f>
        <v/>
      </c>
      <c r="AY141" s="65" t="str">
        <f aca="false">IF(ISBLANK($C141),
    "",
    $C141
)</f>
        <v/>
      </c>
      <c r="AZ141" s="65" t="str">
        <f aca="false">IF(ISBLANK($C141),
    "",
    $D141
)</f>
        <v/>
      </c>
      <c r="BA141" s="65" t="str">
        <f aca="false">AO141</f>
        <v/>
      </c>
      <c r="BB141" s="66" t="str">
        <f aca="false">AN141</f>
        <v/>
      </c>
      <c r="BC141" s="65" t="str">
        <f aca="false">IF(ISBLANK($C141),
    "",
    AQ141
)</f>
        <v/>
      </c>
      <c r="BD141" s="67" t="str">
        <f aca="false">IF(AU141&gt;AT$7,
    "",
    VLOOKUP(AU141,AW$8:BC$507,7,FALSE())
)</f>
        <v/>
      </c>
      <c r="BE141" s="68" t="str">
        <f aca="false">IF(AU141&gt;AT$7,
    "",
    VLOOKUP(AU141,AW$8:BC$507,2,FALSE())
)</f>
        <v/>
      </c>
      <c r="BF141" s="68" t="str">
        <f aca="false">IF(AU141&gt;AT$7,
    "",
    VLOOKUP(AU141,AW$8:BC$507,3,FALSE())
)</f>
        <v/>
      </c>
      <c r="BG141" s="68" t="str">
        <f aca="false">IF(AU141&gt;AT$7,
    "",
    VLOOKUP(AU141,AW$8:BC$507,4,FALSE())
)</f>
        <v/>
      </c>
      <c r="BH141" s="68" t="str">
        <f aca="false">IF(AU141&gt;AT$7,
    "",
    VLOOKUP(AU141,AW$8:BC$507,5,FALSE())
)</f>
        <v/>
      </c>
      <c r="BI141" s="69" t="str">
        <f aca="false">IF(AU141&gt;AT$7,
    "",
    VLOOKUP(AU141,AW$8:BC$507,6,FALSE())
)</f>
        <v/>
      </c>
      <c r="BJ141" s="46"/>
    </row>
    <row r="142" customFormat="false" ht="15.75" hidden="false" customHeight="false" outlineLevel="0" collapsed="false">
      <c r="A142" s="3"/>
      <c r="B142" s="108"/>
      <c r="C142" s="70"/>
      <c r="D142" s="49"/>
      <c r="E142" s="109"/>
      <c r="F142" s="72"/>
      <c r="G142" s="109"/>
      <c r="H142" s="74"/>
      <c r="I142" s="104"/>
      <c r="J142" s="74"/>
      <c r="K142" s="74"/>
      <c r="L142" s="55"/>
      <c r="M142" s="55" t="str">
        <f aca="false">IF(ISBLANK($C142),"",IF(ISBLANK(E142),0,E142))</f>
        <v/>
      </c>
      <c r="N142" s="55" t="str">
        <f aca="false">IF(ISBLANK($C142),"",IF(ISBLANK(F142),0,F142))</f>
        <v/>
      </c>
      <c r="O142" s="55" t="e">
        <f aca="false">IF(AND(NOT(ISBLANK($C142)),NOT($T142),COUNTA($E142:$K142)&gt;0),ISBLANK($F142),FALSE())</f>
        <v>#VALUE!</v>
      </c>
      <c r="P142" s="55" t="str">
        <f aca="false">IF(ISBLANK($C142),"",IF(G142=Constants!$B$9, TRUE(), IF(G142=Constants!$B$10, FALSE(), TRUE())))</f>
        <v/>
      </c>
      <c r="Q142" s="55" t="str">
        <f aca="false">IF(ISBLANK($C142),"",IF(H142=Constants!$B$9, TRUE(), IF(H142=Constants!$B$10, FALSE(), TRUE())))</f>
        <v/>
      </c>
      <c r="R142" s="55" t="str">
        <f aca="false">IF(ISBLANK($C142),"",IF(ISBLANK(I142),Constants!$B$3,I142))</f>
        <v/>
      </c>
      <c r="S142" s="55" t="str">
        <f aca="false">IF(ISBLANK($C142),"",IF(ISBLANK(J142),0,MIN(J142,Constants!$B$6)))</f>
        <v/>
      </c>
      <c r="T142" s="55" t="str">
        <f aca="false">IF(ISBLANK($C142),"",IF(K142=Constants!$B$9, TRUE(), IF(K142=Constants!$B$10, FALSE(),  FALSE())))</f>
        <v/>
      </c>
      <c r="U142" s="55" t="str">
        <f aca="false">IF(ISBLANK($C142),"",AND(R142=Constants!$B$4, S142&lt;Constants!$B$6))</f>
        <v/>
      </c>
      <c r="V142" s="55" t="str">
        <f aca="false">IF(ISBLANK(C142), "", IF(T142, Constants!$B$11, IF(COUNTA(E142:K142)=0, Constants!$B$12, IF(NOT(AND(P142,S142&lt;&gt;0)), Constants!$B$13, IF(O142, Constants!$B$15, Constants!$B$14)))))</f>
        <v/>
      </c>
      <c r="W142" s="55" t="str">
        <f aca="false">IF(OR(ISBLANK($C142), SUMPRODUCT(--(P142:T142&lt;&gt;""))=0), "", IF(V142&lt;&gt;Constants!$B$14, V142, IF(AND(NOT(ISBLANK(J142)),P142,Q142,R142&lt;&gt;Constants!$B$2), Constants!$B$7, IF(AND(P142,OR(NOT(Q142),R142=Constants!$B$2)), Constants!$B$8, "Error"))))</f>
        <v/>
      </c>
      <c r="X142" s="56" t="str">
        <f aca="false">IF(OR(W142=Constants!$B$7,W142=Constants!$B$8), MAX(0, MIN(Constants!$B$6, S142))+IF(AND(R142=Constants!$B$4, NOT(U142)), Constants!$B$5, 0), "")</f>
        <v/>
      </c>
      <c r="Y142" s="55" t="str">
        <f aca="false">IF(ISBLANK($C142),"",IF(AND(ISNUMBER(X142),N142&gt;0),X142/N142, "") )</f>
        <v/>
      </c>
      <c r="Z142" s="55" t="str">
        <f aca="false">IF(AND(NOT(ISBLANK($C142)), W142=Constants!$B$7), Y142, "")</f>
        <v/>
      </c>
      <c r="AA142" s="55" t="str">
        <f aca="false">IF(ISNUMBER(Z142), RANK(Z142,Z$8:Z$507), "")</f>
        <v/>
      </c>
      <c r="AB142" s="55" t="str">
        <f aca="false">IF(AND(NOT(ISBLANK($C142)), W142=Constants!$B$8), Y142, "")</f>
        <v/>
      </c>
      <c r="AC142" s="55" t="str">
        <f aca="false">IF(ISNUMBER(AB142), RANK(AB142,AB$8:AB$507), "")</f>
        <v/>
      </c>
      <c r="AD142" s="55" t="str">
        <f aca="false">IF(ISBLANK($C142),"",IF(V142&lt;&gt;Constants!$B$14, V142, IF(W142=Constants!$B$7, AA142, IF(W142=Constants!$B$8, COUNT($AA$8:$AA$507) + AC142, ""))))</f>
        <v/>
      </c>
      <c r="AE142" s="55" t="str">
        <f aca="false">N142</f>
        <v/>
      </c>
      <c r="AF142" s="55" t="str">
        <f aca="false">IF(ISNUMBER(AE142), RANK(AE142,AE$8:AE$507,1), "")</f>
        <v/>
      </c>
      <c r="AG142" s="57" t="str">
        <f aca="false">IF(ISBLANK(C142), "", ABS(M142-S142))</f>
        <v/>
      </c>
      <c r="AH142" s="55" t="str">
        <f aca="false">IF(ISNUMBER(AG142), RANK(AG142,AG$8:AG$507,1), "")</f>
        <v/>
      </c>
      <c r="AI142" s="55" t="str">
        <f aca="false">IF(ISBLANK(C142),"",IF(V142&lt;&gt;Constants!$B$14, V142, RANK(AD142, AD$8:AD$507, 1)+ SUMPRODUCT(--(AD$8:AD$507=AD142),--(AF142&gt;AF$8:AF$507)) + SUMPRODUCT(--(AD$8:AD$507=AD142),--(AF142=AF$8:AF$507),--(AH142&gt;AH$8:AH$507))))</f>
        <v/>
      </c>
      <c r="AJ142" s="55" t="str">
        <f aca="false">IF(ISBLANK(C142),"",IF(V142&lt;&gt;Constants!$B$14, V142, AD142-AI142))</f>
        <v/>
      </c>
      <c r="AK142" s="59"/>
      <c r="AL142" s="60" t="str">
        <f aca="false">IF(ISBLANK($C142),"",IF($V142&lt;&gt;Constants!$B$14,$V142,X142))</f>
        <v/>
      </c>
      <c r="AM142" s="60" t="str">
        <f aca="false">IF(ISBLANK($C142),"",IF($V142&lt;&gt;Constants!$B$14,$V142,N142))</f>
        <v/>
      </c>
      <c r="AN142" s="62" t="str">
        <f aca="false">IF(ISBLANK(C142),"",IF(V142&lt;&gt;Constants!$B$14, V142, IF(W142=Constants!$B$7,Z142,IF(W142=Constants!$B$8,AB142,""))))</f>
        <v/>
      </c>
      <c r="AO142" s="63" t="str">
        <f aca="false">IF(ISBLANK(C142),"",W142)</f>
        <v/>
      </c>
      <c r="AP142" s="63" t="str">
        <f aca="false">IF(ISBLANK(C142),"",AJ142)</f>
        <v/>
      </c>
      <c r="AQ142" s="63" t="str">
        <f aca="false">IF(ISBLANK(C142),"",AI142)</f>
        <v/>
      </c>
      <c r="AR142" s="64" t="str">
        <f aca="false">IF(ISBLANK(C142),
  "",
IF(AQ142=Constants!$B$11,COUNTA($C$8:$C$507)+2,IF(AQ142=Constants!$B$12,COUNTA($C$8:$C$507)+1,IF(AQ142=Constants!$B$13,COUNTA($C$8:$C$507),AQ142))))</f>
        <v/>
      </c>
      <c r="AS142" s="3"/>
      <c r="AT142" s="65" t="n">
        <f aca="false">IF(OR(ISNUMBER(AQ142),AQ142="DQ",AQ142="P",AQ142="NS"),
    1,
    0
)</f>
        <v>0</v>
      </c>
      <c r="AU142" s="65" t="n">
        <v>135</v>
      </c>
      <c r="AV142" s="65" t="str">
        <f aca="false">IF(ISBLANK($C142),
    "",
   IF(ISNUMBER(AR142),AR142+ROW($B142)/1000,"")
)</f>
        <v/>
      </c>
      <c r="AW142" s="65" t="str">
        <f aca="false">IF(ISNUMBER(AV142), RANK(AV142,AV$8:AV$507,1), "")</f>
        <v/>
      </c>
      <c r="AX142" s="65" t="str">
        <f aca="false">IF(ISBLANK($C142),
    "",
    $B142
)</f>
        <v/>
      </c>
      <c r="AY142" s="65" t="str">
        <f aca="false">IF(ISBLANK($C142),
    "",
    $C142
)</f>
        <v/>
      </c>
      <c r="AZ142" s="65" t="str">
        <f aca="false">IF(ISBLANK($C142),
    "",
    $D142
)</f>
        <v/>
      </c>
      <c r="BA142" s="65" t="str">
        <f aca="false">AO142</f>
        <v/>
      </c>
      <c r="BB142" s="66" t="str">
        <f aca="false">AN142</f>
        <v/>
      </c>
      <c r="BC142" s="65" t="str">
        <f aca="false">IF(ISBLANK($C142),
    "",
    AQ142
)</f>
        <v/>
      </c>
      <c r="BD142" s="67" t="str">
        <f aca="false">IF(AU142&gt;AT$7,
    "",
    VLOOKUP(AU142,AW$8:BC$507,7,FALSE())
)</f>
        <v/>
      </c>
      <c r="BE142" s="68" t="str">
        <f aca="false">IF(AU142&gt;AT$7,
    "",
    VLOOKUP(AU142,AW$8:BC$507,2,FALSE())
)</f>
        <v/>
      </c>
      <c r="BF142" s="68" t="str">
        <f aca="false">IF(AU142&gt;AT$7,
    "",
    VLOOKUP(AU142,AW$8:BC$507,3,FALSE())
)</f>
        <v/>
      </c>
      <c r="BG142" s="68" t="str">
        <f aca="false">IF(AU142&gt;AT$7,
    "",
    VLOOKUP(AU142,AW$8:BC$507,4,FALSE())
)</f>
        <v/>
      </c>
      <c r="BH142" s="68" t="str">
        <f aca="false">IF(AU142&gt;AT$7,
    "",
    VLOOKUP(AU142,AW$8:BC$507,5,FALSE())
)</f>
        <v/>
      </c>
      <c r="BI142" s="69" t="str">
        <f aca="false">IF(AU142&gt;AT$7,
    "",
    VLOOKUP(AU142,AW$8:BC$507,6,FALSE())
)</f>
        <v/>
      </c>
      <c r="BJ142" s="46"/>
    </row>
    <row r="143" customFormat="false" ht="15.75" hidden="false" customHeight="false" outlineLevel="0" collapsed="false">
      <c r="A143" s="3"/>
      <c r="B143" s="105"/>
      <c r="C143" s="106"/>
      <c r="D143" s="99"/>
      <c r="E143" s="110"/>
      <c r="F143" s="107"/>
      <c r="G143" s="110"/>
      <c r="H143" s="103"/>
      <c r="I143" s="102"/>
      <c r="J143" s="103"/>
      <c r="K143" s="103"/>
      <c r="L143" s="85"/>
      <c r="M143" s="85" t="str">
        <f aca="false">IF(ISBLANK($C143),"",IF(ISBLANK(E143),0,E143))</f>
        <v/>
      </c>
      <c r="N143" s="85" t="str">
        <f aca="false">IF(ISBLANK($C143),"",IF(ISBLANK(F143),0,F143))</f>
        <v/>
      </c>
      <c r="O143" s="86" t="e">
        <f aca="false">IF(AND(NOT(ISBLANK($C143)),NOT($T143),COUNTA($E143:$K143)&gt;0),ISBLANK($F143),FALSE())</f>
        <v>#VALUE!</v>
      </c>
      <c r="P143" s="85" t="str">
        <f aca="false">IF(ISBLANK($C143),"",IF(G143=Constants!$B$9, TRUE(), IF(G143=Constants!$B$10, FALSE(), TRUE())))</f>
        <v/>
      </c>
      <c r="Q143" s="85" t="str">
        <f aca="false">IF(ISBLANK($C143),"",IF(H143=Constants!$B$9, TRUE(), IF(H143=Constants!$B$10, FALSE(), TRUE())))</f>
        <v/>
      </c>
      <c r="R143" s="85" t="str">
        <f aca="false">IF(ISBLANK($C143),"",IF(ISBLANK(I143),Constants!$B$3,I143))</f>
        <v/>
      </c>
      <c r="S143" s="85" t="str">
        <f aca="false">IF(ISBLANK($C143),"",IF(ISBLANK(J143),0,MIN(J143,Constants!$B$6)))</f>
        <v/>
      </c>
      <c r="T143" s="85" t="str">
        <f aca="false">IF(ISBLANK($C143),"",IF(K143=Constants!$B$9, TRUE(), IF(K143=Constants!$B$10, FALSE(),  FALSE())))</f>
        <v/>
      </c>
      <c r="U143" s="85" t="str">
        <f aca="false">IF(ISBLANK($C143),"",AND(R143=Constants!$B$4, S143&lt;Constants!$B$6))</f>
        <v/>
      </c>
      <c r="V143" s="85" t="str">
        <f aca="false">IF(ISBLANK(C143), "", IF(T143, Constants!$B$11, IF(COUNTA(E143:K143)=0, Constants!$B$12, IF(NOT(AND(P143,S143&lt;&gt;0)), Constants!$B$13, IF(O143, Constants!$B$15, Constants!$B$14)))))</f>
        <v/>
      </c>
      <c r="W143" s="85" t="str">
        <f aca="false">IF(OR(ISBLANK($C143), SUMPRODUCT(--(P143:T143&lt;&gt;""))=0), "", IF(V143&lt;&gt;Constants!$B$14, V143, IF(AND(NOT(ISBLANK(J143)),P143,Q143,R143&lt;&gt;Constants!$B$2), Constants!$B$7, IF(AND(P143,OR(NOT(Q143),R143=Constants!$B$2)), Constants!$B$8, "Error"))))</f>
        <v/>
      </c>
      <c r="X143" s="87" t="str">
        <f aca="false">IF(OR(W143=Constants!$B$7,W143=Constants!$B$8), MAX(0, MIN(Constants!$B$6, S143))+IF(AND(R143=Constants!$B$4, NOT(U143)), Constants!$B$5, 0), "")</f>
        <v/>
      </c>
      <c r="Y143" s="85" t="str">
        <f aca="false">IF(ISBLANK($C143),"",IF(AND(ISNUMBER(X143),N143&gt;0),X143/N143, "") )</f>
        <v/>
      </c>
      <c r="Z143" s="85" t="str">
        <f aca="false">IF(AND(NOT(ISBLANK($C143)), W143=Constants!$B$7), Y143, "")</f>
        <v/>
      </c>
      <c r="AA143" s="85" t="str">
        <f aca="false">IF(ISNUMBER(Z143), RANK(Z143,Z$8:Z$507), "")</f>
        <v/>
      </c>
      <c r="AB143" s="85" t="str">
        <f aca="false">IF(AND(NOT(ISBLANK($C143)), W143=Constants!$B$8), Y143, "")</f>
        <v/>
      </c>
      <c r="AC143" s="85" t="str">
        <f aca="false">IF(ISNUMBER(AB143), RANK(AB143,AB$8:AB$507), "")</f>
        <v/>
      </c>
      <c r="AD143" s="85" t="str">
        <f aca="false">IF(ISBLANK($C143),"",IF(V143&lt;&gt;Constants!$B$14, V143, IF(W143=Constants!$B$7, AA143, IF(W143=Constants!$B$8, COUNT($AA$8:$AA$507) + AC143, ""))))</f>
        <v/>
      </c>
      <c r="AE143" s="85" t="str">
        <f aca="false">N143</f>
        <v/>
      </c>
      <c r="AF143" s="85" t="str">
        <f aca="false">IF(ISNUMBER(AE143), RANK(AE143,AE$8:AE$507,1), "")</f>
        <v/>
      </c>
      <c r="AG143" s="88" t="str">
        <f aca="false">IF(ISBLANK(C143), "", ABS(M143-S143))</f>
        <v/>
      </c>
      <c r="AH143" s="85" t="str">
        <f aca="false">IF(ISNUMBER(AG143), RANK(AG143,AG$8:AG$507,1), "")</f>
        <v/>
      </c>
      <c r="AI143" s="85" t="str">
        <f aca="false">IF(ISBLANK(C143),"",IF(V143&lt;&gt;Constants!$B$14, V143, RANK(AD143, AD$8:AD$507, 1)+ SUMPRODUCT(--(AD$8:AD$507=AD143),--(AF143&gt;AF$8:AF$507)) + SUMPRODUCT(--(AD$8:AD$507=AD143),--(AF143=AF$8:AF$507),--(AH143&gt;AH$8:AH$507))))</f>
        <v/>
      </c>
      <c r="AJ143" s="85" t="str">
        <f aca="false">IF(ISBLANK(C143),"",IF(V143&lt;&gt;Constants!$B$14, V143, AD143-AI143))</f>
        <v/>
      </c>
      <c r="AK143" s="89"/>
      <c r="AL143" s="90" t="str">
        <f aca="false">IF(ISBLANK($C143),"",IF($V143&lt;&gt;Constants!$B$14,$V143,X143))</f>
        <v/>
      </c>
      <c r="AM143" s="90" t="str">
        <f aca="false">IF(ISBLANK($C143),"",IF($V143&lt;&gt;Constants!$B$14,$V143,N143))</f>
        <v/>
      </c>
      <c r="AN143" s="91" t="str">
        <f aca="false">IF(ISBLANK(C143),"",IF(V143&lt;&gt;Constants!$B$14, V143, IF(W143=Constants!$B$7,Z143,IF(W143=Constants!$B$8,AB143,""))))</f>
        <v/>
      </c>
      <c r="AO143" s="92" t="str">
        <f aca="false">IF(ISBLANK(C143),"",W143)</f>
        <v/>
      </c>
      <c r="AP143" s="92" t="str">
        <f aca="false">IF(ISBLANK(C143),"",AJ143)</f>
        <v/>
      </c>
      <c r="AQ143" s="92" t="str">
        <f aca="false">IF(ISBLANK(C143),"",AI143)</f>
        <v/>
      </c>
      <c r="AR143" s="93" t="str">
        <f aca="false">IF(ISBLANK(C143),
  "",
IF(AQ143=Constants!$B$11,COUNTA($C$8:$C$507)+2,IF(AQ143=Constants!$B$12,COUNTA($C$8:$C$507)+1,IF(AQ143=Constants!$B$13,COUNTA($C$8:$C$507),AQ143))))</f>
        <v/>
      </c>
      <c r="AS143" s="3"/>
      <c r="AT143" s="94" t="n">
        <f aca="false">IF(OR(ISNUMBER(AQ143),AQ143="DQ",AQ143="P",AQ143="NS"),
    1,
    0
)</f>
        <v>0</v>
      </c>
      <c r="AU143" s="94" t="n">
        <v>136</v>
      </c>
      <c r="AV143" s="94" t="str">
        <f aca="false">IF(ISBLANK($C143),
    "",
   IF(ISNUMBER(AR143),AR143+ROW($B143)/1000,"")
)</f>
        <v/>
      </c>
      <c r="AW143" s="94" t="str">
        <f aca="false">IF(ISNUMBER(AV143), RANK(AV143,AV$8:AV$507,1), "")</f>
        <v/>
      </c>
      <c r="AX143" s="94" t="str">
        <f aca="false">IF(ISBLANK($C143),
    "",
    $B143
)</f>
        <v/>
      </c>
      <c r="AY143" s="94" t="str">
        <f aca="false">IF(ISBLANK($C143),
    "",
    $C143
)</f>
        <v/>
      </c>
      <c r="AZ143" s="94" t="str">
        <f aca="false">IF(ISBLANK($C143),
    "",
    $D143
)</f>
        <v/>
      </c>
      <c r="BA143" s="94" t="str">
        <f aca="false">AO143</f>
        <v/>
      </c>
      <c r="BB143" s="95" t="str">
        <f aca="false">AN143</f>
        <v/>
      </c>
      <c r="BC143" s="94" t="str">
        <f aca="false">IF(ISBLANK($C143),
    "",
    AQ143
)</f>
        <v/>
      </c>
      <c r="BD143" s="96" t="str">
        <f aca="false">IF(AU143&gt;AT$7,
    "",
    VLOOKUP(AU143,AW$8:BC$507,7,FALSE())
)</f>
        <v/>
      </c>
      <c r="BE143" s="97" t="str">
        <f aca="false">IF(AU143&gt;AT$7,
    "",
    VLOOKUP(AU143,AW$8:BC$507,2,FALSE())
)</f>
        <v/>
      </c>
      <c r="BF143" s="97" t="str">
        <f aca="false">IF(AU143&gt;AT$7,
    "",
    VLOOKUP(AU143,AW$8:BC$507,3,FALSE())
)</f>
        <v/>
      </c>
      <c r="BG143" s="97" t="str">
        <f aca="false">IF(AU143&gt;AT$7,
    "",
    VLOOKUP(AU143,AW$8:BC$507,4,FALSE())
)</f>
        <v/>
      </c>
      <c r="BH143" s="97" t="str">
        <f aca="false">IF(AU143&gt;AT$7,
    "",
    VLOOKUP(AU143,AW$8:BC$507,5,FALSE())
)</f>
        <v/>
      </c>
      <c r="BI143" s="98" t="str">
        <f aca="false">IF(AU143&gt;AT$7,
    "",
    VLOOKUP(AU143,AW$8:BC$507,6,FALSE())
)</f>
        <v/>
      </c>
      <c r="BJ143" s="46"/>
    </row>
    <row r="144" customFormat="false" ht="15.75" hidden="false" customHeight="false" outlineLevel="0" collapsed="false">
      <c r="A144" s="3"/>
      <c r="B144" s="105"/>
      <c r="C144" s="106"/>
      <c r="D144" s="99"/>
      <c r="E144" s="110"/>
      <c r="F144" s="107"/>
      <c r="G144" s="110"/>
      <c r="H144" s="103"/>
      <c r="I144" s="102"/>
      <c r="J144" s="103"/>
      <c r="K144" s="103"/>
      <c r="L144" s="85"/>
      <c r="M144" s="85" t="str">
        <f aca="false">IF(ISBLANK($C144),"",IF(ISBLANK(E144),0,E144))</f>
        <v/>
      </c>
      <c r="N144" s="85" t="str">
        <f aca="false">IF(ISBLANK($C144),"",IF(ISBLANK(F144),0,F144))</f>
        <v/>
      </c>
      <c r="O144" s="86" t="e">
        <f aca="false">IF(AND(NOT(ISBLANK($C144)),NOT($T144),COUNTA($E144:$K144)&gt;0),ISBLANK($F144),FALSE())</f>
        <v>#VALUE!</v>
      </c>
      <c r="P144" s="85" t="str">
        <f aca="false">IF(ISBLANK($C144),"",IF(G144=Constants!$B$9, TRUE(), IF(G144=Constants!$B$10, FALSE(), TRUE())))</f>
        <v/>
      </c>
      <c r="Q144" s="85" t="str">
        <f aca="false">IF(ISBLANK($C144),"",IF(H144=Constants!$B$9, TRUE(), IF(H144=Constants!$B$10, FALSE(), TRUE())))</f>
        <v/>
      </c>
      <c r="R144" s="85" t="str">
        <f aca="false">IF(ISBLANK($C144),"",IF(ISBLANK(I144),Constants!$B$3,I144))</f>
        <v/>
      </c>
      <c r="S144" s="85" t="str">
        <f aca="false">IF(ISBLANK($C144),"",IF(ISBLANK(J144),0,MIN(J144,Constants!$B$6)))</f>
        <v/>
      </c>
      <c r="T144" s="85" t="str">
        <f aca="false">IF(ISBLANK($C144),"",IF(K144=Constants!$B$9, TRUE(), IF(K144=Constants!$B$10, FALSE(),  FALSE())))</f>
        <v/>
      </c>
      <c r="U144" s="85" t="str">
        <f aca="false">IF(ISBLANK($C144),"",AND(R144=Constants!$B$4, S144&lt;Constants!$B$6))</f>
        <v/>
      </c>
      <c r="V144" s="85" t="str">
        <f aca="false">IF(ISBLANK(C144), "", IF(T144, Constants!$B$11, IF(COUNTA(E144:K144)=0, Constants!$B$12, IF(NOT(AND(P144,S144&lt;&gt;0)), Constants!$B$13, IF(O144, Constants!$B$15, Constants!$B$14)))))</f>
        <v/>
      </c>
      <c r="W144" s="85" t="str">
        <f aca="false">IF(OR(ISBLANK($C144), SUMPRODUCT(--(P144:T144&lt;&gt;""))=0), "", IF(V144&lt;&gt;Constants!$B$14, V144, IF(AND(NOT(ISBLANK(J144)),P144,Q144,R144&lt;&gt;Constants!$B$2), Constants!$B$7, IF(AND(P144,OR(NOT(Q144),R144=Constants!$B$2)), Constants!$B$8, "Error"))))</f>
        <v/>
      </c>
      <c r="X144" s="87" t="str">
        <f aca="false">IF(OR(W144=Constants!$B$7,W144=Constants!$B$8), MAX(0, MIN(Constants!$B$6, S144))+IF(AND(R144=Constants!$B$4, NOT(U144)), Constants!$B$5, 0), "")</f>
        <v/>
      </c>
      <c r="Y144" s="85" t="str">
        <f aca="false">IF(ISBLANK($C144),"",IF(AND(ISNUMBER(X144),N144&gt;0),X144/N144, "") )</f>
        <v/>
      </c>
      <c r="Z144" s="85" t="str">
        <f aca="false">IF(AND(NOT(ISBLANK($C144)), W144=Constants!$B$7), Y144, "")</f>
        <v/>
      </c>
      <c r="AA144" s="85" t="str">
        <f aca="false">IF(ISNUMBER(Z144), RANK(Z144,Z$8:Z$507), "")</f>
        <v/>
      </c>
      <c r="AB144" s="85" t="str">
        <f aca="false">IF(AND(NOT(ISBLANK($C144)), W144=Constants!$B$8), Y144, "")</f>
        <v/>
      </c>
      <c r="AC144" s="85" t="str">
        <f aca="false">IF(ISNUMBER(AB144), RANK(AB144,AB$8:AB$507), "")</f>
        <v/>
      </c>
      <c r="AD144" s="85" t="str">
        <f aca="false">IF(ISBLANK($C144),"",IF(V144&lt;&gt;Constants!$B$14, V144, IF(W144=Constants!$B$7, AA144, IF(W144=Constants!$B$8, COUNT($AA$8:$AA$507) + AC144, ""))))</f>
        <v/>
      </c>
      <c r="AE144" s="85" t="str">
        <f aca="false">N144</f>
        <v/>
      </c>
      <c r="AF144" s="85" t="str">
        <f aca="false">IF(ISNUMBER(AE144), RANK(AE144,AE$8:AE$507,1), "")</f>
        <v/>
      </c>
      <c r="AG144" s="88" t="str">
        <f aca="false">IF(ISBLANK(C144), "", ABS(M144-S144))</f>
        <v/>
      </c>
      <c r="AH144" s="85" t="str">
        <f aca="false">IF(ISNUMBER(AG144), RANK(AG144,AG$8:AG$507,1), "")</f>
        <v/>
      </c>
      <c r="AI144" s="85" t="str">
        <f aca="false">IF(ISBLANK(C144),"",IF(V144&lt;&gt;Constants!$B$14, V144, RANK(AD144, AD$8:AD$507, 1)+ SUMPRODUCT(--(AD$8:AD$507=AD144),--(AF144&gt;AF$8:AF$507)) + SUMPRODUCT(--(AD$8:AD$507=AD144),--(AF144=AF$8:AF$507),--(AH144&gt;AH$8:AH$507))))</f>
        <v/>
      </c>
      <c r="AJ144" s="85" t="str">
        <f aca="false">IF(ISBLANK(C144),"",IF(V144&lt;&gt;Constants!$B$14, V144, AD144-AI144))</f>
        <v/>
      </c>
      <c r="AK144" s="89"/>
      <c r="AL144" s="90" t="str">
        <f aca="false">IF(ISBLANK($C144),"",IF($V144&lt;&gt;Constants!$B$14,$V144,X144))</f>
        <v/>
      </c>
      <c r="AM144" s="90" t="str">
        <f aca="false">IF(ISBLANK($C144),"",IF($V144&lt;&gt;Constants!$B$14,$V144,N144))</f>
        <v/>
      </c>
      <c r="AN144" s="91" t="str">
        <f aca="false">IF(ISBLANK(C144),"",IF(V144&lt;&gt;Constants!$B$14, V144, IF(W144=Constants!$B$7,Z144,IF(W144=Constants!$B$8,AB144,""))))</f>
        <v/>
      </c>
      <c r="AO144" s="92" t="str">
        <f aca="false">IF(ISBLANK(C144),"",W144)</f>
        <v/>
      </c>
      <c r="AP144" s="92" t="str">
        <f aca="false">IF(ISBLANK(C144),"",AJ144)</f>
        <v/>
      </c>
      <c r="AQ144" s="92" t="str">
        <f aca="false">IF(ISBLANK(C144),"",AI144)</f>
        <v/>
      </c>
      <c r="AR144" s="93" t="str">
        <f aca="false">IF(ISBLANK(C144),
  "",
IF(AQ144=Constants!$B$11,COUNTA($C$8:$C$507)+2,IF(AQ144=Constants!$B$12,COUNTA($C$8:$C$507)+1,IF(AQ144=Constants!$B$13,COUNTA($C$8:$C$507),AQ144))))</f>
        <v/>
      </c>
      <c r="AS144" s="3"/>
      <c r="AT144" s="94" t="n">
        <f aca="false">IF(OR(ISNUMBER(AQ144),AQ144="DQ",AQ144="P",AQ144="NS"),
    1,
    0
)</f>
        <v>0</v>
      </c>
      <c r="AU144" s="94" t="n">
        <v>137</v>
      </c>
      <c r="AV144" s="94" t="str">
        <f aca="false">IF(ISBLANK($C144),
    "",
   IF(ISNUMBER(AR144),AR144+ROW($B144)/1000,"")
)</f>
        <v/>
      </c>
      <c r="AW144" s="94" t="str">
        <f aca="false">IF(ISNUMBER(AV144), RANK(AV144,AV$8:AV$507,1), "")</f>
        <v/>
      </c>
      <c r="AX144" s="94" t="str">
        <f aca="false">IF(ISBLANK($C144),
    "",
    $B144
)</f>
        <v/>
      </c>
      <c r="AY144" s="94" t="str">
        <f aca="false">IF(ISBLANK($C144),
    "",
    $C144
)</f>
        <v/>
      </c>
      <c r="AZ144" s="94" t="str">
        <f aca="false">IF(ISBLANK($C144),
    "",
    $D144
)</f>
        <v/>
      </c>
      <c r="BA144" s="94" t="str">
        <f aca="false">AO144</f>
        <v/>
      </c>
      <c r="BB144" s="95" t="str">
        <f aca="false">AN144</f>
        <v/>
      </c>
      <c r="BC144" s="94" t="str">
        <f aca="false">IF(ISBLANK($C144),
    "",
    AQ144
)</f>
        <v/>
      </c>
      <c r="BD144" s="96" t="str">
        <f aca="false">IF(AU144&gt;AT$7,
    "",
    VLOOKUP(AU144,AW$8:BC$507,7,FALSE())
)</f>
        <v/>
      </c>
      <c r="BE144" s="97" t="str">
        <f aca="false">IF(AU144&gt;AT$7,
    "",
    VLOOKUP(AU144,AW$8:BC$507,2,FALSE())
)</f>
        <v/>
      </c>
      <c r="BF144" s="97" t="str">
        <f aca="false">IF(AU144&gt;AT$7,
    "",
    VLOOKUP(AU144,AW$8:BC$507,3,FALSE())
)</f>
        <v/>
      </c>
      <c r="BG144" s="97" t="str">
        <f aca="false">IF(AU144&gt;AT$7,
    "",
    VLOOKUP(AU144,AW$8:BC$507,4,FALSE())
)</f>
        <v/>
      </c>
      <c r="BH144" s="97" t="str">
        <f aca="false">IF(AU144&gt;AT$7,
    "",
    VLOOKUP(AU144,AW$8:BC$507,5,FALSE())
)</f>
        <v/>
      </c>
      <c r="BI144" s="98" t="str">
        <f aca="false">IF(AU144&gt;AT$7,
    "",
    VLOOKUP(AU144,AW$8:BC$507,6,FALSE())
)</f>
        <v/>
      </c>
      <c r="BJ144" s="46"/>
    </row>
    <row r="145" customFormat="false" ht="15.75" hidden="false" customHeight="false" outlineLevel="0" collapsed="false">
      <c r="A145" s="3"/>
      <c r="B145" s="105"/>
      <c r="C145" s="106"/>
      <c r="D145" s="99"/>
      <c r="E145" s="110"/>
      <c r="F145" s="107"/>
      <c r="G145" s="110"/>
      <c r="H145" s="103"/>
      <c r="I145" s="102"/>
      <c r="J145" s="103"/>
      <c r="K145" s="103"/>
      <c r="L145" s="85"/>
      <c r="M145" s="85" t="str">
        <f aca="false">IF(ISBLANK($C145),"",IF(ISBLANK(E145),0,E145))</f>
        <v/>
      </c>
      <c r="N145" s="85" t="str">
        <f aca="false">IF(ISBLANK($C145),"",IF(ISBLANK(F145),0,F145))</f>
        <v/>
      </c>
      <c r="O145" s="86" t="e">
        <f aca="false">IF(AND(NOT(ISBLANK($C145)),NOT($T145),COUNTA($E145:$K145)&gt;0),ISBLANK($F145),FALSE())</f>
        <v>#VALUE!</v>
      </c>
      <c r="P145" s="85" t="str">
        <f aca="false">IF(ISBLANK($C145),"",IF(G145=Constants!$B$9, TRUE(), IF(G145=Constants!$B$10, FALSE(), TRUE())))</f>
        <v/>
      </c>
      <c r="Q145" s="85" t="str">
        <f aca="false">IF(ISBLANK($C145),"",IF(H145=Constants!$B$9, TRUE(), IF(H145=Constants!$B$10, FALSE(), TRUE())))</f>
        <v/>
      </c>
      <c r="R145" s="85" t="str">
        <f aca="false">IF(ISBLANK($C145),"",IF(ISBLANK(I145),Constants!$B$3,I145))</f>
        <v/>
      </c>
      <c r="S145" s="85" t="str">
        <f aca="false">IF(ISBLANK($C145),"",IF(ISBLANK(J145),0,MIN(J145,Constants!$B$6)))</f>
        <v/>
      </c>
      <c r="T145" s="85" t="str">
        <f aca="false">IF(ISBLANK($C145),"",IF(K145=Constants!$B$9, TRUE(), IF(K145=Constants!$B$10, FALSE(),  FALSE())))</f>
        <v/>
      </c>
      <c r="U145" s="85" t="str">
        <f aca="false">IF(ISBLANK($C145),"",AND(R145=Constants!$B$4, S145&lt;Constants!$B$6))</f>
        <v/>
      </c>
      <c r="V145" s="85" t="str">
        <f aca="false">IF(ISBLANK(C145), "", IF(T145, Constants!$B$11, IF(COUNTA(E145:K145)=0, Constants!$B$12, IF(NOT(AND(P145,S145&lt;&gt;0)), Constants!$B$13, IF(O145, Constants!$B$15, Constants!$B$14)))))</f>
        <v/>
      </c>
      <c r="W145" s="85" t="str">
        <f aca="false">IF(OR(ISBLANK($C145), SUMPRODUCT(--(P145:T145&lt;&gt;""))=0), "", IF(V145&lt;&gt;Constants!$B$14, V145, IF(AND(NOT(ISBLANK(J145)),P145,Q145,R145&lt;&gt;Constants!$B$2), Constants!$B$7, IF(AND(P145,OR(NOT(Q145),R145=Constants!$B$2)), Constants!$B$8, "Error"))))</f>
        <v/>
      </c>
      <c r="X145" s="87" t="str">
        <f aca="false">IF(OR(W145=Constants!$B$7,W145=Constants!$B$8), MAX(0, MIN(Constants!$B$6, S145))+IF(AND(R145=Constants!$B$4, NOT(U145)), Constants!$B$5, 0), "")</f>
        <v/>
      </c>
      <c r="Y145" s="85" t="str">
        <f aca="false">IF(ISBLANK($C145),"",IF(AND(ISNUMBER(X145),N145&gt;0),X145/N145, "") )</f>
        <v/>
      </c>
      <c r="Z145" s="85" t="str">
        <f aca="false">IF(AND(NOT(ISBLANK($C145)), W145=Constants!$B$7), Y145, "")</f>
        <v/>
      </c>
      <c r="AA145" s="85" t="str">
        <f aca="false">IF(ISNUMBER(Z145), RANK(Z145,Z$8:Z$507), "")</f>
        <v/>
      </c>
      <c r="AB145" s="85" t="str">
        <f aca="false">IF(AND(NOT(ISBLANK($C145)), W145=Constants!$B$8), Y145, "")</f>
        <v/>
      </c>
      <c r="AC145" s="85" t="str">
        <f aca="false">IF(ISNUMBER(AB145), RANK(AB145,AB$8:AB$507), "")</f>
        <v/>
      </c>
      <c r="AD145" s="85" t="str">
        <f aca="false">IF(ISBLANK($C145),"",IF(V145&lt;&gt;Constants!$B$14, V145, IF(W145=Constants!$B$7, AA145, IF(W145=Constants!$B$8, COUNT($AA$8:$AA$507) + AC145, ""))))</f>
        <v/>
      </c>
      <c r="AE145" s="85" t="str">
        <f aca="false">N145</f>
        <v/>
      </c>
      <c r="AF145" s="85" t="str">
        <f aca="false">IF(ISNUMBER(AE145), RANK(AE145,AE$8:AE$507,1), "")</f>
        <v/>
      </c>
      <c r="AG145" s="88" t="str">
        <f aca="false">IF(ISBLANK(C145), "", ABS(M145-S145))</f>
        <v/>
      </c>
      <c r="AH145" s="85" t="str">
        <f aca="false">IF(ISNUMBER(AG145), RANK(AG145,AG$8:AG$507,1), "")</f>
        <v/>
      </c>
      <c r="AI145" s="85" t="str">
        <f aca="false">IF(ISBLANK(C145),"",IF(V145&lt;&gt;Constants!$B$14, V145, RANK(AD145, AD$8:AD$507, 1)+ SUMPRODUCT(--(AD$8:AD$507=AD145),--(AF145&gt;AF$8:AF$507)) + SUMPRODUCT(--(AD$8:AD$507=AD145),--(AF145=AF$8:AF$507),--(AH145&gt;AH$8:AH$507))))</f>
        <v/>
      </c>
      <c r="AJ145" s="85" t="str">
        <f aca="false">IF(ISBLANK(C145),"",IF(V145&lt;&gt;Constants!$B$14, V145, AD145-AI145))</f>
        <v/>
      </c>
      <c r="AK145" s="89"/>
      <c r="AL145" s="90" t="str">
        <f aca="false">IF(ISBLANK($C145),"",IF($V145&lt;&gt;Constants!$B$14,$V145,X145))</f>
        <v/>
      </c>
      <c r="AM145" s="90" t="str">
        <f aca="false">IF(ISBLANK($C145),"",IF($V145&lt;&gt;Constants!$B$14,$V145,N145))</f>
        <v/>
      </c>
      <c r="AN145" s="91" t="str">
        <f aca="false">IF(ISBLANK(C145),"",IF(V145&lt;&gt;Constants!$B$14, V145, IF(W145=Constants!$B$7,Z145,IF(W145=Constants!$B$8,AB145,""))))</f>
        <v/>
      </c>
      <c r="AO145" s="92" t="str">
        <f aca="false">IF(ISBLANK(C145),"",W145)</f>
        <v/>
      </c>
      <c r="AP145" s="92" t="str">
        <f aca="false">IF(ISBLANK(C145),"",AJ145)</f>
        <v/>
      </c>
      <c r="AQ145" s="92" t="str">
        <f aca="false">IF(ISBLANK(C145),"",AI145)</f>
        <v/>
      </c>
      <c r="AR145" s="93" t="str">
        <f aca="false">IF(ISBLANK(C145),
  "",
IF(AQ145=Constants!$B$11,COUNTA($C$8:$C$507)+2,IF(AQ145=Constants!$B$12,COUNTA($C$8:$C$507)+1,IF(AQ145=Constants!$B$13,COUNTA($C$8:$C$507),AQ145))))</f>
        <v/>
      </c>
      <c r="AS145" s="3"/>
      <c r="AT145" s="94" t="n">
        <f aca="false">IF(OR(ISNUMBER(AQ145),AQ145="DQ",AQ145="P",AQ145="NS"),
    1,
    0
)</f>
        <v>0</v>
      </c>
      <c r="AU145" s="94" t="n">
        <v>138</v>
      </c>
      <c r="AV145" s="94" t="str">
        <f aca="false">IF(ISBLANK($C145),
    "",
   IF(ISNUMBER(AR145),AR145+ROW($B145)/1000,"")
)</f>
        <v/>
      </c>
      <c r="AW145" s="94" t="str">
        <f aca="false">IF(ISNUMBER(AV145), RANK(AV145,AV$8:AV$507,1), "")</f>
        <v/>
      </c>
      <c r="AX145" s="94" t="str">
        <f aca="false">IF(ISBLANK($C145),
    "",
    $B145
)</f>
        <v/>
      </c>
      <c r="AY145" s="94" t="str">
        <f aca="false">IF(ISBLANK($C145),
    "",
    $C145
)</f>
        <v/>
      </c>
      <c r="AZ145" s="94" t="str">
        <f aca="false">IF(ISBLANK($C145),
    "",
    $D145
)</f>
        <v/>
      </c>
      <c r="BA145" s="94" t="str">
        <f aca="false">AO145</f>
        <v/>
      </c>
      <c r="BB145" s="95" t="str">
        <f aca="false">AN145</f>
        <v/>
      </c>
      <c r="BC145" s="94" t="str">
        <f aca="false">IF(ISBLANK($C145),
    "",
    AQ145
)</f>
        <v/>
      </c>
      <c r="BD145" s="96" t="str">
        <f aca="false">IF(AU145&gt;AT$7,
    "",
    VLOOKUP(AU145,AW$8:BC$507,7,FALSE())
)</f>
        <v/>
      </c>
      <c r="BE145" s="97" t="str">
        <f aca="false">IF(AU145&gt;AT$7,
    "",
    VLOOKUP(AU145,AW$8:BC$507,2,FALSE())
)</f>
        <v/>
      </c>
      <c r="BF145" s="97" t="str">
        <f aca="false">IF(AU145&gt;AT$7,
    "",
    VLOOKUP(AU145,AW$8:BC$507,3,FALSE())
)</f>
        <v/>
      </c>
      <c r="BG145" s="97" t="str">
        <f aca="false">IF(AU145&gt;AT$7,
    "",
    VLOOKUP(AU145,AW$8:BC$507,4,FALSE())
)</f>
        <v/>
      </c>
      <c r="BH145" s="97" t="str">
        <f aca="false">IF(AU145&gt;AT$7,
    "",
    VLOOKUP(AU145,AW$8:BC$507,5,FALSE())
)</f>
        <v/>
      </c>
      <c r="BI145" s="98" t="str">
        <f aca="false">IF(AU145&gt;AT$7,
    "",
    VLOOKUP(AU145,AW$8:BC$507,6,FALSE())
)</f>
        <v/>
      </c>
      <c r="BJ145" s="46"/>
    </row>
    <row r="146" customFormat="false" ht="15.75" hidden="false" customHeight="false" outlineLevel="0" collapsed="false">
      <c r="A146" s="3"/>
      <c r="B146" s="108"/>
      <c r="C146" s="70"/>
      <c r="D146" s="49"/>
      <c r="E146" s="109"/>
      <c r="F146" s="72"/>
      <c r="G146" s="109"/>
      <c r="H146" s="74"/>
      <c r="I146" s="104"/>
      <c r="J146" s="74"/>
      <c r="K146" s="74"/>
      <c r="L146" s="55"/>
      <c r="M146" s="55" t="str">
        <f aca="false">IF(ISBLANK($C146),"",IF(ISBLANK(E146),0,E146))</f>
        <v/>
      </c>
      <c r="N146" s="55" t="str">
        <f aca="false">IF(ISBLANK($C146),"",IF(ISBLANK(F146),0,F146))</f>
        <v/>
      </c>
      <c r="O146" s="55" t="e">
        <f aca="false">IF(AND(NOT(ISBLANK($C146)),NOT($T146),COUNTA($E146:$K146)&gt;0),ISBLANK($F146),FALSE())</f>
        <v>#VALUE!</v>
      </c>
      <c r="P146" s="55" t="str">
        <f aca="false">IF(ISBLANK($C146),"",IF(G146=Constants!$B$9, TRUE(), IF(G146=Constants!$B$10, FALSE(), TRUE())))</f>
        <v/>
      </c>
      <c r="Q146" s="55" t="str">
        <f aca="false">IF(ISBLANK($C146),"",IF(H146=Constants!$B$9, TRUE(), IF(H146=Constants!$B$10, FALSE(), TRUE())))</f>
        <v/>
      </c>
      <c r="R146" s="55" t="str">
        <f aca="false">IF(ISBLANK($C146),"",IF(ISBLANK(I146),Constants!$B$3,I146))</f>
        <v/>
      </c>
      <c r="S146" s="55" t="str">
        <f aca="false">IF(ISBLANK($C146),"",IF(ISBLANK(J146),0,MIN(J146,Constants!$B$6)))</f>
        <v/>
      </c>
      <c r="T146" s="55" t="str">
        <f aca="false">IF(ISBLANK($C146),"",IF(K146=Constants!$B$9, TRUE(), IF(K146=Constants!$B$10, FALSE(),  FALSE())))</f>
        <v/>
      </c>
      <c r="U146" s="55" t="str">
        <f aca="false">IF(ISBLANK($C146),"",AND(R146=Constants!$B$4, S146&lt;Constants!$B$6))</f>
        <v/>
      </c>
      <c r="V146" s="55" t="str">
        <f aca="false">IF(ISBLANK(C146), "", IF(T146, Constants!$B$11, IF(COUNTA(E146:K146)=0, Constants!$B$12, IF(NOT(AND(P146,S146&lt;&gt;0)), Constants!$B$13, IF(O146, Constants!$B$15, Constants!$B$14)))))</f>
        <v/>
      </c>
      <c r="W146" s="55" t="str">
        <f aca="false">IF(OR(ISBLANK($C146), SUMPRODUCT(--(P146:T146&lt;&gt;""))=0), "", IF(V146&lt;&gt;Constants!$B$14, V146, IF(AND(NOT(ISBLANK(J146)),P146,Q146,R146&lt;&gt;Constants!$B$2), Constants!$B$7, IF(AND(P146,OR(NOT(Q146),R146=Constants!$B$2)), Constants!$B$8, "Error"))))</f>
        <v/>
      </c>
      <c r="X146" s="56" t="str">
        <f aca="false">IF(OR(W146=Constants!$B$7,W146=Constants!$B$8), MAX(0, MIN(Constants!$B$6, S146))+IF(AND(R146=Constants!$B$4, NOT(U146)), Constants!$B$5, 0), "")</f>
        <v/>
      </c>
      <c r="Y146" s="55" t="str">
        <f aca="false">IF(ISBLANK($C146),"",IF(AND(ISNUMBER(X146),N146&gt;0),X146/N146, "") )</f>
        <v/>
      </c>
      <c r="Z146" s="55" t="str">
        <f aca="false">IF(AND(NOT(ISBLANK($C146)), W146=Constants!$B$7), Y146, "")</f>
        <v/>
      </c>
      <c r="AA146" s="55" t="str">
        <f aca="false">IF(ISNUMBER(Z146), RANK(Z146,Z$8:Z$507), "")</f>
        <v/>
      </c>
      <c r="AB146" s="55" t="str">
        <f aca="false">IF(AND(NOT(ISBLANK($C146)), W146=Constants!$B$8), Y146, "")</f>
        <v/>
      </c>
      <c r="AC146" s="55" t="str">
        <f aca="false">IF(ISNUMBER(AB146), RANK(AB146,AB$8:AB$507), "")</f>
        <v/>
      </c>
      <c r="AD146" s="55" t="str">
        <f aca="false">IF(ISBLANK($C146),"",IF(V146&lt;&gt;Constants!$B$14, V146, IF(W146=Constants!$B$7, AA146, IF(W146=Constants!$B$8, COUNT($AA$8:$AA$507) + AC146, ""))))</f>
        <v/>
      </c>
      <c r="AE146" s="55" t="str">
        <f aca="false">N146</f>
        <v/>
      </c>
      <c r="AF146" s="55" t="str">
        <f aca="false">IF(ISNUMBER(AE146), RANK(AE146,AE$8:AE$507,1), "")</f>
        <v/>
      </c>
      <c r="AG146" s="57" t="str">
        <f aca="false">IF(ISBLANK(C146), "", ABS(M146-S146))</f>
        <v/>
      </c>
      <c r="AH146" s="55" t="str">
        <f aca="false">IF(ISNUMBER(AG146), RANK(AG146,AG$8:AG$507,1), "")</f>
        <v/>
      </c>
      <c r="AI146" s="55" t="str">
        <f aca="false">IF(ISBLANK(C146),"",IF(V146&lt;&gt;Constants!$B$14, V146, RANK(AD146, AD$8:AD$507, 1)+ SUMPRODUCT(--(AD$8:AD$507=AD146),--(AF146&gt;AF$8:AF$507)) + SUMPRODUCT(--(AD$8:AD$507=AD146),--(AF146=AF$8:AF$507),--(AH146&gt;AH$8:AH$507))))</f>
        <v/>
      </c>
      <c r="AJ146" s="55" t="str">
        <f aca="false">IF(ISBLANK(C146),"",IF(V146&lt;&gt;Constants!$B$14, V146, AD146-AI146))</f>
        <v/>
      </c>
      <c r="AK146" s="59"/>
      <c r="AL146" s="60" t="str">
        <f aca="false">IF(ISBLANK($C146),"",IF($V146&lt;&gt;Constants!$B$14,$V146,X146))</f>
        <v/>
      </c>
      <c r="AM146" s="60" t="str">
        <f aca="false">IF(ISBLANK($C146),"",IF($V146&lt;&gt;Constants!$B$14,$V146,N146))</f>
        <v/>
      </c>
      <c r="AN146" s="62" t="str">
        <f aca="false">IF(ISBLANK(C146),"",IF(V146&lt;&gt;Constants!$B$14, V146, IF(W146=Constants!$B$7,Z146,IF(W146=Constants!$B$8,AB146,""))))</f>
        <v/>
      </c>
      <c r="AO146" s="63" t="str">
        <f aca="false">IF(ISBLANK(C146),"",W146)</f>
        <v/>
      </c>
      <c r="AP146" s="63" t="str">
        <f aca="false">IF(ISBLANK(C146),"",AJ146)</f>
        <v/>
      </c>
      <c r="AQ146" s="63" t="str">
        <f aca="false">IF(ISBLANK(C146),"",AI146)</f>
        <v/>
      </c>
      <c r="AR146" s="64" t="str">
        <f aca="false">IF(ISBLANK(C146),
  "",
IF(AQ146=Constants!$B$11,COUNTA($C$8:$C$507)+2,IF(AQ146=Constants!$B$12,COUNTA($C$8:$C$507)+1,IF(AQ146=Constants!$B$13,COUNTA($C$8:$C$507),AQ146))))</f>
        <v/>
      </c>
      <c r="AS146" s="3"/>
      <c r="AT146" s="65" t="n">
        <f aca="false">IF(OR(ISNUMBER(AQ146),AQ146="DQ",AQ146="P",AQ146="NS"),
    1,
    0
)</f>
        <v>0</v>
      </c>
      <c r="AU146" s="65" t="n">
        <v>139</v>
      </c>
      <c r="AV146" s="65" t="str">
        <f aca="false">IF(ISBLANK($C146),
    "",
   IF(ISNUMBER(AR146),AR146+ROW($B146)/1000,"")
)</f>
        <v/>
      </c>
      <c r="AW146" s="65" t="str">
        <f aca="false">IF(ISNUMBER(AV146), RANK(AV146,AV$8:AV$507,1), "")</f>
        <v/>
      </c>
      <c r="AX146" s="65" t="str">
        <f aca="false">IF(ISBLANK($C146),
    "",
    $B146
)</f>
        <v/>
      </c>
      <c r="AY146" s="65" t="str">
        <f aca="false">IF(ISBLANK($C146),
    "",
    $C146
)</f>
        <v/>
      </c>
      <c r="AZ146" s="65" t="str">
        <f aca="false">IF(ISBLANK($C146),
    "",
    $D146
)</f>
        <v/>
      </c>
      <c r="BA146" s="65" t="str">
        <f aca="false">AO146</f>
        <v/>
      </c>
      <c r="BB146" s="66" t="str">
        <f aca="false">AN146</f>
        <v/>
      </c>
      <c r="BC146" s="65" t="str">
        <f aca="false">IF(ISBLANK($C146),
    "",
    AQ146
)</f>
        <v/>
      </c>
      <c r="BD146" s="67" t="str">
        <f aca="false">IF(AU146&gt;AT$7,
    "",
    VLOOKUP(AU146,AW$8:BC$507,7,FALSE())
)</f>
        <v/>
      </c>
      <c r="BE146" s="68" t="str">
        <f aca="false">IF(AU146&gt;AT$7,
    "",
    VLOOKUP(AU146,AW$8:BC$507,2,FALSE())
)</f>
        <v/>
      </c>
      <c r="BF146" s="68" t="str">
        <f aca="false">IF(AU146&gt;AT$7,
    "",
    VLOOKUP(AU146,AW$8:BC$507,3,FALSE())
)</f>
        <v/>
      </c>
      <c r="BG146" s="68" t="str">
        <f aca="false">IF(AU146&gt;AT$7,
    "",
    VLOOKUP(AU146,AW$8:BC$507,4,FALSE())
)</f>
        <v/>
      </c>
      <c r="BH146" s="68" t="str">
        <f aca="false">IF(AU146&gt;AT$7,
    "",
    VLOOKUP(AU146,AW$8:BC$507,5,FALSE())
)</f>
        <v/>
      </c>
      <c r="BI146" s="69" t="str">
        <f aca="false">IF(AU146&gt;AT$7,
    "",
    VLOOKUP(AU146,AW$8:BC$507,6,FALSE())
)</f>
        <v/>
      </c>
      <c r="BJ146" s="46"/>
    </row>
    <row r="147" customFormat="false" ht="15.75" hidden="false" customHeight="false" outlineLevel="0" collapsed="false">
      <c r="A147" s="3"/>
      <c r="B147" s="108"/>
      <c r="C147" s="70"/>
      <c r="D147" s="49"/>
      <c r="E147" s="109"/>
      <c r="F147" s="72"/>
      <c r="G147" s="109"/>
      <c r="H147" s="74"/>
      <c r="I147" s="104"/>
      <c r="J147" s="74"/>
      <c r="K147" s="74"/>
      <c r="L147" s="55"/>
      <c r="M147" s="55" t="str">
        <f aca="false">IF(ISBLANK($C147),"",IF(ISBLANK(E147),0,E147))</f>
        <v/>
      </c>
      <c r="N147" s="55" t="str">
        <f aca="false">IF(ISBLANK($C147),"",IF(ISBLANK(F147),0,F147))</f>
        <v/>
      </c>
      <c r="O147" s="55" t="e">
        <f aca="false">IF(AND(NOT(ISBLANK($C147)),NOT($T147),COUNTA($E147:$K147)&gt;0),ISBLANK($F147),FALSE())</f>
        <v>#VALUE!</v>
      </c>
      <c r="P147" s="55" t="str">
        <f aca="false">IF(ISBLANK($C147),"",IF(G147=Constants!$B$9, TRUE(), IF(G147=Constants!$B$10, FALSE(), TRUE())))</f>
        <v/>
      </c>
      <c r="Q147" s="55" t="str">
        <f aca="false">IF(ISBLANK($C147),"",IF(H147=Constants!$B$9, TRUE(), IF(H147=Constants!$B$10, FALSE(), TRUE())))</f>
        <v/>
      </c>
      <c r="R147" s="55" t="str">
        <f aca="false">IF(ISBLANK($C147),"",IF(ISBLANK(I147),Constants!$B$3,I147))</f>
        <v/>
      </c>
      <c r="S147" s="55" t="str">
        <f aca="false">IF(ISBLANK($C147),"",IF(ISBLANK(J147),0,MIN(J147,Constants!$B$6)))</f>
        <v/>
      </c>
      <c r="T147" s="55" t="str">
        <f aca="false">IF(ISBLANK($C147),"",IF(K147=Constants!$B$9, TRUE(), IF(K147=Constants!$B$10, FALSE(),  FALSE())))</f>
        <v/>
      </c>
      <c r="U147" s="55" t="str">
        <f aca="false">IF(ISBLANK($C147),"",AND(R147=Constants!$B$4, S147&lt;Constants!$B$6))</f>
        <v/>
      </c>
      <c r="V147" s="55" t="str">
        <f aca="false">IF(ISBLANK(C147), "", IF(T147, Constants!$B$11, IF(COUNTA(E147:K147)=0, Constants!$B$12, IF(NOT(AND(P147,S147&lt;&gt;0)), Constants!$B$13, IF(O147, Constants!$B$15, Constants!$B$14)))))</f>
        <v/>
      </c>
      <c r="W147" s="55" t="str">
        <f aca="false">IF(OR(ISBLANK($C147), SUMPRODUCT(--(P147:T147&lt;&gt;""))=0), "", IF(V147&lt;&gt;Constants!$B$14, V147, IF(AND(NOT(ISBLANK(J147)),P147,Q147,R147&lt;&gt;Constants!$B$2), Constants!$B$7, IF(AND(P147,OR(NOT(Q147),R147=Constants!$B$2)), Constants!$B$8, "Error"))))</f>
        <v/>
      </c>
      <c r="X147" s="56" t="str">
        <f aca="false">IF(OR(W147=Constants!$B$7,W147=Constants!$B$8), MAX(0, MIN(Constants!$B$6, S147))+IF(AND(R147=Constants!$B$4, NOT(U147)), Constants!$B$5, 0), "")</f>
        <v/>
      </c>
      <c r="Y147" s="55" t="str">
        <f aca="false">IF(ISBLANK($C147),"",IF(AND(ISNUMBER(X147),N147&gt;0),X147/N147, "") )</f>
        <v/>
      </c>
      <c r="Z147" s="55" t="str">
        <f aca="false">IF(AND(NOT(ISBLANK($C147)), W147=Constants!$B$7), Y147, "")</f>
        <v/>
      </c>
      <c r="AA147" s="55" t="str">
        <f aca="false">IF(ISNUMBER(Z147), RANK(Z147,Z$8:Z$507), "")</f>
        <v/>
      </c>
      <c r="AB147" s="55" t="str">
        <f aca="false">IF(AND(NOT(ISBLANK($C147)), W147=Constants!$B$8), Y147, "")</f>
        <v/>
      </c>
      <c r="AC147" s="55" t="str">
        <f aca="false">IF(ISNUMBER(AB147), RANK(AB147,AB$8:AB$507), "")</f>
        <v/>
      </c>
      <c r="AD147" s="55" t="str">
        <f aca="false">IF(ISBLANK($C147),"",IF(V147&lt;&gt;Constants!$B$14, V147, IF(W147=Constants!$B$7, AA147, IF(W147=Constants!$B$8, COUNT($AA$8:$AA$507) + AC147, ""))))</f>
        <v/>
      </c>
      <c r="AE147" s="55" t="str">
        <f aca="false">N147</f>
        <v/>
      </c>
      <c r="AF147" s="55" t="str">
        <f aca="false">IF(ISNUMBER(AE147), RANK(AE147,AE$8:AE$507,1), "")</f>
        <v/>
      </c>
      <c r="AG147" s="57" t="str">
        <f aca="false">IF(ISBLANK(C147), "", ABS(M147-S147))</f>
        <v/>
      </c>
      <c r="AH147" s="55" t="str">
        <f aca="false">IF(ISNUMBER(AG147), RANK(AG147,AG$8:AG$507,1), "")</f>
        <v/>
      </c>
      <c r="AI147" s="55" t="str">
        <f aca="false">IF(ISBLANK(C147),"",IF(V147&lt;&gt;Constants!$B$14, V147, RANK(AD147, AD$8:AD$507, 1)+ SUMPRODUCT(--(AD$8:AD$507=AD147),--(AF147&gt;AF$8:AF$507)) + SUMPRODUCT(--(AD$8:AD$507=AD147),--(AF147=AF$8:AF$507),--(AH147&gt;AH$8:AH$507))))</f>
        <v/>
      </c>
      <c r="AJ147" s="55" t="str">
        <f aca="false">IF(ISBLANK(C147),"",IF(V147&lt;&gt;Constants!$B$14, V147, AD147-AI147))</f>
        <v/>
      </c>
      <c r="AK147" s="59"/>
      <c r="AL147" s="60" t="str">
        <f aca="false">IF(ISBLANK($C147),"",IF($V147&lt;&gt;Constants!$B$14,$V147,X147))</f>
        <v/>
      </c>
      <c r="AM147" s="60" t="str">
        <f aca="false">IF(ISBLANK($C147),"",IF($V147&lt;&gt;Constants!$B$14,$V147,N147))</f>
        <v/>
      </c>
      <c r="AN147" s="62" t="str">
        <f aca="false">IF(ISBLANK(C147),"",IF(V147&lt;&gt;Constants!$B$14, V147, IF(W147=Constants!$B$7,Z147,IF(W147=Constants!$B$8,AB147,""))))</f>
        <v/>
      </c>
      <c r="AO147" s="63" t="str">
        <f aca="false">IF(ISBLANK(C147),"",W147)</f>
        <v/>
      </c>
      <c r="AP147" s="63" t="str">
        <f aca="false">IF(ISBLANK(C147),"",AJ147)</f>
        <v/>
      </c>
      <c r="AQ147" s="63" t="str">
        <f aca="false">IF(ISBLANK(C147),"",AI147)</f>
        <v/>
      </c>
      <c r="AR147" s="64" t="str">
        <f aca="false">IF(ISBLANK(C147),
  "",
IF(AQ147=Constants!$B$11,COUNTA($C$8:$C$507)+2,IF(AQ147=Constants!$B$12,COUNTA($C$8:$C$507)+1,IF(AQ147=Constants!$B$13,COUNTA($C$8:$C$507),AQ147))))</f>
        <v/>
      </c>
      <c r="AS147" s="3"/>
      <c r="AT147" s="65" t="n">
        <f aca="false">IF(OR(ISNUMBER(AQ147),AQ147="DQ",AQ147="P",AQ147="NS"),
    1,
    0
)</f>
        <v>0</v>
      </c>
      <c r="AU147" s="65" t="n">
        <v>140</v>
      </c>
      <c r="AV147" s="65" t="str">
        <f aca="false">IF(ISBLANK($C147),
    "",
   IF(ISNUMBER(AR147),AR147+ROW($B147)/1000,"")
)</f>
        <v/>
      </c>
      <c r="AW147" s="65" t="str">
        <f aca="false">IF(ISNUMBER(AV147), RANK(AV147,AV$8:AV$507,1), "")</f>
        <v/>
      </c>
      <c r="AX147" s="65" t="str">
        <f aca="false">IF(ISBLANK($C147),
    "",
    $B147
)</f>
        <v/>
      </c>
      <c r="AY147" s="65" t="str">
        <f aca="false">IF(ISBLANK($C147),
    "",
    $C147
)</f>
        <v/>
      </c>
      <c r="AZ147" s="65" t="str">
        <f aca="false">IF(ISBLANK($C147),
    "",
    $D147
)</f>
        <v/>
      </c>
      <c r="BA147" s="65" t="str">
        <f aca="false">AO147</f>
        <v/>
      </c>
      <c r="BB147" s="66" t="str">
        <f aca="false">AN147</f>
        <v/>
      </c>
      <c r="BC147" s="65" t="str">
        <f aca="false">IF(ISBLANK($C147),
    "",
    AQ147
)</f>
        <v/>
      </c>
      <c r="BD147" s="67" t="str">
        <f aca="false">IF(AU147&gt;AT$7,
    "",
    VLOOKUP(AU147,AW$8:BC$507,7,FALSE())
)</f>
        <v/>
      </c>
      <c r="BE147" s="68" t="str">
        <f aca="false">IF(AU147&gt;AT$7,
    "",
    VLOOKUP(AU147,AW$8:BC$507,2,FALSE())
)</f>
        <v/>
      </c>
      <c r="BF147" s="68" t="str">
        <f aca="false">IF(AU147&gt;AT$7,
    "",
    VLOOKUP(AU147,AW$8:BC$507,3,FALSE())
)</f>
        <v/>
      </c>
      <c r="BG147" s="68" t="str">
        <f aca="false">IF(AU147&gt;AT$7,
    "",
    VLOOKUP(AU147,AW$8:BC$507,4,FALSE())
)</f>
        <v/>
      </c>
      <c r="BH147" s="68" t="str">
        <f aca="false">IF(AU147&gt;AT$7,
    "",
    VLOOKUP(AU147,AW$8:BC$507,5,FALSE())
)</f>
        <v/>
      </c>
      <c r="BI147" s="69" t="str">
        <f aca="false">IF(AU147&gt;AT$7,
    "",
    VLOOKUP(AU147,AW$8:BC$507,6,FALSE())
)</f>
        <v/>
      </c>
      <c r="BJ147" s="46"/>
    </row>
    <row r="148" customFormat="false" ht="15.75" hidden="false" customHeight="false" outlineLevel="0" collapsed="false">
      <c r="A148" s="3"/>
      <c r="B148" s="108"/>
      <c r="C148" s="70"/>
      <c r="D148" s="49"/>
      <c r="E148" s="109"/>
      <c r="F148" s="72"/>
      <c r="G148" s="109"/>
      <c r="H148" s="74"/>
      <c r="I148" s="104"/>
      <c r="J148" s="74"/>
      <c r="K148" s="74"/>
      <c r="L148" s="55"/>
      <c r="M148" s="55" t="str">
        <f aca="false">IF(ISBLANK($C148),"",IF(ISBLANK(E148),0,E148))</f>
        <v/>
      </c>
      <c r="N148" s="55" t="str">
        <f aca="false">IF(ISBLANK($C148),"",IF(ISBLANK(F148),0,F148))</f>
        <v/>
      </c>
      <c r="O148" s="55" t="e">
        <f aca="false">IF(AND(NOT(ISBLANK($C148)),NOT($T148),COUNTA($E148:$K148)&gt;0),ISBLANK($F148),FALSE())</f>
        <v>#VALUE!</v>
      </c>
      <c r="P148" s="55" t="str">
        <f aca="false">IF(ISBLANK($C148),"",IF(G148=Constants!$B$9, TRUE(), IF(G148=Constants!$B$10, FALSE(), TRUE())))</f>
        <v/>
      </c>
      <c r="Q148" s="55" t="str">
        <f aca="false">IF(ISBLANK($C148),"",IF(H148=Constants!$B$9, TRUE(), IF(H148=Constants!$B$10, FALSE(), TRUE())))</f>
        <v/>
      </c>
      <c r="R148" s="55" t="str">
        <f aca="false">IF(ISBLANK($C148),"",IF(ISBLANK(I148),Constants!$B$3,I148))</f>
        <v/>
      </c>
      <c r="S148" s="55" t="str">
        <f aca="false">IF(ISBLANK($C148),"",IF(ISBLANK(J148),0,MIN(J148,Constants!$B$6)))</f>
        <v/>
      </c>
      <c r="T148" s="55" t="str">
        <f aca="false">IF(ISBLANK($C148),"",IF(K148=Constants!$B$9, TRUE(), IF(K148=Constants!$B$10, FALSE(),  FALSE())))</f>
        <v/>
      </c>
      <c r="U148" s="55" t="str">
        <f aca="false">IF(ISBLANK($C148),"",AND(R148=Constants!$B$4, S148&lt;Constants!$B$6))</f>
        <v/>
      </c>
      <c r="V148" s="55" t="str">
        <f aca="false">IF(ISBLANK(C148), "", IF(T148, Constants!$B$11, IF(COUNTA(E148:K148)=0, Constants!$B$12, IF(NOT(AND(P148,S148&lt;&gt;0)), Constants!$B$13, IF(O148, Constants!$B$15, Constants!$B$14)))))</f>
        <v/>
      </c>
      <c r="W148" s="55" t="str">
        <f aca="false">IF(OR(ISBLANK($C148), SUMPRODUCT(--(P148:T148&lt;&gt;""))=0), "", IF(V148&lt;&gt;Constants!$B$14, V148, IF(AND(NOT(ISBLANK(J148)),P148,Q148,R148&lt;&gt;Constants!$B$2), Constants!$B$7, IF(AND(P148,OR(NOT(Q148),R148=Constants!$B$2)), Constants!$B$8, "Error"))))</f>
        <v/>
      </c>
      <c r="X148" s="56" t="str">
        <f aca="false">IF(OR(W148=Constants!$B$7,W148=Constants!$B$8), MAX(0, MIN(Constants!$B$6, S148))+IF(AND(R148=Constants!$B$4, NOT(U148)), Constants!$B$5, 0), "")</f>
        <v/>
      </c>
      <c r="Y148" s="55" t="str">
        <f aca="false">IF(ISBLANK($C148),"",IF(AND(ISNUMBER(X148),N148&gt;0),X148/N148, "") )</f>
        <v/>
      </c>
      <c r="Z148" s="55" t="str">
        <f aca="false">IF(AND(NOT(ISBLANK($C148)), W148=Constants!$B$7), Y148, "")</f>
        <v/>
      </c>
      <c r="AA148" s="55" t="str">
        <f aca="false">IF(ISNUMBER(Z148), RANK(Z148,Z$8:Z$507), "")</f>
        <v/>
      </c>
      <c r="AB148" s="55" t="str">
        <f aca="false">IF(AND(NOT(ISBLANK($C148)), W148=Constants!$B$8), Y148, "")</f>
        <v/>
      </c>
      <c r="AC148" s="55" t="str">
        <f aca="false">IF(ISNUMBER(AB148), RANK(AB148,AB$8:AB$507), "")</f>
        <v/>
      </c>
      <c r="AD148" s="55" t="str">
        <f aca="false">IF(ISBLANK($C148),"",IF(V148&lt;&gt;Constants!$B$14, V148, IF(W148=Constants!$B$7, AA148, IF(W148=Constants!$B$8, COUNT($AA$8:$AA$507) + AC148, ""))))</f>
        <v/>
      </c>
      <c r="AE148" s="55" t="str">
        <f aca="false">N148</f>
        <v/>
      </c>
      <c r="AF148" s="55" t="str">
        <f aca="false">IF(ISNUMBER(AE148), RANK(AE148,AE$8:AE$507,1), "")</f>
        <v/>
      </c>
      <c r="AG148" s="57" t="str">
        <f aca="false">IF(ISBLANK(C148), "", ABS(M148-S148))</f>
        <v/>
      </c>
      <c r="AH148" s="55" t="str">
        <f aca="false">IF(ISNUMBER(AG148), RANK(AG148,AG$8:AG$507,1), "")</f>
        <v/>
      </c>
      <c r="AI148" s="55" t="str">
        <f aca="false">IF(ISBLANK(C148),"",IF(V148&lt;&gt;Constants!$B$14, V148, RANK(AD148, AD$8:AD$507, 1)+ SUMPRODUCT(--(AD$8:AD$507=AD148),--(AF148&gt;AF$8:AF$507)) + SUMPRODUCT(--(AD$8:AD$507=AD148),--(AF148=AF$8:AF$507),--(AH148&gt;AH$8:AH$507))))</f>
        <v/>
      </c>
      <c r="AJ148" s="55" t="str">
        <f aca="false">IF(ISBLANK(C148),"",IF(V148&lt;&gt;Constants!$B$14, V148, AD148-AI148))</f>
        <v/>
      </c>
      <c r="AK148" s="59"/>
      <c r="AL148" s="60" t="str">
        <f aca="false">IF(ISBLANK($C148),"",IF($V148&lt;&gt;Constants!$B$14,$V148,X148))</f>
        <v/>
      </c>
      <c r="AM148" s="60" t="str">
        <f aca="false">IF(ISBLANK($C148),"",IF($V148&lt;&gt;Constants!$B$14,$V148,N148))</f>
        <v/>
      </c>
      <c r="AN148" s="62" t="str">
        <f aca="false">IF(ISBLANK(C148),"",IF(V148&lt;&gt;Constants!$B$14, V148, IF(W148=Constants!$B$7,Z148,IF(W148=Constants!$B$8,AB148,""))))</f>
        <v/>
      </c>
      <c r="AO148" s="63" t="str">
        <f aca="false">IF(ISBLANK(C148),"",W148)</f>
        <v/>
      </c>
      <c r="AP148" s="63" t="str">
        <f aca="false">IF(ISBLANK(C148),"",AJ148)</f>
        <v/>
      </c>
      <c r="AQ148" s="63" t="str">
        <f aca="false">IF(ISBLANK(C148),"",AI148)</f>
        <v/>
      </c>
      <c r="AR148" s="64" t="str">
        <f aca="false">IF(ISBLANK(C148),
  "",
IF(AQ148=Constants!$B$11,COUNTA($C$8:$C$507)+2,IF(AQ148=Constants!$B$12,COUNTA($C$8:$C$507)+1,IF(AQ148=Constants!$B$13,COUNTA($C$8:$C$507),AQ148))))</f>
        <v/>
      </c>
      <c r="AS148" s="3"/>
      <c r="AT148" s="65" t="n">
        <f aca="false">IF(OR(ISNUMBER(AQ148),AQ148="DQ",AQ148="P",AQ148="NS"),
    1,
    0
)</f>
        <v>0</v>
      </c>
      <c r="AU148" s="65" t="n">
        <v>141</v>
      </c>
      <c r="AV148" s="65" t="str">
        <f aca="false">IF(ISBLANK($C148),
    "",
   IF(ISNUMBER(AR148),AR148+ROW($B148)/1000,"")
)</f>
        <v/>
      </c>
      <c r="AW148" s="65" t="str">
        <f aca="false">IF(ISNUMBER(AV148), RANK(AV148,AV$8:AV$507,1), "")</f>
        <v/>
      </c>
      <c r="AX148" s="65" t="str">
        <f aca="false">IF(ISBLANK($C148),
    "",
    $B148
)</f>
        <v/>
      </c>
      <c r="AY148" s="65" t="str">
        <f aca="false">IF(ISBLANK($C148),
    "",
    $C148
)</f>
        <v/>
      </c>
      <c r="AZ148" s="65" t="str">
        <f aca="false">IF(ISBLANK($C148),
    "",
    $D148
)</f>
        <v/>
      </c>
      <c r="BA148" s="65" t="str">
        <f aca="false">AO148</f>
        <v/>
      </c>
      <c r="BB148" s="66" t="str">
        <f aca="false">AN148</f>
        <v/>
      </c>
      <c r="BC148" s="65" t="str">
        <f aca="false">IF(ISBLANK($C148),
    "",
    AQ148
)</f>
        <v/>
      </c>
      <c r="BD148" s="67" t="str">
        <f aca="false">IF(AU148&gt;AT$7,
    "",
    VLOOKUP(AU148,AW$8:BC$507,7,FALSE())
)</f>
        <v/>
      </c>
      <c r="BE148" s="68" t="str">
        <f aca="false">IF(AU148&gt;AT$7,
    "",
    VLOOKUP(AU148,AW$8:BC$507,2,FALSE())
)</f>
        <v/>
      </c>
      <c r="BF148" s="68" t="str">
        <f aca="false">IF(AU148&gt;AT$7,
    "",
    VLOOKUP(AU148,AW$8:BC$507,3,FALSE())
)</f>
        <v/>
      </c>
      <c r="BG148" s="68" t="str">
        <f aca="false">IF(AU148&gt;AT$7,
    "",
    VLOOKUP(AU148,AW$8:BC$507,4,FALSE())
)</f>
        <v/>
      </c>
      <c r="BH148" s="68" t="str">
        <f aca="false">IF(AU148&gt;AT$7,
    "",
    VLOOKUP(AU148,AW$8:BC$507,5,FALSE())
)</f>
        <v/>
      </c>
      <c r="BI148" s="69" t="str">
        <f aca="false">IF(AU148&gt;AT$7,
    "",
    VLOOKUP(AU148,AW$8:BC$507,6,FALSE())
)</f>
        <v/>
      </c>
      <c r="BJ148" s="46"/>
    </row>
    <row r="149" customFormat="false" ht="15.75" hidden="false" customHeight="false" outlineLevel="0" collapsed="false">
      <c r="A149" s="3"/>
      <c r="B149" s="105"/>
      <c r="C149" s="106"/>
      <c r="D149" s="99"/>
      <c r="E149" s="110"/>
      <c r="F149" s="107"/>
      <c r="G149" s="110"/>
      <c r="H149" s="103"/>
      <c r="I149" s="102"/>
      <c r="J149" s="103"/>
      <c r="K149" s="103"/>
      <c r="L149" s="85"/>
      <c r="M149" s="85" t="str">
        <f aca="false">IF(ISBLANK($C149),"",IF(ISBLANK(E149),0,E149))</f>
        <v/>
      </c>
      <c r="N149" s="85" t="str">
        <f aca="false">IF(ISBLANK($C149),"",IF(ISBLANK(F149),0,F149))</f>
        <v/>
      </c>
      <c r="O149" s="86" t="e">
        <f aca="false">IF(AND(NOT(ISBLANK($C149)),NOT($T149),COUNTA($E149:$K149)&gt;0),ISBLANK($F149),FALSE())</f>
        <v>#VALUE!</v>
      </c>
      <c r="P149" s="85" t="str">
        <f aca="false">IF(ISBLANK($C149),"",IF(G149=Constants!$B$9, TRUE(), IF(G149=Constants!$B$10, FALSE(), TRUE())))</f>
        <v/>
      </c>
      <c r="Q149" s="85" t="str">
        <f aca="false">IF(ISBLANK($C149),"",IF(H149=Constants!$B$9, TRUE(), IF(H149=Constants!$B$10, FALSE(), TRUE())))</f>
        <v/>
      </c>
      <c r="R149" s="85" t="str">
        <f aca="false">IF(ISBLANK($C149),"",IF(ISBLANK(I149),Constants!$B$3,I149))</f>
        <v/>
      </c>
      <c r="S149" s="85" t="str">
        <f aca="false">IF(ISBLANK($C149),"",IF(ISBLANK(J149),0,MIN(J149,Constants!$B$6)))</f>
        <v/>
      </c>
      <c r="T149" s="85" t="str">
        <f aca="false">IF(ISBLANK($C149),"",IF(K149=Constants!$B$9, TRUE(), IF(K149=Constants!$B$10, FALSE(),  FALSE())))</f>
        <v/>
      </c>
      <c r="U149" s="85" t="str">
        <f aca="false">IF(ISBLANK($C149),"",AND(R149=Constants!$B$4, S149&lt;Constants!$B$6))</f>
        <v/>
      </c>
      <c r="V149" s="85" t="str">
        <f aca="false">IF(ISBLANK(C149), "", IF(T149, Constants!$B$11, IF(COUNTA(E149:K149)=0, Constants!$B$12, IF(NOT(AND(P149,S149&lt;&gt;0)), Constants!$B$13, IF(O149, Constants!$B$15, Constants!$B$14)))))</f>
        <v/>
      </c>
      <c r="W149" s="85" t="str">
        <f aca="false">IF(OR(ISBLANK($C149), SUMPRODUCT(--(P149:T149&lt;&gt;""))=0), "", IF(V149&lt;&gt;Constants!$B$14, V149, IF(AND(NOT(ISBLANK(J149)),P149,Q149,R149&lt;&gt;Constants!$B$2), Constants!$B$7, IF(AND(P149,OR(NOT(Q149),R149=Constants!$B$2)), Constants!$B$8, "Error"))))</f>
        <v/>
      </c>
      <c r="X149" s="87" t="str">
        <f aca="false">IF(OR(W149=Constants!$B$7,W149=Constants!$B$8), MAX(0, MIN(Constants!$B$6, S149))+IF(AND(R149=Constants!$B$4, NOT(U149)), Constants!$B$5, 0), "")</f>
        <v/>
      </c>
      <c r="Y149" s="85" t="str">
        <f aca="false">IF(ISBLANK($C149),"",IF(AND(ISNUMBER(X149),N149&gt;0),X149/N149, "") )</f>
        <v/>
      </c>
      <c r="Z149" s="85" t="str">
        <f aca="false">IF(AND(NOT(ISBLANK($C149)), W149=Constants!$B$7), Y149, "")</f>
        <v/>
      </c>
      <c r="AA149" s="85" t="str">
        <f aca="false">IF(ISNUMBER(Z149), RANK(Z149,Z$8:Z$507), "")</f>
        <v/>
      </c>
      <c r="AB149" s="85" t="str">
        <f aca="false">IF(AND(NOT(ISBLANK($C149)), W149=Constants!$B$8), Y149, "")</f>
        <v/>
      </c>
      <c r="AC149" s="85" t="str">
        <f aca="false">IF(ISNUMBER(AB149), RANK(AB149,AB$8:AB$507), "")</f>
        <v/>
      </c>
      <c r="AD149" s="85" t="str">
        <f aca="false">IF(ISBLANK($C149),"",IF(V149&lt;&gt;Constants!$B$14, V149, IF(W149=Constants!$B$7, AA149, IF(W149=Constants!$B$8, COUNT($AA$8:$AA$507) + AC149, ""))))</f>
        <v/>
      </c>
      <c r="AE149" s="85" t="str">
        <f aca="false">N149</f>
        <v/>
      </c>
      <c r="AF149" s="85" t="str">
        <f aca="false">IF(ISNUMBER(AE149), RANK(AE149,AE$8:AE$507,1), "")</f>
        <v/>
      </c>
      <c r="AG149" s="88" t="str">
        <f aca="false">IF(ISBLANK(C149), "", ABS(M149-S149))</f>
        <v/>
      </c>
      <c r="AH149" s="85" t="str">
        <f aca="false">IF(ISNUMBER(AG149), RANK(AG149,AG$8:AG$507,1), "")</f>
        <v/>
      </c>
      <c r="AI149" s="85" t="str">
        <f aca="false">IF(ISBLANK(C149),"",IF(V149&lt;&gt;Constants!$B$14, V149, RANK(AD149, AD$8:AD$507, 1)+ SUMPRODUCT(--(AD$8:AD$507=AD149),--(AF149&gt;AF$8:AF$507)) + SUMPRODUCT(--(AD$8:AD$507=AD149),--(AF149=AF$8:AF$507),--(AH149&gt;AH$8:AH$507))))</f>
        <v/>
      </c>
      <c r="AJ149" s="85" t="str">
        <f aca="false">IF(ISBLANK(C149),"",IF(V149&lt;&gt;Constants!$B$14, V149, AD149-AI149))</f>
        <v/>
      </c>
      <c r="AK149" s="89"/>
      <c r="AL149" s="90" t="str">
        <f aca="false">IF(ISBLANK($C149),"",IF($V149&lt;&gt;Constants!$B$14,$V149,X149))</f>
        <v/>
      </c>
      <c r="AM149" s="90" t="str">
        <f aca="false">IF(ISBLANK($C149),"",IF($V149&lt;&gt;Constants!$B$14,$V149,N149))</f>
        <v/>
      </c>
      <c r="AN149" s="91" t="str">
        <f aca="false">IF(ISBLANK(C149),"",IF(V149&lt;&gt;Constants!$B$14, V149, IF(W149=Constants!$B$7,Z149,IF(W149=Constants!$B$8,AB149,""))))</f>
        <v/>
      </c>
      <c r="AO149" s="92" t="str">
        <f aca="false">IF(ISBLANK(C149),"",W149)</f>
        <v/>
      </c>
      <c r="AP149" s="92" t="str">
        <f aca="false">IF(ISBLANK(C149),"",AJ149)</f>
        <v/>
      </c>
      <c r="AQ149" s="92" t="str">
        <f aca="false">IF(ISBLANK(C149),"",AI149)</f>
        <v/>
      </c>
      <c r="AR149" s="93" t="str">
        <f aca="false">IF(ISBLANK(C149),
  "",
IF(AQ149=Constants!$B$11,COUNTA($C$8:$C$507)+2,IF(AQ149=Constants!$B$12,COUNTA($C$8:$C$507)+1,IF(AQ149=Constants!$B$13,COUNTA($C$8:$C$507),AQ149))))</f>
        <v/>
      </c>
      <c r="AS149" s="3"/>
      <c r="AT149" s="94" t="n">
        <f aca="false">IF(OR(ISNUMBER(AQ149),AQ149="DQ",AQ149="P",AQ149="NS"),
    1,
    0
)</f>
        <v>0</v>
      </c>
      <c r="AU149" s="94" t="n">
        <v>142</v>
      </c>
      <c r="AV149" s="94" t="str">
        <f aca="false">IF(ISBLANK($C149),
    "",
   IF(ISNUMBER(AR149),AR149+ROW($B149)/1000,"")
)</f>
        <v/>
      </c>
      <c r="AW149" s="94" t="str">
        <f aca="false">IF(ISNUMBER(AV149), RANK(AV149,AV$8:AV$507,1), "")</f>
        <v/>
      </c>
      <c r="AX149" s="94" t="str">
        <f aca="false">IF(ISBLANK($C149),
    "",
    $B149
)</f>
        <v/>
      </c>
      <c r="AY149" s="94" t="str">
        <f aca="false">IF(ISBLANK($C149),
    "",
    $C149
)</f>
        <v/>
      </c>
      <c r="AZ149" s="94" t="str">
        <f aca="false">IF(ISBLANK($C149),
    "",
    $D149
)</f>
        <v/>
      </c>
      <c r="BA149" s="94" t="str">
        <f aca="false">AO149</f>
        <v/>
      </c>
      <c r="BB149" s="95" t="str">
        <f aca="false">AN149</f>
        <v/>
      </c>
      <c r="BC149" s="94" t="str">
        <f aca="false">IF(ISBLANK($C149),
    "",
    AQ149
)</f>
        <v/>
      </c>
      <c r="BD149" s="96" t="str">
        <f aca="false">IF(AU149&gt;AT$7,
    "",
    VLOOKUP(AU149,AW$8:BC$507,7,FALSE())
)</f>
        <v/>
      </c>
      <c r="BE149" s="97" t="str">
        <f aca="false">IF(AU149&gt;AT$7,
    "",
    VLOOKUP(AU149,AW$8:BC$507,2,FALSE())
)</f>
        <v/>
      </c>
      <c r="BF149" s="97" t="str">
        <f aca="false">IF(AU149&gt;AT$7,
    "",
    VLOOKUP(AU149,AW$8:BC$507,3,FALSE())
)</f>
        <v/>
      </c>
      <c r="BG149" s="97" t="str">
        <f aca="false">IF(AU149&gt;AT$7,
    "",
    VLOOKUP(AU149,AW$8:BC$507,4,FALSE())
)</f>
        <v/>
      </c>
      <c r="BH149" s="97" t="str">
        <f aca="false">IF(AU149&gt;AT$7,
    "",
    VLOOKUP(AU149,AW$8:BC$507,5,FALSE())
)</f>
        <v/>
      </c>
      <c r="BI149" s="98" t="str">
        <f aca="false">IF(AU149&gt;AT$7,
    "",
    VLOOKUP(AU149,AW$8:BC$507,6,FALSE())
)</f>
        <v/>
      </c>
      <c r="BJ149" s="46"/>
    </row>
    <row r="150" customFormat="false" ht="15.75" hidden="false" customHeight="false" outlineLevel="0" collapsed="false">
      <c r="A150" s="3"/>
      <c r="B150" s="105"/>
      <c r="C150" s="106"/>
      <c r="D150" s="99"/>
      <c r="E150" s="110"/>
      <c r="F150" s="107"/>
      <c r="G150" s="110"/>
      <c r="H150" s="103"/>
      <c r="I150" s="102"/>
      <c r="J150" s="103"/>
      <c r="K150" s="103"/>
      <c r="L150" s="85"/>
      <c r="M150" s="85" t="str">
        <f aca="false">IF(ISBLANK($C150),"",IF(ISBLANK(E150),0,E150))</f>
        <v/>
      </c>
      <c r="N150" s="85" t="str">
        <f aca="false">IF(ISBLANK($C150),"",IF(ISBLANK(F150),0,F150))</f>
        <v/>
      </c>
      <c r="O150" s="86" t="e">
        <f aca="false">IF(AND(NOT(ISBLANK($C150)),NOT($T150),COUNTA($E150:$K150)&gt;0),ISBLANK($F150),FALSE())</f>
        <v>#VALUE!</v>
      </c>
      <c r="P150" s="85" t="str">
        <f aca="false">IF(ISBLANK($C150),"",IF(G150=Constants!$B$9, TRUE(), IF(G150=Constants!$B$10, FALSE(), TRUE())))</f>
        <v/>
      </c>
      <c r="Q150" s="85" t="str">
        <f aca="false">IF(ISBLANK($C150),"",IF(H150=Constants!$B$9, TRUE(), IF(H150=Constants!$B$10, FALSE(), TRUE())))</f>
        <v/>
      </c>
      <c r="R150" s="85" t="str">
        <f aca="false">IF(ISBLANK($C150),"",IF(ISBLANK(I150),Constants!$B$3,I150))</f>
        <v/>
      </c>
      <c r="S150" s="85" t="str">
        <f aca="false">IF(ISBLANK($C150),"",IF(ISBLANK(J150),0,MIN(J150,Constants!$B$6)))</f>
        <v/>
      </c>
      <c r="T150" s="85" t="str">
        <f aca="false">IF(ISBLANK($C150),"",IF(K150=Constants!$B$9, TRUE(), IF(K150=Constants!$B$10, FALSE(),  FALSE())))</f>
        <v/>
      </c>
      <c r="U150" s="85" t="str">
        <f aca="false">IF(ISBLANK($C150),"",AND(R150=Constants!$B$4, S150&lt;Constants!$B$6))</f>
        <v/>
      </c>
      <c r="V150" s="85" t="str">
        <f aca="false">IF(ISBLANK(C150), "", IF(T150, Constants!$B$11, IF(COUNTA(E150:K150)=0, Constants!$B$12, IF(NOT(AND(P150,S150&lt;&gt;0)), Constants!$B$13, IF(O150, Constants!$B$15, Constants!$B$14)))))</f>
        <v/>
      </c>
      <c r="W150" s="85" t="str">
        <f aca="false">IF(OR(ISBLANK($C150), SUMPRODUCT(--(P150:T150&lt;&gt;""))=0), "", IF(V150&lt;&gt;Constants!$B$14, V150, IF(AND(NOT(ISBLANK(J150)),P150,Q150,R150&lt;&gt;Constants!$B$2), Constants!$B$7, IF(AND(P150,OR(NOT(Q150),R150=Constants!$B$2)), Constants!$B$8, "Error"))))</f>
        <v/>
      </c>
      <c r="X150" s="87" t="str">
        <f aca="false">IF(OR(W150=Constants!$B$7,W150=Constants!$B$8), MAX(0, MIN(Constants!$B$6, S150))+IF(AND(R150=Constants!$B$4, NOT(U150)), Constants!$B$5, 0), "")</f>
        <v/>
      </c>
      <c r="Y150" s="85" t="str">
        <f aca="false">IF(ISBLANK($C150),"",IF(AND(ISNUMBER(X150),N150&gt;0),X150/N150, "") )</f>
        <v/>
      </c>
      <c r="Z150" s="85" t="str">
        <f aca="false">IF(AND(NOT(ISBLANK($C150)), W150=Constants!$B$7), Y150, "")</f>
        <v/>
      </c>
      <c r="AA150" s="85" t="str">
        <f aca="false">IF(ISNUMBER(Z150), RANK(Z150,Z$8:Z$507), "")</f>
        <v/>
      </c>
      <c r="AB150" s="85" t="str">
        <f aca="false">IF(AND(NOT(ISBLANK($C150)), W150=Constants!$B$8), Y150, "")</f>
        <v/>
      </c>
      <c r="AC150" s="85" t="str">
        <f aca="false">IF(ISNUMBER(AB150), RANK(AB150,AB$8:AB$507), "")</f>
        <v/>
      </c>
      <c r="AD150" s="85" t="str">
        <f aca="false">IF(ISBLANK($C150),"",IF(V150&lt;&gt;Constants!$B$14, V150, IF(W150=Constants!$B$7, AA150, IF(W150=Constants!$B$8, COUNT($AA$8:$AA$507) + AC150, ""))))</f>
        <v/>
      </c>
      <c r="AE150" s="85" t="str">
        <f aca="false">N150</f>
        <v/>
      </c>
      <c r="AF150" s="85" t="str">
        <f aca="false">IF(ISNUMBER(AE150), RANK(AE150,AE$8:AE$507,1), "")</f>
        <v/>
      </c>
      <c r="AG150" s="88" t="str">
        <f aca="false">IF(ISBLANK(C150), "", ABS(M150-S150))</f>
        <v/>
      </c>
      <c r="AH150" s="85" t="str">
        <f aca="false">IF(ISNUMBER(AG150), RANK(AG150,AG$8:AG$507,1), "")</f>
        <v/>
      </c>
      <c r="AI150" s="85" t="str">
        <f aca="false">IF(ISBLANK(C150),"",IF(V150&lt;&gt;Constants!$B$14, V150, RANK(AD150, AD$8:AD$507, 1)+ SUMPRODUCT(--(AD$8:AD$507=AD150),--(AF150&gt;AF$8:AF$507)) + SUMPRODUCT(--(AD$8:AD$507=AD150),--(AF150=AF$8:AF$507),--(AH150&gt;AH$8:AH$507))))</f>
        <v/>
      </c>
      <c r="AJ150" s="85" t="str">
        <f aca="false">IF(ISBLANK(C150),"",IF(V150&lt;&gt;Constants!$B$14, V150, AD150-AI150))</f>
        <v/>
      </c>
      <c r="AK150" s="89"/>
      <c r="AL150" s="90" t="str">
        <f aca="false">IF(ISBLANK($C150),"",IF($V150&lt;&gt;Constants!$B$14,$V150,X150))</f>
        <v/>
      </c>
      <c r="AM150" s="90" t="str">
        <f aca="false">IF(ISBLANK($C150),"",IF($V150&lt;&gt;Constants!$B$14,$V150,N150))</f>
        <v/>
      </c>
      <c r="AN150" s="91" t="str">
        <f aca="false">IF(ISBLANK(C150),"",IF(V150&lt;&gt;Constants!$B$14, V150, IF(W150=Constants!$B$7,Z150,IF(W150=Constants!$B$8,AB150,""))))</f>
        <v/>
      </c>
      <c r="AO150" s="92" t="str">
        <f aca="false">IF(ISBLANK(C150),"",W150)</f>
        <v/>
      </c>
      <c r="AP150" s="92" t="str">
        <f aca="false">IF(ISBLANK(C150),"",AJ150)</f>
        <v/>
      </c>
      <c r="AQ150" s="92" t="str">
        <f aca="false">IF(ISBLANK(C150),"",AI150)</f>
        <v/>
      </c>
      <c r="AR150" s="93" t="str">
        <f aca="false">IF(ISBLANK(C150),
  "",
IF(AQ150=Constants!$B$11,COUNTA($C$8:$C$507)+2,IF(AQ150=Constants!$B$12,COUNTA($C$8:$C$507)+1,IF(AQ150=Constants!$B$13,COUNTA($C$8:$C$507),AQ150))))</f>
        <v/>
      </c>
      <c r="AS150" s="3"/>
      <c r="AT150" s="94" t="n">
        <f aca="false">IF(OR(ISNUMBER(AQ150),AQ150="DQ",AQ150="P",AQ150="NS"),
    1,
    0
)</f>
        <v>0</v>
      </c>
      <c r="AU150" s="94" t="n">
        <v>143</v>
      </c>
      <c r="AV150" s="94" t="str">
        <f aca="false">IF(ISBLANK($C150),
    "",
   IF(ISNUMBER(AR150),AR150+ROW($B150)/1000,"")
)</f>
        <v/>
      </c>
      <c r="AW150" s="94" t="str">
        <f aca="false">IF(ISNUMBER(AV150), RANK(AV150,AV$8:AV$507,1), "")</f>
        <v/>
      </c>
      <c r="AX150" s="94" t="str">
        <f aca="false">IF(ISBLANK($C150),
    "",
    $B150
)</f>
        <v/>
      </c>
      <c r="AY150" s="94" t="str">
        <f aca="false">IF(ISBLANK($C150),
    "",
    $C150
)</f>
        <v/>
      </c>
      <c r="AZ150" s="94" t="str">
        <f aca="false">IF(ISBLANK($C150),
    "",
    $D150
)</f>
        <v/>
      </c>
      <c r="BA150" s="94" t="str">
        <f aca="false">AO150</f>
        <v/>
      </c>
      <c r="BB150" s="95" t="str">
        <f aca="false">AN150</f>
        <v/>
      </c>
      <c r="BC150" s="94" t="str">
        <f aca="false">IF(ISBLANK($C150),
    "",
    AQ150
)</f>
        <v/>
      </c>
      <c r="BD150" s="96" t="str">
        <f aca="false">IF(AU150&gt;AT$7,
    "",
    VLOOKUP(AU150,AW$8:BC$507,7,FALSE())
)</f>
        <v/>
      </c>
      <c r="BE150" s="97" t="str">
        <f aca="false">IF(AU150&gt;AT$7,
    "",
    VLOOKUP(AU150,AW$8:BC$507,2,FALSE())
)</f>
        <v/>
      </c>
      <c r="BF150" s="97" t="str">
        <f aca="false">IF(AU150&gt;AT$7,
    "",
    VLOOKUP(AU150,AW$8:BC$507,3,FALSE())
)</f>
        <v/>
      </c>
      <c r="BG150" s="97" t="str">
        <f aca="false">IF(AU150&gt;AT$7,
    "",
    VLOOKUP(AU150,AW$8:BC$507,4,FALSE())
)</f>
        <v/>
      </c>
      <c r="BH150" s="97" t="str">
        <f aca="false">IF(AU150&gt;AT$7,
    "",
    VLOOKUP(AU150,AW$8:BC$507,5,FALSE())
)</f>
        <v/>
      </c>
      <c r="BI150" s="98" t="str">
        <f aca="false">IF(AU150&gt;AT$7,
    "",
    VLOOKUP(AU150,AW$8:BC$507,6,FALSE())
)</f>
        <v/>
      </c>
      <c r="BJ150" s="46"/>
    </row>
    <row r="151" customFormat="false" ht="15.75" hidden="false" customHeight="false" outlineLevel="0" collapsed="false">
      <c r="A151" s="3"/>
      <c r="B151" s="105"/>
      <c r="C151" s="106"/>
      <c r="D151" s="99"/>
      <c r="E151" s="110"/>
      <c r="F151" s="107"/>
      <c r="G151" s="110"/>
      <c r="H151" s="103"/>
      <c r="I151" s="102"/>
      <c r="J151" s="103"/>
      <c r="K151" s="103"/>
      <c r="L151" s="85"/>
      <c r="M151" s="85" t="str">
        <f aca="false">IF(ISBLANK($C151),"",IF(ISBLANK(E151),0,E151))</f>
        <v/>
      </c>
      <c r="N151" s="85" t="str">
        <f aca="false">IF(ISBLANK($C151),"",IF(ISBLANK(F151),0,F151))</f>
        <v/>
      </c>
      <c r="O151" s="86" t="e">
        <f aca="false">IF(AND(NOT(ISBLANK($C151)),NOT($T151),COUNTA($E151:$K151)&gt;0),ISBLANK($F151),FALSE())</f>
        <v>#VALUE!</v>
      </c>
      <c r="P151" s="85" t="str">
        <f aca="false">IF(ISBLANK($C151),"",IF(G151=Constants!$B$9, TRUE(), IF(G151=Constants!$B$10, FALSE(), TRUE())))</f>
        <v/>
      </c>
      <c r="Q151" s="85" t="str">
        <f aca="false">IF(ISBLANK($C151),"",IF(H151=Constants!$B$9, TRUE(), IF(H151=Constants!$B$10, FALSE(), TRUE())))</f>
        <v/>
      </c>
      <c r="R151" s="85" t="str">
        <f aca="false">IF(ISBLANK($C151),"",IF(ISBLANK(I151),Constants!$B$3,I151))</f>
        <v/>
      </c>
      <c r="S151" s="85" t="str">
        <f aca="false">IF(ISBLANK($C151),"",IF(ISBLANK(J151),0,MIN(J151,Constants!$B$6)))</f>
        <v/>
      </c>
      <c r="T151" s="85" t="str">
        <f aca="false">IF(ISBLANK($C151),"",IF(K151=Constants!$B$9, TRUE(), IF(K151=Constants!$B$10, FALSE(),  FALSE())))</f>
        <v/>
      </c>
      <c r="U151" s="85" t="str">
        <f aca="false">IF(ISBLANK($C151),"",AND(R151=Constants!$B$4, S151&lt;Constants!$B$6))</f>
        <v/>
      </c>
      <c r="V151" s="85" t="str">
        <f aca="false">IF(ISBLANK(C151), "", IF(T151, Constants!$B$11, IF(COUNTA(E151:K151)=0, Constants!$B$12, IF(NOT(AND(P151,S151&lt;&gt;0)), Constants!$B$13, IF(O151, Constants!$B$15, Constants!$B$14)))))</f>
        <v/>
      </c>
      <c r="W151" s="85" t="str">
        <f aca="false">IF(OR(ISBLANK($C151), SUMPRODUCT(--(P151:T151&lt;&gt;""))=0), "", IF(V151&lt;&gt;Constants!$B$14, V151, IF(AND(NOT(ISBLANK(J151)),P151,Q151,R151&lt;&gt;Constants!$B$2), Constants!$B$7, IF(AND(P151,OR(NOT(Q151),R151=Constants!$B$2)), Constants!$B$8, "Error"))))</f>
        <v/>
      </c>
      <c r="X151" s="87" t="str">
        <f aca="false">IF(OR(W151=Constants!$B$7,W151=Constants!$B$8), MAX(0, MIN(Constants!$B$6, S151))+IF(AND(R151=Constants!$B$4, NOT(U151)), Constants!$B$5, 0), "")</f>
        <v/>
      </c>
      <c r="Y151" s="85" t="str">
        <f aca="false">IF(ISBLANK($C151),"",IF(AND(ISNUMBER(X151),N151&gt;0),X151/N151, "") )</f>
        <v/>
      </c>
      <c r="Z151" s="85" t="str">
        <f aca="false">IF(AND(NOT(ISBLANK($C151)), W151=Constants!$B$7), Y151, "")</f>
        <v/>
      </c>
      <c r="AA151" s="85" t="str">
        <f aca="false">IF(ISNUMBER(Z151), RANK(Z151,Z$8:Z$507), "")</f>
        <v/>
      </c>
      <c r="AB151" s="85" t="str">
        <f aca="false">IF(AND(NOT(ISBLANK($C151)), W151=Constants!$B$8), Y151, "")</f>
        <v/>
      </c>
      <c r="AC151" s="85" t="str">
        <f aca="false">IF(ISNUMBER(AB151), RANK(AB151,AB$8:AB$507), "")</f>
        <v/>
      </c>
      <c r="AD151" s="85" t="str">
        <f aca="false">IF(ISBLANK($C151),"",IF(V151&lt;&gt;Constants!$B$14, V151, IF(W151=Constants!$B$7, AA151, IF(W151=Constants!$B$8, COUNT($AA$8:$AA$507) + AC151, ""))))</f>
        <v/>
      </c>
      <c r="AE151" s="85" t="str">
        <f aca="false">N151</f>
        <v/>
      </c>
      <c r="AF151" s="85" t="str">
        <f aca="false">IF(ISNUMBER(AE151), RANK(AE151,AE$8:AE$507,1), "")</f>
        <v/>
      </c>
      <c r="AG151" s="88" t="str">
        <f aca="false">IF(ISBLANK(C151), "", ABS(M151-S151))</f>
        <v/>
      </c>
      <c r="AH151" s="85" t="str">
        <f aca="false">IF(ISNUMBER(AG151), RANK(AG151,AG$8:AG$507,1), "")</f>
        <v/>
      </c>
      <c r="AI151" s="85" t="str">
        <f aca="false">IF(ISBLANK(C151),"",IF(V151&lt;&gt;Constants!$B$14, V151, RANK(AD151, AD$8:AD$507, 1)+ SUMPRODUCT(--(AD$8:AD$507=AD151),--(AF151&gt;AF$8:AF$507)) + SUMPRODUCT(--(AD$8:AD$507=AD151),--(AF151=AF$8:AF$507),--(AH151&gt;AH$8:AH$507))))</f>
        <v/>
      </c>
      <c r="AJ151" s="85" t="str">
        <f aca="false">IF(ISBLANK(C151),"",IF(V151&lt;&gt;Constants!$B$14, V151, AD151-AI151))</f>
        <v/>
      </c>
      <c r="AK151" s="89"/>
      <c r="AL151" s="90" t="str">
        <f aca="false">IF(ISBLANK($C151),"",IF($V151&lt;&gt;Constants!$B$14,$V151,X151))</f>
        <v/>
      </c>
      <c r="AM151" s="90" t="str">
        <f aca="false">IF(ISBLANK($C151),"",IF($V151&lt;&gt;Constants!$B$14,$V151,N151))</f>
        <v/>
      </c>
      <c r="AN151" s="91" t="str">
        <f aca="false">IF(ISBLANK(C151),"",IF(V151&lt;&gt;Constants!$B$14, V151, IF(W151=Constants!$B$7,Z151,IF(W151=Constants!$B$8,AB151,""))))</f>
        <v/>
      </c>
      <c r="AO151" s="92" t="str">
        <f aca="false">IF(ISBLANK(C151),"",W151)</f>
        <v/>
      </c>
      <c r="AP151" s="92" t="str">
        <f aca="false">IF(ISBLANK(C151),"",AJ151)</f>
        <v/>
      </c>
      <c r="AQ151" s="92" t="str">
        <f aca="false">IF(ISBLANK(C151),"",AI151)</f>
        <v/>
      </c>
      <c r="AR151" s="93" t="str">
        <f aca="false">IF(ISBLANK(C151),
  "",
IF(AQ151=Constants!$B$11,COUNTA($C$8:$C$507)+2,IF(AQ151=Constants!$B$12,COUNTA($C$8:$C$507)+1,IF(AQ151=Constants!$B$13,COUNTA($C$8:$C$507),AQ151))))</f>
        <v/>
      </c>
      <c r="AS151" s="3"/>
      <c r="AT151" s="94" t="n">
        <f aca="false">IF(OR(ISNUMBER(AQ151),AQ151="DQ",AQ151="P",AQ151="NS"),
    1,
    0
)</f>
        <v>0</v>
      </c>
      <c r="AU151" s="94" t="n">
        <v>144</v>
      </c>
      <c r="AV151" s="94" t="str">
        <f aca="false">IF(ISBLANK($C151),
    "",
   IF(ISNUMBER(AR151),AR151+ROW($B151)/1000,"")
)</f>
        <v/>
      </c>
      <c r="AW151" s="94" t="str">
        <f aca="false">IF(ISNUMBER(AV151), RANK(AV151,AV$8:AV$507,1), "")</f>
        <v/>
      </c>
      <c r="AX151" s="94" t="str">
        <f aca="false">IF(ISBLANK($C151),
    "",
    $B151
)</f>
        <v/>
      </c>
      <c r="AY151" s="94" t="str">
        <f aca="false">IF(ISBLANK($C151),
    "",
    $C151
)</f>
        <v/>
      </c>
      <c r="AZ151" s="94" t="str">
        <f aca="false">IF(ISBLANK($C151),
    "",
    $D151
)</f>
        <v/>
      </c>
      <c r="BA151" s="94" t="str">
        <f aca="false">AO151</f>
        <v/>
      </c>
      <c r="BB151" s="95" t="str">
        <f aca="false">AN151</f>
        <v/>
      </c>
      <c r="BC151" s="94" t="str">
        <f aca="false">IF(ISBLANK($C151),
    "",
    AQ151
)</f>
        <v/>
      </c>
      <c r="BD151" s="96" t="str">
        <f aca="false">IF(AU151&gt;AT$7,
    "",
    VLOOKUP(AU151,AW$8:BC$507,7,FALSE())
)</f>
        <v/>
      </c>
      <c r="BE151" s="97" t="str">
        <f aca="false">IF(AU151&gt;AT$7,
    "",
    VLOOKUP(AU151,AW$8:BC$507,2,FALSE())
)</f>
        <v/>
      </c>
      <c r="BF151" s="97" t="str">
        <f aca="false">IF(AU151&gt;AT$7,
    "",
    VLOOKUP(AU151,AW$8:BC$507,3,FALSE())
)</f>
        <v/>
      </c>
      <c r="BG151" s="97" t="str">
        <f aca="false">IF(AU151&gt;AT$7,
    "",
    VLOOKUP(AU151,AW$8:BC$507,4,FALSE())
)</f>
        <v/>
      </c>
      <c r="BH151" s="97" t="str">
        <f aca="false">IF(AU151&gt;AT$7,
    "",
    VLOOKUP(AU151,AW$8:BC$507,5,FALSE())
)</f>
        <v/>
      </c>
      <c r="BI151" s="98" t="str">
        <f aca="false">IF(AU151&gt;AT$7,
    "",
    VLOOKUP(AU151,AW$8:BC$507,6,FALSE())
)</f>
        <v/>
      </c>
      <c r="BJ151" s="46"/>
    </row>
    <row r="152" customFormat="false" ht="15.75" hidden="false" customHeight="false" outlineLevel="0" collapsed="false">
      <c r="A152" s="3"/>
      <c r="B152" s="108"/>
      <c r="C152" s="70"/>
      <c r="D152" s="49"/>
      <c r="E152" s="109"/>
      <c r="F152" s="72"/>
      <c r="G152" s="109"/>
      <c r="H152" s="74"/>
      <c r="I152" s="104"/>
      <c r="J152" s="74"/>
      <c r="K152" s="74"/>
      <c r="L152" s="55"/>
      <c r="M152" s="55" t="str">
        <f aca="false">IF(ISBLANK($C152),"",IF(ISBLANK(E152),0,E152))</f>
        <v/>
      </c>
      <c r="N152" s="55" t="str">
        <f aca="false">IF(ISBLANK($C152),"",IF(ISBLANK(F152),0,F152))</f>
        <v/>
      </c>
      <c r="O152" s="55" t="e">
        <f aca="false">IF(AND(NOT(ISBLANK($C152)),NOT($T152),COUNTA($E152:$K152)&gt;0),ISBLANK($F152),FALSE())</f>
        <v>#VALUE!</v>
      </c>
      <c r="P152" s="55" t="str">
        <f aca="false">IF(ISBLANK($C152),"",IF(G152=Constants!$B$9, TRUE(), IF(G152=Constants!$B$10, FALSE(), TRUE())))</f>
        <v/>
      </c>
      <c r="Q152" s="55" t="str">
        <f aca="false">IF(ISBLANK($C152),"",IF(H152=Constants!$B$9, TRUE(), IF(H152=Constants!$B$10, FALSE(), TRUE())))</f>
        <v/>
      </c>
      <c r="R152" s="55" t="str">
        <f aca="false">IF(ISBLANK($C152),"",IF(ISBLANK(I152),Constants!$B$3,I152))</f>
        <v/>
      </c>
      <c r="S152" s="55" t="str">
        <f aca="false">IF(ISBLANK($C152),"",IF(ISBLANK(J152),0,MIN(J152,Constants!$B$6)))</f>
        <v/>
      </c>
      <c r="T152" s="55" t="str">
        <f aca="false">IF(ISBLANK($C152),"",IF(K152=Constants!$B$9, TRUE(), IF(K152=Constants!$B$10, FALSE(),  FALSE())))</f>
        <v/>
      </c>
      <c r="U152" s="55" t="str">
        <f aca="false">IF(ISBLANK($C152),"",AND(R152=Constants!$B$4, S152&lt;Constants!$B$6))</f>
        <v/>
      </c>
      <c r="V152" s="55" t="str">
        <f aca="false">IF(ISBLANK(C152), "", IF(T152, Constants!$B$11, IF(COUNTA(E152:K152)=0, Constants!$B$12, IF(NOT(AND(P152,S152&lt;&gt;0)), Constants!$B$13, IF(O152, Constants!$B$15, Constants!$B$14)))))</f>
        <v/>
      </c>
      <c r="W152" s="55" t="str">
        <f aca="false">IF(OR(ISBLANK($C152), SUMPRODUCT(--(P152:T152&lt;&gt;""))=0), "", IF(V152&lt;&gt;Constants!$B$14, V152, IF(AND(NOT(ISBLANK(J152)),P152,Q152,R152&lt;&gt;Constants!$B$2), Constants!$B$7, IF(AND(P152,OR(NOT(Q152),R152=Constants!$B$2)), Constants!$B$8, "Error"))))</f>
        <v/>
      </c>
      <c r="X152" s="56" t="str">
        <f aca="false">IF(OR(W152=Constants!$B$7,W152=Constants!$B$8), MAX(0, MIN(Constants!$B$6, S152))+IF(AND(R152=Constants!$B$4, NOT(U152)), Constants!$B$5, 0), "")</f>
        <v/>
      </c>
      <c r="Y152" s="55" t="str">
        <f aca="false">IF(ISBLANK($C152),"",IF(AND(ISNUMBER(X152),N152&gt;0),X152/N152, "") )</f>
        <v/>
      </c>
      <c r="Z152" s="55" t="str">
        <f aca="false">IF(AND(NOT(ISBLANK($C152)), W152=Constants!$B$7), Y152, "")</f>
        <v/>
      </c>
      <c r="AA152" s="55" t="str">
        <f aca="false">IF(ISNUMBER(Z152), RANK(Z152,Z$8:Z$507), "")</f>
        <v/>
      </c>
      <c r="AB152" s="55" t="str">
        <f aca="false">IF(AND(NOT(ISBLANK($C152)), W152=Constants!$B$8), Y152, "")</f>
        <v/>
      </c>
      <c r="AC152" s="55" t="str">
        <f aca="false">IF(ISNUMBER(AB152), RANK(AB152,AB$8:AB$507), "")</f>
        <v/>
      </c>
      <c r="AD152" s="55" t="str">
        <f aca="false">IF(ISBLANK($C152),"",IF(V152&lt;&gt;Constants!$B$14, V152, IF(W152=Constants!$B$7, AA152, IF(W152=Constants!$B$8, COUNT($AA$8:$AA$507) + AC152, ""))))</f>
        <v/>
      </c>
      <c r="AE152" s="55" t="str">
        <f aca="false">N152</f>
        <v/>
      </c>
      <c r="AF152" s="55" t="str">
        <f aca="false">IF(ISNUMBER(AE152), RANK(AE152,AE$8:AE$507,1), "")</f>
        <v/>
      </c>
      <c r="AG152" s="57" t="str">
        <f aca="false">IF(ISBLANK(C152), "", ABS(M152-S152))</f>
        <v/>
      </c>
      <c r="AH152" s="55" t="str">
        <f aca="false">IF(ISNUMBER(AG152), RANK(AG152,AG$8:AG$507,1), "")</f>
        <v/>
      </c>
      <c r="AI152" s="55" t="str">
        <f aca="false">IF(ISBLANK(C152),"",IF(V152&lt;&gt;Constants!$B$14, V152, RANK(AD152, AD$8:AD$507, 1)+ SUMPRODUCT(--(AD$8:AD$507=AD152),--(AF152&gt;AF$8:AF$507)) + SUMPRODUCT(--(AD$8:AD$507=AD152),--(AF152=AF$8:AF$507),--(AH152&gt;AH$8:AH$507))))</f>
        <v/>
      </c>
      <c r="AJ152" s="55" t="str">
        <f aca="false">IF(ISBLANK(C152),"",IF(V152&lt;&gt;Constants!$B$14, V152, AD152-AI152))</f>
        <v/>
      </c>
      <c r="AK152" s="59"/>
      <c r="AL152" s="60" t="str">
        <f aca="false">IF(ISBLANK($C152),"",IF($V152&lt;&gt;Constants!$B$14,$V152,X152))</f>
        <v/>
      </c>
      <c r="AM152" s="60" t="str">
        <f aca="false">IF(ISBLANK($C152),"",IF($V152&lt;&gt;Constants!$B$14,$V152,N152))</f>
        <v/>
      </c>
      <c r="AN152" s="62" t="str">
        <f aca="false">IF(ISBLANK(C152),"",IF(V152&lt;&gt;Constants!$B$14, V152, IF(W152=Constants!$B$7,Z152,IF(W152=Constants!$B$8,AB152,""))))</f>
        <v/>
      </c>
      <c r="AO152" s="63" t="str">
        <f aca="false">IF(ISBLANK(C152),"",W152)</f>
        <v/>
      </c>
      <c r="AP152" s="63" t="str">
        <f aca="false">IF(ISBLANK(C152),"",AJ152)</f>
        <v/>
      </c>
      <c r="AQ152" s="63" t="str">
        <f aca="false">IF(ISBLANK(C152),"",AI152)</f>
        <v/>
      </c>
      <c r="AR152" s="64" t="str">
        <f aca="false">IF(ISBLANK(C152),
  "",
IF(AQ152=Constants!$B$11,COUNTA($C$8:$C$507)+2,IF(AQ152=Constants!$B$12,COUNTA($C$8:$C$507)+1,IF(AQ152=Constants!$B$13,COUNTA($C$8:$C$507),AQ152))))</f>
        <v/>
      </c>
      <c r="AS152" s="3"/>
      <c r="AT152" s="65" t="n">
        <f aca="false">IF(OR(ISNUMBER(AQ152),AQ152="DQ",AQ152="P",AQ152="NS"),
    1,
    0
)</f>
        <v>0</v>
      </c>
      <c r="AU152" s="65" t="n">
        <v>145</v>
      </c>
      <c r="AV152" s="65" t="str">
        <f aca="false">IF(ISBLANK($C152),
    "",
   IF(ISNUMBER(AR152),AR152+ROW($B152)/1000,"")
)</f>
        <v/>
      </c>
      <c r="AW152" s="65" t="str">
        <f aca="false">IF(ISNUMBER(AV152), RANK(AV152,AV$8:AV$507,1), "")</f>
        <v/>
      </c>
      <c r="AX152" s="65" t="str">
        <f aca="false">IF(ISBLANK($C152),
    "",
    $B152
)</f>
        <v/>
      </c>
      <c r="AY152" s="65" t="str">
        <f aca="false">IF(ISBLANK($C152),
    "",
    $C152
)</f>
        <v/>
      </c>
      <c r="AZ152" s="65" t="str">
        <f aca="false">IF(ISBLANK($C152),
    "",
    $D152
)</f>
        <v/>
      </c>
      <c r="BA152" s="65" t="str">
        <f aca="false">AO152</f>
        <v/>
      </c>
      <c r="BB152" s="66" t="str">
        <f aca="false">AN152</f>
        <v/>
      </c>
      <c r="BC152" s="65" t="str">
        <f aca="false">IF(ISBLANK($C152),
    "",
    AQ152
)</f>
        <v/>
      </c>
      <c r="BD152" s="67" t="str">
        <f aca="false">IF(AU152&gt;AT$7,
    "",
    VLOOKUP(AU152,AW$8:BC$507,7,FALSE())
)</f>
        <v/>
      </c>
      <c r="BE152" s="68" t="str">
        <f aca="false">IF(AU152&gt;AT$7,
    "",
    VLOOKUP(AU152,AW$8:BC$507,2,FALSE())
)</f>
        <v/>
      </c>
      <c r="BF152" s="68" t="str">
        <f aca="false">IF(AU152&gt;AT$7,
    "",
    VLOOKUP(AU152,AW$8:BC$507,3,FALSE())
)</f>
        <v/>
      </c>
      <c r="BG152" s="68" t="str">
        <f aca="false">IF(AU152&gt;AT$7,
    "",
    VLOOKUP(AU152,AW$8:BC$507,4,FALSE())
)</f>
        <v/>
      </c>
      <c r="BH152" s="68" t="str">
        <f aca="false">IF(AU152&gt;AT$7,
    "",
    VLOOKUP(AU152,AW$8:BC$507,5,FALSE())
)</f>
        <v/>
      </c>
      <c r="BI152" s="69" t="str">
        <f aca="false">IF(AU152&gt;AT$7,
    "",
    VLOOKUP(AU152,AW$8:BC$507,6,FALSE())
)</f>
        <v/>
      </c>
      <c r="BJ152" s="46"/>
    </row>
    <row r="153" customFormat="false" ht="15.75" hidden="false" customHeight="false" outlineLevel="0" collapsed="false">
      <c r="A153" s="3"/>
      <c r="B153" s="108"/>
      <c r="C153" s="70"/>
      <c r="D153" s="49"/>
      <c r="E153" s="109"/>
      <c r="F153" s="72"/>
      <c r="G153" s="109"/>
      <c r="H153" s="74"/>
      <c r="I153" s="104"/>
      <c r="J153" s="74"/>
      <c r="K153" s="74"/>
      <c r="L153" s="55"/>
      <c r="M153" s="55" t="str">
        <f aca="false">IF(ISBLANK($C153),"",IF(ISBLANK(E153),0,E153))</f>
        <v/>
      </c>
      <c r="N153" s="55" t="str">
        <f aca="false">IF(ISBLANK($C153),"",IF(ISBLANK(F153),0,F153))</f>
        <v/>
      </c>
      <c r="O153" s="55" t="e">
        <f aca="false">IF(AND(NOT(ISBLANK($C153)),NOT($T153),COUNTA($E153:$K153)&gt;0),ISBLANK($F153),FALSE())</f>
        <v>#VALUE!</v>
      </c>
      <c r="P153" s="55" t="str">
        <f aca="false">IF(ISBLANK($C153),"",IF(G153=Constants!$B$9, TRUE(), IF(G153=Constants!$B$10, FALSE(), TRUE())))</f>
        <v/>
      </c>
      <c r="Q153" s="55" t="str">
        <f aca="false">IF(ISBLANK($C153),"",IF(H153=Constants!$B$9, TRUE(), IF(H153=Constants!$B$10, FALSE(), TRUE())))</f>
        <v/>
      </c>
      <c r="R153" s="55" t="str">
        <f aca="false">IF(ISBLANK($C153),"",IF(ISBLANK(I153),Constants!$B$3,I153))</f>
        <v/>
      </c>
      <c r="S153" s="55" t="str">
        <f aca="false">IF(ISBLANK($C153),"",IF(ISBLANK(J153),0,MIN(J153,Constants!$B$6)))</f>
        <v/>
      </c>
      <c r="T153" s="55" t="str">
        <f aca="false">IF(ISBLANK($C153),"",IF(K153=Constants!$B$9, TRUE(), IF(K153=Constants!$B$10, FALSE(),  FALSE())))</f>
        <v/>
      </c>
      <c r="U153" s="55" t="str">
        <f aca="false">IF(ISBLANK($C153),"",AND(R153=Constants!$B$4, S153&lt;Constants!$B$6))</f>
        <v/>
      </c>
      <c r="V153" s="55" t="str">
        <f aca="false">IF(ISBLANK(C153), "", IF(T153, Constants!$B$11, IF(COUNTA(E153:K153)=0, Constants!$B$12, IF(NOT(AND(P153,S153&lt;&gt;0)), Constants!$B$13, IF(O153, Constants!$B$15, Constants!$B$14)))))</f>
        <v/>
      </c>
      <c r="W153" s="55" t="str">
        <f aca="false">IF(OR(ISBLANK($C153), SUMPRODUCT(--(P153:T153&lt;&gt;""))=0), "", IF(V153&lt;&gt;Constants!$B$14, V153, IF(AND(NOT(ISBLANK(J153)),P153,Q153,R153&lt;&gt;Constants!$B$2), Constants!$B$7, IF(AND(P153,OR(NOT(Q153),R153=Constants!$B$2)), Constants!$B$8, "Error"))))</f>
        <v/>
      </c>
      <c r="X153" s="56" t="str">
        <f aca="false">IF(OR(W153=Constants!$B$7,W153=Constants!$B$8), MAX(0, MIN(Constants!$B$6, S153))+IF(AND(R153=Constants!$B$4, NOT(U153)), Constants!$B$5, 0), "")</f>
        <v/>
      </c>
      <c r="Y153" s="55" t="str">
        <f aca="false">IF(ISBLANK($C153),"",IF(AND(ISNUMBER(X153),N153&gt;0),X153/N153, "") )</f>
        <v/>
      </c>
      <c r="Z153" s="55" t="str">
        <f aca="false">IF(AND(NOT(ISBLANK($C153)), W153=Constants!$B$7), Y153, "")</f>
        <v/>
      </c>
      <c r="AA153" s="55" t="str">
        <f aca="false">IF(ISNUMBER(Z153), RANK(Z153,Z$8:Z$507), "")</f>
        <v/>
      </c>
      <c r="AB153" s="55" t="str">
        <f aca="false">IF(AND(NOT(ISBLANK($C153)), W153=Constants!$B$8), Y153, "")</f>
        <v/>
      </c>
      <c r="AC153" s="55" t="str">
        <f aca="false">IF(ISNUMBER(AB153), RANK(AB153,AB$8:AB$507), "")</f>
        <v/>
      </c>
      <c r="AD153" s="55" t="str">
        <f aca="false">IF(ISBLANK($C153),"",IF(V153&lt;&gt;Constants!$B$14, V153, IF(W153=Constants!$B$7, AA153, IF(W153=Constants!$B$8, COUNT($AA$8:$AA$507) + AC153, ""))))</f>
        <v/>
      </c>
      <c r="AE153" s="55" t="str">
        <f aca="false">N153</f>
        <v/>
      </c>
      <c r="AF153" s="55" t="str">
        <f aca="false">IF(ISNUMBER(AE153), RANK(AE153,AE$8:AE$507,1), "")</f>
        <v/>
      </c>
      <c r="AG153" s="57" t="str">
        <f aca="false">IF(ISBLANK(C153), "", ABS(M153-S153))</f>
        <v/>
      </c>
      <c r="AH153" s="55" t="str">
        <f aca="false">IF(ISNUMBER(AG153), RANK(AG153,AG$8:AG$507,1), "")</f>
        <v/>
      </c>
      <c r="AI153" s="55" t="str">
        <f aca="false">IF(ISBLANK(C153),"",IF(V153&lt;&gt;Constants!$B$14, V153, RANK(AD153, AD$8:AD$507, 1)+ SUMPRODUCT(--(AD$8:AD$507=AD153),--(AF153&gt;AF$8:AF$507)) + SUMPRODUCT(--(AD$8:AD$507=AD153),--(AF153=AF$8:AF$507),--(AH153&gt;AH$8:AH$507))))</f>
        <v/>
      </c>
      <c r="AJ153" s="55" t="str">
        <f aca="false">IF(ISBLANK(C153),"",IF(V153&lt;&gt;Constants!$B$14, V153, AD153-AI153))</f>
        <v/>
      </c>
      <c r="AK153" s="59"/>
      <c r="AL153" s="60" t="str">
        <f aca="false">IF(ISBLANK($C153),"",IF($V153&lt;&gt;Constants!$B$14,$V153,X153))</f>
        <v/>
      </c>
      <c r="AM153" s="60" t="str">
        <f aca="false">IF(ISBLANK($C153),"",IF($V153&lt;&gt;Constants!$B$14,$V153,N153))</f>
        <v/>
      </c>
      <c r="AN153" s="62" t="str">
        <f aca="false">IF(ISBLANK(C153),"",IF(V153&lt;&gt;Constants!$B$14, V153, IF(W153=Constants!$B$7,Z153,IF(W153=Constants!$B$8,AB153,""))))</f>
        <v/>
      </c>
      <c r="AO153" s="63" t="str">
        <f aca="false">IF(ISBLANK(C153),"",W153)</f>
        <v/>
      </c>
      <c r="AP153" s="63" t="str">
        <f aca="false">IF(ISBLANK(C153),"",AJ153)</f>
        <v/>
      </c>
      <c r="AQ153" s="63" t="str">
        <f aca="false">IF(ISBLANK(C153),"",AI153)</f>
        <v/>
      </c>
      <c r="AR153" s="64" t="str">
        <f aca="false">IF(ISBLANK(C153),
  "",
IF(AQ153=Constants!$B$11,COUNTA($C$8:$C$507)+2,IF(AQ153=Constants!$B$12,COUNTA($C$8:$C$507)+1,IF(AQ153=Constants!$B$13,COUNTA($C$8:$C$507),AQ153))))</f>
        <v/>
      </c>
      <c r="AS153" s="3"/>
      <c r="AT153" s="65" t="n">
        <f aca="false">IF(OR(ISNUMBER(AQ153),AQ153="DQ",AQ153="P",AQ153="NS"),
    1,
    0
)</f>
        <v>0</v>
      </c>
      <c r="AU153" s="65" t="n">
        <v>146</v>
      </c>
      <c r="AV153" s="65" t="str">
        <f aca="false">IF(ISBLANK($C153),
    "",
   IF(ISNUMBER(AR153),AR153+ROW($B153)/1000,"")
)</f>
        <v/>
      </c>
      <c r="AW153" s="65" t="str">
        <f aca="false">IF(ISNUMBER(AV153), RANK(AV153,AV$8:AV$507,1), "")</f>
        <v/>
      </c>
      <c r="AX153" s="65" t="str">
        <f aca="false">IF(ISBLANK($C153),
    "",
    $B153
)</f>
        <v/>
      </c>
      <c r="AY153" s="65" t="str">
        <f aca="false">IF(ISBLANK($C153),
    "",
    $C153
)</f>
        <v/>
      </c>
      <c r="AZ153" s="65" t="str">
        <f aca="false">IF(ISBLANK($C153),
    "",
    $D153
)</f>
        <v/>
      </c>
      <c r="BA153" s="65" t="str">
        <f aca="false">AO153</f>
        <v/>
      </c>
      <c r="BB153" s="66" t="str">
        <f aca="false">AN153</f>
        <v/>
      </c>
      <c r="BC153" s="65" t="str">
        <f aca="false">IF(ISBLANK($C153),
    "",
    AQ153
)</f>
        <v/>
      </c>
      <c r="BD153" s="67" t="str">
        <f aca="false">IF(AU153&gt;AT$7,
    "",
    VLOOKUP(AU153,AW$8:BC$507,7,FALSE())
)</f>
        <v/>
      </c>
      <c r="BE153" s="68" t="str">
        <f aca="false">IF(AU153&gt;AT$7,
    "",
    VLOOKUP(AU153,AW$8:BC$507,2,FALSE())
)</f>
        <v/>
      </c>
      <c r="BF153" s="68" t="str">
        <f aca="false">IF(AU153&gt;AT$7,
    "",
    VLOOKUP(AU153,AW$8:BC$507,3,FALSE())
)</f>
        <v/>
      </c>
      <c r="BG153" s="68" t="str">
        <f aca="false">IF(AU153&gt;AT$7,
    "",
    VLOOKUP(AU153,AW$8:BC$507,4,FALSE())
)</f>
        <v/>
      </c>
      <c r="BH153" s="68" t="str">
        <f aca="false">IF(AU153&gt;AT$7,
    "",
    VLOOKUP(AU153,AW$8:BC$507,5,FALSE())
)</f>
        <v/>
      </c>
      <c r="BI153" s="69" t="str">
        <f aca="false">IF(AU153&gt;AT$7,
    "",
    VLOOKUP(AU153,AW$8:BC$507,6,FALSE())
)</f>
        <v/>
      </c>
      <c r="BJ153" s="46"/>
    </row>
    <row r="154" customFormat="false" ht="15.75" hidden="false" customHeight="false" outlineLevel="0" collapsed="false">
      <c r="A154" s="3"/>
      <c r="B154" s="108"/>
      <c r="C154" s="70"/>
      <c r="D154" s="49"/>
      <c r="E154" s="109"/>
      <c r="F154" s="72"/>
      <c r="G154" s="109"/>
      <c r="H154" s="74"/>
      <c r="I154" s="104"/>
      <c r="J154" s="74"/>
      <c r="K154" s="74"/>
      <c r="L154" s="55"/>
      <c r="M154" s="55" t="str">
        <f aca="false">IF(ISBLANK($C154),"",IF(ISBLANK(E154),0,E154))</f>
        <v/>
      </c>
      <c r="N154" s="55" t="str">
        <f aca="false">IF(ISBLANK($C154),"",IF(ISBLANK(F154),0,F154))</f>
        <v/>
      </c>
      <c r="O154" s="55" t="e">
        <f aca="false">IF(AND(NOT(ISBLANK($C154)),NOT($T154),COUNTA($E154:$K154)&gt;0),ISBLANK($F154),FALSE())</f>
        <v>#VALUE!</v>
      </c>
      <c r="P154" s="55" t="str">
        <f aca="false">IF(ISBLANK($C154),"",IF(G154=Constants!$B$9, TRUE(), IF(G154=Constants!$B$10, FALSE(), TRUE())))</f>
        <v/>
      </c>
      <c r="Q154" s="55" t="str">
        <f aca="false">IF(ISBLANK($C154),"",IF(H154=Constants!$B$9, TRUE(), IF(H154=Constants!$B$10, FALSE(), TRUE())))</f>
        <v/>
      </c>
      <c r="R154" s="55" t="str">
        <f aca="false">IF(ISBLANK($C154),"",IF(ISBLANK(I154),Constants!$B$3,I154))</f>
        <v/>
      </c>
      <c r="S154" s="55" t="str">
        <f aca="false">IF(ISBLANK($C154),"",IF(ISBLANK(J154),0,MIN(J154,Constants!$B$6)))</f>
        <v/>
      </c>
      <c r="T154" s="55" t="str">
        <f aca="false">IF(ISBLANK($C154),"",IF(K154=Constants!$B$9, TRUE(), IF(K154=Constants!$B$10, FALSE(),  FALSE())))</f>
        <v/>
      </c>
      <c r="U154" s="55" t="str">
        <f aca="false">IF(ISBLANK($C154),"",AND(R154=Constants!$B$4, S154&lt;Constants!$B$6))</f>
        <v/>
      </c>
      <c r="V154" s="55" t="str">
        <f aca="false">IF(ISBLANK(C154), "", IF(T154, Constants!$B$11, IF(COUNTA(E154:K154)=0, Constants!$B$12, IF(NOT(AND(P154,S154&lt;&gt;0)), Constants!$B$13, IF(O154, Constants!$B$15, Constants!$B$14)))))</f>
        <v/>
      </c>
      <c r="W154" s="55" t="str">
        <f aca="false">IF(OR(ISBLANK($C154), SUMPRODUCT(--(P154:T154&lt;&gt;""))=0), "", IF(V154&lt;&gt;Constants!$B$14, V154, IF(AND(NOT(ISBLANK(J154)),P154,Q154,R154&lt;&gt;Constants!$B$2), Constants!$B$7, IF(AND(P154,OR(NOT(Q154),R154=Constants!$B$2)), Constants!$B$8, "Error"))))</f>
        <v/>
      </c>
      <c r="X154" s="56" t="str">
        <f aca="false">IF(OR(W154=Constants!$B$7,W154=Constants!$B$8), MAX(0, MIN(Constants!$B$6, S154))+IF(AND(R154=Constants!$B$4, NOT(U154)), Constants!$B$5, 0), "")</f>
        <v/>
      </c>
      <c r="Y154" s="55" t="str">
        <f aca="false">IF(ISBLANK($C154),"",IF(AND(ISNUMBER(X154),N154&gt;0),X154/N154, "") )</f>
        <v/>
      </c>
      <c r="Z154" s="55" t="str">
        <f aca="false">IF(AND(NOT(ISBLANK($C154)), W154=Constants!$B$7), Y154, "")</f>
        <v/>
      </c>
      <c r="AA154" s="55" t="str">
        <f aca="false">IF(ISNUMBER(Z154), RANK(Z154,Z$8:Z$507), "")</f>
        <v/>
      </c>
      <c r="AB154" s="55" t="str">
        <f aca="false">IF(AND(NOT(ISBLANK($C154)), W154=Constants!$B$8), Y154, "")</f>
        <v/>
      </c>
      <c r="AC154" s="55" t="str">
        <f aca="false">IF(ISNUMBER(AB154), RANK(AB154,AB$8:AB$507), "")</f>
        <v/>
      </c>
      <c r="AD154" s="55" t="str">
        <f aca="false">IF(ISBLANK($C154),"",IF(V154&lt;&gt;Constants!$B$14, V154, IF(W154=Constants!$B$7, AA154, IF(W154=Constants!$B$8, COUNT($AA$8:$AA$507) + AC154, ""))))</f>
        <v/>
      </c>
      <c r="AE154" s="55" t="str">
        <f aca="false">N154</f>
        <v/>
      </c>
      <c r="AF154" s="55" t="str">
        <f aca="false">IF(ISNUMBER(AE154), RANK(AE154,AE$8:AE$507,1), "")</f>
        <v/>
      </c>
      <c r="AG154" s="57" t="str">
        <f aca="false">IF(ISBLANK(C154), "", ABS(M154-S154))</f>
        <v/>
      </c>
      <c r="AH154" s="55" t="str">
        <f aca="false">IF(ISNUMBER(AG154), RANK(AG154,AG$8:AG$507,1), "")</f>
        <v/>
      </c>
      <c r="AI154" s="55" t="str">
        <f aca="false">IF(ISBLANK(C154),"",IF(V154&lt;&gt;Constants!$B$14, V154, RANK(AD154, AD$8:AD$507, 1)+ SUMPRODUCT(--(AD$8:AD$507=AD154),--(AF154&gt;AF$8:AF$507)) + SUMPRODUCT(--(AD$8:AD$507=AD154),--(AF154=AF$8:AF$507),--(AH154&gt;AH$8:AH$507))))</f>
        <v/>
      </c>
      <c r="AJ154" s="55" t="str">
        <f aca="false">IF(ISBLANK(C154),"",IF(V154&lt;&gt;Constants!$B$14, V154, AD154-AI154))</f>
        <v/>
      </c>
      <c r="AK154" s="59"/>
      <c r="AL154" s="60" t="str">
        <f aca="false">IF(ISBLANK($C154),"",IF($V154&lt;&gt;Constants!$B$14,$V154,X154))</f>
        <v/>
      </c>
      <c r="AM154" s="60" t="str">
        <f aca="false">IF(ISBLANK($C154),"",IF($V154&lt;&gt;Constants!$B$14,$V154,N154))</f>
        <v/>
      </c>
      <c r="AN154" s="62" t="str">
        <f aca="false">IF(ISBLANK(C154),"",IF(V154&lt;&gt;Constants!$B$14, V154, IF(W154=Constants!$B$7,Z154,IF(W154=Constants!$B$8,AB154,""))))</f>
        <v/>
      </c>
      <c r="AO154" s="63" t="str">
        <f aca="false">IF(ISBLANK(C154),"",W154)</f>
        <v/>
      </c>
      <c r="AP154" s="63" t="str">
        <f aca="false">IF(ISBLANK(C154),"",AJ154)</f>
        <v/>
      </c>
      <c r="AQ154" s="63" t="str">
        <f aca="false">IF(ISBLANK(C154),"",AI154)</f>
        <v/>
      </c>
      <c r="AR154" s="64" t="str">
        <f aca="false">IF(ISBLANK(C154),
  "",
IF(AQ154=Constants!$B$11,COUNTA($C$8:$C$507)+2,IF(AQ154=Constants!$B$12,COUNTA($C$8:$C$507)+1,IF(AQ154=Constants!$B$13,COUNTA($C$8:$C$507),AQ154))))</f>
        <v/>
      </c>
      <c r="AS154" s="3"/>
      <c r="AT154" s="65" t="n">
        <f aca="false">IF(OR(ISNUMBER(AQ154),AQ154="DQ",AQ154="P",AQ154="NS"),
    1,
    0
)</f>
        <v>0</v>
      </c>
      <c r="AU154" s="65" t="n">
        <v>147</v>
      </c>
      <c r="AV154" s="65" t="str">
        <f aca="false">IF(ISBLANK($C154),
    "",
   IF(ISNUMBER(AR154),AR154+ROW($B154)/1000,"")
)</f>
        <v/>
      </c>
      <c r="AW154" s="65" t="str">
        <f aca="false">IF(ISNUMBER(AV154), RANK(AV154,AV$8:AV$507,1), "")</f>
        <v/>
      </c>
      <c r="AX154" s="65" t="str">
        <f aca="false">IF(ISBLANK($C154),
    "",
    $B154
)</f>
        <v/>
      </c>
      <c r="AY154" s="65" t="str">
        <f aca="false">IF(ISBLANK($C154),
    "",
    $C154
)</f>
        <v/>
      </c>
      <c r="AZ154" s="65" t="str">
        <f aca="false">IF(ISBLANK($C154),
    "",
    $D154
)</f>
        <v/>
      </c>
      <c r="BA154" s="65" t="str">
        <f aca="false">AO154</f>
        <v/>
      </c>
      <c r="BB154" s="66" t="str">
        <f aca="false">AN154</f>
        <v/>
      </c>
      <c r="BC154" s="65" t="str">
        <f aca="false">IF(ISBLANK($C154),
    "",
    AQ154
)</f>
        <v/>
      </c>
      <c r="BD154" s="67" t="str">
        <f aca="false">IF(AU154&gt;AT$7,
    "",
    VLOOKUP(AU154,AW$8:BC$507,7,FALSE())
)</f>
        <v/>
      </c>
      <c r="BE154" s="68" t="str">
        <f aca="false">IF(AU154&gt;AT$7,
    "",
    VLOOKUP(AU154,AW$8:BC$507,2,FALSE())
)</f>
        <v/>
      </c>
      <c r="BF154" s="68" t="str">
        <f aca="false">IF(AU154&gt;AT$7,
    "",
    VLOOKUP(AU154,AW$8:BC$507,3,FALSE())
)</f>
        <v/>
      </c>
      <c r="BG154" s="68" t="str">
        <f aca="false">IF(AU154&gt;AT$7,
    "",
    VLOOKUP(AU154,AW$8:BC$507,4,FALSE())
)</f>
        <v/>
      </c>
      <c r="BH154" s="68" t="str">
        <f aca="false">IF(AU154&gt;AT$7,
    "",
    VLOOKUP(AU154,AW$8:BC$507,5,FALSE())
)</f>
        <v/>
      </c>
      <c r="BI154" s="69" t="str">
        <f aca="false">IF(AU154&gt;AT$7,
    "",
    VLOOKUP(AU154,AW$8:BC$507,6,FALSE())
)</f>
        <v/>
      </c>
      <c r="BJ154" s="46"/>
    </row>
    <row r="155" customFormat="false" ht="15.75" hidden="false" customHeight="false" outlineLevel="0" collapsed="false">
      <c r="A155" s="3"/>
      <c r="B155" s="105"/>
      <c r="C155" s="106"/>
      <c r="D155" s="99"/>
      <c r="E155" s="110"/>
      <c r="F155" s="107"/>
      <c r="G155" s="110"/>
      <c r="H155" s="103"/>
      <c r="I155" s="102"/>
      <c r="J155" s="103"/>
      <c r="K155" s="103"/>
      <c r="L155" s="85"/>
      <c r="M155" s="85" t="str">
        <f aca="false">IF(ISBLANK($C155),"",IF(ISBLANK(E155),0,E155))</f>
        <v/>
      </c>
      <c r="N155" s="85" t="str">
        <f aca="false">IF(ISBLANK($C155),"",IF(ISBLANK(F155),0,F155))</f>
        <v/>
      </c>
      <c r="O155" s="86" t="e">
        <f aca="false">IF(AND(NOT(ISBLANK($C155)),NOT($T155),COUNTA($E155:$K155)&gt;0),ISBLANK($F155),FALSE())</f>
        <v>#VALUE!</v>
      </c>
      <c r="P155" s="85" t="str">
        <f aca="false">IF(ISBLANK($C155),"",IF(G155=Constants!$B$9, TRUE(), IF(G155=Constants!$B$10, FALSE(), TRUE())))</f>
        <v/>
      </c>
      <c r="Q155" s="85" t="str">
        <f aca="false">IF(ISBLANK($C155),"",IF(H155=Constants!$B$9, TRUE(), IF(H155=Constants!$B$10, FALSE(), TRUE())))</f>
        <v/>
      </c>
      <c r="R155" s="85" t="str">
        <f aca="false">IF(ISBLANK($C155),"",IF(ISBLANK(I155),Constants!$B$3,I155))</f>
        <v/>
      </c>
      <c r="S155" s="85" t="str">
        <f aca="false">IF(ISBLANK($C155),"",IF(ISBLANK(J155),0,MIN(J155,Constants!$B$6)))</f>
        <v/>
      </c>
      <c r="T155" s="85" t="str">
        <f aca="false">IF(ISBLANK($C155),"",IF(K155=Constants!$B$9, TRUE(), IF(K155=Constants!$B$10, FALSE(),  FALSE())))</f>
        <v/>
      </c>
      <c r="U155" s="85" t="str">
        <f aca="false">IF(ISBLANK($C155),"",AND(R155=Constants!$B$4, S155&lt;Constants!$B$6))</f>
        <v/>
      </c>
      <c r="V155" s="85" t="str">
        <f aca="false">IF(ISBLANK(C155), "", IF(T155, Constants!$B$11, IF(COUNTA(E155:K155)=0, Constants!$B$12, IF(NOT(AND(P155,S155&lt;&gt;0)), Constants!$B$13, IF(O155, Constants!$B$15, Constants!$B$14)))))</f>
        <v/>
      </c>
      <c r="W155" s="85" t="str">
        <f aca="false">IF(OR(ISBLANK($C155), SUMPRODUCT(--(P155:T155&lt;&gt;""))=0), "", IF(V155&lt;&gt;Constants!$B$14, V155, IF(AND(NOT(ISBLANK(J155)),P155,Q155,R155&lt;&gt;Constants!$B$2), Constants!$B$7, IF(AND(P155,OR(NOT(Q155),R155=Constants!$B$2)), Constants!$B$8, "Error"))))</f>
        <v/>
      </c>
      <c r="X155" s="87" t="str">
        <f aca="false">IF(OR(W155=Constants!$B$7,W155=Constants!$B$8), MAX(0, MIN(Constants!$B$6, S155))+IF(AND(R155=Constants!$B$4, NOT(U155)), Constants!$B$5, 0), "")</f>
        <v/>
      </c>
      <c r="Y155" s="85" t="str">
        <f aca="false">IF(ISBLANK($C155),"",IF(AND(ISNUMBER(X155),N155&gt;0),X155/N155, "") )</f>
        <v/>
      </c>
      <c r="Z155" s="85" t="str">
        <f aca="false">IF(AND(NOT(ISBLANK($C155)), W155=Constants!$B$7), Y155, "")</f>
        <v/>
      </c>
      <c r="AA155" s="85" t="str">
        <f aca="false">IF(ISNUMBER(Z155), RANK(Z155,Z$8:Z$507), "")</f>
        <v/>
      </c>
      <c r="AB155" s="85" t="str">
        <f aca="false">IF(AND(NOT(ISBLANK($C155)), W155=Constants!$B$8), Y155, "")</f>
        <v/>
      </c>
      <c r="AC155" s="85" t="str">
        <f aca="false">IF(ISNUMBER(AB155), RANK(AB155,AB$8:AB$507), "")</f>
        <v/>
      </c>
      <c r="AD155" s="85" t="str">
        <f aca="false">IF(ISBLANK($C155),"",IF(V155&lt;&gt;Constants!$B$14, V155, IF(W155=Constants!$B$7, AA155, IF(W155=Constants!$B$8, COUNT($AA$8:$AA$507) + AC155, ""))))</f>
        <v/>
      </c>
      <c r="AE155" s="85" t="str">
        <f aca="false">N155</f>
        <v/>
      </c>
      <c r="AF155" s="85" t="str">
        <f aca="false">IF(ISNUMBER(AE155), RANK(AE155,AE$8:AE$507,1), "")</f>
        <v/>
      </c>
      <c r="AG155" s="88" t="str">
        <f aca="false">IF(ISBLANK(C155), "", ABS(M155-S155))</f>
        <v/>
      </c>
      <c r="AH155" s="85" t="str">
        <f aca="false">IF(ISNUMBER(AG155), RANK(AG155,AG$8:AG$507,1), "")</f>
        <v/>
      </c>
      <c r="AI155" s="85" t="str">
        <f aca="false">IF(ISBLANK(C155),"",IF(V155&lt;&gt;Constants!$B$14, V155, RANK(AD155, AD$8:AD$507, 1)+ SUMPRODUCT(--(AD$8:AD$507=AD155),--(AF155&gt;AF$8:AF$507)) + SUMPRODUCT(--(AD$8:AD$507=AD155),--(AF155=AF$8:AF$507),--(AH155&gt;AH$8:AH$507))))</f>
        <v/>
      </c>
      <c r="AJ155" s="85" t="str">
        <f aca="false">IF(ISBLANK(C155),"",IF(V155&lt;&gt;Constants!$B$14, V155, AD155-AI155))</f>
        <v/>
      </c>
      <c r="AK155" s="89"/>
      <c r="AL155" s="90" t="str">
        <f aca="false">IF(ISBLANK($C155),"",IF($V155&lt;&gt;Constants!$B$14,$V155,X155))</f>
        <v/>
      </c>
      <c r="AM155" s="90" t="str">
        <f aca="false">IF(ISBLANK($C155),"",IF($V155&lt;&gt;Constants!$B$14,$V155,N155))</f>
        <v/>
      </c>
      <c r="AN155" s="91" t="str">
        <f aca="false">IF(ISBLANK(C155),"",IF(V155&lt;&gt;Constants!$B$14, V155, IF(W155=Constants!$B$7,Z155,IF(W155=Constants!$B$8,AB155,""))))</f>
        <v/>
      </c>
      <c r="AO155" s="92" t="str">
        <f aca="false">IF(ISBLANK(C155),"",W155)</f>
        <v/>
      </c>
      <c r="AP155" s="92" t="str">
        <f aca="false">IF(ISBLANK(C155),"",AJ155)</f>
        <v/>
      </c>
      <c r="AQ155" s="92" t="str">
        <f aca="false">IF(ISBLANK(C155),"",AI155)</f>
        <v/>
      </c>
      <c r="AR155" s="93" t="str">
        <f aca="false">IF(ISBLANK(C155),
  "",
IF(AQ155=Constants!$B$11,COUNTA($C$8:$C$507)+2,IF(AQ155=Constants!$B$12,COUNTA($C$8:$C$507)+1,IF(AQ155=Constants!$B$13,COUNTA($C$8:$C$507),AQ155))))</f>
        <v/>
      </c>
      <c r="AS155" s="3"/>
      <c r="AT155" s="94" t="n">
        <f aca="false">IF(OR(ISNUMBER(AQ155),AQ155="DQ",AQ155="P",AQ155="NS"),
    1,
    0
)</f>
        <v>0</v>
      </c>
      <c r="AU155" s="94" t="n">
        <v>148</v>
      </c>
      <c r="AV155" s="94" t="str">
        <f aca="false">IF(ISBLANK($C155),
    "",
   IF(ISNUMBER(AR155),AR155+ROW($B155)/1000,"")
)</f>
        <v/>
      </c>
      <c r="AW155" s="94" t="str">
        <f aca="false">IF(ISNUMBER(AV155), RANK(AV155,AV$8:AV$507,1), "")</f>
        <v/>
      </c>
      <c r="AX155" s="94" t="str">
        <f aca="false">IF(ISBLANK($C155),
    "",
    $B155
)</f>
        <v/>
      </c>
      <c r="AY155" s="94" t="str">
        <f aca="false">IF(ISBLANK($C155),
    "",
    $C155
)</f>
        <v/>
      </c>
      <c r="AZ155" s="94" t="str">
        <f aca="false">IF(ISBLANK($C155),
    "",
    $D155
)</f>
        <v/>
      </c>
      <c r="BA155" s="94" t="str">
        <f aca="false">AO155</f>
        <v/>
      </c>
      <c r="BB155" s="95" t="str">
        <f aca="false">AN155</f>
        <v/>
      </c>
      <c r="BC155" s="94" t="str">
        <f aca="false">IF(ISBLANK($C155),
    "",
    AQ155
)</f>
        <v/>
      </c>
      <c r="BD155" s="96" t="str">
        <f aca="false">IF(AU155&gt;AT$7,
    "",
    VLOOKUP(AU155,AW$8:BC$507,7,FALSE())
)</f>
        <v/>
      </c>
      <c r="BE155" s="97" t="str">
        <f aca="false">IF(AU155&gt;AT$7,
    "",
    VLOOKUP(AU155,AW$8:BC$507,2,FALSE())
)</f>
        <v/>
      </c>
      <c r="BF155" s="97" t="str">
        <f aca="false">IF(AU155&gt;AT$7,
    "",
    VLOOKUP(AU155,AW$8:BC$507,3,FALSE())
)</f>
        <v/>
      </c>
      <c r="BG155" s="97" t="str">
        <f aca="false">IF(AU155&gt;AT$7,
    "",
    VLOOKUP(AU155,AW$8:BC$507,4,FALSE())
)</f>
        <v/>
      </c>
      <c r="BH155" s="97" t="str">
        <f aca="false">IF(AU155&gt;AT$7,
    "",
    VLOOKUP(AU155,AW$8:BC$507,5,FALSE())
)</f>
        <v/>
      </c>
      <c r="BI155" s="98" t="str">
        <f aca="false">IF(AU155&gt;AT$7,
    "",
    VLOOKUP(AU155,AW$8:BC$507,6,FALSE())
)</f>
        <v/>
      </c>
      <c r="BJ155" s="46"/>
    </row>
    <row r="156" customFormat="false" ht="15.75" hidden="false" customHeight="false" outlineLevel="0" collapsed="false">
      <c r="A156" s="3"/>
      <c r="B156" s="105"/>
      <c r="C156" s="106"/>
      <c r="D156" s="99"/>
      <c r="E156" s="110"/>
      <c r="F156" s="107"/>
      <c r="G156" s="110"/>
      <c r="H156" s="103"/>
      <c r="I156" s="102"/>
      <c r="J156" s="103"/>
      <c r="K156" s="103"/>
      <c r="L156" s="85"/>
      <c r="M156" s="85" t="str">
        <f aca="false">IF(ISBLANK($C156),"",IF(ISBLANK(E156),0,E156))</f>
        <v/>
      </c>
      <c r="N156" s="85" t="str">
        <f aca="false">IF(ISBLANK($C156),"",IF(ISBLANK(F156),0,F156))</f>
        <v/>
      </c>
      <c r="O156" s="86" t="e">
        <f aca="false">IF(AND(NOT(ISBLANK($C156)),NOT($T156),COUNTA($E156:$K156)&gt;0),ISBLANK($F156),FALSE())</f>
        <v>#VALUE!</v>
      </c>
      <c r="P156" s="85" t="str">
        <f aca="false">IF(ISBLANK($C156),"",IF(G156=Constants!$B$9, TRUE(), IF(G156=Constants!$B$10, FALSE(), TRUE())))</f>
        <v/>
      </c>
      <c r="Q156" s="85" t="str">
        <f aca="false">IF(ISBLANK($C156),"",IF(H156=Constants!$B$9, TRUE(), IF(H156=Constants!$B$10, FALSE(), TRUE())))</f>
        <v/>
      </c>
      <c r="R156" s="85" t="str">
        <f aca="false">IF(ISBLANK($C156),"",IF(ISBLANK(I156),Constants!$B$3,I156))</f>
        <v/>
      </c>
      <c r="S156" s="85" t="str">
        <f aca="false">IF(ISBLANK($C156),"",IF(ISBLANK(J156),0,MIN(J156,Constants!$B$6)))</f>
        <v/>
      </c>
      <c r="T156" s="85" t="str">
        <f aca="false">IF(ISBLANK($C156),"",IF(K156=Constants!$B$9, TRUE(), IF(K156=Constants!$B$10, FALSE(),  FALSE())))</f>
        <v/>
      </c>
      <c r="U156" s="85" t="str">
        <f aca="false">IF(ISBLANK($C156),"",AND(R156=Constants!$B$4, S156&lt;Constants!$B$6))</f>
        <v/>
      </c>
      <c r="V156" s="85" t="str">
        <f aca="false">IF(ISBLANK(C156), "", IF(T156, Constants!$B$11, IF(COUNTA(E156:K156)=0, Constants!$B$12, IF(NOT(AND(P156,S156&lt;&gt;0)), Constants!$B$13, IF(O156, Constants!$B$15, Constants!$B$14)))))</f>
        <v/>
      </c>
      <c r="W156" s="85" t="str">
        <f aca="false">IF(OR(ISBLANK($C156), SUMPRODUCT(--(P156:T156&lt;&gt;""))=0), "", IF(V156&lt;&gt;Constants!$B$14, V156, IF(AND(NOT(ISBLANK(J156)),P156,Q156,R156&lt;&gt;Constants!$B$2), Constants!$B$7, IF(AND(P156,OR(NOT(Q156),R156=Constants!$B$2)), Constants!$B$8, "Error"))))</f>
        <v/>
      </c>
      <c r="X156" s="87" t="str">
        <f aca="false">IF(OR(W156=Constants!$B$7,W156=Constants!$B$8), MAX(0, MIN(Constants!$B$6, S156))+IF(AND(R156=Constants!$B$4, NOT(U156)), Constants!$B$5, 0), "")</f>
        <v/>
      </c>
      <c r="Y156" s="85" t="str">
        <f aca="false">IF(ISBLANK($C156),"",IF(AND(ISNUMBER(X156),N156&gt;0),X156/N156, "") )</f>
        <v/>
      </c>
      <c r="Z156" s="85" t="str">
        <f aca="false">IF(AND(NOT(ISBLANK($C156)), W156=Constants!$B$7), Y156, "")</f>
        <v/>
      </c>
      <c r="AA156" s="85" t="str">
        <f aca="false">IF(ISNUMBER(Z156), RANK(Z156,Z$8:Z$507), "")</f>
        <v/>
      </c>
      <c r="AB156" s="85" t="str">
        <f aca="false">IF(AND(NOT(ISBLANK($C156)), W156=Constants!$B$8), Y156, "")</f>
        <v/>
      </c>
      <c r="AC156" s="85" t="str">
        <f aca="false">IF(ISNUMBER(AB156), RANK(AB156,AB$8:AB$507), "")</f>
        <v/>
      </c>
      <c r="AD156" s="85" t="str">
        <f aca="false">IF(ISBLANK($C156),"",IF(V156&lt;&gt;Constants!$B$14, V156, IF(W156=Constants!$B$7, AA156, IF(W156=Constants!$B$8, COUNT($AA$8:$AA$507) + AC156, ""))))</f>
        <v/>
      </c>
      <c r="AE156" s="85" t="str">
        <f aca="false">N156</f>
        <v/>
      </c>
      <c r="AF156" s="85" t="str">
        <f aca="false">IF(ISNUMBER(AE156), RANK(AE156,AE$8:AE$507,1), "")</f>
        <v/>
      </c>
      <c r="AG156" s="88" t="str">
        <f aca="false">IF(ISBLANK(C156), "", ABS(M156-S156))</f>
        <v/>
      </c>
      <c r="AH156" s="85" t="str">
        <f aca="false">IF(ISNUMBER(AG156), RANK(AG156,AG$8:AG$507,1), "")</f>
        <v/>
      </c>
      <c r="AI156" s="85" t="str">
        <f aca="false">IF(ISBLANK(C156),"",IF(V156&lt;&gt;Constants!$B$14, V156, RANK(AD156, AD$8:AD$507, 1)+ SUMPRODUCT(--(AD$8:AD$507=AD156),--(AF156&gt;AF$8:AF$507)) + SUMPRODUCT(--(AD$8:AD$507=AD156),--(AF156=AF$8:AF$507),--(AH156&gt;AH$8:AH$507))))</f>
        <v/>
      </c>
      <c r="AJ156" s="85" t="str">
        <f aca="false">IF(ISBLANK(C156),"",IF(V156&lt;&gt;Constants!$B$14, V156, AD156-AI156))</f>
        <v/>
      </c>
      <c r="AK156" s="89"/>
      <c r="AL156" s="90" t="str">
        <f aca="false">IF(ISBLANK($C156),"",IF($V156&lt;&gt;Constants!$B$14,$V156,X156))</f>
        <v/>
      </c>
      <c r="AM156" s="90" t="str">
        <f aca="false">IF(ISBLANK($C156),"",IF($V156&lt;&gt;Constants!$B$14,$V156,N156))</f>
        <v/>
      </c>
      <c r="AN156" s="91" t="str">
        <f aca="false">IF(ISBLANK(C156),"",IF(V156&lt;&gt;Constants!$B$14, V156, IF(W156=Constants!$B$7,Z156,IF(W156=Constants!$B$8,AB156,""))))</f>
        <v/>
      </c>
      <c r="AO156" s="92" t="str">
        <f aca="false">IF(ISBLANK(C156),"",W156)</f>
        <v/>
      </c>
      <c r="AP156" s="92" t="str">
        <f aca="false">IF(ISBLANK(C156),"",AJ156)</f>
        <v/>
      </c>
      <c r="AQ156" s="92" t="str">
        <f aca="false">IF(ISBLANK(C156),"",AI156)</f>
        <v/>
      </c>
      <c r="AR156" s="93" t="str">
        <f aca="false">IF(ISBLANK(C156),
  "",
IF(AQ156=Constants!$B$11,COUNTA($C$8:$C$507)+2,IF(AQ156=Constants!$B$12,COUNTA($C$8:$C$507)+1,IF(AQ156=Constants!$B$13,COUNTA($C$8:$C$507),AQ156))))</f>
        <v/>
      </c>
      <c r="AS156" s="3"/>
      <c r="AT156" s="94" t="n">
        <f aca="false">IF(OR(ISNUMBER(AQ156),AQ156="DQ",AQ156="P",AQ156="NS"),
    1,
    0
)</f>
        <v>0</v>
      </c>
      <c r="AU156" s="94" t="n">
        <v>149</v>
      </c>
      <c r="AV156" s="94" t="str">
        <f aca="false">IF(ISBLANK($C156),
    "",
   IF(ISNUMBER(AR156),AR156+ROW($B156)/1000,"")
)</f>
        <v/>
      </c>
      <c r="AW156" s="94" t="str">
        <f aca="false">IF(ISNUMBER(AV156), RANK(AV156,AV$8:AV$507,1), "")</f>
        <v/>
      </c>
      <c r="AX156" s="94" t="str">
        <f aca="false">IF(ISBLANK($C156),
    "",
    $B156
)</f>
        <v/>
      </c>
      <c r="AY156" s="94" t="str">
        <f aca="false">IF(ISBLANK($C156),
    "",
    $C156
)</f>
        <v/>
      </c>
      <c r="AZ156" s="94" t="str">
        <f aca="false">IF(ISBLANK($C156),
    "",
    $D156
)</f>
        <v/>
      </c>
      <c r="BA156" s="94" t="str">
        <f aca="false">AO156</f>
        <v/>
      </c>
      <c r="BB156" s="95" t="str">
        <f aca="false">AN156</f>
        <v/>
      </c>
      <c r="BC156" s="94" t="str">
        <f aca="false">IF(ISBLANK($C156),
    "",
    AQ156
)</f>
        <v/>
      </c>
      <c r="BD156" s="96" t="str">
        <f aca="false">IF(AU156&gt;AT$7,
    "",
    VLOOKUP(AU156,AW$8:BC$507,7,FALSE())
)</f>
        <v/>
      </c>
      <c r="BE156" s="97" t="str">
        <f aca="false">IF(AU156&gt;AT$7,
    "",
    VLOOKUP(AU156,AW$8:BC$507,2,FALSE())
)</f>
        <v/>
      </c>
      <c r="BF156" s="97" t="str">
        <f aca="false">IF(AU156&gt;AT$7,
    "",
    VLOOKUP(AU156,AW$8:BC$507,3,FALSE())
)</f>
        <v/>
      </c>
      <c r="BG156" s="97" t="str">
        <f aca="false">IF(AU156&gt;AT$7,
    "",
    VLOOKUP(AU156,AW$8:BC$507,4,FALSE())
)</f>
        <v/>
      </c>
      <c r="BH156" s="97" t="str">
        <f aca="false">IF(AU156&gt;AT$7,
    "",
    VLOOKUP(AU156,AW$8:BC$507,5,FALSE())
)</f>
        <v/>
      </c>
      <c r="BI156" s="98" t="str">
        <f aca="false">IF(AU156&gt;AT$7,
    "",
    VLOOKUP(AU156,AW$8:BC$507,6,FALSE())
)</f>
        <v/>
      </c>
      <c r="BJ156" s="46"/>
    </row>
    <row r="157" customFormat="false" ht="15.75" hidden="false" customHeight="false" outlineLevel="0" collapsed="false">
      <c r="A157" s="3"/>
      <c r="B157" s="105"/>
      <c r="C157" s="106"/>
      <c r="D157" s="99"/>
      <c r="E157" s="110"/>
      <c r="F157" s="107"/>
      <c r="G157" s="110"/>
      <c r="H157" s="103"/>
      <c r="I157" s="102"/>
      <c r="J157" s="103"/>
      <c r="K157" s="103"/>
      <c r="L157" s="85"/>
      <c r="M157" s="85" t="str">
        <f aca="false">IF(ISBLANK($C157),"",IF(ISBLANK(E157),0,E157))</f>
        <v/>
      </c>
      <c r="N157" s="85" t="str">
        <f aca="false">IF(ISBLANK($C157),"",IF(ISBLANK(F157),0,F157))</f>
        <v/>
      </c>
      <c r="O157" s="86" t="e">
        <f aca="false">IF(AND(NOT(ISBLANK($C157)),NOT($T157),COUNTA($E157:$K157)&gt;0),ISBLANK($F157),FALSE())</f>
        <v>#VALUE!</v>
      </c>
      <c r="P157" s="85" t="str">
        <f aca="false">IF(ISBLANK($C157),"",IF(G157=Constants!$B$9, TRUE(), IF(G157=Constants!$B$10, FALSE(), TRUE())))</f>
        <v/>
      </c>
      <c r="Q157" s="85" t="str">
        <f aca="false">IF(ISBLANK($C157),"",IF(H157=Constants!$B$9, TRUE(), IF(H157=Constants!$B$10, FALSE(), TRUE())))</f>
        <v/>
      </c>
      <c r="R157" s="85" t="str">
        <f aca="false">IF(ISBLANK($C157),"",IF(ISBLANK(I157),Constants!$B$3,I157))</f>
        <v/>
      </c>
      <c r="S157" s="85" t="str">
        <f aca="false">IF(ISBLANK($C157),"",IF(ISBLANK(J157),0,MIN(J157,Constants!$B$6)))</f>
        <v/>
      </c>
      <c r="T157" s="85" t="str">
        <f aca="false">IF(ISBLANK($C157),"",IF(K157=Constants!$B$9, TRUE(), IF(K157=Constants!$B$10, FALSE(),  FALSE())))</f>
        <v/>
      </c>
      <c r="U157" s="85" t="str">
        <f aca="false">IF(ISBLANK($C157),"",AND(R157=Constants!$B$4, S157&lt;Constants!$B$6))</f>
        <v/>
      </c>
      <c r="V157" s="85" t="str">
        <f aca="false">IF(ISBLANK(C157), "", IF(T157, Constants!$B$11, IF(COUNTA(E157:K157)=0, Constants!$B$12, IF(NOT(AND(P157,S157&lt;&gt;0)), Constants!$B$13, IF(O157, Constants!$B$15, Constants!$B$14)))))</f>
        <v/>
      </c>
      <c r="W157" s="85" t="str">
        <f aca="false">IF(OR(ISBLANK($C157), SUMPRODUCT(--(P157:T157&lt;&gt;""))=0), "", IF(V157&lt;&gt;Constants!$B$14, V157, IF(AND(NOT(ISBLANK(J157)),P157,Q157,R157&lt;&gt;Constants!$B$2), Constants!$B$7, IF(AND(P157,OR(NOT(Q157),R157=Constants!$B$2)), Constants!$B$8, "Error"))))</f>
        <v/>
      </c>
      <c r="X157" s="87" t="str">
        <f aca="false">IF(OR(W157=Constants!$B$7,W157=Constants!$B$8), MAX(0, MIN(Constants!$B$6, S157))+IF(AND(R157=Constants!$B$4, NOT(U157)), Constants!$B$5, 0), "")</f>
        <v/>
      </c>
      <c r="Y157" s="85" t="str">
        <f aca="false">IF(ISBLANK($C157),"",IF(AND(ISNUMBER(X157),N157&gt;0),X157/N157, "") )</f>
        <v/>
      </c>
      <c r="Z157" s="85" t="str">
        <f aca="false">IF(AND(NOT(ISBLANK($C157)), W157=Constants!$B$7), Y157, "")</f>
        <v/>
      </c>
      <c r="AA157" s="85" t="str">
        <f aca="false">IF(ISNUMBER(Z157), RANK(Z157,Z$8:Z$507), "")</f>
        <v/>
      </c>
      <c r="AB157" s="85" t="str">
        <f aca="false">IF(AND(NOT(ISBLANK($C157)), W157=Constants!$B$8), Y157, "")</f>
        <v/>
      </c>
      <c r="AC157" s="85" t="str">
        <f aca="false">IF(ISNUMBER(AB157), RANK(AB157,AB$8:AB$507), "")</f>
        <v/>
      </c>
      <c r="AD157" s="85" t="str">
        <f aca="false">IF(ISBLANK($C157),"",IF(V157&lt;&gt;Constants!$B$14, V157, IF(W157=Constants!$B$7, AA157, IF(W157=Constants!$B$8, COUNT($AA$8:$AA$507) + AC157, ""))))</f>
        <v/>
      </c>
      <c r="AE157" s="85" t="str">
        <f aca="false">N157</f>
        <v/>
      </c>
      <c r="AF157" s="85" t="str">
        <f aca="false">IF(ISNUMBER(AE157), RANK(AE157,AE$8:AE$507,1), "")</f>
        <v/>
      </c>
      <c r="AG157" s="88" t="str">
        <f aca="false">IF(ISBLANK(C157), "", ABS(M157-S157))</f>
        <v/>
      </c>
      <c r="AH157" s="85" t="str">
        <f aca="false">IF(ISNUMBER(AG157), RANK(AG157,AG$8:AG$507,1), "")</f>
        <v/>
      </c>
      <c r="AI157" s="85" t="str">
        <f aca="false">IF(ISBLANK(C157),"",IF(V157&lt;&gt;Constants!$B$14, V157, RANK(AD157, AD$8:AD$507, 1)+ SUMPRODUCT(--(AD$8:AD$507=AD157),--(AF157&gt;AF$8:AF$507)) + SUMPRODUCT(--(AD$8:AD$507=AD157),--(AF157=AF$8:AF$507),--(AH157&gt;AH$8:AH$507))))</f>
        <v/>
      </c>
      <c r="AJ157" s="85" t="str">
        <f aca="false">IF(ISBLANK(C157),"",IF(V157&lt;&gt;Constants!$B$14, V157, AD157-AI157))</f>
        <v/>
      </c>
      <c r="AK157" s="89"/>
      <c r="AL157" s="90" t="str">
        <f aca="false">IF(ISBLANK($C157),"",IF($V157&lt;&gt;Constants!$B$14,$V157,X157))</f>
        <v/>
      </c>
      <c r="AM157" s="90" t="str">
        <f aca="false">IF(ISBLANK($C157),"",IF($V157&lt;&gt;Constants!$B$14,$V157,N157))</f>
        <v/>
      </c>
      <c r="AN157" s="91" t="str">
        <f aca="false">IF(ISBLANK(C157),"",IF(V157&lt;&gt;Constants!$B$14, V157, IF(W157=Constants!$B$7,Z157,IF(W157=Constants!$B$8,AB157,""))))</f>
        <v/>
      </c>
      <c r="AO157" s="92" t="str">
        <f aca="false">IF(ISBLANK(C157),"",W157)</f>
        <v/>
      </c>
      <c r="AP157" s="92" t="str">
        <f aca="false">IF(ISBLANK(C157),"",AJ157)</f>
        <v/>
      </c>
      <c r="AQ157" s="92" t="str">
        <f aca="false">IF(ISBLANK(C157),"",AI157)</f>
        <v/>
      </c>
      <c r="AR157" s="93" t="str">
        <f aca="false">IF(ISBLANK(C157),
  "",
IF(AQ157=Constants!$B$11,COUNTA($C$8:$C$507)+2,IF(AQ157=Constants!$B$12,COUNTA($C$8:$C$507)+1,IF(AQ157=Constants!$B$13,COUNTA($C$8:$C$507),AQ157))))</f>
        <v/>
      </c>
      <c r="AS157" s="3"/>
      <c r="AT157" s="94" t="n">
        <f aca="false">IF(OR(ISNUMBER(AQ157),AQ157="DQ",AQ157="P",AQ157="NS"),
    1,
    0
)</f>
        <v>0</v>
      </c>
      <c r="AU157" s="94" t="n">
        <v>150</v>
      </c>
      <c r="AV157" s="94" t="str">
        <f aca="false">IF(ISBLANK($C157),
    "",
   IF(ISNUMBER(AR157),AR157+ROW($B157)/1000,"")
)</f>
        <v/>
      </c>
      <c r="AW157" s="94" t="str">
        <f aca="false">IF(ISNUMBER(AV157), RANK(AV157,AV$8:AV$507,1), "")</f>
        <v/>
      </c>
      <c r="AX157" s="94" t="str">
        <f aca="false">IF(ISBLANK($C157),
    "",
    $B157
)</f>
        <v/>
      </c>
      <c r="AY157" s="94" t="str">
        <f aca="false">IF(ISBLANK($C157),
    "",
    $C157
)</f>
        <v/>
      </c>
      <c r="AZ157" s="94" t="str">
        <f aca="false">IF(ISBLANK($C157),
    "",
    $D157
)</f>
        <v/>
      </c>
      <c r="BA157" s="94" t="str">
        <f aca="false">AO157</f>
        <v/>
      </c>
      <c r="BB157" s="95" t="str">
        <f aca="false">AN157</f>
        <v/>
      </c>
      <c r="BC157" s="94" t="str">
        <f aca="false">IF(ISBLANK($C157),
    "",
    AQ157
)</f>
        <v/>
      </c>
      <c r="BD157" s="96" t="str">
        <f aca="false">IF(AU157&gt;AT$7,
    "",
    VLOOKUP(AU157,AW$8:BC$507,7,FALSE())
)</f>
        <v/>
      </c>
      <c r="BE157" s="97" t="str">
        <f aca="false">IF(AU157&gt;AT$7,
    "",
    VLOOKUP(AU157,AW$8:BC$507,2,FALSE())
)</f>
        <v/>
      </c>
      <c r="BF157" s="97" t="str">
        <f aca="false">IF(AU157&gt;AT$7,
    "",
    VLOOKUP(AU157,AW$8:BC$507,3,FALSE())
)</f>
        <v/>
      </c>
      <c r="BG157" s="97" t="str">
        <f aca="false">IF(AU157&gt;AT$7,
    "",
    VLOOKUP(AU157,AW$8:BC$507,4,FALSE())
)</f>
        <v/>
      </c>
      <c r="BH157" s="97" t="str">
        <f aca="false">IF(AU157&gt;AT$7,
    "",
    VLOOKUP(AU157,AW$8:BC$507,5,FALSE())
)</f>
        <v/>
      </c>
      <c r="BI157" s="98" t="str">
        <f aca="false">IF(AU157&gt;AT$7,
    "",
    VLOOKUP(AU157,AW$8:BC$507,6,FALSE())
)</f>
        <v/>
      </c>
      <c r="BJ157" s="46"/>
    </row>
    <row r="158" customFormat="false" ht="15.75" hidden="false" customHeight="false" outlineLevel="0" collapsed="false">
      <c r="A158" s="3"/>
      <c r="B158" s="108"/>
      <c r="C158" s="70"/>
      <c r="D158" s="49"/>
      <c r="E158" s="109"/>
      <c r="F158" s="72"/>
      <c r="G158" s="109"/>
      <c r="H158" s="74"/>
      <c r="I158" s="104"/>
      <c r="J158" s="74"/>
      <c r="K158" s="74"/>
      <c r="L158" s="55"/>
      <c r="M158" s="55" t="str">
        <f aca="false">IF(ISBLANK($C158),"",IF(ISBLANK(E158),0,E158))</f>
        <v/>
      </c>
      <c r="N158" s="55" t="str">
        <f aca="false">IF(ISBLANK($C158),"",IF(ISBLANK(F158),0,F158))</f>
        <v/>
      </c>
      <c r="O158" s="55" t="e">
        <f aca="false">IF(AND(NOT(ISBLANK($C158)),NOT($T158),COUNTA($E158:$K158)&gt;0),ISBLANK($F158),FALSE())</f>
        <v>#VALUE!</v>
      </c>
      <c r="P158" s="55" t="str">
        <f aca="false">IF(ISBLANK($C158),"",IF(G158=Constants!$B$9, TRUE(), IF(G158=Constants!$B$10, FALSE(), TRUE())))</f>
        <v/>
      </c>
      <c r="Q158" s="55" t="str">
        <f aca="false">IF(ISBLANK($C158),"",IF(H158=Constants!$B$9, TRUE(), IF(H158=Constants!$B$10, FALSE(), TRUE())))</f>
        <v/>
      </c>
      <c r="R158" s="55" t="str">
        <f aca="false">IF(ISBLANK($C158),"",IF(ISBLANK(I158),Constants!$B$3,I158))</f>
        <v/>
      </c>
      <c r="S158" s="55" t="str">
        <f aca="false">IF(ISBLANK($C158),"",IF(ISBLANK(J158),0,MIN(J158,Constants!$B$6)))</f>
        <v/>
      </c>
      <c r="T158" s="55" t="str">
        <f aca="false">IF(ISBLANK($C158),"",IF(K158=Constants!$B$9, TRUE(), IF(K158=Constants!$B$10, FALSE(),  FALSE())))</f>
        <v/>
      </c>
      <c r="U158" s="55" t="str">
        <f aca="false">IF(ISBLANK($C158),"",AND(R158=Constants!$B$4, S158&lt;Constants!$B$6))</f>
        <v/>
      </c>
      <c r="V158" s="55" t="str">
        <f aca="false">IF(ISBLANK(C158), "", IF(T158, Constants!$B$11, IF(COUNTA(E158:K158)=0, Constants!$B$12, IF(NOT(AND(P158,S158&lt;&gt;0)), Constants!$B$13, IF(O158, Constants!$B$15, Constants!$B$14)))))</f>
        <v/>
      </c>
      <c r="W158" s="55" t="str">
        <f aca="false">IF(OR(ISBLANK($C158), SUMPRODUCT(--(P158:T158&lt;&gt;""))=0), "", IF(V158&lt;&gt;Constants!$B$14, V158, IF(AND(NOT(ISBLANK(J158)),P158,Q158,R158&lt;&gt;Constants!$B$2), Constants!$B$7, IF(AND(P158,OR(NOT(Q158),R158=Constants!$B$2)), Constants!$B$8, "Error"))))</f>
        <v/>
      </c>
      <c r="X158" s="56" t="str">
        <f aca="false">IF(OR(W158=Constants!$B$7,W158=Constants!$B$8), MAX(0, MIN(Constants!$B$6, S158))+IF(AND(R158=Constants!$B$4, NOT(U158)), Constants!$B$5, 0), "")</f>
        <v/>
      </c>
      <c r="Y158" s="55" t="str">
        <f aca="false">IF(ISBLANK($C158),"",IF(AND(ISNUMBER(X158),N158&gt;0),X158/N158, "") )</f>
        <v/>
      </c>
      <c r="Z158" s="55" t="str">
        <f aca="false">IF(AND(NOT(ISBLANK($C158)), W158=Constants!$B$7), Y158, "")</f>
        <v/>
      </c>
      <c r="AA158" s="55" t="str">
        <f aca="false">IF(ISNUMBER(Z158), RANK(Z158,Z$8:Z$507), "")</f>
        <v/>
      </c>
      <c r="AB158" s="55" t="str">
        <f aca="false">IF(AND(NOT(ISBLANK($C158)), W158=Constants!$B$8), Y158, "")</f>
        <v/>
      </c>
      <c r="AC158" s="55" t="str">
        <f aca="false">IF(ISNUMBER(AB158), RANK(AB158,AB$8:AB$507), "")</f>
        <v/>
      </c>
      <c r="AD158" s="55" t="str">
        <f aca="false">IF(ISBLANK($C158),"",IF(V158&lt;&gt;Constants!$B$14, V158, IF(W158=Constants!$B$7, AA158, IF(W158=Constants!$B$8, COUNT($AA$8:$AA$507) + AC158, ""))))</f>
        <v/>
      </c>
      <c r="AE158" s="55" t="str">
        <f aca="false">N158</f>
        <v/>
      </c>
      <c r="AF158" s="55" t="str">
        <f aca="false">IF(ISNUMBER(AE158), RANK(AE158,AE$8:AE$507,1), "")</f>
        <v/>
      </c>
      <c r="AG158" s="57" t="str">
        <f aca="false">IF(ISBLANK(C158), "", ABS(M158-S158))</f>
        <v/>
      </c>
      <c r="AH158" s="55" t="str">
        <f aca="false">IF(ISNUMBER(AG158), RANK(AG158,AG$8:AG$507,1), "")</f>
        <v/>
      </c>
      <c r="AI158" s="55" t="str">
        <f aca="false">IF(ISBLANK(C158),"",IF(V158&lt;&gt;Constants!$B$14, V158, RANK(AD158, AD$8:AD$507, 1)+ SUMPRODUCT(--(AD$8:AD$507=AD158),--(AF158&gt;AF$8:AF$507)) + SUMPRODUCT(--(AD$8:AD$507=AD158),--(AF158=AF$8:AF$507),--(AH158&gt;AH$8:AH$507))))</f>
        <v/>
      </c>
      <c r="AJ158" s="55" t="str">
        <f aca="false">IF(ISBLANK(C158),"",IF(V158&lt;&gt;Constants!$B$14, V158, AD158-AI158))</f>
        <v/>
      </c>
      <c r="AK158" s="59"/>
      <c r="AL158" s="60" t="str">
        <f aca="false">IF(ISBLANK($C158),"",IF($V158&lt;&gt;Constants!$B$14,$V158,X158))</f>
        <v/>
      </c>
      <c r="AM158" s="60" t="str">
        <f aca="false">IF(ISBLANK($C158),"",IF($V158&lt;&gt;Constants!$B$14,$V158,N158))</f>
        <v/>
      </c>
      <c r="AN158" s="62" t="str">
        <f aca="false">IF(ISBLANK(C158),"",IF(V158&lt;&gt;Constants!$B$14, V158, IF(W158=Constants!$B$7,Z158,IF(W158=Constants!$B$8,AB158,""))))</f>
        <v/>
      </c>
      <c r="AO158" s="63" t="str">
        <f aca="false">IF(ISBLANK(C158),"",W158)</f>
        <v/>
      </c>
      <c r="AP158" s="63" t="str">
        <f aca="false">IF(ISBLANK(C158),"",AJ158)</f>
        <v/>
      </c>
      <c r="AQ158" s="63" t="str">
        <f aca="false">IF(ISBLANK(C158),"",AI158)</f>
        <v/>
      </c>
      <c r="AR158" s="64" t="str">
        <f aca="false">IF(ISBLANK(C158),
  "",
IF(AQ158=Constants!$B$11,COUNTA($C$8:$C$507)+2,IF(AQ158=Constants!$B$12,COUNTA($C$8:$C$507)+1,IF(AQ158=Constants!$B$13,COUNTA($C$8:$C$507),AQ158))))</f>
        <v/>
      </c>
      <c r="AS158" s="3"/>
      <c r="AT158" s="65" t="n">
        <f aca="false">IF(OR(ISNUMBER(AQ158),AQ158="DQ",AQ158="P",AQ158="NS"),
    1,
    0
)</f>
        <v>0</v>
      </c>
      <c r="AU158" s="65" t="n">
        <v>151</v>
      </c>
      <c r="AV158" s="65" t="str">
        <f aca="false">IF(ISBLANK($C158),
    "",
   IF(ISNUMBER(AR158),AR158+ROW($B158)/1000,"")
)</f>
        <v/>
      </c>
      <c r="AW158" s="65" t="str">
        <f aca="false">IF(ISNUMBER(AV158), RANK(AV158,AV$8:AV$507,1), "")</f>
        <v/>
      </c>
      <c r="AX158" s="65" t="str">
        <f aca="false">IF(ISBLANK($C158),
    "",
    $B158
)</f>
        <v/>
      </c>
      <c r="AY158" s="65" t="str">
        <f aca="false">IF(ISBLANK($C158),
    "",
    $C158
)</f>
        <v/>
      </c>
      <c r="AZ158" s="65" t="str">
        <f aca="false">IF(ISBLANK($C158),
    "",
    $D158
)</f>
        <v/>
      </c>
      <c r="BA158" s="65" t="str">
        <f aca="false">AO158</f>
        <v/>
      </c>
      <c r="BB158" s="66" t="str">
        <f aca="false">AN158</f>
        <v/>
      </c>
      <c r="BC158" s="65" t="str">
        <f aca="false">IF(ISBLANK($C158),
    "",
    AQ158
)</f>
        <v/>
      </c>
      <c r="BD158" s="67" t="str">
        <f aca="false">IF(AU158&gt;AT$7,
    "",
    VLOOKUP(AU158,AW$8:BC$507,7,FALSE())
)</f>
        <v/>
      </c>
      <c r="BE158" s="68" t="str">
        <f aca="false">IF(AU158&gt;AT$7,
    "",
    VLOOKUP(AU158,AW$8:BC$507,2,FALSE())
)</f>
        <v/>
      </c>
      <c r="BF158" s="68" t="str">
        <f aca="false">IF(AU158&gt;AT$7,
    "",
    VLOOKUP(AU158,AW$8:BC$507,3,FALSE())
)</f>
        <v/>
      </c>
      <c r="BG158" s="68" t="str">
        <f aca="false">IF(AU158&gt;AT$7,
    "",
    VLOOKUP(AU158,AW$8:BC$507,4,FALSE())
)</f>
        <v/>
      </c>
      <c r="BH158" s="68" t="str">
        <f aca="false">IF(AU158&gt;AT$7,
    "",
    VLOOKUP(AU158,AW$8:BC$507,5,FALSE())
)</f>
        <v/>
      </c>
      <c r="BI158" s="69" t="str">
        <f aca="false">IF(AU158&gt;AT$7,
    "",
    VLOOKUP(AU158,AW$8:BC$507,6,FALSE())
)</f>
        <v/>
      </c>
      <c r="BJ158" s="46"/>
    </row>
    <row r="159" customFormat="false" ht="15.75" hidden="false" customHeight="false" outlineLevel="0" collapsed="false">
      <c r="A159" s="3"/>
      <c r="B159" s="108"/>
      <c r="C159" s="70"/>
      <c r="D159" s="49"/>
      <c r="E159" s="109"/>
      <c r="F159" s="72"/>
      <c r="G159" s="109"/>
      <c r="H159" s="74"/>
      <c r="I159" s="104"/>
      <c r="J159" s="74"/>
      <c r="K159" s="74"/>
      <c r="L159" s="55"/>
      <c r="M159" s="55" t="str">
        <f aca="false">IF(ISBLANK($C159),"",IF(ISBLANK(E159),0,E159))</f>
        <v/>
      </c>
      <c r="N159" s="55" t="str">
        <f aca="false">IF(ISBLANK($C159),"",IF(ISBLANK(F159),0,F159))</f>
        <v/>
      </c>
      <c r="O159" s="55" t="e">
        <f aca="false">IF(AND(NOT(ISBLANK($C159)),NOT($T159),COUNTA($E159:$K159)&gt;0),ISBLANK($F159),FALSE())</f>
        <v>#VALUE!</v>
      </c>
      <c r="P159" s="55" t="str">
        <f aca="false">IF(ISBLANK($C159),"",IF(G159=Constants!$B$9, TRUE(), IF(G159=Constants!$B$10, FALSE(), TRUE())))</f>
        <v/>
      </c>
      <c r="Q159" s="55" t="str">
        <f aca="false">IF(ISBLANK($C159),"",IF(H159=Constants!$B$9, TRUE(), IF(H159=Constants!$B$10, FALSE(), TRUE())))</f>
        <v/>
      </c>
      <c r="R159" s="55" t="str">
        <f aca="false">IF(ISBLANK($C159),"",IF(ISBLANK(I159),Constants!$B$3,I159))</f>
        <v/>
      </c>
      <c r="S159" s="55" t="str">
        <f aca="false">IF(ISBLANK($C159),"",IF(ISBLANK(J159),0,MIN(J159,Constants!$B$6)))</f>
        <v/>
      </c>
      <c r="T159" s="55" t="str">
        <f aca="false">IF(ISBLANK($C159),"",IF(K159=Constants!$B$9, TRUE(), IF(K159=Constants!$B$10, FALSE(),  FALSE())))</f>
        <v/>
      </c>
      <c r="U159" s="55" t="str">
        <f aca="false">IF(ISBLANK($C159),"",AND(R159=Constants!$B$4, S159&lt;Constants!$B$6))</f>
        <v/>
      </c>
      <c r="V159" s="55" t="str">
        <f aca="false">IF(ISBLANK(C159), "", IF(T159, Constants!$B$11, IF(COUNTA(E159:K159)=0, Constants!$B$12, IF(NOT(AND(P159,S159&lt;&gt;0)), Constants!$B$13, IF(O159, Constants!$B$15, Constants!$B$14)))))</f>
        <v/>
      </c>
      <c r="W159" s="55" t="str">
        <f aca="false">IF(OR(ISBLANK($C159), SUMPRODUCT(--(P159:T159&lt;&gt;""))=0), "", IF(V159&lt;&gt;Constants!$B$14, V159, IF(AND(NOT(ISBLANK(J159)),P159,Q159,R159&lt;&gt;Constants!$B$2), Constants!$B$7, IF(AND(P159,OR(NOT(Q159),R159=Constants!$B$2)), Constants!$B$8, "Error"))))</f>
        <v/>
      </c>
      <c r="X159" s="56" t="str">
        <f aca="false">IF(OR(W159=Constants!$B$7,W159=Constants!$B$8), MAX(0, MIN(Constants!$B$6, S159))+IF(AND(R159=Constants!$B$4, NOT(U159)), Constants!$B$5, 0), "")</f>
        <v/>
      </c>
      <c r="Y159" s="55" t="str">
        <f aca="false">IF(ISBLANK($C159),"",IF(AND(ISNUMBER(X159),N159&gt;0),X159/N159, "") )</f>
        <v/>
      </c>
      <c r="Z159" s="55" t="str">
        <f aca="false">IF(AND(NOT(ISBLANK($C159)), W159=Constants!$B$7), Y159, "")</f>
        <v/>
      </c>
      <c r="AA159" s="55" t="str">
        <f aca="false">IF(ISNUMBER(Z159), RANK(Z159,Z$8:Z$507), "")</f>
        <v/>
      </c>
      <c r="AB159" s="55" t="str">
        <f aca="false">IF(AND(NOT(ISBLANK($C159)), W159=Constants!$B$8), Y159, "")</f>
        <v/>
      </c>
      <c r="AC159" s="55" t="str">
        <f aca="false">IF(ISNUMBER(AB159), RANK(AB159,AB$8:AB$507), "")</f>
        <v/>
      </c>
      <c r="AD159" s="55" t="str">
        <f aca="false">IF(ISBLANK($C159),"",IF(V159&lt;&gt;Constants!$B$14, V159, IF(W159=Constants!$B$7, AA159, IF(W159=Constants!$B$8, COUNT($AA$8:$AA$507) + AC159, ""))))</f>
        <v/>
      </c>
      <c r="AE159" s="55" t="str">
        <f aca="false">N159</f>
        <v/>
      </c>
      <c r="AF159" s="55" t="str">
        <f aca="false">IF(ISNUMBER(AE159), RANK(AE159,AE$8:AE$507,1), "")</f>
        <v/>
      </c>
      <c r="AG159" s="57" t="str">
        <f aca="false">IF(ISBLANK(C159), "", ABS(M159-S159))</f>
        <v/>
      </c>
      <c r="AH159" s="55" t="str">
        <f aca="false">IF(ISNUMBER(AG159), RANK(AG159,AG$8:AG$507,1), "")</f>
        <v/>
      </c>
      <c r="AI159" s="55" t="str">
        <f aca="false">IF(ISBLANK(C159),"",IF(V159&lt;&gt;Constants!$B$14, V159, RANK(AD159, AD$8:AD$507, 1)+ SUMPRODUCT(--(AD$8:AD$507=AD159),--(AF159&gt;AF$8:AF$507)) + SUMPRODUCT(--(AD$8:AD$507=AD159),--(AF159=AF$8:AF$507),--(AH159&gt;AH$8:AH$507))))</f>
        <v/>
      </c>
      <c r="AJ159" s="55" t="str">
        <f aca="false">IF(ISBLANK(C159),"",IF(V159&lt;&gt;Constants!$B$14, V159, AD159-AI159))</f>
        <v/>
      </c>
      <c r="AK159" s="59"/>
      <c r="AL159" s="60" t="str">
        <f aca="false">IF(ISBLANK($C159),"",IF($V159&lt;&gt;Constants!$B$14,$V159,X159))</f>
        <v/>
      </c>
      <c r="AM159" s="60" t="str">
        <f aca="false">IF(ISBLANK($C159),"",IF($V159&lt;&gt;Constants!$B$14,$V159,N159))</f>
        <v/>
      </c>
      <c r="AN159" s="62" t="str">
        <f aca="false">IF(ISBLANK(C159),"",IF(V159&lt;&gt;Constants!$B$14, V159, IF(W159=Constants!$B$7,Z159,IF(W159=Constants!$B$8,AB159,""))))</f>
        <v/>
      </c>
      <c r="AO159" s="63" t="str">
        <f aca="false">IF(ISBLANK(C159),"",W159)</f>
        <v/>
      </c>
      <c r="AP159" s="63" t="str">
        <f aca="false">IF(ISBLANK(C159),"",AJ159)</f>
        <v/>
      </c>
      <c r="AQ159" s="63" t="str">
        <f aca="false">IF(ISBLANK(C159),"",AI159)</f>
        <v/>
      </c>
      <c r="AR159" s="64" t="str">
        <f aca="false">IF(ISBLANK(C159),
  "",
IF(AQ159=Constants!$B$11,COUNTA($C$8:$C$507)+2,IF(AQ159=Constants!$B$12,COUNTA($C$8:$C$507)+1,IF(AQ159=Constants!$B$13,COUNTA($C$8:$C$507),AQ159))))</f>
        <v/>
      </c>
      <c r="AS159" s="3"/>
      <c r="AT159" s="65" t="n">
        <f aca="false">IF(OR(ISNUMBER(AQ159),AQ159="DQ",AQ159="P",AQ159="NS"),
    1,
    0
)</f>
        <v>0</v>
      </c>
      <c r="AU159" s="65" t="n">
        <v>152</v>
      </c>
      <c r="AV159" s="65" t="str">
        <f aca="false">IF(ISBLANK($C159),
    "",
   IF(ISNUMBER(AR159),AR159+ROW($B159)/1000,"")
)</f>
        <v/>
      </c>
      <c r="AW159" s="65" t="str">
        <f aca="false">IF(ISNUMBER(AV159), RANK(AV159,AV$8:AV$507,1), "")</f>
        <v/>
      </c>
      <c r="AX159" s="65" t="str">
        <f aca="false">IF(ISBLANK($C159),
    "",
    $B159
)</f>
        <v/>
      </c>
      <c r="AY159" s="65" t="str">
        <f aca="false">IF(ISBLANK($C159),
    "",
    $C159
)</f>
        <v/>
      </c>
      <c r="AZ159" s="65" t="str">
        <f aca="false">IF(ISBLANK($C159),
    "",
    $D159
)</f>
        <v/>
      </c>
      <c r="BA159" s="65" t="str">
        <f aca="false">AO159</f>
        <v/>
      </c>
      <c r="BB159" s="66" t="str">
        <f aca="false">AN159</f>
        <v/>
      </c>
      <c r="BC159" s="65" t="str">
        <f aca="false">IF(ISBLANK($C159),
    "",
    AQ159
)</f>
        <v/>
      </c>
      <c r="BD159" s="67" t="str">
        <f aca="false">IF(AU159&gt;AT$7,
    "",
    VLOOKUP(AU159,AW$8:BC$507,7,FALSE())
)</f>
        <v/>
      </c>
      <c r="BE159" s="68" t="str">
        <f aca="false">IF(AU159&gt;AT$7,
    "",
    VLOOKUP(AU159,AW$8:BC$507,2,FALSE())
)</f>
        <v/>
      </c>
      <c r="BF159" s="68" t="str">
        <f aca="false">IF(AU159&gt;AT$7,
    "",
    VLOOKUP(AU159,AW$8:BC$507,3,FALSE())
)</f>
        <v/>
      </c>
      <c r="BG159" s="68" t="str">
        <f aca="false">IF(AU159&gt;AT$7,
    "",
    VLOOKUP(AU159,AW$8:BC$507,4,FALSE())
)</f>
        <v/>
      </c>
      <c r="BH159" s="68" t="str">
        <f aca="false">IF(AU159&gt;AT$7,
    "",
    VLOOKUP(AU159,AW$8:BC$507,5,FALSE())
)</f>
        <v/>
      </c>
      <c r="BI159" s="69" t="str">
        <f aca="false">IF(AU159&gt;AT$7,
    "",
    VLOOKUP(AU159,AW$8:BC$507,6,FALSE())
)</f>
        <v/>
      </c>
      <c r="BJ159" s="46"/>
    </row>
    <row r="160" customFormat="false" ht="15.75" hidden="false" customHeight="false" outlineLevel="0" collapsed="false">
      <c r="A160" s="3"/>
      <c r="B160" s="108"/>
      <c r="C160" s="70"/>
      <c r="D160" s="49"/>
      <c r="E160" s="109"/>
      <c r="F160" s="72"/>
      <c r="G160" s="109"/>
      <c r="H160" s="74"/>
      <c r="I160" s="104"/>
      <c r="J160" s="74"/>
      <c r="K160" s="74"/>
      <c r="L160" s="55"/>
      <c r="M160" s="55" t="str">
        <f aca="false">IF(ISBLANK($C160),"",IF(ISBLANK(E160),0,E160))</f>
        <v/>
      </c>
      <c r="N160" s="55" t="str">
        <f aca="false">IF(ISBLANK($C160),"",IF(ISBLANK(F160),0,F160))</f>
        <v/>
      </c>
      <c r="O160" s="55" t="e">
        <f aca="false">IF(AND(NOT(ISBLANK($C160)),NOT($T160),COUNTA($E160:$K160)&gt;0),ISBLANK($F160),FALSE())</f>
        <v>#VALUE!</v>
      </c>
      <c r="P160" s="55" t="str">
        <f aca="false">IF(ISBLANK($C160),"",IF(G160=Constants!$B$9, TRUE(), IF(G160=Constants!$B$10, FALSE(), TRUE())))</f>
        <v/>
      </c>
      <c r="Q160" s="55" t="str">
        <f aca="false">IF(ISBLANK($C160),"",IF(H160=Constants!$B$9, TRUE(), IF(H160=Constants!$B$10, FALSE(), TRUE())))</f>
        <v/>
      </c>
      <c r="R160" s="55" t="str">
        <f aca="false">IF(ISBLANK($C160),"",IF(ISBLANK(I160),Constants!$B$3,I160))</f>
        <v/>
      </c>
      <c r="S160" s="55" t="str">
        <f aca="false">IF(ISBLANK($C160),"",IF(ISBLANK(J160),0,MIN(J160,Constants!$B$6)))</f>
        <v/>
      </c>
      <c r="T160" s="55" t="str">
        <f aca="false">IF(ISBLANK($C160),"",IF(K160=Constants!$B$9, TRUE(), IF(K160=Constants!$B$10, FALSE(),  FALSE())))</f>
        <v/>
      </c>
      <c r="U160" s="55" t="str">
        <f aca="false">IF(ISBLANK($C160),"",AND(R160=Constants!$B$4, S160&lt;Constants!$B$6))</f>
        <v/>
      </c>
      <c r="V160" s="55" t="str">
        <f aca="false">IF(ISBLANK(C160), "", IF(T160, Constants!$B$11, IF(COUNTA(E160:K160)=0, Constants!$B$12, IF(NOT(AND(P160,S160&lt;&gt;0)), Constants!$B$13, IF(O160, Constants!$B$15, Constants!$B$14)))))</f>
        <v/>
      </c>
      <c r="W160" s="55" t="str">
        <f aca="false">IF(OR(ISBLANK($C160), SUMPRODUCT(--(P160:T160&lt;&gt;""))=0), "", IF(V160&lt;&gt;Constants!$B$14, V160, IF(AND(NOT(ISBLANK(J160)),P160,Q160,R160&lt;&gt;Constants!$B$2), Constants!$B$7, IF(AND(P160,OR(NOT(Q160),R160=Constants!$B$2)), Constants!$B$8, "Error"))))</f>
        <v/>
      </c>
      <c r="X160" s="56" t="str">
        <f aca="false">IF(OR(W160=Constants!$B$7,W160=Constants!$B$8), MAX(0, MIN(Constants!$B$6, S160))+IF(AND(R160=Constants!$B$4, NOT(U160)), Constants!$B$5, 0), "")</f>
        <v/>
      </c>
      <c r="Y160" s="55" t="str">
        <f aca="false">IF(ISBLANK($C160),"",IF(AND(ISNUMBER(X160),N160&gt;0),X160/N160, "") )</f>
        <v/>
      </c>
      <c r="Z160" s="55" t="str">
        <f aca="false">IF(AND(NOT(ISBLANK($C160)), W160=Constants!$B$7), Y160, "")</f>
        <v/>
      </c>
      <c r="AA160" s="55" t="str">
        <f aca="false">IF(ISNUMBER(Z160), RANK(Z160,Z$8:Z$507), "")</f>
        <v/>
      </c>
      <c r="AB160" s="55" t="str">
        <f aca="false">IF(AND(NOT(ISBLANK($C160)), W160=Constants!$B$8), Y160, "")</f>
        <v/>
      </c>
      <c r="AC160" s="55" t="str">
        <f aca="false">IF(ISNUMBER(AB160), RANK(AB160,AB$8:AB$507), "")</f>
        <v/>
      </c>
      <c r="AD160" s="55" t="str">
        <f aca="false">IF(ISBLANK($C160),"",IF(V160&lt;&gt;Constants!$B$14, V160, IF(W160=Constants!$B$7, AA160, IF(W160=Constants!$B$8, COUNT($AA$8:$AA$507) + AC160, ""))))</f>
        <v/>
      </c>
      <c r="AE160" s="55" t="str">
        <f aca="false">N160</f>
        <v/>
      </c>
      <c r="AF160" s="55" t="str">
        <f aca="false">IF(ISNUMBER(AE160), RANK(AE160,AE$8:AE$507,1), "")</f>
        <v/>
      </c>
      <c r="AG160" s="57" t="str">
        <f aca="false">IF(ISBLANK(C160), "", ABS(M160-S160))</f>
        <v/>
      </c>
      <c r="AH160" s="55" t="str">
        <f aca="false">IF(ISNUMBER(AG160), RANK(AG160,AG$8:AG$507,1), "")</f>
        <v/>
      </c>
      <c r="AI160" s="55" t="str">
        <f aca="false">IF(ISBLANK(C160),"",IF(V160&lt;&gt;Constants!$B$14, V160, RANK(AD160, AD$8:AD$507, 1)+ SUMPRODUCT(--(AD$8:AD$507=AD160),--(AF160&gt;AF$8:AF$507)) + SUMPRODUCT(--(AD$8:AD$507=AD160),--(AF160=AF$8:AF$507),--(AH160&gt;AH$8:AH$507))))</f>
        <v/>
      </c>
      <c r="AJ160" s="55" t="str">
        <f aca="false">IF(ISBLANK(C160),"",IF(V160&lt;&gt;Constants!$B$14, V160, AD160-AI160))</f>
        <v/>
      </c>
      <c r="AK160" s="59"/>
      <c r="AL160" s="60" t="str">
        <f aca="false">IF(ISBLANK($C160),"",IF($V160&lt;&gt;Constants!$B$14,$V160,X160))</f>
        <v/>
      </c>
      <c r="AM160" s="60" t="str">
        <f aca="false">IF(ISBLANK($C160),"",IF($V160&lt;&gt;Constants!$B$14,$V160,N160))</f>
        <v/>
      </c>
      <c r="AN160" s="62" t="str">
        <f aca="false">IF(ISBLANK(C160),"",IF(V160&lt;&gt;Constants!$B$14, V160, IF(W160=Constants!$B$7,Z160,IF(W160=Constants!$B$8,AB160,""))))</f>
        <v/>
      </c>
      <c r="AO160" s="63" t="str">
        <f aca="false">IF(ISBLANK(C160),"",W160)</f>
        <v/>
      </c>
      <c r="AP160" s="63" t="str">
        <f aca="false">IF(ISBLANK(C160),"",AJ160)</f>
        <v/>
      </c>
      <c r="AQ160" s="63" t="str">
        <f aca="false">IF(ISBLANK(C160),"",AI160)</f>
        <v/>
      </c>
      <c r="AR160" s="64" t="str">
        <f aca="false">IF(ISBLANK(C160),
  "",
IF(AQ160=Constants!$B$11,COUNTA($C$8:$C$507)+2,IF(AQ160=Constants!$B$12,COUNTA($C$8:$C$507)+1,IF(AQ160=Constants!$B$13,COUNTA($C$8:$C$507),AQ160))))</f>
        <v/>
      </c>
      <c r="AS160" s="3"/>
      <c r="AT160" s="65" t="n">
        <f aca="false">IF(OR(ISNUMBER(AQ160),AQ160="DQ",AQ160="P",AQ160="NS"),
    1,
    0
)</f>
        <v>0</v>
      </c>
      <c r="AU160" s="65" t="n">
        <v>153</v>
      </c>
      <c r="AV160" s="65" t="str">
        <f aca="false">IF(ISBLANK($C160),
    "",
   IF(ISNUMBER(AR160),AR160+ROW($B160)/1000,"")
)</f>
        <v/>
      </c>
      <c r="AW160" s="65" t="str">
        <f aca="false">IF(ISNUMBER(AV160), RANK(AV160,AV$8:AV$507,1), "")</f>
        <v/>
      </c>
      <c r="AX160" s="65" t="str">
        <f aca="false">IF(ISBLANK($C160),
    "",
    $B160
)</f>
        <v/>
      </c>
      <c r="AY160" s="65" t="str">
        <f aca="false">IF(ISBLANK($C160),
    "",
    $C160
)</f>
        <v/>
      </c>
      <c r="AZ160" s="65" t="str">
        <f aca="false">IF(ISBLANK($C160),
    "",
    $D160
)</f>
        <v/>
      </c>
      <c r="BA160" s="65" t="str">
        <f aca="false">AO160</f>
        <v/>
      </c>
      <c r="BB160" s="66" t="str">
        <f aca="false">AN160</f>
        <v/>
      </c>
      <c r="BC160" s="65" t="str">
        <f aca="false">IF(ISBLANK($C160),
    "",
    AQ160
)</f>
        <v/>
      </c>
      <c r="BD160" s="67" t="str">
        <f aca="false">IF(AU160&gt;AT$7,
    "",
    VLOOKUP(AU160,AW$8:BC$507,7,FALSE())
)</f>
        <v/>
      </c>
      <c r="BE160" s="68" t="str">
        <f aca="false">IF(AU160&gt;AT$7,
    "",
    VLOOKUP(AU160,AW$8:BC$507,2,FALSE())
)</f>
        <v/>
      </c>
      <c r="BF160" s="68" t="str">
        <f aca="false">IF(AU160&gt;AT$7,
    "",
    VLOOKUP(AU160,AW$8:BC$507,3,FALSE())
)</f>
        <v/>
      </c>
      <c r="BG160" s="68" t="str">
        <f aca="false">IF(AU160&gt;AT$7,
    "",
    VLOOKUP(AU160,AW$8:BC$507,4,FALSE())
)</f>
        <v/>
      </c>
      <c r="BH160" s="68" t="str">
        <f aca="false">IF(AU160&gt;AT$7,
    "",
    VLOOKUP(AU160,AW$8:BC$507,5,FALSE())
)</f>
        <v/>
      </c>
      <c r="BI160" s="69" t="str">
        <f aca="false">IF(AU160&gt;AT$7,
    "",
    VLOOKUP(AU160,AW$8:BC$507,6,FALSE())
)</f>
        <v/>
      </c>
      <c r="BJ160" s="46"/>
    </row>
    <row r="161" customFormat="false" ht="15.75" hidden="false" customHeight="false" outlineLevel="0" collapsed="false">
      <c r="A161" s="3"/>
      <c r="B161" s="105"/>
      <c r="C161" s="106"/>
      <c r="D161" s="99"/>
      <c r="E161" s="110"/>
      <c r="F161" s="107"/>
      <c r="G161" s="110"/>
      <c r="H161" s="103"/>
      <c r="I161" s="102"/>
      <c r="J161" s="103"/>
      <c r="K161" s="103"/>
      <c r="L161" s="85"/>
      <c r="M161" s="85" t="str">
        <f aca="false">IF(ISBLANK($C161),"",IF(ISBLANK(E161),0,E161))</f>
        <v/>
      </c>
      <c r="N161" s="85" t="str">
        <f aca="false">IF(ISBLANK($C161),"",IF(ISBLANK(F161),0,F161))</f>
        <v/>
      </c>
      <c r="O161" s="86" t="e">
        <f aca="false">IF(AND(NOT(ISBLANK($C161)),NOT($T161),COUNTA($E161:$K161)&gt;0),ISBLANK($F161),FALSE())</f>
        <v>#VALUE!</v>
      </c>
      <c r="P161" s="85" t="str">
        <f aca="false">IF(ISBLANK($C161),"",IF(G161=Constants!$B$9, TRUE(), IF(G161=Constants!$B$10, FALSE(), TRUE())))</f>
        <v/>
      </c>
      <c r="Q161" s="85" t="str">
        <f aca="false">IF(ISBLANK($C161),"",IF(H161=Constants!$B$9, TRUE(), IF(H161=Constants!$B$10, FALSE(), TRUE())))</f>
        <v/>
      </c>
      <c r="R161" s="85" t="str">
        <f aca="false">IF(ISBLANK($C161),"",IF(ISBLANK(I161),Constants!$B$3,I161))</f>
        <v/>
      </c>
      <c r="S161" s="85" t="str">
        <f aca="false">IF(ISBLANK($C161),"",IF(ISBLANK(J161),0,MIN(J161,Constants!$B$6)))</f>
        <v/>
      </c>
      <c r="T161" s="85" t="str">
        <f aca="false">IF(ISBLANK($C161),"",IF(K161=Constants!$B$9, TRUE(), IF(K161=Constants!$B$10, FALSE(),  FALSE())))</f>
        <v/>
      </c>
      <c r="U161" s="85" t="str">
        <f aca="false">IF(ISBLANK($C161),"",AND(R161=Constants!$B$4, S161&lt;Constants!$B$6))</f>
        <v/>
      </c>
      <c r="V161" s="85" t="str">
        <f aca="false">IF(ISBLANK(C161), "", IF(T161, Constants!$B$11, IF(COUNTA(E161:K161)=0, Constants!$B$12, IF(NOT(AND(P161,S161&lt;&gt;0)), Constants!$B$13, IF(O161, Constants!$B$15, Constants!$B$14)))))</f>
        <v/>
      </c>
      <c r="W161" s="85" t="str">
        <f aca="false">IF(OR(ISBLANK($C161), SUMPRODUCT(--(P161:T161&lt;&gt;""))=0), "", IF(V161&lt;&gt;Constants!$B$14, V161, IF(AND(NOT(ISBLANK(J161)),P161,Q161,R161&lt;&gt;Constants!$B$2), Constants!$B$7, IF(AND(P161,OR(NOT(Q161),R161=Constants!$B$2)), Constants!$B$8, "Error"))))</f>
        <v/>
      </c>
      <c r="X161" s="87" t="str">
        <f aca="false">IF(OR(W161=Constants!$B$7,W161=Constants!$B$8), MAX(0, MIN(Constants!$B$6, S161))+IF(AND(R161=Constants!$B$4, NOT(U161)), Constants!$B$5, 0), "")</f>
        <v/>
      </c>
      <c r="Y161" s="85" t="str">
        <f aca="false">IF(ISBLANK($C161),"",IF(AND(ISNUMBER(X161),N161&gt;0),X161/N161, "") )</f>
        <v/>
      </c>
      <c r="Z161" s="85" t="str">
        <f aca="false">IF(AND(NOT(ISBLANK($C161)), W161=Constants!$B$7), Y161, "")</f>
        <v/>
      </c>
      <c r="AA161" s="85" t="str">
        <f aca="false">IF(ISNUMBER(Z161), RANK(Z161,Z$8:Z$507), "")</f>
        <v/>
      </c>
      <c r="AB161" s="85" t="str">
        <f aca="false">IF(AND(NOT(ISBLANK($C161)), W161=Constants!$B$8), Y161, "")</f>
        <v/>
      </c>
      <c r="AC161" s="85" t="str">
        <f aca="false">IF(ISNUMBER(AB161), RANK(AB161,AB$8:AB$507), "")</f>
        <v/>
      </c>
      <c r="AD161" s="85" t="str">
        <f aca="false">IF(ISBLANK($C161),"",IF(V161&lt;&gt;Constants!$B$14, V161, IF(W161=Constants!$B$7, AA161, IF(W161=Constants!$B$8, COUNT($AA$8:$AA$507) + AC161, ""))))</f>
        <v/>
      </c>
      <c r="AE161" s="85" t="str">
        <f aca="false">N161</f>
        <v/>
      </c>
      <c r="AF161" s="85" t="str">
        <f aca="false">IF(ISNUMBER(AE161), RANK(AE161,AE$8:AE$507,1), "")</f>
        <v/>
      </c>
      <c r="AG161" s="88" t="str">
        <f aca="false">IF(ISBLANK(C161), "", ABS(M161-S161))</f>
        <v/>
      </c>
      <c r="AH161" s="85" t="str">
        <f aca="false">IF(ISNUMBER(AG161), RANK(AG161,AG$8:AG$507,1), "")</f>
        <v/>
      </c>
      <c r="AI161" s="85" t="str">
        <f aca="false">IF(ISBLANK(C161),"",IF(V161&lt;&gt;Constants!$B$14, V161, RANK(AD161, AD$8:AD$507, 1)+ SUMPRODUCT(--(AD$8:AD$507=AD161),--(AF161&gt;AF$8:AF$507)) + SUMPRODUCT(--(AD$8:AD$507=AD161),--(AF161=AF$8:AF$507),--(AH161&gt;AH$8:AH$507))))</f>
        <v/>
      </c>
      <c r="AJ161" s="85" t="str">
        <f aca="false">IF(ISBLANK(C161),"",IF(V161&lt;&gt;Constants!$B$14, V161, AD161-AI161))</f>
        <v/>
      </c>
      <c r="AK161" s="89"/>
      <c r="AL161" s="90" t="str">
        <f aca="false">IF(ISBLANK($C161),"",IF($V161&lt;&gt;Constants!$B$14,$V161,X161))</f>
        <v/>
      </c>
      <c r="AM161" s="90" t="str">
        <f aca="false">IF(ISBLANK($C161),"",IF($V161&lt;&gt;Constants!$B$14,$V161,N161))</f>
        <v/>
      </c>
      <c r="AN161" s="91" t="str">
        <f aca="false">IF(ISBLANK(C161),"",IF(V161&lt;&gt;Constants!$B$14, V161, IF(W161=Constants!$B$7,Z161,IF(W161=Constants!$B$8,AB161,""))))</f>
        <v/>
      </c>
      <c r="AO161" s="92" t="str">
        <f aca="false">IF(ISBLANK(C161),"",W161)</f>
        <v/>
      </c>
      <c r="AP161" s="92" t="str">
        <f aca="false">IF(ISBLANK(C161),"",AJ161)</f>
        <v/>
      </c>
      <c r="AQ161" s="92" t="str">
        <f aca="false">IF(ISBLANK(C161),"",AI161)</f>
        <v/>
      </c>
      <c r="AR161" s="93" t="str">
        <f aca="false">IF(ISBLANK(C161),
  "",
IF(AQ161=Constants!$B$11,COUNTA($C$8:$C$507)+2,IF(AQ161=Constants!$B$12,COUNTA($C$8:$C$507)+1,IF(AQ161=Constants!$B$13,COUNTA($C$8:$C$507),AQ161))))</f>
        <v/>
      </c>
      <c r="AS161" s="3"/>
      <c r="AT161" s="94" t="n">
        <f aca="false">IF(OR(ISNUMBER(AQ161),AQ161="DQ",AQ161="P",AQ161="NS"),
    1,
    0
)</f>
        <v>0</v>
      </c>
      <c r="AU161" s="94" t="n">
        <v>154</v>
      </c>
      <c r="AV161" s="94" t="str">
        <f aca="false">IF(ISBLANK($C161),
    "",
   IF(ISNUMBER(AR161),AR161+ROW($B161)/1000,"")
)</f>
        <v/>
      </c>
      <c r="AW161" s="94" t="str">
        <f aca="false">IF(ISNUMBER(AV161), RANK(AV161,AV$8:AV$507,1), "")</f>
        <v/>
      </c>
      <c r="AX161" s="94" t="str">
        <f aca="false">IF(ISBLANK($C161),
    "",
    $B161
)</f>
        <v/>
      </c>
      <c r="AY161" s="94" t="str">
        <f aca="false">IF(ISBLANK($C161),
    "",
    $C161
)</f>
        <v/>
      </c>
      <c r="AZ161" s="94" t="str">
        <f aca="false">IF(ISBLANK($C161),
    "",
    $D161
)</f>
        <v/>
      </c>
      <c r="BA161" s="94" t="str">
        <f aca="false">AO161</f>
        <v/>
      </c>
      <c r="BB161" s="95" t="str">
        <f aca="false">AN161</f>
        <v/>
      </c>
      <c r="BC161" s="94" t="str">
        <f aca="false">IF(ISBLANK($C161),
    "",
    AQ161
)</f>
        <v/>
      </c>
      <c r="BD161" s="96" t="str">
        <f aca="false">IF(AU161&gt;AT$7,
    "",
    VLOOKUP(AU161,AW$8:BC$507,7,FALSE())
)</f>
        <v/>
      </c>
      <c r="BE161" s="97" t="str">
        <f aca="false">IF(AU161&gt;AT$7,
    "",
    VLOOKUP(AU161,AW$8:BC$507,2,FALSE())
)</f>
        <v/>
      </c>
      <c r="BF161" s="97" t="str">
        <f aca="false">IF(AU161&gt;AT$7,
    "",
    VLOOKUP(AU161,AW$8:BC$507,3,FALSE())
)</f>
        <v/>
      </c>
      <c r="BG161" s="97" t="str">
        <f aca="false">IF(AU161&gt;AT$7,
    "",
    VLOOKUP(AU161,AW$8:BC$507,4,FALSE())
)</f>
        <v/>
      </c>
      <c r="BH161" s="97" t="str">
        <f aca="false">IF(AU161&gt;AT$7,
    "",
    VLOOKUP(AU161,AW$8:BC$507,5,FALSE())
)</f>
        <v/>
      </c>
      <c r="BI161" s="98" t="str">
        <f aca="false">IF(AU161&gt;AT$7,
    "",
    VLOOKUP(AU161,AW$8:BC$507,6,FALSE())
)</f>
        <v/>
      </c>
      <c r="BJ161" s="46"/>
    </row>
    <row r="162" customFormat="false" ht="15.75" hidden="false" customHeight="false" outlineLevel="0" collapsed="false">
      <c r="A162" s="3"/>
      <c r="B162" s="105"/>
      <c r="C162" s="106"/>
      <c r="D162" s="99"/>
      <c r="E162" s="110"/>
      <c r="F162" s="107"/>
      <c r="G162" s="110"/>
      <c r="H162" s="103"/>
      <c r="I162" s="102"/>
      <c r="J162" s="103"/>
      <c r="K162" s="103"/>
      <c r="L162" s="85"/>
      <c r="M162" s="85" t="str">
        <f aca="false">IF(ISBLANK($C162),"",IF(ISBLANK(E162),0,E162))</f>
        <v/>
      </c>
      <c r="N162" s="85" t="str">
        <f aca="false">IF(ISBLANK($C162),"",IF(ISBLANK(F162),0,F162))</f>
        <v/>
      </c>
      <c r="O162" s="86" t="e">
        <f aca="false">IF(AND(NOT(ISBLANK($C162)),NOT($T162),COUNTA($E162:$K162)&gt;0),ISBLANK($F162),FALSE())</f>
        <v>#VALUE!</v>
      </c>
      <c r="P162" s="85" t="str">
        <f aca="false">IF(ISBLANK($C162),"",IF(G162=Constants!$B$9, TRUE(), IF(G162=Constants!$B$10, FALSE(), TRUE())))</f>
        <v/>
      </c>
      <c r="Q162" s="85" t="str">
        <f aca="false">IF(ISBLANK($C162),"",IF(H162=Constants!$B$9, TRUE(), IF(H162=Constants!$B$10, FALSE(), TRUE())))</f>
        <v/>
      </c>
      <c r="R162" s="85" t="str">
        <f aca="false">IF(ISBLANK($C162),"",IF(ISBLANK(I162),Constants!$B$3,I162))</f>
        <v/>
      </c>
      <c r="S162" s="85" t="str">
        <f aca="false">IF(ISBLANK($C162),"",IF(ISBLANK(J162),0,MIN(J162,Constants!$B$6)))</f>
        <v/>
      </c>
      <c r="T162" s="85" t="str">
        <f aca="false">IF(ISBLANK($C162),"",IF(K162=Constants!$B$9, TRUE(), IF(K162=Constants!$B$10, FALSE(),  FALSE())))</f>
        <v/>
      </c>
      <c r="U162" s="85" t="str">
        <f aca="false">IF(ISBLANK($C162),"",AND(R162=Constants!$B$4, S162&lt;Constants!$B$6))</f>
        <v/>
      </c>
      <c r="V162" s="85" t="str">
        <f aca="false">IF(ISBLANK(C162), "", IF(T162, Constants!$B$11, IF(COUNTA(E162:K162)=0, Constants!$B$12, IF(NOT(AND(P162,S162&lt;&gt;0)), Constants!$B$13, IF(O162, Constants!$B$15, Constants!$B$14)))))</f>
        <v/>
      </c>
      <c r="W162" s="85" t="str">
        <f aca="false">IF(OR(ISBLANK($C162), SUMPRODUCT(--(P162:T162&lt;&gt;""))=0), "", IF(V162&lt;&gt;Constants!$B$14, V162, IF(AND(NOT(ISBLANK(J162)),P162,Q162,R162&lt;&gt;Constants!$B$2), Constants!$B$7, IF(AND(P162,OR(NOT(Q162),R162=Constants!$B$2)), Constants!$B$8, "Error"))))</f>
        <v/>
      </c>
      <c r="X162" s="87" t="str">
        <f aca="false">IF(OR(W162=Constants!$B$7,W162=Constants!$B$8), MAX(0, MIN(Constants!$B$6, S162))+IF(AND(R162=Constants!$B$4, NOT(U162)), Constants!$B$5, 0), "")</f>
        <v/>
      </c>
      <c r="Y162" s="85" t="str">
        <f aca="false">IF(ISBLANK($C162),"",IF(AND(ISNUMBER(X162),N162&gt;0),X162/N162, "") )</f>
        <v/>
      </c>
      <c r="Z162" s="85" t="str">
        <f aca="false">IF(AND(NOT(ISBLANK($C162)), W162=Constants!$B$7), Y162, "")</f>
        <v/>
      </c>
      <c r="AA162" s="85" t="str">
        <f aca="false">IF(ISNUMBER(Z162), RANK(Z162,Z$8:Z$507), "")</f>
        <v/>
      </c>
      <c r="AB162" s="85" t="str">
        <f aca="false">IF(AND(NOT(ISBLANK($C162)), W162=Constants!$B$8), Y162, "")</f>
        <v/>
      </c>
      <c r="AC162" s="85" t="str">
        <f aca="false">IF(ISNUMBER(AB162), RANK(AB162,AB$8:AB$507), "")</f>
        <v/>
      </c>
      <c r="AD162" s="85" t="str">
        <f aca="false">IF(ISBLANK($C162),"",IF(V162&lt;&gt;Constants!$B$14, V162, IF(W162=Constants!$B$7, AA162, IF(W162=Constants!$B$8, COUNT($AA$8:$AA$507) + AC162, ""))))</f>
        <v/>
      </c>
      <c r="AE162" s="85" t="str">
        <f aca="false">N162</f>
        <v/>
      </c>
      <c r="AF162" s="85" t="str">
        <f aca="false">IF(ISNUMBER(AE162), RANK(AE162,AE$8:AE$507,1), "")</f>
        <v/>
      </c>
      <c r="AG162" s="88" t="str">
        <f aca="false">IF(ISBLANK(C162), "", ABS(M162-S162))</f>
        <v/>
      </c>
      <c r="AH162" s="85" t="str">
        <f aca="false">IF(ISNUMBER(AG162), RANK(AG162,AG$8:AG$507,1), "")</f>
        <v/>
      </c>
      <c r="AI162" s="85" t="str">
        <f aca="false">IF(ISBLANK(C162),"",IF(V162&lt;&gt;Constants!$B$14, V162, RANK(AD162, AD$8:AD$507, 1)+ SUMPRODUCT(--(AD$8:AD$507=AD162),--(AF162&gt;AF$8:AF$507)) + SUMPRODUCT(--(AD$8:AD$507=AD162),--(AF162=AF$8:AF$507),--(AH162&gt;AH$8:AH$507))))</f>
        <v/>
      </c>
      <c r="AJ162" s="85" t="str">
        <f aca="false">IF(ISBLANK(C162),"",IF(V162&lt;&gt;Constants!$B$14, V162, AD162-AI162))</f>
        <v/>
      </c>
      <c r="AK162" s="89"/>
      <c r="AL162" s="90" t="str">
        <f aca="false">IF(ISBLANK($C162),"",IF($V162&lt;&gt;Constants!$B$14,$V162,X162))</f>
        <v/>
      </c>
      <c r="AM162" s="90" t="str">
        <f aca="false">IF(ISBLANK($C162),"",IF($V162&lt;&gt;Constants!$B$14,$V162,N162))</f>
        <v/>
      </c>
      <c r="AN162" s="91" t="str">
        <f aca="false">IF(ISBLANK(C162),"",IF(V162&lt;&gt;Constants!$B$14, V162, IF(W162=Constants!$B$7,Z162,IF(W162=Constants!$B$8,AB162,""))))</f>
        <v/>
      </c>
      <c r="AO162" s="92" t="str">
        <f aca="false">IF(ISBLANK(C162),"",W162)</f>
        <v/>
      </c>
      <c r="AP162" s="92" t="str">
        <f aca="false">IF(ISBLANK(C162),"",AJ162)</f>
        <v/>
      </c>
      <c r="AQ162" s="92" t="str">
        <f aca="false">IF(ISBLANK(C162),"",AI162)</f>
        <v/>
      </c>
      <c r="AR162" s="93" t="str">
        <f aca="false">IF(ISBLANK(C162),
  "",
IF(AQ162=Constants!$B$11,COUNTA($C$8:$C$507)+2,IF(AQ162=Constants!$B$12,COUNTA($C$8:$C$507)+1,IF(AQ162=Constants!$B$13,COUNTA($C$8:$C$507),AQ162))))</f>
        <v/>
      </c>
      <c r="AS162" s="3"/>
      <c r="AT162" s="94" t="n">
        <f aca="false">IF(OR(ISNUMBER(AQ162),AQ162="DQ",AQ162="P",AQ162="NS"),
    1,
    0
)</f>
        <v>0</v>
      </c>
      <c r="AU162" s="94" t="n">
        <v>155</v>
      </c>
      <c r="AV162" s="94" t="str">
        <f aca="false">IF(ISBLANK($C162),
    "",
   IF(ISNUMBER(AR162),AR162+ROW($B162)/1000,"")
)</f>
        <v/>
      </c>
      <c r="AW162" s="94" t="str">
        <f aca="false">IF(ISNUMBER(AV162), RANK(AV162,AV$8:AV$507,1), "")</f>
        <v/>
      </c>
      <c r="AX162" s="94" t="str">
        <f aca="false">IF(ISBLANK($C162),
    "",
    $B162
)</f>
        <v/>
      </c>
      <c r="AY162" s="94" t="str">
        <f aca="false">IF(ISBLANK($C162),
    "",
    $C162
)</f>
        <v/>
      </c>
      <c r="AZ162" s="94" t="str">
        <f aca="false">IF(ISBLANK($C162),
    "",
    $D162
)</f>
        <v/>
      </c>
      <c r="BA162" s="94" t="str">
        <f aca="false">AO162</f>
        <v/>
      </c>
      <c r="BB162" s="95" t="str">
        <f aca="false">AN162</f>
        <v/>
      </c>
      <c r="BC162" s="94" t="str">
        <f aca="false">IF(ISBLANK($C162),
    "",
    AQ162
)</f>
        <v/>
      </c>
      <c r="BD162" s="96" t="str">
        <f aca="false">IF(AU162&gt;AT$7,
    "",
    VLOOKUP(AU162,AW$8:BC$507,7,FALSE())
)</f>
        <v/>
      </c>
      <c r="BE162" s="97" t="str">
        <f aca="false">IF(AU162&gt;AT$7,
    "",
    VLOOKUP(AU162,AW$8:BC$507,2,FALSE())
)</f>
        <v/>
      </c>
      <c r="BF162" s="97" t="str">
        <f aca="false">IF(AU162&gt;AT$7,
    "",
    VLOOKUP(AU162,AW$8:BC$507,3,FALSE())
)</f>
        <v/>
      </c>
      <c r="BG162" s="97" t="str">
        <f aca="false">IF(AU162&gt;AT$7,
    "",
    VLOOKUP(AU162,AW$8:BC$507,4,FALSE())
)</f>
        <v/>
      </c>
      <c r="BH162" s="97" t="str">
        <f aca="false">IF(AU162&gt;AT$7,
    "",
    VLOOKUP(AU162,AW$8:BC$507,5,FALSE())
)</f>
        <v/>
      </c>
      <c r="BI162" s="98" t="str">
        <f aca="false">IF(AU162&gt;AT$7,
    "",
    VLOOKUP(AU162,AW$8:BC$507,6,FALSE())
)</f>
        <v/>
      </c>
      <c r="BJ162" s="46"/>
    </row>
    <row r="163" customFormat="false" ht="15.75" hidden="false" customHeight="false" outlineLevel="0" collapsed="false">
      <c r="A163" s="3"/>
      <c r="B163" s="105"/>
      <c r="C163" s="106"/>
      <c r="D163" s="99"/>
      <c r="E163" s="110"/>
      <c r="F163" s="107"/>
      <c r="G163" s="110"/>
      <c r="H163" s="103"/>
      <c r="I163" s="102"/>
      <c r="J163" s="103"/>
      <c r="K163" s="103"/>
      <c r="L163" s="85"/>
      <c r="M163" s="85" t="str">
        <f aca="false">IF(ISBLANK($C163),"",IF(ISBLANK(E163),0,E163))</f>
        <v/>
      </c>
      <c r="N163" s="85" t="str">
        <f aca="false">IF(ISBLANK($C163),"",IF(ISBLANK(F163),0,F163))</f>
        <v/>
      </c>
      <c r="O163" s="86" t="e">
        <f aca="false">IF(AND(NOT(ISBLANK($C163)),NOT($T163),COUNTA($E163:$K163)&gt;0),ISBLANK($F163),FALSE())</f>
        <v>#VALUE!</v>
      </c>
      <c r="P163" s="85" t="str">
        <f aca="false">IF(ISBLANK($C163),"",IF(G163=Constants!$B$9, TRUE(), IF(G163=Constants!$B$10, FALSE(), TRUE())))</f>
        <v/>
      </c>
      <c r="Q163" s="85" t="str">
        <f aca="false">IF(ISBLANK($C163),"",IF(H163=Constants!$B$9, TRUE(), IF(H163=Constants!$B$10, FALSE(), TRUE())))</f>
        <v/>
      </c>
      <c r="R163" s="85" t="str">
        <f aca="false">IF(ISBLANK($C163),"",IF(ISBLANK(I163),Constants!$B$3,I163))</f>
        <v/>
      </c>
      <c r="S163" s="85" t="str">
        <f aca="false">IF(ISBLANK($C163),"",IF(ISBLANK(J163),0,MIN(J163,Constants!$B$6)))</f>
        <v/>
      </c>
      <c r="T163" s="85" t="str">
        <f aca="false">IF(ISBLANK($C163),"",IF(K163=Constants!$B$9, TRUE(), IF(K163=Constants!$B$10, FALSE(),  FALSE())))</f>
        <v/>
      </c>
      <c r="U163" s="85" t="str">
        <f aca="false">IF(ISBLANK($C163),"",AND(R163=Constants!$B$4, S163&lt;Constants!$B$6))</f>
        <v/>
      </c>
      <c r="V163" s="85" t="str">
        <f aca="false">IF(ISBLANK(C163), "", IF(T163, Constants!$B$11, IF(COUNTA(E163:K163)=0, Constants!$B$12, IF(NOT(AND(P163,S163&lt;&gt;0)), Constants!$B$13, IF(O163, Constants!$B$15, Constants!$B$14)))))</f>
        <v/>
      </c>
      <c r="W163" s="85" t="str">
        <f aca="false">IF(OR(ISBLANK($C163), SUMPRODUCT(--(P163:T163&lt;&gt;""))=0), "", IF(V163&lt;&gt;Constants!$B$14, V163, IF(AND(NOT(ISBLANK(J163)),P163,Q163,R163&lt;&gt;Constants!$B$2), Constants!$B$7, IF(AND(P163,OR(NOT(Q163),R163=Constants!$B$2)), Constants!$B$8, "Error"))))</f>
        <v/>
      </c>
      <c r="X163" s="87" t="str">
        <f aca="false">IF(OR(W163=Constants!$B$7,W163=Constants!$B$8), MAX(0, MIN(Constants!$B$6, S163))+IF(AND(R163=Constants!$B$4, NOT(U163)), Constants!$B$5, 0), "")</f>
        <v/>
      </c>
      <c r="Y163" s="85" t="str">
        <f aca="false">IF(ISBLANK($C163),"",IF(AND(ISNUMBER(X163),N163&gt;0),X163/N163, "") )</f>
        <v/>
      </c>
      <c r="Z163" s="85" t="str">
        <f aca="false">IF(AND(NOT(ISBLANK($C163)), W163=Constants!$B$7), Y163, "")</f>
        <v/>
      </c>
      <c r="AA163" s="85" t="str">
        <f aca="false">IF(ISNUMBER(Z163), RANK(Z163,Z$8:Z$507), "")</f>
        <v/>
      </c>
      <c r="AB163" s="85" t="str">
        <f aca="false">IF(AND(NOT(ISBLANK($C163)), W163=Constants!$B$8), Y163, "")</f>
        <v/>
      </c>
      <c r="AC163" s="85" t="str">
        <f aca="false">IF(ISNUMBER(AB163), RANK(AB163,AB$8:AB$507), "")</f>
        <v/>
      </c>
      <c r="AD163" s="85" t="str">
        <f aca="false">IF(ISBLANK($C163),"",IF(V163&lt;&gt;Constants!$B$14, V163, IF(W163=Constants!$B$7, AA163, IF(W163=Constants!$B$8, COUNT($AA$8:$AA$507) + AC163, ""))))</f>
        <v/>
      </c>
      <c r="AE163" s="85" t="str">
        <f aca="false">N163</f>
        <v/>
      </c>
      <c r="AF163" s="85" t="str">
        <f aca="false">IF(ISNUMBER(AE163), RANK(AE163,AE$8:AE$507,1), "")</f>
        <v/>
      </c>
      <c r="AG163" s="88" t="str">
        <f aca="false">IF(ISBLANK(C163), "", ABS(M163-S163))</f>
        <v/>
      </c>
      <c r="AH163" s="85" t="str">
        <f aca="false">IF(ISNUMBER(AG163), RANK(AG163,AG$8:AG$507,1), "")</f>
        <v/>
      </c>
      <c r="AI163" s="85" t="str">
        <f aca="false">IF(ISBLANK(C163),"",IF(V163&lt;&gt;Constants!$B$14, V163, RANK(AD163, AD$8:AD$507, 1)+ SUMPRODUCT(--(AD$8:AD$507=AD163),--(AF163&gt;AF$8:AF$507)) + SUMPRODUCT(--(AD$8:AD$507=AD163),--(AF163=AF$8:AF$507),--(AH163&gt;AH$8:AH$507))))</f>
        <v/>
      </c>
      <c r="AJ163" s="85" t="str">
        <f aca="false">IF(ISBLANK(C163),"",IF(V163&lt;&gt;Constants!$B$14, V163, AD163-AI163))</f>
        <v/>
      </c>
      <c r="AK163" s="89"/>
      <c r="AL163" s="90" t="str">
        <f aca="false">IF(ISBLANK($C163),"",IF($V163&lt;&gt;Constants!$B$14,$V163,X163))</f>
        <v/>
      </c>
      <c r="AM163" s="90" t="str">
        <f aca="false">IF(ISBLANK($C163),"",IF($V163&lt;&gt;Constants!$B$14,$V163,N163))</f>
        <v/>
      </c>
      <c r="AN163" s="91" t="str">
        <f aca="false">IF(ISBLANK(C163),"",IF(V163&lt;&gt;Constants!$B$14, V163, IF(W163=Constants!$B$7,Z163,IF(W163=Constants!$B$8,AB163,""))))</f>
        <v/>
      </c>
      <c r="AO163" s="92" t="str">
        <f aca="false">IF(ISBLANK(C163),"",W163)</f>
        <v/>
      </c>
      <c r="AP163" s="92" t="str">
        <f aca="false">IF(ISBLANK(C163),"",AJ163)</f>
        <v/>
      </c>
      <c r="AQ163" s="92" t="str">
        <f aca="false">IF(ISBLANK(C163),"",AI163)</f>
        <v/>
      </c>
      <c r="AR163" s="93" t="str">
        <f aca="false">IF(ISBLANK(C163),
  "",
IF(AQ163=Constants!$B$11,COUNTA($C$8:$C$507)+2,IF(AQ163=Constants!$B$12,COUNTA($C$8:$C$507)+1,IF(AQ163=Constants!$B$13,COUNTA($C$8:$C$507),AQ163))))</f>
        <v/>
      </c>
      <c r="AS163" s="3"/>
      <c r="AT163" s="94" t="n">
        <f aca="false">IF(OR(ISNUMBER(AQ163),AQ163="DQ",AQ163="P",AQ163="NS"),
    1,
    0
)</f>
        <v>0</v>
      </c>
      <c r="AU163" s="94" t="n">
        <v>156</v>
      </c>
      <c r="AV163" s="94" t="str">
        <f aca="false">IF(ISBLANK($C163),
    "",
   IF(ISNUMBER(AR163),AR163+ROW($B163)/1000,"")
)</f>
        <v/>
      </c>
      <c r="AW163" s="94" t="str">
        <f aca="false">IF(ISNUMBER(AV163), RANK(AV163,AV$8:AV$507,1), "")</f>
        <v/>
      </c>
      <c r="AX163" s="94" t="str">
        <f aca="false">IF(ISBLANK($C163),
    "",
    $B163
)</f>
        <v/>
      </c>
      <c r="AY163" s="94" t="str">
        <f aca="false">IF(ISBLANK($C163),
    "",
    $C163
)</f>
        <v/>
      </c>
      <c r="AZ163" s="94" t="str">
        <f aca="false">IF(ISBLANK($C163),
    "",
    $D163
)</f>
        <v/>
      </c>
      <c r="BA163" s="94" t="str">
        <f aca="false">AO163</f>
        <v/>
      </c>
      <c r="BB163" s="95" t="str">
        <f aca="false">AN163</f>
        <v/>
      </c>
      <c r="BC163" s="94" t="str">
        <f aca="false">IF(ISBLANK($C163),
    "",
    AQ163
)</f>
        <v/>
      </c>
      <c r="BD163" s="96" t="str">
        <f aca="false">IF(AU163&gt;AT$7,
    "",
    VLOOKUP(AU163,AW$8:BC$507,7,FALSE())
)</f>
        <v/>
      </c>
      <c r="BE163" s="97" t="str">
        <f aca="false">IF(AU163&gt;AT$7,
    "",
    VLOOKUP(AU163,AW$8:BC$507,2,FALSE())
)</f>
        <v/>
      </c>
      <c r="BF163" s="97" t="str">
        <f aca="false">IF(AU163&gt;AT$7,
    "",
    VLOOKUP(AU163,AW$8:BC$507,3,FALSE())
)</f>
        <v/>
      </c>
      <c r="BG163" s="97" t="str">
        <f aca="false">IF(AU163&gt;AT$7,
    "",
    VLOOKUP(AU163,AW$8:BC$507,4,FALSE())
)</f>
        <v/>
      </c>
      <c r="BH163" s="97" t="str">
        <f aca="false">IF(AU163&gt;AT$7,
    "",
    VLOOKUP(AU163,AW$8:BC$507,5,FALSE())
)</f>
        <v/>
      </c>
      <c r="BI163" s="98" t="str">
        <f aca="false">IF(AU163&gt;AT$7,
    "",
    VLOOKUP(AU163,AW$8:BC$507,6,FALSE())
)</f>
        <v/>
      </c>
      <c r="BJ163" s="46"/>
    </row>
    <row r="164" customFormat="false" ht="15.75" hidden="false" customHeight="false" outlineLevel="0" collapsed="false">
      <c r="A164" s="3"/>
      <c r="B164" s="108"/>
      <c r="C164" s="70"/>
      <c r="D164" s="49"/>
      <c r="E164" s="109"/>
      <c r="F164" s="72"/>
      <c r="G164" s="109"/>
      <c r="H164" s="74"/>
      <c r="I164" s="104"/>
      <c r="J164" s="74"/>
      <c r="K164" s="74"/>
      <c r="L164" s="55"/>
      <c r="M164" s="55" t="str">
        <f aca="false">IF(ISBLANK($C164),"",IF(ISBLANK(E164),0,E164))</f>
        <v/>
      </c>
      <c r="N164" s="55" t="str">
        <f aca="false">IF(ISBLANK($C164),"",IF(ISBLANK(F164),0,F164))</f>
        <v/>
      </c>
      <c r="O164" s="55" t="e">
        <f aca="false">IF(AND(NOT(ISBLANK($C164)),NOT($T164),COUNTA($E164:$K164)&gt;0),ISBLANK($F164),FALSE())</f>
        <v>#VALUE!</v>
      </c>
      <c r="P164" s="55" t="str">
        <f aca="false">IF(ISBLANK($C164),"",IF(G164=Constants!$B$9, TRUE(), IF(G164=Constants!$B$10, FALSE(), TRUE())))</f>
        <v/>
      </c>
      <c r="Q164" s="55" t="str">
        <f aca="false">IF(ISBLANK($C164),"",IF(H164=Constants!$B$9, TRUE(), IF(H164=Constants!$B$10, FALSE(), TRUE())))</f>
        <v/>
      </c>
      <c r="R164" s="55" t="str">
        <f aca="false">IF(ISBLANK($C164),"",IF(ISBLANK(I164),Constants!$B$3,I164))</f>
        <v/>
      </c>
      <c r="S164" s="55" t="str">
        <f aca="false">IF(ISBLANK($C164),"",IF(ISBLANK(J164),0,MIN(J164,Constants!$B$6)))</f>
        <v/>
      </c>
      <c r="T164" s="55" t="str">
        <f aca="false">IF(ISBLANK($C164),"",IF(K164=Constants!$B$9, TRUE(), IF(K164=Constants!$B$10, FALSE(),  FALSE())))</f>
        <v/>
      </c>
      <c r="U164" s="55" t="str">
        <f aca="false">IF(ISBLANK($C164),"",AND(R164=Constants!$B$4, S164&lt;Constants!$B$6))</f>
        <v/>
      </c>
      <c r="V164" s="55" t="str">
        <f aca="false">IF(ISBLANK(C164), "", IF(T164, Constants!$B$11, IF(COUNTA(E164:K164)=0, Constants!$B$12, IF(NOT(AND(P164,S164&lt;&gt;0)), Constants!$B$13, IF(O164, Constants!$B$15, Constants!$B$14)))))</f>
        <v/>
      </c>
      <c r="W164" s="55" t="str">
        <f aca="false">IF(OR(ISBLANK($C164), SUMPRODUCT(--(P164:T164&lt;&gt;""))=0), "", IF(V164&lt;&gt;Constants!$B$14, V164, IF(AND(NOT(ISBLANK(J164)),P164,Q164,R164&lt;&gt;Constants!$B$2), Constants!$B$7, IF(AND(P164,OR(NOT(Q164),R164=Constants!$B$2)), Constants!$B$8, "Error"))))</f>
        <v/>
      </c>
      <c r="X164" s="56" t="str">
        <f aca="false">IF(OR(W164=Constants!$B$7,W164=Constants!$B$8), MAX(0, MIN(Constants!$B$6, S164))+IF(AND(R164=Constants!$B$4, NOT(U164)), Constants!$B$5, 0), "")</f>
        <v/>
      </c>
      <c r="Y164" s="55" t="str">
        <f aca="false">IF(ISBLANK($C164),"",IF(AND(ISNUMBER(X164),N164&gt;0),X164/N164, "") )</f>
        <v/>
      </c>
      <c r="Z164" s="55" t="str">
        <f aca="false">IF(AND(NOT(ISBLANK($C164)), W164=Constants!$B$7), Y164, "")</f>
        <v/>
      </c>
      <c r="AA164" s="55" t="str">
        <f aca="false">IF(ISNUMBER(Z164), RANK(Z164,Z$8:Z$507), "")</f>
        <v/>
      </c>
      <c r="AB164" s="55" t="str">
        <f aca="false">IF(AND(NOT(ISBLANK($C164)), W164=Constants!$B$8), Y164, "")</f>
        <v/>
      </c>
      <c r="AC164" s="55" t="str">
        <f aca="false">IF(ISNUMBER(AB164), RANK(AB164,AB$8:AB$507), "")</f>
        <v/>
      </c>
      <c r="AD164" s="55" t="str">
        <f aca="false">IF(ISBLANK($C164),"",IF(V164&lt;&gt;Constants!$B$14, V164, IF(W164=Constants!$B$7, AA164, IF(W164=Constants!$B$8, COUNT($AA$8:$AA$507) + AC164, ""))))</f>
        <v/>
      </c>
      <c r="AE164" s="55" t="str">
        <f aca="false">N164</f>
        <v/>
      </c>
      <c r="AF164" s="55" t="str">
        <f aca="false">IF(ISNUMBER(AE164), RANK(AE164,AE$8:AE$507,1), "")</f>
        <v/>
      </c>
      <c r="AG164" s="57" t="str">
        <f aca="false">IF(ISBLANK(C164), "", ABS(M164-S164))</f>
        <v/>
      </c>
      <c r="AH164" s="55" t="str">
        <f aca="false">IF(ISNUMBER(AG164), RANK(AG164,AG$8:AG$507,1), "")</f>
        <v/>
      </c>
      <c r="AI164" s="55" t="str">
        <f aca="false">IF(ISBLANK(C164),"",IF(V164&lt;&gt;Constants!$B$14, V164, RANK(AD164, AD$8:AD$507, 1)+ SUMPRODUCT(--(AD$8:AD$507=AD164),--(AF164&gt;AF$8:AF$507)) + SUMPRODUCT(--(AD$8:AD$507=AD164),--(AF164=AF$8:AF$507),--(AH164&gt;AH$8:AH$507))))</f>
        <v/>
      </c>
      <c r="AJ164" s="55" t="str">
        <f aca="false">IF(ISBLANK(C164),"",IF(V164&lt;&gt;Constants!$B$14, V164, AD164-AI164))</f>
        <v/>
      </c>
      <c r="AK164" s="59"/>
      <c r="AL164" s="60" t="str">
        <f aca="false">IF(ISBLANK($C164),"",IF($V164&lt;&gt;Constants!$B$14,$V164,X164))</f>
        <v/>
      </c>
      <c r="AM164" s="60" t="str">
        <f aca="false">IF(ISBLANK($C164),"",IF($V164&lt;&gt;Constants!$B$14,$V164,N164))</f>
        <v/>
      </c>
      <c r="AN164" s="62" t="str">
        <f aca="false">IF(ISBLANK(C164),"",IF(V164&lt;&gt;Constants!$B$14, V164, IF(W164=Constants!$B$7,Z164,IF(W164=Constants!$B$8,AB164,""))))</f>
        <v/>
      </c>
      <c r="AO164" s="63" t="str">
        <f aca="false">IF(ISBLANK(C164),"",W164)</f>
        <v/>
      </c>
      <c r="AP164" s="63" t="str">
        <f aca="false">IF(ISBLANK(C164),"",AJ164)</f>
        <v/>
      </c>
      <c r="AQ164" s="63" t="str">
        <f aca="false">IF(ISBLANK(C164),"",AI164)</f>
        <v/>
      </c>
      <c r="AR164" s="64" t="str">
        <f aca="false">IF(ISBLANK(C164),
  "",
IF(AQ164=Constants!$B$11,COUNTA($C$8:$C$507)+2,IF(AQ164=Constants!$B$12,COUNTA($C$8:$C$507)+1,IF(AQ164=Constants!$B$13,COUNTA($C$8:$C$507),AQ164))))</f>
        <v/>
      </c>
      <c r="AS164" s="3"/>
      <c r="AT164" s="65" t="n">
        <f aca="false">IF(OR(ISNUMBER(AQ164),AQ164="DQ",AQ164="P",AQ164="NS"),
    1,
    0
)</f>
        <v>0</v>
      </c>
      <c r="AU164" s="65" t="n">
        <v>157</v>
      </c>
      <c r="AV164" s="65" t="str">
        <f aca="false">IF(ISBLANK($C164),
    "",
   IF(ISNUMBER(AR164),AR164+ROW($B164)/1000,"")
)</f>
        <v/>
      </c>
      <c r="AW164" s="65" t="str">
        <f aca="false">IF(ISNUMBER(AV164), RANK(AV164,AV$8:AV$507,1), "")</f>
        <v/>
      </c>
      <c r="AX164" s="65" t="str">
        <f aca="false">IF(ISBLANK($C164),
    "",
    $B164
)</f>
        <v/>
      </c>
      <c r="AY164" s="65" t="str">
        <f aca="false">IF(ISBLANK($C164),
    "",
    $C164
)</f>
        <v/>
      </c>
      <c r="AZ164" s="65" t="str">
        <f aca="false">IF(ISBLANK($C164),
    "",
    $D164
)</f>
        <v/>
      </c>
      <c r="BA164" s="65" t="str">
        <f aca="false">AO164</f>
        <v/>
      </c>
      <c r="BB164" s="66" t="str">
        <f aca="false">AN164</f>
        <v/>
      </c>
      <c r="BC164" s="65" t="str">
        <f aca="false">IF(ISBLANK($C164),
    "",
    AQ164
)</f>
        <v/>
      </c>
      <c r="BD164" s="67" t="str">
        <f aca="false">IF(AU164&gt;AT$7,
    "",
    VLOOKUP(AU164,AW$8:BC$507,7,FALSE())
)</f>
        <v/>
      </c>
      <c r="BE164" s="68" t="str">
        <f aca="false">IF(AU164&gt;AT$7,
    "",
    VLOOKUP(AU164,AW$8:BC$507,2,FALSE())
)</f>
        <v/>
      </c>
      <c r="BF164" s="68" t="str">
        <f aca="false">IF(AU164&gt;AT$7,
    "",
    VLOOKUP(AU164,AW$8:BC$507,3,FALSE())
)</f>
        <v/>
      </c>
      <c r="BG164" s="68" t="str">
        <f aca="false">IF(AU164&gt;AT$7,
    "",
    VLOOKUP(AU164,AW$8:BC$507,4,FALSE())
)</f>
        <v/>
      </c>
      <c r="BH164" s="68" t="str">
        <f aca="false">IF(AU164&gt;AT$7,
    "",
    VLOOKUP(AU164,AW$8:BC$507,5,FALSE())
)</f>
        <v/>
      </c>
      <c r="BI164" s="69" t="str">
        <f aca="false">IF(AU164&gt;AT$7,
    "",
    VLOOKUP(AU164,AW$8:BC$507,6,FALSE())
)</f>
        <v/>
      </c>
      <c r="BJ164" s="46"/>
    </row>
    <row r="165" customFormat="false" ht="15.75" hidden="false" customHeight="false" outlineLevel="0" collapsed="false">
      <c r="A165" s="3"/>
      <c r="B165" s="108"/>
      <c r="C165" s="70"/>
      <c r="D165" s="49"/>
      <c r="E165" s="109"/>
      <c r="F165" s="72"/>
      <c r="G165" s="109"/>
      <c r="H165" s="74"/>
      <c r="I165" s="104"/>
      <c r="J165" s="74"/>
      <c r="K165" s="74"/>
      <c r="L165" s="55"/>
      <c r="M165" s="55" t="str">
        <f aca="false">IF(ISBLANK($C165),"",IF(ISBLANK(E165),0,E165))</f>
        <v/>
      </c>
      <c r="N165" s="55" t="str">
        <f aca="false">IF(ISBLANK($C165),"",IF(ISBLANK(F165),0,F165))</f>
        <v/>
      </c>
      <c r="O165" s="55" t="e">
        <f aca="false">IF(AND(NOT(ISBLANK($C165)),NOT($T165),COUNTA($E165:$K165)&gt;0),ISBLANK($F165),FALSE())</f>
        <v>#VALUE!</v>
      </c>
      <c r="P165" s="55" t="str">
        <f aca="false">IF(ISBLANK($C165),"",IF(G165=Constants!$B$9, TRUE(), IF(G165=Constants!$B$10, FALSE(), TRUE())))</f>
        <v/>
      </c>
      <c r="Q165" s="55" t="str">
        <f aca="false">IF(ISBLANK($C165),"",IF(H165=Constants!$B$9, TRUE(), IF(H165=Constants!$B$10, FALSE(), TRUE())))</f>
        <v/>
      </c>
      <c r="R165" s="55" t="str">
        <f aca="false">IF(ISBLANK($C165),"",IF(ISBLANK(I165),Constants!$B$3,I165))</f>
        <v/>
      </c>
      <c r="S165" s="55" t="str">
        <f aca="false">IF(ISBLANK($C165),"",IF(ISBLANK(J165),0,MIN(J165,Constants!$B$6)))</f>
        <v/>
      </c>
      <c r="T165" s="55" t="str">
        <f aca="false">IF(ISBLANK($C165),"",IF(K165=Constants!$B$9, TRUE(), IF(K165=Constants!$B$10, FALSE(),  FALSE())))</f>
        <v/>
      </c>
      <c r="U165" s="55" t="str">
        <f aca="false">IF(ISBLANK($C165),"",AND(R165=Constants!$B$4, S165&lt;Constants!$B$6))</f>
        <v/>
      </c>
      <c r="V165" s="55" t="str">
        <f aca="false">IF(ISBLANK(C165), "", IF(T165, Constants!$B$11, IF(COUNTA(E165:K165)=0, Constants!$B$12, IF(NOT(AND(P165,S165&lt;&gt;0)), Constants!$B$13, IF(O165, Constants!$B$15, Constants!$B$14)))))</f>
        <v/>
      </c>
      <c r="W165" s="55" t="str">
        <f aca="false">IF(OR(ISBLANK($C165), SUMPRODUCT(--(P165:T165&lt;&gt;""))=0), "", IF(V165&lt;&gt;Constants!$B$14, V165, IF(AND(NOT(ISBLANK(J165)),P165,Q165,R165&lt;&gt;Constants!$B$2), Constants!$B$7, IF(AND(P165,OR(NOT(Q165),R165=Constants!$B$2)), Constants!$B$8, "Error"))))</f>
        <v/>
      </c>
      <c r="X165" s="56" t="str">
        <f aca="false">IF(OR(W165=Constants!$B$7,W165=Constants!$B$8), MAX(0, MIN(Constants!$B$6, S165))+IF(AND(R165=Constants!$B$4, NOT(U165)), Constants!$B$5, 0), "")</f>
        <v/>
      </c>
      <c r="Y165" s="55" t="str">
        <f aca="false">IF(ISBLANK($C165),"",IF(AND(ISNUMBER(X165),N165&gt;0),X165/N165, "") )</f>
        <v/>
      </c>
      <c r="Z165" s="55" t="str">
        <f aca="false">IF(AND(NOT(ISBLANK($C165)), W165=Constants!$B$7), Y165, "")</f>
        <v/>
      </c>
      <c r="AA165" s="55" t="str">
        <f aca="false">IF(ISNUMBER(Z165), RANK(Z165,Z$8:Z$507), "")</f>
        <v/>
      </c>
      <c r="AB165" s="55" t="str">
        <f aca="false">IF(AND(NOT(ISBLANK($C165)), W165=Constants!$B$8), Y165, "")</f>
        <v/>
      </c>
      <c r="AC165" s="55" t="str">
        <f aca="false">IF(ISNUMBER(AB165), RANK(AB165,AB$8:AB$507), "")</f>
        <v/>
      </c>
      <c r="AD165" s="55" t="str">
        <f aca="false">IF(ISBLANK($C165),"",IF(V165&lt;&gt;Constants!$B$14, V165, IF(W165=Constants!$B$7, AA165, IF(W165=Constants!$B$8, COUNT($AA$8:$AA$507) + AC165, ""))))</f>
        <v/>
      </c>
      <c r="AE165" s="55" t="str">
        <f aca="false">N165</f>
        <v/>
      </c>
      <c r="AF165" s="55" t="str">
        <f aca="false">IF(ISNUMBER(AE165), RANK(AE165,AE$8:AE$507,1), "")</f>
        <v/>
      </c>
      <c r="AG165" s="57" t="str">
        <f aca="false">IF(ISBLANK(C165), "", ABS(M165-S165))</f>
        <v/>
      </c>
      <c r="AH165" s="55" t="str">
        <f aca="false">IF(ISNUMBER(AG165), RANK(AG165,AG$8:AG$507,1), "")</f>
        <v/>
      </c>
      <c r="AI165" s="55" t="str">
        <f aca="false">IF(ISBLANK(C165),"",IF(V165&lt;&gt;Constants!$B$14, V165, RANK(AD165, AD$8:AD$507, 1)+ SUMPRODUCT(--(AD$8:AD$507=AD165),--(AF165&gt;AF$8:AF$507)) + SUMPRODUCT(--(AD$8:AD$507=AD165),--(AF165=AF$8:AF$507),--(AH165&gt;AH$8:AH$507))))</f>
        <v/>
      </c>
      <c r="AJ165" s="55" t="str">
        <f aca="false">IF(ISBLANK(C165),"",IF(V165&lt;&gt;Constants!$B$14, V165, AD165-AI165))</f>
        <v/>
      </c>
      <c r="AK165" s="59"/>
      <c r="AL165" s="60" t="str">
        <f aca="false">IF(ISBLANK($C165),"",IF($V165&lt;&gt;Constants!$B$14,$V165,X165))</f>
        <v/>
      </c>
      <c r="AM165" s="60" t="str">
        <f aca="false">IF(ISBLANK($C165),"",IF($V165&lt;&gt;Constants!$B$14,$V165,N165))</f>
        <v/>
      </c>
      <c r="AN165" s="62" t="str">
        <f aca="false">IF(ISBLANK(C165),"",IF(V165&lt;&gt;Constants!$B$14, V165, IF(W165=Constants!$B$7,Z165,IF(W165=Constants!$B$8,AB165,""))))</f>
        <v/>
      </c>
      <c r="AO165" s="63" t="str">
        <f aca="false">IF(ISBLANK(C165),"",W165)</f>
        <v/>
      </c>
      <c r="AP165" s="63" t="str">
        <f aca="false">IF(ISBLANK(C165),"",AJ165)</f>
        <v/>
      </c>
      <c r="AQ165" s="63" t="str">
        <f aca="false">IF(ISBLANK(C165),"",AI165)</f>
        <v/>
      </c>
      <c r="AR165" s="64" t="str">
        <f aca="false">IF(ISBLANK(C165),
  "",
IF(AQ165=Constants!$B$11,COUNTA($C$8:$C$507)+2,IF(AQ165=Constants!$B$12,COUNTA($C$8:$C$507)+1,IF(AQ165=Constants!$B$13,COUNTA($C$8:$C$507),AQ165))))</f>
        <v/>
      </c>
      <c r="AS165" s="3"/>
      <c r="AT165" s="65" t="n">
        <f aca="false">IF(OR(ISNUMBER(AQ165),AQ165="DQ",AQ165="P",AQ165="NS"),
    1,
    0
)</f>
        <v>0</v>
      </c>
      <c r="AU165" s="65" t="n">
        <v>158</v>
      </c>
      <c r="AV165" s="65" t="str">
        <f aca="false">IF(ISBLANK($C165),
    "",
   IF(ISNUMBER(AR165),AR165+ROW($B165)/1000,"")
)</f>
        <v/>
      </c>
      <c r="AW165" s="65" t="str">
        <f aca="false">IF(ISNUMBER(AV165), RANK(AV165,AV$8:AV$507,1), "")</f>
        <v/>
      </c>
      <c r="AX165" s="65" t="str">
        <f aca="false">IF(ISBLANK($C165),
    "",
    $B165
)</f>
        <v/>
      </c>
      <c r="AY165" s="65" t="str">
        <f aca="false">IF(ISBLANK($C165),
    "",
    $C165
)</f>
        <v/>
      </c>
      <c r="AZ165" s="65" t="str">
        <f aca="false">IF(ISBLANK($C165),
    "",
    $D165
)</f>
        <v/>
      </c>
      <c r="BA165" s="65" t="str">
        <f aca="false">AO165</f>
        <v/>
      </c>
      <c r="BB165" s="66" t="str">
        <f aca="false">AN165</f>
        <v/>
      </c>
      <c r="BC165" s="65" t="str">
        <f aca="false">IF(ISBLANK($C165),
    "",
    AQ165
)</f>
        <v/>
      </c>
      <c r="BD165" s="67" t="str">
        <f aca="false">IF(AU165&gt;AT$7,
    "",
    VLOOKUP(AU165,AW$8:BC$507,7,FALSE())
)</f>
        <v/>
      </c>
      <c r="BE165" s="68" t="str">
        <f aca="false">IF(AU165&gt;AT$7,
    "",
    VLOOKUP(AU165,AW$8:BC$507,2,FALSE())
)</f>
        <v/>
      </c>
      <c r="BF165" s="68" t="str">
        <f aca="false">IF(AU165&gt;AT$7,
    "",
    VLOOKUP(AU165,AW$8:BC$507,3,FALSE())
)</f>
        <v/>
      </c>
      <c r="BG165" s="68" t="str">
        <f aca="false">IF(AU165&gt;AT$7,
    "",
    VLOOKUP(AU165,AW$8:BC$507,4,FALSE())
)</f>
        <v/>
      </c>
      <c r="BH165" s="68" t="str">
        <f aca="false">IF(AU165&gt;AT$7,
    "",
    VLOOKUP(AU165,AW$8:BC$507,5,FALSE())
)</f>
        <v/>
      </c>
      <c r="BI165" s="69" t="str">
        <f aca="false">IF(AU165&gt;AT$7,
    "",
    VLOOKUP(AU165,AW$8:BC$507,6,FALSE())
)</f>
        <v/>
      </c>
      <c r="BJ165" s="46"/>
    </row>
    <row r="166" customFormat="false" ht="15.75" hidden="false" customHeight="false" outlineLevel="0" collapsed="false">
      <c r="A166" s="3"/>
      <c r="B166" s="108"/>
      <c r="C166" s="70"/>
      <c r="D166" s="49"/>
      <c r="E166" s="109"/>
      <c r="F166" s="72"/>
      <c r="G166" s="109"/>
      <c r="H166" s="74"/>
      <c r="I166" s="104"/>
      <c r="J166" s="74"/>
      <c r="K166" s="74"/>
      <c r="L166" s="55"/>
      <c r="M166" s="55" t="str">
        <f aca="false">IF(ISBLANK($C166),"",IF(ISBLANK(E166),0,E166))</f>
        <v/>
      </c>
      <c r="N166" s="55" t="str">
        <f aca="false">IF(ISBLANK($C166),"",IF(ISBLANK(F166),0,F166))</f>
        <v/>
      </c>
      <c r="O166" s="55" t="e">
        <f aca="false">IF(AND(NOT(ISBLANK($C166)),NOT($T166),COUNTA($E166:$K166)&gt;0),ISBLANK($F166),FALSE())</f>
        <v>#VALUE!</v>
      </c>
      <c r="P166" s="55" t="str">
        <f aca="false">IF(ISBLANK($C166),"",IF(G166=Constants!$B$9, TRUE(), IF(G166=Constants!$B$10, FALSE(), TRUE())))</f>
        <v/>
      </c>
      <c r="Q166" s="55" t="str">
        <f aca="false">IF(ISBLANK($C166),"",IF(H166=Constants!$B$9, TRUE(), IF(H166=Constants!$B$10, FALSE(), TRUE())))</f>
        <v/>
      </c>
      <c r="R166" s="55" t="str">
        <f aca="false">IF(ISBLANK($C166),"",IF(ISBLANK(I166),Constants!$B$3,I166))</f>
        <v/>
      </c>
      <c r="S166" s="55" t="str">
        <f aca="false">IF(ISBLANK($C166),"",IF(ISBLANK(J166),0,MIN(J166,Constants!$B$6)))</f>
        <v/>
      </c>
      <c r="T166" s="55" t="str">
        <f aca="false">IF(ISBLANK($C166),"",IF(K166=Constants!$B$9, TRUE(), IF(K166=Constants!$B$10, FALSE(),  FALSE())))</f>
        <v/>
      </c>
      <c r="U166" s="55" t="str">
        <f aca="false">IF(ISBLANK($C166),"",AND(R166=Constants!$B$4, S166&lt;Constants!$B$6))</f>
        <v/>
      </c>
      <c r="V166" s="55" t="str">
        <f aca="false">IF(ISBLANK(C166), "", IF(T166, Constants!$B$11, IF(COUNTA(E166:K166)=0, Constants!$B$12, IF(NOT(AND(P166,S166&lt;&gt;0)), Constants!$B$13, IF(O166, Constants!$B$15, Constants!$B$14)))))</f>
        <v/>
      </c>
      <c r="W166" s="55" t="str">
        <f aca="false">IF(OR(ISBLANK($C166), SUMPRODUCT(--(P166:T166&lt;&gt;""))=0), "", IF(V166&lt;&gt;Constants!$B$14, V166, IF(AND(NOT(ISBLANK(J166)),P166,Q166,R166&lt;&gt;Constants!$B$2), Constants!$B$7, IF(AND(P166,OR(NOT(Q166),R166=Constants!$B$2)), Constants!$B$8, "Error"))))</f>
        <v/>
      </c>
      <c r="X166" s="56" t="str">
        <f aca="false">IF(OR(W166=Constants!$B$7,W166=Constants!$B$8), MAX(0, MIN(Constants!$B$6, S166))+IF(AND(R166=Constants!$B$4, NOT(U166)), Constants!$B$5, 0), "")</f>
        <v/>
      </c>
      <c r="Y166" s="55" t="str">
        <f aca="false">IF(ISBLANK($C166),"",IF(AND(ISNUMBER(X166),N166&gt;0),X166/N166, "") )</f>
        <v/>
      </c>
      <c r="Z166" s="55" t="str">
        <f aca="false">IF(AND(NOT(ISBLANK($C166)), W166=Constants!$B$7), Y166, "")</f>
        <v/>
      </c>
      <c r="AA166" s="55" t="str">
        <f aca="false">IF(ISNUMBER(Z166), RANK(Z166,Z$8:Z$507), "")</f>
        <v/>
      </c>
      <c r="AB166" s="55" t="str">
        <f aca="false">IF(AND(NOT(ISBLANK($C166)), W166=Constants!$B$8), Y166, "")</f>
        <v/>
      </c>
      <c r="AC166" s="55" t="str">
        <f aca="false">IF(ISNUMBER(AB166), RANK(AB166,AB$8:AB$507), "")</f>
        <v/>
      </c>
      <c r="AD166" s="55" t="str">
        <f aca="false">IF(ISBLANK($C166),"",IF(V166&lt;&gt;Constants!$B$14, V166, IF(W166=Constants!$B$7, AA166, IF(W166=Constants!$B$8, COUNT($AA$8:$AA$507) + AC166, ""))))</f>
        <v/>
      </c>
      <c r="AE166" s="55" t="str">
        <f aca="false">N166</f>
        <v/>
      </c>
      <c r="AF166" s="55" t="str">
        <f aca="false">IF(ISNUMBER(AE166), RANK(AE166,AE$8:AE$507,1), "")</f>
        <v/>
      </c>
      <c r="AG166" s="57" t="str">
        <f aca="false">IF(ISBLANK(C166), "", ABS(M166-S166))</f>
        <v/>
      </c>
      <c r="AH166" s="55" t="str">
        <f aca="false">IF(ISNUMBER(AG166), RANK(AG166,AG$8:AG$507,1), "")</f>
        <v/>
      </c>
      <c r="AI166" s="55" t="str">
        <f aca="false">IF(ISBLANK(C166),"",IF(V166&lt;&gt;Constants!$B$14, V166, RANK(AD166, AD$8:AD$507, 1)+ SUMPRODUCT(--(AD$8:AD$507=AD166),--(AF166&gt;AF$8:AF$507)) + SUMPRODUCT(--(AD$8:AD$507=AD166),--(AF166=AF$8:AF$507),--(AH166&gt;AH$8:AH$507))))</f>
        <v/>
      </c>
      <c r="AJ166" s="55" t="str">
        <f aca="false">IF(ISBLANK(C166),"",IF(V166&lt;&gt;Constants!$B$14, V166, AD166-AI166))</f>
        <v/>
      </c>
      <c r="AK166" s="59"/>
      <c r="AL166" s="60" t="str">
        <f aca="false">IF(ISBLANK($C166),"",IF($V166&lt;&gt;Constants!$B$14,$V166,X166))</f>
        <v/>
      </c>
      <c r="AM166" s="60" t="str">
        <f aca="false">IF(ISBLANK($C166),"",IF($V166&lt;&gt;Constants!$B$14,$V166,N166))</f>
        <v/>
      </c>
      <c r="AN166" s="62" t="str">
        <f aca="false">IF(ISBLANK(C166),"",IF(V166&lt;&gt;Constants!$B$14, V166, IF(W166=Constants!$B$7,Z166,IF(W166=Constants!$B$8,AB166,""))))</f>
        <v/>
      </c>
      <c r="AO166" s="63" t="str">
        <f aca="false">IF(ISBLANK(C166),"",W166)</f>
        <v/>
      </c>
      <c r="AP166" s="63" t="str">
        <f aca="false">IF(ISBLANK(C166),"",AJ166)</f>
        <v/>
      </c>
      <c r="AQ166" s="63" t="str">
        <f aca="false">IF(ISBLANK(C166),"",AI166)</f>
        <v/>
      </c>
      <c r="AR166" s="64" t="str">
        <f aca="false">IF(ISBLANK(C166),
  "",
IF(AQ166=Constants!$B$11,COUNTA($C$8:$C$507)+2,IF(AQ166=Constants!$B$12,COUNTA($C$8:$C$507)+1,IF(AQ166=Constants!$B$13,COUNTA($C$8:$C$507),AQ166))))</f>
        <v/>
      </c>
      <c r="AS166" s="3"/>
      <c r="AT166" s="65" t="n">
        <f aca="false">IF(OR(ISNUMBER(AQ166),AQ166="DQ",AQ166="P",AQ166="NS"),
    1,
    0
)</f>
        <v>0</v>
      </c>
      <c r="AU166" s="65" t="n">
        <v>159</v>
      </c>
      <c r="AV166" s="65" t="str">
        <f aca="false">IF(ISBLANK($C166),
    "",
   IF(ISNUMBER(AR166),AR166+ROW($B166)/1000,"")
)</f>
        <v/>
      </c>
      <c r="AW166" s="65" t="str">
        <f aca="false">IF(ISNUMBER(AV166), RANK(AV166,AV$8:AV$507,1), "")</f>
        <v/>
      </c>
      <c r="AX166" s="65" t="str">
        <f aca="false">IF(ISBLANK($C166),
    "",
    $B166
)</f>
        <v/>
      </c>
      <c r="AY166" s="65" t="str">
        <f aca="false">IF(ISBLANK($C166),
    "",
    $C166
)</f>
        <v/>
      </c>
      <c r="AZ166" s="65" t="str">
        <f aca="false">IF(ISBLANK($C166),
    "",
    $D166
)</f>
        <v/>
      </c>
      <c r="BA166" s="65" t="str">
        <f aca="false">AO166</f>
        <v/>
      </c>
      <c r="BB166" s="66" t="str">
        <f aca="false">AN166</f>
        <v/>
      </c>
      <c r="BC166" s="65" t="str">
        <f aca="false">IF(ISBLANK($C166),
    "",
    AQ166
)</f>
        <v/>
      </c>
      <c r="BD166" s="67" t="str">
        <f aca="false">IF(AU166&gt;AT$7,
    "",
    VLOOKUP(AU166,AW$8:BC$507,7,FALSE())
)</f>
        <v/>
      </c>
      <c r="BE166" s="68" t="str">
        <f aca="false">IF(AU166&gt;AT$7,
    "",
    VLOOKUP(AU166,AW$8:BC$507,2,FALSE())
)</f>
        <v/>
      </c>
      <c r="BF166" s="68" t="str">
        <f aca="false">IF(AU166&gt;AT$7,
    "",
    VLOOKUP(AU166,AW$8:BC$507,3,FALSE())
)</f>
        <v/>
      </c>
      <c r="BG166" s="68" t="str">
        <f aca="false">IF(AU166&gt;AT$7,
    "",
    VLOOKUP(AU166,AW$8:BC$507,4,FALSE())
)</f>
        <v/>
      </c>
      <c r="BH166" s="68" t="str">
        <f aca="false">IF(AU166&gt;AT$7,
    "",
    VLOOKUP(AU166,AW$8:BC$507,5,FALSE())
)</f>
        <v/>
      </c>
      <c r="BI166" s="69" t="str">
        <f aca="false">IF(AU166&gt;AT$7,
    "",
    VLOOKUP(AU166,AW$8:BC$507,6,FALSE())
)</f>
        <v/>
      </c>
      <c r="BJ166" s="46"/>
    </row>
    <row r="167" customFormat="false" ht="15.75" hidden="false" customHeight="false" outlineLevel="0" collapsed="false">
      <c r="A167" s="3"/>
      <c r="B167" s="105"/>
      <c r="C167" s="106"/>
      <c r="D167" s="99"/>
      <c r="E167" s="110"/>
      <c r="F167" s="107"/>
      <c r="G167" s="110"/>
      <c r="H167" s="103"/>
      <c r="I167" s="102"/>
      <c r="J167" s="103"/>
      <c r="K167" s="103"/>
      <c r="L167" s="85"/>
      <c r="M167" s="85" t="str">
        <f aca="false">IF(ISBLANK($C167),"",IF(ISBLANK(E167),0,E167))</f>
        <v/>
      </c>
      <c r="N167" s="85" t="str">
        <f aca="false">IF(ISBLANK($C167),"",IF(ISBLANK(F167),0,F167))</f>
        <v/>
      </c>
      <c r="O167" s="86" t="e">
        <f aca="false">IF(AND(NOT(ISBLANK($C167)),NOT($T167),COUNTA($E167:$K167)&gt;0),ISBLANK($F167),FALSE())</f>
        <v>#VALUE!</v>
      </c>
      <c r="P167" s="85" t="str">
        <f aca="false">IF(ISBLANK($C167),"",IF(G167=Constants!$B$9, TRUE(), IF(G167=Constants!$B$10, FALSE(), TRUE())))</f>
        <v/>
      </c>
      <c r="Q167" s="85" t="str">
        <f aca="false">IF(ISBLANK($C167),"",IF(H167=Constants!$B$9, TRUE(), IF(H167=Constants!$B$10, FALSE(), TRUE())))</f>
        <v/>
      </c>
      <c r="R167" s="85" t="str">
        <f aca="false">IF(ISBLANK($C167),"",IF(ISBLANK(I167),Constants!$B$3,I167))</f>
        <v/>
      </c>
      <c r="S167" s="85" t="str">
        <f aca="false">IF(ISBLANK($C167),"",IF(ISBLANK(J167),0,MIN(J167,Constants!$B$6)))</f>
        <v/>
      </c>
      <c r="T167" s="85" t="str">
        <f aca="false">IF(ISBLANK($C167),"",IF(K167=Constants!$B$9, TRUE(), IF(K167=Constants!$B$10, FALSE(),  FALSE())))</f>
        <v/>
      </c>
      <c r="U167" s="85" t="str">
        <f aca="false">IF(ISBLANK($C167),"",AND(R167=Constants!$B$4, S167&lt;Constants!$B$6))</f>
        <v/>
      </c>
      <c r="V167" s="85" t="str">
        <f aca="false">IF(ISBLANK(C167), "", IF(T167, Constants!$B$11, IF(COUNTA(E167:K167)=0, Constants!$B$12, IF(NOT(AND(P167,S167&lt;&gt;0)), Constants!$B$13, IF(O167, Constants!$B$15, Constants!$B$14)))))</f>
        <v/>
      </c>
      <c r="W167" s="85" t="str">
        <f aca="false">IF(OR(ISBLANK($C167), SUMPRODUCT(--(P167:T167&lt;&gt;""))=0), "", IF(V167&lt;&gt;Constants!$B$14, V167, IF(AND(NOT(ISBLANK(J167)),P167,Q167,R167&lt;&gt;Constants!$B$2), Constants!$B$7, IF(AND(P167,OR(NOT(Q167),R167=Constants!$B$2)), Constants!$B$8, "Error"))))</f>
        <v/>
      </c>
      <c r="X167" s="87" t="str">
        <f aca="false">IF(OR(W167=Constants!$B$7,W167=Constants!$B$8), MAX(0, MIN(Constants!$B$6, S167))+IF(AND(R167=Constants!$B$4, NOT(U167)), Constants!$B$5, 0), "")</f>
        <v/>
      </c>
      <c r="Y167" s="85" t="str">
        <f aca="false">IF(ISBLANK($C167),"",IF(AND(ISNUMBER(X167),N167&gt;0),X167/N167, "") )</f>
        <v/>
      </c>
      <c r="Z167" s="85" t="str">
        <f aca="false">IF(AND(NOT(ISBLANK($C167)), W167=Constants!$B$7), Y167, "")</f>
        <v/>
      </c>
      <c r="AA167" s="85" t="str">
        <f aca="false">IF(ISNUMBER(Z167), RANK(Z167,Z$8:Z$507), "")</f>
        <v/>
      </c>
      <c r="AB167" s="85" t="str">
        <f aca="false">IF(AND(NOT(ISBLANK($C167)), W167=Constants!$B$8), Y167, "")</f>
        <v/>
      </c>
      <c r="AC167" s="85" t="str">
        <f aca="false">IF(ISNUMBER(AB167), RANK(AB167,AB$8:AB$507), "")</f>
        <v/>
      </c>
      <c r="AD167" s="85" t="str">
        <f aca="false">IF(ISBLANK($C167),"",IF(V167&lt;&gt;Constants!$B$14, V167, IF(W167=Constants!$B$7, AA167, IF(W167=Constants!$B$8, COUNT($AA$8:$AA$507) + AC167, ""))))</f>
        <v/>
      </c>
      <c r="AE167" s="85" t="str">
        <f aca="false">N167</f>
        <v/>
      </c>
      <c r="AF167" s="85" t="str">
        <f aca="false">IF(ISNUMBER(AE167), RANK(AE167,AE$8:AE$507,1), "")</f>
        <v/>
      </c>
      <c r="AG167" s="88" t="str">
        <f aca="false">IF(ISBLANK(C167), "", ABS(M167-S167))</f>
        <v/>
      </c>
      <c r="AH167" s="85" t="str">
        <f aca="false">IF(ISNUMBER(AG167), RANK(AG167,AG$8:AG$507,1), "")</f>
        <v/>
      </c>
      <c r="AI167" s="85" t="str">
        <f aca="false">IF(ISBLANK(C167),"",IF(V167&lt;&gt;Constants!$B$14, V167, RANK(AD167, AD$8:AD$507, 1)+ SUMPRODUCT(--(AD$8:AD$507=AD167),--(AF167&gt;AF$8:AF$507)) + SUMPRODUCT(--(AD$8:AD$507=AD167),--(AF167=AF$8:AF$507),--(AH167&gt;AH$8:AH$507))))</f>
        <v/>
      </c>
      <c r="AJ167" s="85" t="str">
        <f aca="false">IF(ISBLANK(C167),"",IF(V167&lt;&gt;Constants!$B$14, V167, AD167-AI167))</f>
        <v/>
      </c>
      <c r="AK167" s="89"/>
      <c r="AL167" s="90" t="str">
        <f aca="false">IF(ISBLANK($C167),"",IF($V167&lt;&gt;Constants!$B$14,$V167,X167))</f>
        <v/>
      </c>
      <c r="AM167" s="90" t="str">
        <f aca="false">IF(ISBLANK($C167),"",IF($V167&lt;&gt;Constants!$B$14,$V167,N167))</f>
        <v/>
      </c>
      <c r="AN167" s="91" t="str">
        <f aca="false">IF(ISBLANK(C167),"",IF(V167&lt;&gt;Constants!$B$14, V167, IF(W167=Constants!$B$7,Z167,IF(W167=Constants!$B$8,AB167,""))))</f>
        <v/>
      </c>
      <c r="AO167" s="92" t="str">
        <f aca="false">IF(ISBLANK(C167),"",W167)</f>
        <v/>
      </c>
      <c r="AP167" s="92" t="str">
        <f aca="false">IF(ISBLANK(C167),"",AJ167)</f>
        <v/>
      </c>
      <c r="AQ167" s="92" t="str">
        <f aca="false">IF(ISBLANK(C167),"",AI167)</f>
        <v/>
      </c>
      <c r="AR167" s="93" t="str">
        <f aca="false">IF(ISBLANK(C167),
  "",
IF(AQ167=Constants!$B$11,COUNTA($C$8:$C$507)+2,IF(AQ167=Constants!$B$12,COUNTA($C$8:$C$507)+1,IF(AQ167=Constants!$B$13,COUNTA($C$8:$C$507),AQ167))))</f>
        <v/>
      </c>
      <c r="AS167" s="3"/>
      <c r="AT167" s="94" t="n">
        <f aca="false">IF(OR(ISNUMBER(AQ167),AQ167="DQ",AQ167="P",AQ167="NS"),
    1,
    0
)</f>
        <v>0</v>
      </c>
      <c r="AU167" s="94" t="n">
        <v>160</v>
      </c>
      <c r="AV167" s="94" t="str">
        <f aca="false">IF(ISBLANK($C167),
    "",
   IF(ISNUMBER(AR167),AR167+ROW($B167)/1000,"")
)</f>
        <v/>
      </c>
      <c r="AW167" s="94" t="str">
        <f aca="false">IF(ISNUMBER(AV167), RANK(AV167,AV$8:AV$507,1), "")</f>
        <v/>
      </c>
      <c r="AX167" s="94" t="str">
        <f aca="false">IF(ISBLANK($C167),
    "",
    $B167
)</f>
        <v/>
      </c>
      <c r="AY167" s="94" t="str">
        <f aca="false">IF(ISBLANK($C167),
    "",
    $C167
)</f>
        <v/>
      </c>
      <c r="AZ167" s="94" t="str">
        <f aca="false">IF(ISBLANK($C167),
    "",
    $D167
)</f>
        <v/>
      </c>
      <c r="BA167" s="94" t="str">
        <f aca="false">AO167</f>
        <v/>
      </c>
      <c r="BB167" s="95" t="str">
        <f aca="false">AN167</f>
        <v/>
      </c>
      <c r="BC167" s="94" t="str">
        <f aca="false">IF(ISBLANK($C167),
    "",
    AQ167
)</f>
        <v/>
      </c>
      <c r="BD167" s="96" t="str">
        <f aca="false">IF(AU167&gt;AT$7,
    "",
    VLOOKUP(AU167,AW$8:BC$507,7,FALSE())
)</f>
        <v/>
      </c>
      <c r="BE167" s="97" t="str">
        <f aca="false">IF(AU167&gt;AT$7,
    "",
    VLOOKUP(AU167,AW$8:BC$507,2,FALSE())
)</f>
        <v/>
      </c>
      <c r="BF167" s="97" t="str">
        <f aca="false">IF(AU167&gt;AT$7,
    "",
    VLOOKUP(AU167,AW$8:BC$507,3,FALSE())
)</f>
        <v/>
      </c>
      <c r="BG167" s="97" t="str">
        <f aca="false">IF(AU167&gt;AT$7,
    "",
    VLOOKUP(AU167,AW$8:BC$507,4,FALSE())
)</f>
        <v/>
      </c>
      <c r="BH167" s="97" t="str">
        <f aca="false">IF(AU167&gt;AT$7,
    "",
    VLOOKUP(AU167,AW$8:BC$507,5,FALSE())
)</f>
        <v/>
      </c>
      <c r="BI167" s="98" t="str">
        <f aca="false">IF(AU167&gt;AT$7,
    "",
    VLOOKUP(AU167,AW$8:BC$507,6,FALSE())
)</f>
        <v/>
      </c>
      <c r="BJ167" s="46"/>
    </row>
    <row r="168" customFormat="false" ht="15.75" hidden="false" customHeight="false" outlineLevel="0" collapsed="false">
      <c r="A168" s="3"/>
      <c r="B168" s="105"/>
      <c r="C168" s="106"/>
      <c r="D168" s="99"/>
      <c r="E168" s="110"/>
      <c r="F168" s="107"/>
      <c r="G168" s="110"/>
      <c r="H168" s="103"/>
      <c r="I168" s="102"/>
      <c r="J168" s="103"/>
      <c r="K168" s="103"/>
      <c r="L168" s="85"/>
      <c r="M168" s="85" t="str">
        <f aca="false">IF(ISBLANK($C168),"",IF(ISBLANK(E168),0,E168))</f>
        <v/>
      </c>
      <c r="N168" s="85" t="str">
        <f aca="false">IF(ISBLANK($C168),"",IF(ISBLANK(F168),0,F168))</f>
        <v/>
      </c>
      <c r="O168" s="86" t="e">
        <f aca="false">IF(AND(NOT(ISBLANK($C168)),NOT($T168),COUNTA($E168:$K168)&gt;0),ISBLANK($F168),FALSE())</f>
        <v>#VALUE!</v>
      </c>
      <c r="P168" s="85" t="str">
        <f aca="false">IF(ISBLANK($C168),"",IF(G168=Constants!$B$9, TRUE(), IF(G168=Constants!$B$10, FALSE(), TRUE())))</f>
        <v/>
      </c>
      <c r="Q168" s="85" t="str">
        <f aca="false">IF(ISBLANK($C168),"",IF(H168=Constants!$B$9, TRUE(), IF(H168=Constants!$B$10, FALSE(), TRUE())))</f>
        <v/>
      </c>
      <c r="R168" s="85" t="str">
        <f aca="false">IF(ISBLANK($C168),"",IF(ISBLANK(I168),Constants!$B$3,I168))</f>
        <v/>
      </c>
      <c r="S168" s="85" t="str">
        <f aca="false">IF(ISBLANK($C168),"",IF(ISBLANK(J168),0,MIN(J168,Constants!$B$6)))</f>
        <v/>
      </c>
      <c r="T168" s="85" t="str">
        <f aca="false">IF(ISBLANK($C168),"",IF(K168=Constants!$B$9, TRUE(), IF(K168=Constants!$B$10, FALSE(),  FALSE())))</f>
        <v/>
      </c>
      <c r="U168" s="85" t="str">
        <f aca="false">IF(ISBLANK($C168),"",AND(R168=Constants!$B$4, S168&lt;Constants!$B$6))</f>
        <v/>
      </c>
      <c r="V168" s="85" t="str">
        <f aca="false">IF(ISBLANK(C168), "", IF(T168, Constants!$B$11, IF(COUNTA(E168:K168)=0, Constants!$B$12, IF(NOT(AND(P168,S168&lt;&gt;0)), Constants!$B$13, IF(O168, Constants!$B$15, Constants!$B$14)))))</f>
        <v/>
      </c>
      <c r="W168" s="85" t="str">
        <f aca="false">IF(OR(ISBLANK($C168), SUMPRODUCT(--(P168:T168&lt;&gt;""))=0), "", IF(V168&lt;&gt;Constants!$B$14, V168, IF(AND(NOT(ISBLANK(J168)),P168,Q168,R168&lt;&gt;Constants!$B$2), Constants!$B$7, IF(AND(P168,OR(NOT(Q168),R168=Constants!$B$2)), Constants!$B$8, "Error"))))</f>
        <v/>
      </c>
      <c r="X168" s="87" t="str">
        <f aca="false">IF(OR(W168=Constants!$B$7,W168=Constants!$B$8), MAX(0, MIN(Constants!$B$6, S168))+IF(AND(R168=Constants!$B$4, NOT(U168)), Constants!$B$5, 0), "")</f>
        <v/>
      </c>
      <c r="Y168" s="85" t="str">
        <f aca="false">IF(ISBLANK($C168),"",IF(AND(ISNUMBER(X168),N168&gt;0),X168/N168, "") )</f>
        <v/>
      </c>
      <c r="Z168" s="85" t="str">
        <f aca="false">IF(AND(NOT(ISBLANK($C168)), W168=Constants!$B$7), Y168, "")</f>
        <v/>
      </c>
      <c r="AA168" s="85" t="str">
        <f aca="false">IF(ISNUMBER(Z168), RANK(Z168,Z$8:Z$507), "")</f>
        <v/>
      </c>
      <c r="AB168" s="85" t="str">
        <f aca="false">IF(AND(NOT(ISBLANK($C168)), W168=Constants!$B$8), Y168, "")</f>
        <v/>
      </c>
      <c r="AC168" s="85" t="str">
        <f aca="false">IF(ISNUMBER(AB168), RANK(AB168,AB$8:AB$507), "")</f>
        <v/>
      </c>
      <c r="AD168" s="85" t="str">
        <f aca="false">IF(ISBLANK($C168),"",IF(V168&lt;&gt;Constants!$B$14, V168, IF(W168=Constants!$B$7, AA168, IF(W168=Constants!$B$8, COUNT($AA$8:$AA$507) + AC168, ""))))</f>
        <v/>
      </c>
      <c r="AE168" s="85" t="str">
        <f aca="false">N168</f>
        <v/>
      </c>
      <c r="AF168" s="85" t="str">
        <f aca="false">IF(ISNUMBER(AE168), RANK(AE168,AE$8:AE$507,1), "")</f>
        <v/>
      </c>
      <c r="AG168" s="88" t="str">
        <f aca="false">IF(ISBLANK(C168), "", ABS(M168-S168))</f>
        <v/>
      </c>
      <c r="AH168" s="85" t="str">
        <f aca="false">IF(ISNUMBER(AG168), RANK(AG168,AG$8:AG$507,1), "")</f>
        <v/>
      </c>
      <c r="AI168" s="85" t="str">
        <f aca="false">IF(ISBLANK(C168),"",IF(V168&lt;&gt;Constants!$B$14, V168, RANK(AD168, AD$8:AD$507, 1)+ SUMPRODUCT(--(AD$8:AD$507=AD168),--(AF168&gt;AF$8:AF$507)) + SUMPRODUCT(--(AD$8:AD$507=AD168),--(AF168=AF$8:AF$507),--(AH168&gt;AH$8:AH$507))))</f>
        <v/>
      </c>
      <c r="AJ168" s="85" t="str">
        <f aca="false">IF(ISBLANK(C168),"",IF(V168&lt;&gt;Constants!$B$14, V168, AD168-AI168))</f>
        <v/>
      </c>
      <c r="AK168" s="89"/>
      <c r="AL168" s="90" t="str">
        <f aca="false">IF(ISBLANK($C168),"",IF($V168&lt;&gt;Constants!$B$14,$V168,X168))</f>
        <v/>
      </c>
      <c r="AM168" s="90" t="str">
        <f aca="false">IF(ISBLANK($C168),"",IF($V168&lt;&gt;Constants!$B$14,$V168,N168))</f>
        <v/>
      </c>
      <c r="AN168" s="91" t="str">
        <f aca="false">IF(ISBLANK(C168),"",IF(V168&lt;&gt;Constants!$B$14, V168, IF(W168=Constants!$B$7,Z168,IF(W168=Constants!$B$8,AB168,""))))</f>
        <v/>
      </c>
      <c r="AO168" s="92" t="str">
        <f aca="false">IF(ISBLANK(C168),"",W168)</f>
        <v/>
      </c>
      <c r="AP168" s="92" t="str">
        <f aca="false">IF(ISBLANK(C168),"",AJ168)</f>
        <v/>
      </c>
      <c r="AQ168" s="92" t="str">
        <f aca="false">IF(ISBLANK(C168),"",AI168)</f>
        <v/>
      </c>
      <c r="AR168" s="93" t="str">
        <f aca="false">IF(ISBLANK(C168),
  "",
IF(AQ168=Constants!$B$11,COUNTA($C$8:$C$507)+2,IF(AQ168=Constants!$B$12,COUNTA($C$8:$C$507)+1,IF(AQ168=Constants!$B$13,COUNTA($C$8:$C$507),AQ168))))</f>
        <v/>
      </c>
      <c r="AS168" s="3"/>
      <c r="AT168" s="94" t="n">
        <f aca="false">IF(OR(ISNUMBER(AQ168),AQ168="DQ",AQ168="P",AQ168="NS"),
    1,
    0
)</f>
        <v>0</v>
      </c>
      <c r="AU168" s="94" t="n">
        <v>161</v>
      </c>
      <c r="AV168" s="94" t="str">
        <f aca="false">IF(ISBLANK($C168),
    "",
   IF(ISNUMBER(AR168),AR168+ROW($B168)/1000,"")
)</f>
        <v/>
      </c>
      <c r="AW168" s="94" t="str">
        <f aca="false">IF(ISNUMBER(AV168), RANK(AV168,AV$8:AV$507,1), "")</f>
        <v/>
      </c>
      <c r="AX168" s="94" t="str">
        <f aca="false">IF(ISBLANK($C168),
    "",
    $B168
)</f>
        <v/>
      </c>
      <c r="AY168" s="94" t="str">
        <f aca="false">IF(ISBLANK($C168),
    "",
    $C168
)</f>
        <v/>
      </c>
      <c r="AZ168" s="94" t="str">
        <f aca="false">IF(ISBLANK($C168),
    "",
    $D168
)</f>
        <v/>
      </c>
      <c r="BA168" s="94" t="str">
        <f aca="false">AO168</f>
        <v/>
      </c>
      <c r="BB168" s="95" t="str">
        <f aca="false">AN168</f>
        <v/>
      </c>
      <c r="BC168" s="94" t="str">
        <f aca="false">IF(ISBLANK($C168),
    "",
    AQ168
)</f>
        <v/>
      </c>
      <c r="BD168" s="96" t="str">
        <f aca="false">IF(AU168&gt;AT$7,
    "",
    VLOOKUP(AU168,AW$8:BC$507,7,FALSE())
)</f>
        <v/>
      </c>
      <c r="BE168" s="97" t="str">
        <f aca="false">IF(AU168&gt;AT$7,
    "",
    VLOOKUP(AU168,AW$8:BC$507,2,FALSE())
)</f>
        <v/>
      </c>
      <c r="BF168" s="97" t="str">
        <f aca="false">IF(AU168&gt;AT$7,
    "",
    VLOOKUP(AU168,AW$8:BC$507,3,FALSE())
)</f>
        <v/>
      </c>
      <c r="BG168" s="97" t="str">
        <f aca="false">IF(AU168&gt;AT$7,
    "",
    VLOOKUP(AU168,AW$8:BC$507,4,FALSE())
)</f>
        <v/>
      </c>
      <c r="BH168" s="97" t="str">
        <f aca="false">IF(AU168&gt;AT$7,
    "",
    VLOOKUP(AU168,AW$8:BC$507,5,FALSE())
)</f>
        <v/>
      </c>
      <c r="BI168" s="98" t="str">
        <f aca="false">IF(AU168&gt;AT$7,
    "",
    VLOOKUP(AU168,AW$8:BC$507,6,FALSE())
)</f>
        <v/>
      </c>
      <c r="BJ168" s="46"/>
    </row>
    <row r="169" customFormat="false" ht="15.75" hidden="false" customHeight="false" outlineLevel="0" collapsed="false">
      <c r="A169" s="3"/>
      <c r="B169" s="105"/>
      <c r="C169" s="106"/>
      <c r="D169" s="99"/>
      <c r="E169" s="110"/>
      <c r="F169" s="107"/>
      <c r="G169" s="110"/>
      <c r="H169" s="103"/>
      <c r="I169" s="102"/>
      <c r="J169" s="103"/>
      <c r="K169" s="103"/>
      <c r="L169" s="85"/>
      <c r="M169" s="85" t="str">
        <f aca="false">IF(ISBLANK($C169),"",IF(ISBLANK(E169),0,E169))</f>
        <v/>
      </c>
      <c r="N169" s="85" t="str">
        <f aca="false">IF(ISBLANK($C169),"",IF(ISBLANK(F169),0,F169))</f>
        <v/>
      </c>
      <c r="O169" s="86" t="e">
        <f aca="false">IF(AND(NOT(ISBLANK($C169)),NOT($T169),COUNTA($E169:$K169)&gt;0),ISBLANK($F169),FALSE())</f>
        <v>#VALUE!</v>
      </c>
      <c r="P169" s="85" t="str">
        <f aca="false">IF(ISBLANK($C169),"",IF(G169=Constants!$B$9, TRUE(), IF(G169=Constants!$B$10, FALSE(), TRUE())))</f>
        <v/>
      </c>
      <c r="Q169" s="85" t="str">
        <f aca="false">IF(ISBLANK($C169),"",IF(H169=Constants!$B$9, TRUE(), IF(H169=Constants!$B$10, FALSE(), TRUE())))</f>
        <v/>
      </c>
      <c r="R169" s="85" t="str">
        <f aca="false">IF(ISBLANK($C169),"",IF(ISBLANK(I169),Constants!$B$3,I169))</f>
        <v/>
      </c>
      <c r="S169" s="85" t="str">
        <f aca="false">IF(ISBLANK($C169),"",IF(ISBLANK(J169),0,MIN(J169,Constants!$B$6)))</f>
        <v/>
      </c>
      <c r="T169" s="85" t="str">
        <f aca="false">IF(ISBLANK($C169),"",IF(K169=Constants!$B$9, TRUE(), IF(K169=Constants!$B$10, FALSE(),  FALSE())))</f>
        <v/>
      </c>
      <c r="U169" s="85" t="str">
        <f aca="false">IF(ISBLANK($C169),"",AND(R169=Constants!$B$4, S169&lt;Constants!$B$6))</f>
        <v/>
      </c>
      <c r="V169" s="85" t="str">
        <f aca="false">IF(ISBLANK(C169), "", IF(T169, Constants!$B$11, IF(COUNTA(E169:K169)=0, Constants!$B$12, IF(NOT(AND(P169,S169&lt;&gt;0)), Constants!$B$13, IF(O169, Constants!$B$15, Constants!$B$14)))))</f>
        <v/>
      </c>
      <c r="W169" s="85" t="str">
        <f aca="false">IF(OR(ISBLANK($C169), SUMPRODUCT(--(P169:T169&lt;&gt;""))=0), "", IF(V169&lt;&gt;Constants!$B$14, V169, IF(AND(NOT(ISBLANK(J169)),P169,Q169,R169&lt;&gt;Constants!$B$2), Constants!$B$7, IF(AND(P169,OR(NOT(Q169),R169=Constants!$B$2)), Constants!$B$8, "Error"))))</f>
        <v/>
      </c>
      <c r="X169" s="87" t="str">
        <f aca="false">IF(OR(W169=Constants!$B$7,W169=Constants!$B$8), MAX(0, MIN(Constants!$B$6, S169))+IF(AND(R169=Constants!$B$4, NOT(U169)), Constants!$B$5, 0), "")</f>
        <v/>
      </c>
      <c r="Y169" s="85" t="str">
        <f aca="false">IF(ISBLANK($C169),"",IF(AND(ISNUMBER(X169),N169&gt;0),X169/N169, "") )</f>
        <v/>
      </c>
      <c r="Z169" s="85" t="str">
        <f aca="false">IF(AND(NOT(ISBLANK($C169)), W169=Constants!$B$7), Y169, "")</f>
        <v/>
      </c>
      <c r="AA169" s="85" t="str">
        <f aca="false">IF(ISNUMBER(Z169), RANK(Z169,Z$8:Z$507), "")</f>
        <v/>
      </c>
      <c r="AB169" s="85" t="str">
        <f aca="false">IF(AND(NOT(ISBLANK($C169)), W169=Constants!$B$8), Y169, "")</f>
        <v/>
      </c>
      <c r="AC169" s="85" t="str">
        <f aca="false">IF(ISNUMBER(AB169), RANK(AB169,AB$8:AB$507), "")</f>
        <v/>
      </c>
      <c r="AD169" s="85" t="str">
        <f aca="false">IF(ISBLANK($C169),"",IF(V169&lt;&gt;Constants!$B$14, V169, IF(W169=Constants!$B$7, AA169, IF(W169=Constants!$B$8, COUNT($AA$8:$AA$507) + AC169, ""))))</f>
        <v/>
      </c>
      <c r="AE169" s="85" t="str">
        <f aca="false">N169</f>
        <v/>
      </c>
      <c r="AF169" s="85" t="str">
        <f aca="false">IF(ISNUMBER(AE169), RANK(AE169,AE$8:AE$507,1), "")</f>
        <v/>
      </c>
      <c r="AG169" s="88" t="str">
        <f aca="false">IF(ISBLANK(C169), "", ABS(M169-S169))</f>
        <v/>
      </c>
      <c r="AH169" s="85" t="str">
        <f aca="false">IF(ISNUMBER(AG169), RANK(AG169,AG$8:AG$507,1), "")</f>
        <v/>
      </c>
      <c r="AI169" s="85" t="str">
        <f aca="false">IF(ISBLANK(C169),"",IF(V169&lt;&gt;Constants!$B$14, V169, RANK(AD169, AD$8:AD$507, 1)+ SUMPRODUCT(--(AD$8:AD$507=AD169),--(AF169&gt;AF$8:AF$507)) + SUMPRODUCT(--(AD$8:AD$507=AD169),--(AF169=AF$8:AF$507),--(AH169&gt;AH$8:AH$507))))</f>
        <v/>
      </c>
      <c r="AJ169" s="85" t="str">
        <f aca="false">IF(ISBLANK(C169),"",IF(V169&lt;&gt;Constants!$B$14, V169, AD169-AI169))</f>
        <v/>
      </c>
      <c r="AK169" s="89"/>
      <c r="AL169" s="90" t="str">
        <f aca="false">IF(ISBLANK($C169),"",IF($V169&lt;&gt;Constants!$B$14,$V169,X169))</f>
        <v/>
      </c>
      <c r="AM169" s="90" t="str">
        <f aca="false">IF(ISBLANK($C169),"",IF($V169&lt;&gt;Constants!$B$14,$V169,N169))</f>
        <v/>
      </c>
      <c r="AN169" s="91" t="str">
        <f aca="false">IF(ISBLANK(C169),"",IF(V169&lt;&gt;Constants!$B$14, V169, IF(W169=Constants!$B$7,Z169,IF(W169=Constants!$B$8,AB169,""))))</f>
        <v/>
      </c>
      <c r="AO169" s="92" t="str">
        <f aca="false">IF(ISBLANK(C169),"",W169)</f>
        <v/>
      </c>
      <c r="AP169" s="92" t="str">
        <f aca="false">IF(ISBLANK(C169),"",AJ169)</f>
        <v/>
      </c>
      <c r="AQ169" s="92" t="str">
        <f aca="false">IF(ISBLANK(C169),"",AI169)</f>
        <v/>
      </c>
      <c r="AR169" s="93" t="str">
        <f aca="false">IF(ISBLANK(C169),
  "",
IF(AQ169=Constants!$B$11,COUNTA($C$8:$C$507)+2,IF(AQ169=Constants!$B$12,COUNTA($C$8:$C$507)+1,IF(AQ169=Constants!$B$13,COUNTA($C$8:$C$507),AQ169))))</f>
        <v/>
      </c>
      <c r="AS169" s="3"/>
      <c r="AT169" s="94" t="n">
        <f aca="false">IF(OR(ISNUMBER(AQ169),AQ169="DQ",AQ169="P",AQ169="NS"),
    1,
    0
)</f>
        <v>0</v>
      </c>
      <c r="AU169" s="94" t="n">
        <v>162</v>
      </c>
      <c r="AV169" s="94" t="str">
        <f aca="false">IF(ISBLANK($C169),
    "",
   IF(ISNUMBER(AR169),AR169+ROW($B169)/1000,"")
)</f>
        <v/>
      </c>
      <c r="AW169" s="94" t="str">
        <f aca="false">IF(ISNUMBER(AV169), RANK(AV169,AV$8:AV$507,1), "")</f>
        <v/>
      </c>
      <c r="AX169" s="94" t="str">
        <f aca="false">IF(ISBLANK($C169),
    "",
    $B169
)</f>
        <v/>
      </c>
      <c r="AY169" s="94" t="str">
        <f aca="false">IF(ISBLANK($C169),
    "",
    $C169
)</f>
        <v/>
      </c>
      <c r="AZ169" s="94" t="str">
        <f aca="false">IF(ISBLANK($C169),
    "",
    $D169
)</f>
        <v/>
      </c>
      <c r="BA169" s="94" t="str">
        <f aca="false">AO169</f>
        <v/>
      </c>
      <c r="BB169" s="95" t="str">
        <f aca="false">AN169</f>
        <v/>
      </c>
      <c r="BC169" s="94" t="str">
        <f aca="false">IF(ISBLANK($C169),
    "",
    AQ169
)</f>
        <v/>
      </c>
      <c r="BD169" s="96" t="str">
        <f aca="false">IF(AU169&gt;AT$7,
    "",
    VLOOKUP(AU169,AW$8:BC$507,7,FALSE())
)</f>
        <v/>
      </c>
      <c r="BE169" s="97" t="str">
        <f aca="false">IF(AU169&gt;AT$7,
    "",
    VLOOKUP(AU169,AW$8:BC$507,2,FALSE())
)</f>
        <v/>
      </c>
      <c r="BF169" s="97" t="str">
        <f aca="false">IF(AU169&gt;AT$7,
    "",
    VLOOKUP(AU169,AW$8:BC$507,3,FALSE())
)</f>
        <v/>
      </c>
      <c r="BG169" s="97" t="str">
        <f aca="false">IF(AU169&gt;AT$7,
    "",
    VLOOKUP(AU169,AW$8:BC$507,4,FALSE())
)</f>
        <v/>
      </c>
      <c r="BH169" s="97" t="str">
        <f aca="false">IF(AU169&gt;AT$7,
    "",
    VLOOKUP(AU169,AW$8:BC$507,5,FALSE())
)</f>
        <v/>
      </c>
      <c r="BI169" s="98" t="str">
        <f aca="false">IF(AU169&gt;AT$7,
    "",
    VLOOKUP(AU169,AW$8:BC$507,6,FALSE())
)</f>
        <v/>
      </c>
      <c r="BJ169" s="46"/>
    </row>
    <row r="170" customFormat="false" ht="15.75" hidden="false" customHeight="false" outlineLevel="0" collapsed="false">
      <c r="A170" s="3"/>
      <c r="B170" s="108"/>
      <c r="C170" s="70"/>
      <c r="D170" s="49"/>
      <c r="E170" s="109"/>
      <c r="F170" s="72"/>
      <c r="G170" s="109"/>
      <c r="H170" s="74"/>
      <c r="I170" s="104"/>
      <c r="J170" s="74"/>
      <c r="K170" s="74"/>
      <c r="L170" s="55"/>
      <c r="M170" s="55" t="str">
        <f aca="false">IF(ISBLANK($C170),"",IF(ISBLANK(E170),0,E170))</f>
        <v/>
      </c>
      <c r="N170" s="55" t="str">
        <f aca="false">IF(ISBLANK($C170),"",IF(ISBLANK(F170),0,F170))</f>
        <v/>
      </c>
      <c r="O170" s="55" t="e">
        <f aca="false">IF(AND(NOT(ISBLANK($C170)),NOT($T170),COUNTA($E170:$K170)&gt;0),ISBLANK($F170),FALSE())</f>
        <v>#VALUE!</v>
      </c>
      <c r="P170" s="55" t="str">
        <f aca="false">IF(ISBLANK($C170),"",IF(G170=Constants!$B$9, TRUE(), IF(G170=Constants!$B$10, FALSE(), TRUE())))</f>
        <v/>
      </c>
      <c r="Q170" s="55" t="str">
        <f aca="false">IF(ISBLANK($C170),"",IF(H170=Constants!$B$9, TRUE(), IF(H170=Constants!$B$10, FALSE(), TRUE())))</f>
        <v/>
      </c>
      <c r="R170" s="55" t="str">
        <f aca="false">IF(ISBLANK($C170),"",IF(ISBLANK(I170),Constants!$B$3,I170))</f>
        <v/>
      </c>
      <c r="S170" s="55" t="str">
        <f aca="false">IF(ISBLANK($C170),"",IF(ISBLANK(J170),0,MIN(J170,Constants!$B$6)))</f>
        <v/>
      </c>
      <c r="T170" s="55" t="str">
        <f aca="false">IF(ISBLANK($C170),"",IF(K170=Constants!$B$9, TRUE(), IF(K170=Constants!$B$10, FALSE(),  FALSE())))</f>
        <v/>
      </c>
      <c r="U170" s="55" t="str">
        <f aca="false">IF(ISBLANK($C170),"",AND(R170=Constants!$B$4, S170&lt;Constants!$B$6))</f>
        <v/>
      </c>
      <c r="V170" s="55" t="str">
        <f aca="false">IF(ISBLANK(C170), "", IF(T170, Constants!$B$11, IF(COUNTA(E170:K170)=0, Constants!$B$12, IF(NOT(AND(P170,S170&lt;&gt;0)), Constants!$B$13, IF(O170, Constants!$B$15, Constants!$B$14)))))</f>
        <v/>
      </c>
      <c r="W170" s="55" t="str">
        <f aca="false">IF(OR(ISBLANK($C170), SUMPRODUCT(--(P170:T170&lt;&gt;""))=0), "", IF(V170&lt;&gt;Constants!$B$14, V170, IF(AND(NOT(ISBLANK(J170)),P170,Q170,R170&lt;&gt;Constants!$B$2), Constants!$B$7, IF(AND(P170,OR(NOT(Q170),R170=Constants!$B$2)), Constants!$B$8, "Error"))))</f>
        <v/>
      </c>
      <c r="X170" s="56" t="str">
        <f aca="false">IF(OR(W170=Constants!$B$7,W170=Constants!$B$8), MAX(0, MIN(Constants!$B$6, S170))+IF(AND(R170=Constants!$B$4, NOT(U170)), Constants!$B$5, 0), "")</f>
        <v/>
      </c>
      <c r="Y170" s="55" t="str">
        <f aca="false">IF(ISBLANK($C170),"",IF(AND(ISNUMBER(X170),N170&gt;0),X170/N170, "") )</f>
        <v/>
      </c>
      <c r="Z170" s="55" t="str">
        <f aca="false">IF(AND(NOT(ISBLANK($C170)), W170=Constants!$B$7), Y170, "")</f>
        <v/>
      </c>
      <c r="AA170" s="55" t="str">
        <f aca="false">IF(ISNUMBER(Z170), RANK(Z170,Z$8:Z$507), "")</f>
        <v/>
      </c>
      <c r="AB170" s="55" t="str">
        <f aca="false">IF(AND(NOT(ISBLANK($C170)), W170=Constants!$B$8), Y170, "")</f>
        <v/>
      </c>
      <c r="AC170" s="55" t="str">
        <f aca="false">IF(ISNUMBER(AB170), RANK(AB170,AB$8:AB$507), "")</f>
        <v/>
      </c>
      <c r="AD170" s="55" t="str">
        <f aca="false">IF(ISBLANK($C170),"",IF(V170&lt;&gt;Constants!$B$14, V170, IF(W170=Constants!$B$7, AA170, IF(W170=Constants!$B$8, COUNT($AA$8:$AA$507) + AC170, ""))))</f>
        <v/>
      </c>
      <c r="AE170" s="55" t="str">
        <f aca="false">N170</f>
        <v/>
      </c>
      <c r="AF170" s="55" t="str">
        <f aca="false">IF(ISNUMBER(AE170), RANK(AE170,AE$8:AE$507,1), "")</f>
        <v/>
      </c>
      <c r="AG170" s="57" t="str">
        <f aca="false">IF(ISBLANK(C170), "", ABS(M170-S170))</f>
        <v/>
      </c>
      <c r="AH170" s="55" t="str">
        <f aca="false">IF(ISNUMBER(AG170), RANK(AG170,AG$8:AG$507,1), "")</f>
        <v/>
      </c>
      <c r="AI170" s="55" t="str">
        <f aca="false">IF(ISBLANK(C170),"",IF(V170&lt;&gt;Constants!$B$14, V170, RANK(AD170, AD$8:AD$507, 1)+ SUMPRODUCT(--(AD$8:AD$507=AD170),--(AF170&gt;AF$8:AF$507)) + SUMPRODUCT(--(AD$8:AD$507=AD170),--(AF170=AF$8:AF$507),--(AH170&gt;AH$8:AH$507))))</f>
        <v/>
      </c>
      <c r="AJ170" s="55" t="str">
        <f aca="false">IF(ISBLANK(C170),"",IF(V170&lt;&gt;Constants!$B$14, V170, AD170-AI170))</f>
        <v/>
      </c>
      <c r="AK170" s="59"/>
      <c r="AL170" s="60" t="str">
        <f aca="false">IF(ISBLANK($C170),"",IF($V170&lt;&gt;Constants!$B$14,$V170,X170))</f>
        <v/>
      </c>
      <c r="AM170" s="60" t="str">
        <f aca="false">IF(ISBLANK($C170),"",IF($V170&lt;&gt;Constants!$B$14,$V170,N170))</f>
        <v/>
      </c>
      <c r="AN170" s="62" t="str">
        <f aca="false">IF(ISBLANK(C170),"",IF(V170&lt;&gt;Constants!$B$14, V170, IF(W170=Constants!$B$7,Z170,IF(W170=Constants!$B$8,AB170,""))))</f>
        <v/>
      </c>
      <c r="AO170" s="63" t="str">
        <f aca="false">IF(ISBLANK(C170),"",W170)</f>
        <v/>
      </c>
      <c r="AP170" s="63" t="str">
        <f aca="false">IF(ISBLANK(C170),"",AJ170)</f>
        <v/>
      </c>
      <c r="AQ170" s="63" t="str">
        <f aca="false">IF(ISBLANK(C170),"",AI170)</f>
        <v/>
      </c>
      <c r="AR170" s="64" t="str">
        <f aca="false">IF(ISBLANK(C170),
  "",
IF(AQ170=Constants!$B$11,COUNTA($C$8:$C$507)+2,IF(AQ170=Constants!$B$12,COUNTA($C$8:$C$507)+1,IF(AQ170=Constants!$B$13,COUNTA($C$8:$C$507),AQ170))))</f>
        <v/>
      </c>
      <c r="AS170" s="3"/>
      <c r="AT170" s="65" t="n">
        <f aca="false">IF(OR(ISNUMBER(AQ170),AQ170="DQ",AQ170="P",AQ170="NS"),
    1,
    0
)</f>
        <v>0</v>
      </c>
      <c r="AU170" s="65" t="n">
        <v>163</v>
      </c>
      <c r="AV170" s="65" t="str">
        <f aca="false">IF(ISBLANK($C170),
    "",
   IF(ISNUMBER(AR170),AR170+ROW($B170)/1000,"")
)</f>
        <v/>
      </c>
      <c r="AW170" s="65" t="str">
        <f aca="false">IF(ISNUMBER(AV170), RANK(AV170,AV$8:AV$507,1), "")</f>
        <v/>
      </c>
      <c r="AX170" s="65" t="str">
        <f aca="false">IF(ISBLANK($C170),
    "",
    $B170
)</f>
        <v/>
      </c>
      <c r="AY170" s="65" t="str">
        <f aca="false">IF(ISBLANK($C170),
    "",
    $C170
)</f>
        <v/>
      </c>
      <c r="AZ170" s="65" t="str">
        <f aca="false">IF(ISBLANK($C170),
    "",
    $D170
)</f>
        <v/>
      </c>
      <c r="BA170" s="65" t="str">
        <f aca="false">AO170</f>
        <v/>
      </c>
      <c r="BB170" s="66" t="str">
        <f aca="false">AN170</f>
        <v/>
      </c>
      <c r="BC170" s="65" t="str">
        <f aca="false">IF(ISBLANK($C170),
    "",
    AQ170
)</f>
        <v/>
      </c>
      <c r="BD170" s="67" t="str">
        <f aca="false">IF(AU170&gt;AT$7,
    "",
    VLOOKUP(AU170,AW$8:BC$507,7,FALSE())
)</f>
        <v/>
      </c>
      <c r="BE170" s="68" t="str">
        <f aca="false">IF(AU170&gt;AT$7,
    "",
    VLOOKUP(AU170,AW$8:BC$507,2,FALSE())
)</f>
        <v/>
      </c>
      <c r="BF170" s="68" t="str">
        <f aca="false">IF(AU170&gt;AT$7,
    "",
    VLOOKUP(AU170,AW$8:BC$507,3,FALSE())
)</f>
        <v/>
      </c>
      <c r="BG170" s="68" t="str">
        <f aca="false">IF(AU170&gt;AT$7,
    "",
    VLOOKUP(AU170,AW$8:BC$507,4,FALSE())
)</f>
        <v/>
      </c>
      <c r="BH170" s="68" t="str">
        <f aca="false">IF(AU170&gt;AT$7,
    "",
    VLOOKUP(AU170,AW$8:BC$507,5,FALSE())
)</f>
        <v/>
      </c>
      <c r="BI170" s="69" t="str">
        <f aca="false">IF(AU170&gt;AT$7,
    "",
    VLOOKUP(AU170,AW$8:BC$507,6,FALSE())
)</f>
        <v/>
      </c>
      <c r="BJ170" s="46"/>
    </row>
    <row r="171" customFormat="false" ht="15.75" hidden="false" customHeight="false" outlineLevel="0" collapsed="false">
      <c r="A171" s="3"/>
      <c r="B171" s="108"/>
      <c r="C171" s="70"/>
      <c r="D171" s="49"/>
      <c r="E171" s="109"/>
      <c r="F171" s="72"/>
      <c r="G171" s="109"/>
      <c r="H171" s="74"/>
      <c r="I171" s="104"/>
      <c r="J171" s="74"/>
      <c r="K171" s="74"/>
      <c r="L171" s="55"/>
      <c r="M171" s="55" t="str">
        <f aca="false">IF(ISBLANK($C171),"",IF(ISBLANK(E171),0,E171))</f>
        <v/>
      </c>
      <c r="N171" s="55" t="str">
        <f aca="false">IF(ISBLANK($C171),"",IF(ISBLANK(F171),0,F171))</f>
        <v/>
      </c>
      <c r="O171" s="55" t="e">
        <f aca="false">IF(AND(NOT(ISBLANK($C171)),NOT($T171),COUNTA($E171:$K171)&gt;0),ISBLANK($F171),FALSE())</f>
        <v>#VALUE!</v>
      </c>
      <c r="P171" s="55" t="str">
        <f aca="false">IF(ISBLANK($C171),"",IF(G171=Constants!$B$9, TRUE(), IF(G171=Constants!$B$10, FALSE(), TRUE())))</f>
        <v/>
      </c>
      <c r="Q171" s="55" t="str">
        <f aca="false">IF(ISBLANK($C171),"",IF(H171=Constants!$B$9, TRUE(), IF(H171=Constants!$B$10, FALSE(), TRUE())))</f>
        <v/>
      </c>
      <c r="R171" s="55" t="str">
        <f aca="false">IF(ISBLANK($C171),"",IF(ISBLANK(I171),Constants!$B$3,I171))</f>
        <v/>
      </c>
      <c r="S171" s="55" t="str">
        <f aca="false">IF(ISBLANK($C171),"",IF(ISBLANK(J171),0,MIN(J171,Constants!$B$6)))</f>
        <v/>
      </c>
      <c r="T171" s="55" t="str">
        <f aca="false">IF(ISBLANK($C171),"",IF(K171=Constants!$B$9, TRUE(), IF(K171=Constants!$B$10, FALSE(),  FALSE())))</f>
        <v/>
      </c>
      <c r="U171" s="55" t="str">
        <f aca="false">IF(ISBLANK($C171),"",AND(R171=Constants!$B$4, S171&lt;Constants!$B$6))</f>
        <v/>
      </c>
      <c r="V171" s="55" t="str">
        <f aca="false">IF(ISBLANK(C171), "", IF(T171, Constants!$B$11, IF(COUNTA(E171:K171)=0, Constants!$B$12, IF(NOT(AND(P171,S171&lt;&gt;0)), Constants!$B$13, IF(O171, Constants!$B$15, Constants!$B$14)))))</f>
        <v/>
      </c>
      <c r="W171" s="55" t="str">
        <f aca="false">IF(OR(ISBLANK($C171), SUMPRODUCT(--(P171:T171&lt;&gt;""))=0), "", IF(V171&lt;&gt;Constants!$B$14, V171, IF(AND(NOT(ISBLANK(J171)),P171,Q171,R171&lt;&gt;Constants!$B$2), Constants!$B$7, IF(AND(P171,OR(NOT(Q171),R171=Constants!$B$2)), Constants!$B$8, "Error"))))</f>
        <v/>
      </c>
      <c r="X171" s="56" t="str">
        <f aca="false">IF(OR(W171=Constants!$B$7,W171=Constants!$B$8), MAX(0, MIN(Constants!$B$6, S171))+IF(AND(R171=Constants!$B$4, NOT(U171)), Constants!$B$5, 0), "")</f>
        <v/>
      </c>
      <c r="Y171" s="55" t="str">
        <f aca="false">IF(ISBLANK($C171),"",IF(AND(ISNUMBER(X171),N171&gt;0),X171/N171, "") )</f>
        <v/>
      </c>
      <c r="Z171" s="55" t="str">
        <f aca="false">IF(AND(NOT(ISBLANK($C171)), W171=Constants!$B$7), Y171, "")</f>
        <v/>
      </c>
      <c r="AA171" s="55" t="str">
        <f aca="false">IF(ISNUMBER(Z171), RANK(Z171,Z$8:Z$507), "")</f>
        <v/>
      </c>
      <c r="AB171" s="55" t="str">
        <f aca="false">IF(AND(NOT(ISBLANK($C171)), W171=Constants!$B$8), Y171, "")</f>
        <v/>
      </c>
      <c r="AC171" s="55" t="str">
        <f aca="false">IF(ISNUMBER(AB171), RANK(AB171,AB$8:AB$507), "")</f>
        <v/>
      </c>
      <c r="AD171" s="55" t="str">
        <f aca="false">IF(ISBLANK($C171),"",IF(V171&lt;&gt;Constants!$B$14, V171, IF(W171=Constants!$B$7, AA171, IF(W171=Constants!$B$8, COUNT($AA$8:$AA$507) + AC171, ""))))</f>
        <v/>
      </c>
      <c r="AE171" s="55" t="str">
        <f aca="false">N171</f>
        <v/>
      </c>
      <c r="AF171" s="55" t="str">
        <f aca="false">IF(ISNUMBER(AE171), RANK(AE171,AE$8:AE$507,1), "")</f>
        <v/>
      </c>
      <c r="AG171" s="57" t="str">
        <f aca="false">IF(ISBLANK(C171), "", ABS(M171-S171))</f>
        <v/>
      </c>
      <c r="AH171" s="55" t="str">
        <f aca="false">IF(ISNUMBER(AG171), RANK(AG171,AG$8:AG$507,1), "")</f>
        <v/>
      </c>
      <c r="AI171" s="55" t="str">
        <f aca="false">IF(ISBLANK(C171),"",IF(V171&lt;&gt;Constants!$B$14, V171, RANK(AD171, AD$8:AD$507, 1)+ SUMPRODUCT(--(AD$8:AD$507=AD171),--(AF171&gt;AF$8:AF$507)) + SUMPRODUCT(--(AD$8:AD$507=AD171),--(AF171=AF$8:AF$507),--(AH171&gt;AH$8:AH$507))))</f>
        <v/>
      </c>
      <c r="AJ171" s="55" t="str">
        <f aca="false">IF(ISBLANK(C171),"",IF(V171&lt;&gt;Constants!$B$14, V171, AD171-AI171))</f>
        <v/>
      </c>
      <c r="AK171" s="59"/>
      <c r="AL171" s="60" t="str">
        <f aca="false">IF(ISBLANK($C171),"",IF($V171&lt;&gt;Constants!$B$14,$V171,X171))</f>
        <v/>
      </c>
      <c r="AM171" s="60" t="str">
        <f aca="false">IF(ISBLANK($C171),"",IF($V171&lt;&gt;Constants!$B$14,$V171,N171))</f>
        <v/>
      </c>
      <c r="AN171" s="62" t="str">
        <f aca="false">IF(ISBLANK(C171),"",IF(V171&lt;&gt;Constants!$B$14, V171, IF(W171=Constants!$B$7,Z171,IF(W171=Constants!$B$8,AB171,""))))</f>
        <v/>
      </c>
      <c r="AO171" s="63" t="str">
        <f aca="false">IF(ISBLANK(C171),"",W171)</f>
        <v/>
      </c>
      <c r="AP171" s="63" t="str">
        <f aca="false">IF(ISBLANK(C171),"",AJ171)</f>
        <v/>
      </c>
      <c r="AQ171" s="63" t="str">
        <f aca="false">IF(ISBLANK(C171),"",AI171)</f>
        <v/>
      </c>
      <c r="AR171" s="64" t="str">
        <f aca="false">IF(ISBLANK(C171),
  "",
IF(AQ171=Constants!$B$11,COUNTA($C$8:$C$507)+2,IF(AQ171=Constants!$B$12,COUNTA($C$8:$C$507)+1,IF(AQ171=Constants!$B$13,COUNTA($C$8:$C$507),AQ171))))</f>
        <v/>
      </c>
      <c r="AS171" s="3"/>
      <c r="AT171" s="65" t="n">
        <f aca="false">IF(OR(ISNUMBER(AQ171),AQ171="DQ",AQ171="P",AQ171="NS"),
    1,
    0
)</f>
        <v>0</v>
      </c>
      <c r="AU171" s="65" t="n">
        <v>164</v>
      </c>
      <c r="AV171" s="65" t="str">
        <f aca="false">IF(ISBLANK($C171),
    "",
   IF(ISNUMBER(AR171),AR171+ROW($B171)/1000,"")
)</f>
        <v/>
      </c>
      <c r="AW171" s="65" t="str">
        <f aca="false">IF(ISNUMBER(AV171), RANK(AV171,AV$8:AV$507,1), "")</f>
        <v/>
      </c>
      <c r="AX171" s="65" t="str">
        <f aca="false">IF(ISBLANK($C171),
    "",
    $B171
)</f>
        <v/>
      </c>
      <c r="AY171" s="65" t="str">
        <f aca="false">IF(ISBLANK($C171),
    "",
    $C171
)</f>
        <v/>
      </c>
      <c r="AZ171" s="65" t="str">
        <f aca="false">IF(ISBLANK($C171),
    "",
    $D171
)</f>
        <v/>
      </c>
      <c r="BA171" s="65" t="str">
        <f aca="false">AO171</f>
        <v/>
      </c>
      <c r="BB171" s="66" t="str">
        <f aca="false">AN171</f>
        <v/>
      </c>
      <c r="BC171" s="65" t="str">
        <f aca="false">IF(ISBLANK($C171),
    "",
    AQ171
)</f>
        <v/>
      </c>
      <c r="BD171" s="67" t="str">
        <f aca="false">IF(AU171&gt;AT$7,
    "",
    VLOOKUP(AU171,AW$8:BC$507,7,FALSE())
)</f>
        <v/>
      </c>
      <c r="BE171" s="68" t="str">
        <f aca="false">IF(AU171&gt;AT$7,
    "",
    VLOOKUP(AU171,AW$8:BC$507,2,FALSE())
)</f>
        <v/>
      </c>
      <c r="BF171" s="68" t="str">
        <f aca="false">IF(AU171&gt;AT$7,
    "",
    VLOOKUP(AU171,AW$8:BC$507,3,FALSE())
)</f>
        <v/>
      </c>
      <c r="BG171" s="68" t="str">
        <f aca="false">IF(AU171&gt;AT$7,
    "",
    VLOOKUP(AU171,AW$8:BC$507,4,FALSE())
)</f>
        <v/>
      </c>
      <c r="BH171" s="68" t="str">
        <f aca="false">IF(AU171&gt;AT$7,
    "",
    VLOOKUP(AU171,AW$8:BC$507,5,FALSE())
)</f>
        <v/>
      </c>
      <c r="BI171" s="69" t="str">
        <f aca="false">IF(AU171&gt;AT$7,
    "",
    VLOOKUP(AU171,AW$8:BC$507,6,FALSE())
)</f>
        <v/>
      </c>
      <c r="BJ171" s="46"/>
    </row>
    <row r="172" customFormat="false" ht="15.75" hidden="false" customHeight="false" outlineLevel="0" collapsed="false">
      <c r="A172" s="3"/>
      <c r="B172" s="108"/>
      <c r="C172" s="70"/>
      <c r="D172" s="49"/>
      <c r="E172" s="109"/>
      <c r="F172" s="72"/>
      <c r="G172" s="109"/>
      <c r="H172" s="74"/>
      <c r="I172" s="104"/>
      <c r="J172" s="74"/>
      <c r="K172" s="74"/>
      <c r="L172" s="55"/>
      <c r="M172" s="55" t="str">
        <f aca="false">IF(ISBLANK($C172),"",IF(ISBLANK(E172),0,E172))</f>
        <v/>
      </c>
      <c r="N172" s="55" t="str">
        <f aca="false">IF(ISBLANK($C172),"",IF(ISBLANK(F172),0,F172))</f>
        <v/>
      </c>
      <c r="O172" s="55" t="e">
        <f aca="false">IF(AND(NOT(ISBLANK($C172)),NOT($T172),COUNTA($E172:$K172)&gt;0),ISBLANK($F172),FALSE())</f>
        <v>#VALUE!</v>
      </c>
      <c r="P172" s="55" t="str">
        <f aca="false">IF(ISBLANK($C172),"",IF(G172=Constants!$B$9, TRUE(), IF(G172=Constants!$B$10, FALSE(), TRUE())))</f>
        <v/>
      </c>
      <c r="Q172" s="55" t="str">
        <f aca="false">IF(ISBLANK($C172),"",IF(H172=Constants!$B$9, TRUE(), IF(H172=Constants!$B$10, FALSE(), TRUE())))</f>
        <v/>
      </c>
      <c r="R172" s="55" t="str">
        <f aca="false">IF(ISBLANK($C172),"",IF(ISBLANK(I172),Constants!$B$3,I172))</f>
        <v/>
      </c>
      <c r="S172" s="55" t="str">
        <f aca="false">IF(ISBLANK($C172),"",IF(ISBLANK(J172),0,MIN(J172,Constants!$B$6)))</f>
        <v/>
      </c>
      <c r="T172" s="55" t="str">
        <f aca="false">IF(ISBLANK($C172),"",IF(K172=Constants!$B$9, TRUE(), IF(K172=Constants!$B$10, FALSE(),  FALSE())))</f>
        <v/>
      </c>
      <c r="U172" s="55" t="str">
        <f aca="false">IF(ISBLANK($C172),"",AND(R172=Constants!$B$4, S172&lt;Constants!$B$6))</f>
        <v/>
      </c>
      <c r="V172" s="55" t="str">
        <f aca="false">IF(ISBLANK(C172), "", IF(T172, Constants!$B$11, IF(COUNTA(E172:K172)=0, Constants!$B$12, IF(NOT(AND(P172,S172&lt;&gt;0)), Constants!$B$13, IF(O172, Constants!$B$15, Constants!$B$14)))))</f>
        <v/>
      </c>
      <c r="W172" s="55" t="str">
        <f aca="false">IF(OR(ISBLANK($C172), SUMPRODUCT(--(P172:T172&lt;&gt;""))=0), "", IF(V172&lt;&gt;Constants!$B$14, V172, IF(AND(NOT(ISBLANK(J172)),P172,Q172,R172&lt;&gt;Constants!$B$2), Constants!$B$7, IF(AND(P172,OR(NOT(Q172),R172=Constants!$B$2)), Constants!$B$8, "Error"))))</f>
        <v/>
      </c>
      <c r="X172" s="56" t="str">
        <f aca="false">IF(OR(W172=Constants!$B$7,W172=Constants!$B$8), MAX(0, MIN(Constants!$B$6, S172))+IF(AND(R172=Constants!$B$4, NOT(U172)), Constants!$B$5, 0), "")</f>
        <v/>
      </c>
      <c r="Y172" s="55" t="str">
        <f aca="false">IF(ISBLANK($C172),"",IF(AND(ISNUMBER(X172),N172&gt;0),X172/N172, "") )</f>
        <v/>
      </c>
      <c r="Z172" s="55" t="str">
        <f aca="false">IF(AND(NOT(ISBLANK($C172)), W172=Constants!$B$7), Y172, "")</f>
        <v/>
      </c>
      <c r="AA172" s="55" t="str">
        <f aca="false">IF(ISNUMBER(Z172), RANK(Z172,Z$8:Z$507), "")</f>
        <v/>
      </c>
      <c r="AB172" s="55" t="str">
        <f aca="false">IF(AND(NOT(ISBLANK($C172)), W172=Constants!$B$8), Y172, "")</f>
        <v/>
      </c>
      <c r="AC172" s="55" t="str">
        <f aca="false">IF(ISNUMBER(AB172), RANK(AB172,AB$8:AB$507), "")</f>
        <v/>
      </c>
      <c r="AD172" s="55" t="str">
        <f aca="false">IF(ISBLANK($C172),"",IF(V172&lt;&gt;Constants!$B$14, V172, IF(W172=Constants!$B$7, AA172, IF(W172=Constants!$B$8, COUNT($AA$8:$AA$507) + AC172, ""))))</f>
        <v/>
      </c>
      <c r="AE172" s="55" t="str">
        <f aca="false">N172</f>
        <v/>
      </c>
      <c r="AF172" s="55" t="str">
        <f aca="false">IF(ISNUMBER(AE172), RANK(AE172,AE$8:AE$507,1), "")</f>
        <v/>
      </c>
      <c r="AG172" s="57" t="str">
        <f aca="false">IF(ISBLANK(C172), "", ABS(M172-S172))</f>
        <v/>
      </c>
      <c r="AH172" s="55" t="str">
        <f aca="false">IF(ISNUMBER(AG172), RANK(AG172,AG$8:AG$507,1), "")</f>
        <v/>
      </c>
      <c r="AI172" s="55" t="str">
        <f aca="false">IF(ISBLANK(C172),"",IF(V172&lt;&gt;Constants!$B$14, V172, RANK(AD172, AD$8:AD$507, 1)+ SUMPRODUCT(--(AD$8:AD$507=AD172),--(AF172&gt;AF$8:AF$507)) + SUMPRODUCT(--(AD$8:AD$507=AD172),--(AF172=AF$8:AF$507),--(AH172&gt;AH$8:AH$507))))</f>
        <v/>
      </c>
      <c r="AJ172" s="55" t="str">
        <f aca="false">IF(ISBLANK(C172),"",IF(V172&lt;&gt;Constants!$B$14, V172, AD172-AI172))</f>
        <v/>
      </c>
      <c r="AK172" s="59"/>
      <c r="AL172" s="60" t="str">
        <f aca="false">IF(ISBLANK($C172),"",IF($V172&lt;&gt;Constants!$B$14,$V172,X172))</f>
        <v/>
      </c>
      <c r="AM172" s="60" t="str">
        <f aca="false">IF(ISBLANK($C172),"",IF($V172&lt;&gt;Constants!$B$14,$V172,N172))</f>
        <v/>
      </c>
      <c r="AN172" s="62" t="str">
        <f aca="false">IF(ISBLANK(C172),"",IF(V172&lt;&gt;Constants!$B$14, V172, IF(W172=Constants!$B$7,Z172,IF(W172=Constants!$B$8,AB172,""))))</f>
        <v/>
      </c>
      <c r="AO172" s="63" t="str">
        <f aca="false">IF(ISBLANK(C172),"",W172)</f>
        <v/>
      </c>
      <c r="AP172" s="63" t="str">
        <f aca="false">IF(ISBLANK(C172),"",AJ172)</f>
        <v/>
      </c>
      <c r="AQ172" s="63" t="str">
        <f aca="false">IF(ISBLANK(C172),"",AI172)</f>
        <v/>
      </c>
      <c r="AR172" s="64" t="str">
        <f aca="false">IF(ISBLANK(C172),
  "",
IF(AQ172=Constants!$B$11,COUNTA($C$8:$C$507)+2,IF(AQ172=Constants!$B$12,COUNTA($C$8:$C$507)+1,IF(AQ172=Constants!$B$13,COUNTA($C$8:$C$507),AQ172))))</f>
        <v/>
      </c>
      <c r="AS172" s="3"/>
      <c r="AT172" s="65" t="n">
        <f aca="false">IF(OR(ISNUMBER(AQ172),AQ172="DQ",AQ172="P",AQ172="NS"),
    1,
    0
)</f>
        <v>0</v>
      </c>
      <c r="AU172" s="65" t="n">
        <v>165</v>
      </c>
      <c r="AV172" s="65" t="str">
        <f aca="false">IF(ISBLANK($C172),
    "",
   IF(ISNUMBER(AR172),AR172+ROW($B172)/1000,"")
)</f>
        <v/>
      </c>
      <c r="AW172" s="65" t="str">
        <f aca="false">IF(ISNUMBER(AV172), RANK(AV172,AV$8:AV$507,1), "")</f>
        <v/>
      </c>
      <c r="AX172" s="65" t="str">
        <f aca="false">IF(ISBLANK($C172),
    "",
    $B172
)</f>
        <v/>
      </c>
      <c r="AY172" s="65" t="str">
        <f aca="false">IF(ISBLANK($C172),
    "",
    $C172
)</f>
        <v/>
      </c>
      <c r="AZ172" s="65" t="str">
        <f aca="false">IF(ISBLANK($C172),
    "",
    $D172
)</f>
        <v/>
      </c>
      <c r="BA172" s="65" t="str">
        <f aca="false">AO172</f>
        <v/>
      </c>
      <c r="BB172" s="66" t="str">
        <f aca="false">AN172</f>
        <v/>
      </c>
      <c r="BC172" s="65" t="str">
        <f aca="false">IF(ISBLANK($C172),
    "",
    AQ172
)</f>
        <v/>
      </c>
      <c r="BD172" s="67" t="str">
        <f aca="false">IF(AU172&gt;AT$7,
    "",
    VLOOKUP(AU172,AW$8:BC$507,7,FALSE())
)</f>
        <v/>
      </c>
      <c r="BE172" s="68" t="str">
        <f aca="false">IF(AU172&gt;AT$7,
    "",
    VLOOKUP(AU172,AW$8:BC$507,2,FALSE())
)</f>
        <v/>
      </c>
      <c r="BF172" s="68" t="str">
        <f aca="false">IF(AU172&gt;AT$7,
    "",
    VLOOKUP(AU172,AW$8:BC$507,3,FALSE())
)</f>
        <v/>
      </c>
      <c r="BG172" s="68" t="str">
        <f aca="false">IF(AU172&gt;AT$7,
    "",
    VLOOKUP(AU172,AW$8:BC$507,4,FALSE())
)</f>
        <v/>
      </c>
      <c r="BH172" s="68" t="str">
        <f aca="false">IF(AU172&gt;AT$7,
    "",
    VLOOKUP(AU172,AW$8:BC$507,5,FALSE())
)</f>
        <v/>
      </c>
      <c r="BI172" s="69" t="str">
        <f aca="false">IF(AU172&gt;AT$7,
    "",
    VLOOKUP(AU172,AW$8:BC$507,6,FALSE())
)</f>
        <v/>
      </c>
      <c r="BJ172" s="46"/>
    </row>
    <row r="173" customFormat="false" ht="15.75" hidden="false" customHeight="false" outlineLevel="0" collapsed="false">
      <c r="A173" s="3"/>
      <c r="B173" s="105"/>
      <c r="C173" s="106"/>
      <c r="D173" s="99"/>
      <c r="E173" s="110"/>
      <c r="F173" s="107"/>
      <c r="G173" s="110"/>
      <c r="H173" s="103"/>
      <c r="I173" s="102"/>
      <c r="J173" s="103"/>
      <c r="K173" s="103"/>
      <c r="L173" s="85"/>
      <c r="M173" s="85" t="str">
        <f aca="false">IF(ISBLANK($C173),"",IF(ISBLANK(E173),0,E173))</f>
        <v/>
      </c>
      <c r="N173" s="85" t="str">
        <f aca="false">IF(ISBLANK($C173),"",IF(ISBLANK(F173),0,F173))</f>
        <v/>
      </c>
      <c r="O173" s="86" t="e">
        <f aca="false">IF(AND(NOT(ISBLANK($C173)),NOT($T173),COUNTA($E173:$K173)&gt;0),ISBLANK($F173),FALSE())</f>
        <v>#VALUE!</v>
      </c>
      <c r="P173" s="85" t="str">
        <f aca="false">IF(ISBLANK($C173),"",IF(G173=Constants!$B$9, TRUE(), IF(G173=Constants!$B$10, FALSE(), TRUE())))</f>
        <v/>
      </c>
      <c r="Q173" s="85" t="str">
        <f aca="false">IF(ISBLANK($C173),"",IF(H173=Constants!$B$9, TRUE(), IF(H173=Constants!$B$10, FALSE(), TRUE())))</f>
        <v/>
      </c>
      <c r="R173" s="85" t="str">
        <f aca="false">IF(ISBLANK($C173),"",IF(ISBLANK(I173),Constants!$B$3,I173))</f>
        <v/>
      </c>
      <c r="S173" s="85" t="str">
        <f aca="false">IF(ISBLANK($C173),"",IF(ISBLANK(J173),0,MIN(J173,Constants!$B$6)))</f>
        <v/>
      </c>
      <c r="T173" s="85" t="str">
        <f aca="false">IF(ISBLANK($C173),"",IF(K173=Constants!$B$9, TRUE(), IF(K173=Constants!$B$10, FALSE(),  FALSE())))</f>
        <v/>
      </c>
      <c r="U173" s="85" t="str">
        <f aca="false">IF(ISBLANK($C173),"",AND(R173=Constants!$B$4, S173&lt;Constants!$B$6))</f>
        <v/>
      </c>
      <c r="V173" s="85" t="str">
        <f aca="false">IF(ISBLANK(C173), "", IF(T173, Constants!$B$11, IF(COUNTA(E173:K173)=0, Constants!$B$12, IF(NOT(AND(P173,S173&lt;&gt;0)), Constants!$B$13, IF(O173, Constants!$B$15, Constants!$B$14)))))</f>
        <v/>
      </c>
      <c r="W173" s="85" t="str">
        <f aca="false">IF(OR(ISBLANK($C173), SUMPRODUCT(--(P173:T173&lt;&gt;""))=0), "", IF(V173&lt;&gt;Constants!$B$14, V173, IF(AND(NOT(ISBLANK(J173)),P173,Q173,R173&lt;&gt;Constants!$B$2), Constants!$B$7, IF(AND(P173,OR(NOT(Q173),R173=Constants!$B$2)), Constants!$B$8, "Error"))))</f>
        <v/>
      </c>
      <c r="X173" s="87" t="str">
        <f aca="false">IF(OR(W173=Constants!$B$7,W173=Constants!$B$8), MAX(0, MIN(Constants!$B$6, S173))+IF(AND(R173=Constants!$B$4, NOT(U173)), Constants!$B$5, 0), "")</f>
        <v/>
      </c>
      <c r="Y173" s="85" t="str">
        <f aca="false">IF(ISBLANK($C173),"",IF(AND(ISNUMBER(X173),N173&gt;0),X173/N173, "") )</f>
        <v/>
      </c>
      <c r="Z173" s="85" t="str">
        <f aca="false">IF(AND(NOT(ISBLANK($C173)), W173=Constants!$B$7), Y173, "")</f>
        <v/>
      </c>
      <c r="AA173" s="85" t="str">
        <f aca="false">IF(ISNUMBER(Z173), RANK(Z173,Z$8:Z$507), "")</f>
        <v/>
      </c>
      <c r="AB173" s="85" t="str">
        <f aca="false">IF(AND(NOT(ISBLANK($C173)), W173=Constants!$B$8), Y173, "")</f>
        <v/>
      </c>
      <c r="AC173" s="85" t="str">
        <f aca="false">IF(ISNUMBER(AB173), RANK(AB173,AB$8:AB$507), "")</f>
        <v/>
      </c>
      <c r="AD173" s="85" t="str">
        <f aca="false">IF(ISBLANK($C173),"",IF(V173&lt;&gt;Constants!$B$14, V173, IF(W173=Constants!$B$7, AA173, IF(W173=Constants!$B$8, COUNT($AA$8:$AA$507) + AC173, ""))))</f>
        <v/>
      </c>
      <c r="AE173" s="85" t="str">
        <f aca="false">N173</f>
        <v/>
      </c>
      <c r="AF173" s="85" t="str">
        <f aca="false">IF(ISNUMBER(AE173), RANK(AE173,AE$8:AE$507,1), "")</f>
        <v/>
      </c>
      <c r="AG173" s="88" t="str">
        <f aca="false">IF(ISBLANK(C173), "", ABS(M173-S173))</f>
        <v/>
      </c>
      <c r="AH173" s="85" t="str">
        <f aca="false">IF(ISNUMBER(AG173), RANK(AG173,AG$8:AG$507,1), "")</f>
        <v/>
      </c>
      <c r="AI173" s="85" t="str">
        <f aca="false">IF(ISBLANK(C173),"",IF(V173&lt;&gt;Constants!$B$14, V173, RANK(AD173, AD$8:AD$507, 1)+ SUMPRODUCT(--(AD$8:AD$507=AD173),--(AF173&gt;AF$8:AF$507)) + SUMPRODUCT(--(AD$8:AD$507=AD173),--(AF173=AF$8:AF$507),--(AH173&gt;AH$8:AH$507))))</f>
        <v/>
      </c>
      <c r="AJ173" s="85" t="str">
        <f aca="false">IF(ISBLANK(C173),"",IF(V173&lt;&gt;Constants!$B$14, V173, AD173-AI173))</f>
        <v/>
      </c>
      <c r="AK173" s="89"/>
      <c r="AL173" s="90" t="str">
        <f aca="false">IF(ISBLANK($C173),"",IF($V173&lt;&gt;Constants!$B$14,$V173,X173))</f>
        <v/>
      </c>
      <c r="AM173" s="90" t="str">
        <f aca="false">IF(ISBLANK($C173),"",IF($V173&lt;&gt;Constants!$B$14,$V173,N173))</f>
        <v/>
      </c>
      <c r="AN173" s="91" t="str">
        <f aca="false">IF(ISBLANK(C173),"",IF(V173&lt;&gt;Constants!$B$14, V173, IF(W173=Constants!$B$7,Z173,IF(W173=Constants!$B$8,AB173,""))))</f>
        <v/>
      </c>
      <c r="AO173" s="92" t="str">
        <f aca="false">IF(ISBLANK(C173),"",W173)</f>
        <v/>
      </c>
      <c r="AP173" s="92" t="str">
        <f aca="false">IF(ISBLANK(C173),"",AJ173)</f>
        <v/>
      </c>
      <c r="AQ173" s="92" t="str">
        <f aca="false">IF(ISBLANK(C173),"",AI173)</f>
        <v/>
      </c>
      <c r="AR173" s="93" t="str">
        <f aca="false">IF(ISBLANK(C173),
  "",
IF(AQ173=Constants!$B$11,COUNTA($C$8:$C$507)+2,IF(AQ173=Constants!$B$12,COUNTA($C$8:$C$507)+1,IF(AQ173=Constants!$B$13,COUNTA($C$8:$C$507),AQ173))))</f>
        <v/>
      </c>
      <c r="AS173" s="3"/>
      <c r="AT173" s="94" t="n">
        <f aca="false">IF(OR(ISNUMBER(AQ173),AQ173="DQ",AQ173="P",AQ173="NS"),
    1,
    0
)</f>
        <v>0</v>
      </c>
      <c r="AU173" s="94" t="n">
        <v>166</v>
      </c>
      <c r="AV173" s="94" t="str">
        <f aca="false">IF(ISBLANK($C173),
    "",
   IF(ISNUMBER(AR173),AR173+ROW($B173)/1000,"")
)</f>
        <v/>
      </c>
      <c r="AW173" s="94" t="str">
        <f aca="false">IF(ISNUMBER(AV173), RANK(AV173,AV$8:AV$507,1), "")</f>
        <v/>
      </c>
      <c r="AX173" s="94" t="str">
        <f aca="false">IF(ISBLANK($C173),
    "",
    $B173
)</f>
        <v/>
      </c>
      <c r="AY173" s="94" t="str">
        <f aca="false">IF(ISBLANK($C173),
    "",
    $C173
)</f>
        <v/>
      </c>
      <c r="AZ173" s="94" t="str">
        <f aca="false">IF(ISBLANK($C173),
    "",
    $D173
)</f>
        <v/>
      </c>
      <c r="BA173" s="94" t="str">
        <f aca="false">AO173</f>
        <v/>
      </c>
      <c r="BB173" s="95" t="str">
        <f aca="false">AN173</f>
        <v/>
      </c>
      <c r="BC173" s="94" t="str">
        <f aca="false">IF(ISBLANK($C173),
    "",
    AQ173
)</f>
        <v/>
      </c>
      <c r="BD173" s="96" t="str">
        <f aca="false">IF(AU173&gt;AT$7,
    "",
    VLOOKUP(AU173,AW$8:BC$507,7,FALSE())
)</f>
        <v/>
      </c>
      <c r="BE173" s="97" t="str">
        <f aca="false">IF(AU173&gt;AT$7,
    "",
    VLOOKUP(AU173,AW$8:BC$507,2,FALSE())
)</f>
        <v/>
      </c>
      <c r="BF173" s="97" t="str">
        <f aca="false">IF(AU173&gt;AT$7,
    "",
    VLOOKUP(AU173,AW$8:BC$507,3,FALSE())
)</f>
        <v/>
      </c>
      <c r="BG173" s="97" t="str">
        <f aca="false">IF(AU173&gt;AT$7,
    "",
    VLOOKUP(AU173,AW$8:BC$507,4,FALSE())
)</f>
        <v/>
      </c>
      <c r="BH173" s="97" t="str">
        <f aca="false">IF(AU173&gt;AT$7,
    "",
    VLOOKUP(AU173,AW$8:BC$507,5,FALSE())
)</f>
        <v/>
      </c>
      <c r="BI173" s="98" t="str">
        <f aca="false">IF(AU173&gt;AT$7,
    "",
    VLOOKUP(AU173,AW$8:BC$507,6,FALSE())
)</f>
        <v/>
      </c>
      <c r="BJ173" s="46"/>
    </row>
    <row r="174" customFormat="false" ht="15.75" hidden="false" customHeight="false" outlineLevel="0" collapsed="false">
      <c r="A174" s="3"/>
      <c r="B174" s="105"/>
      <c r="C174" s="106"/>
      <c r="D174" s="99"/>
      <c r="E174" s="110"/>
      <c r="F174" s="107"/>
      <c r="G174" s="110"/>
      <c r="H174" s="103"/>
      <c r="I174" s="102"/>
      <c r="J174" s="103"/>
      <c r="K174" s="103"/>
      <c r="L174" s="85"/>
      <c r="M174" s="85" t="str">
        <f aca="false">IF(ISBLANK($C174),"",IF(ISBLANK(E174),0,E174))</f>
        <v/>
      </c>
      <c r="N174" s="85" t="str">
        <f aca="false">IF(ISBLANK($C174),"",IF(ISBLANK(F174),0,F174))</f>
        <v/>
      </c>
      <c r="O174" s="86" t="e">
        <f aca="false">IF(AND(NOT(ISBLANK($C174)),NOT($T174),COUNTA($E174:$K174)&gt;0),ISBLANK($F174),FALSE())</f>
        <v>#VALUE!</v>
      </c>
      <c r="P174" s="85" t="str">
        <f aca="false">IF(ISBLANK($C174),"",IF(G174=Constants!$B$9, TRUE(), IF(G174=Constants!$B$10, FALSE(), TRUE())))</f>
        <v/>
      </c>
      <c r="Q174" s="85" t="str">
        <f aca="false">IF(ISBLANK($C174),"",IF(H174=Constants!$B$9, TRUE(), IF(H174=Constants!$B$10, FALSE(), TRUE())))</f>
        <v/>
      </c>
      <c r="R174" s="85" t="str">
        <f aca="false">IF(ISBLANK($C174),"",IF(ISBLANK(I174),Constants!$B$3,I174))</f>
        <v/>
      </c>
      <c r="S174" s="85" t="str">
        <f aca="false">IF(ISBLANK($C174),"",IF(ISBLANK(J174),0,MIN(J174,Constants!$B$6)))</f>
        <v/>
      </c>
      <c r="T174" s="85" t="str">
        <f aca="false">IF(ISBLANK($C174),"",IF(K174=Constants!$B$9, TRUE(), IF(K174=Constants!$B$10, FALSE(),  FALSE())))</f>
        <v/>
      </c>
      <c r="U174" s="85" t="str">
        <f aca="false">IF(ISBLANK($C174),"",AND(R174=Constants!$B$4, S174&lt;Constants!$B$6))</f>
        <v/>
      </c>
      <c r="V174" s="85" t="str">
        <f aca="false">IF(ISBLANK(C174), "", IF(T174, Constants!$B$11, IF(COUNTA(E174:K174)=0, Constants!$B$12, IF(NOT(AND(P174,S174&lt;&gt;0)), Constants!$B$13, IF(O174, Constants!$B$15, Constants!$B$14)))))</f>
        <v/>
      </c>
      <c r="W174" s="85" t="str">
        <f aca="false">IF(OR(ISBLANK($C174), SUMPRODUCT(--(P174:T174&lt;&gt;""))=0), "", IF(V174&lt;&gt;Constants!$B$14, V174, IF(AND(NOT(ISBLANK(J174)),P174,Q174,R174&lt;&gt;Constants!$B$2), Constants!$B$7, IF(AND(P174,OR(NOT(Q174),R174=Constants!$B$2)), Constants!$B$8, "Error"))))</f>
        <v/>
      </c>
      <c r="X174" s="87" t="str">
        <f aca="false">IF(OR(W174=Constants!$B$7,W174=Constants!$B$8), MAX(0, MIN(Constants!$B$6, S174))+IF(AND(R174=Constants!$B$4, NOT(U174)), Constants!$B$5, 0), "")</f>
        <v/>
      </c>
      <c r="Y174" s="85" t="str">
        <f aca="false">IF(ISBLANK($C174),"",IF(AND(ISNUMBER(X174),N174&gt;0),X174/N174, "") )</f>
        <v/>
      </c>
      <c r="Z174" s="85" t="str">
        <f aca="false">IF(AND(NOT(ISBLANK($C174)), W174=Constants!$B$7), Y174, "")</f>
        <v/>
      </c>
      <c r="AA174" s="85" t="str">
        <f aca="false">IF(ISNUMBER(Z174), RANK(Z174,Z$8:Z$507), "")</f>
        <v/>
      </c>
      <c r="AB174" s="85" t="str">
        <f aca="false">IF(AND(NOT(ISBLANK($C174)), W174=Constants!$B$8), Y174, "")</f>
        <v/>
      </c>
      <c r="AC174" s="85" t="str">
        <f aca="false">IF(ISNUMBER(AB174), RANK(AB174,AB$8:AB$507), "")</f>
        <v/>
      </c>
      <c r="AD174" s="85" t="str">
        <f aca="false">IF(ISBLANK($C174),"",IF(V174&lt;&gt;Constants!$B$14, V174, IF(W174=Constants!$B$7, AA174, IF(W174=Constants!$B$8, COUNT($AA$8:$AA$507) + AC174, ""))))</f>
        <v/>
      </c>
      <c r="AE174" s="85" t="str">
        <f aca="false">N174</f>
        <v/>
      </c>
      <c r="AF174" s="85" t="str">
        <f aca="false">IF(ISNUMBER(AE174), RANK(AE174,AE$8:AE$507,1), "")</f>
        <v/>
      </c>
      <c r="AG174" s="88" t="str">
        <f aca="false">IF(ISBLANK(C174), "", ABS(M174-S174))</f>
        <v/>
      </c>
      <c r="AH174" s="85" t="str">
        <f aca="false">IF(ISNUMBER(AG174), RANK(AG174,AG$8:AG$507,1), "")</f>
        <v/>
      </c>
      <c r="AI174" s="85" t="str">
        <f aca="false">IF(ISBLANK(C174),"",IF(V174&lt;&gt;Constants!$B$14, V174, RANK(AD174, AD$8:AD$507, 1)+ SUMPRODUCT(--(AD$8:AD$507=AD174),--(AF174&gt;AF$8:AF$507)) + SUMPRODUCT(--(AD$8:AD$507=AD174),--(AF174=AF$8:AF$507),--(AH174&gt;AH$8:AH$507))))</f>
        <v/>
      </c>
      <c r="AJ174" s="85" t="str">
        <f aca="false">IF(ISBLANK(C174),"",IF(V174&lt;&gt;Constants!$B$14, V174, AD174-AI174))</f>
        <v/>
      </c>
      <c r="AK174" s="89"/>
      <c r="AL174" s="90" t="str">
        <f aca="false">IF(ISBLANK($C174),"",IF($V174&lt;&gt;Constants!$B$14,$V174,X174))</f>
        <v/>
      </c>
      <c r="AM174" s="90" t="str">
        <f aca="false">IF(ISBLANK($C174),"",IF($V174&lt;&gt;Constants!$B$14,$V174,N174))</f>
        <v/>
      </c>
      <c r="AN174" s="91" t="str">
        <f aca="false">IF(ISBLANK(C174),"",IF(V174&lt;&gt;Constants!$B$14, V174, IF(W174=Constants!$B$7,Z174,IF(W174=Constants!$B$8,AB174,""))))</f>
        <v/>
      </c>
      <c r="AO174" s="92" t="str">
        <f aca="false">IF(ISBLANK(C174),"",W174)</f>
        <v/>
      </c>
      <c r="AP174" s="92" t="str">
        <f aca="false">IF(ISBLANK(C174),"",AJ174)</f>
        <v/>
      </c>
      <c r="AQ174" s="92" t="str">
        <f aca="false">IF(ISBLANK(C174),"",AI174)</f>
        <v/>
      </c>
      <c r="AR174" s="93" t="str">
        <f aca="false">IF(ISBLANK(C174),
  "",
IF(AQ174=Constants!$B$11,COUNTA($C$8:$C$507)+2,IF(AQ174=Constants!$B$12,COUNTA($C$8:$C$507)+1,IF(AQ174=Constants!$B$13,COUNTA($C$8:$C$507),AQ174))))</f>
        <v/>
      </c>
      <c r="AS174" s="3"/>
      <c r="AT174" s="94" t="n">
        <f aca="false">IF(OR(ISNUMBER(AQ174),AQ174="DQ",AQ174="P",AQ174="NS"),
    1,
    0
)</f>
        <v>0</v>
      </c>
      <c r="AU174" s="94" t="n">
        <v>167</v>
      </c>
      <c r="AV174" s="94" t="str">
        <f aca="false">IF(ISBLANK($C174),
    "",
   IF(ISNUMBER(AR174),AR174+ROW($B174)/1000,"")
)</f>
        <v/>
      </c>
      <c r="AW174" s="94" t="str">
        <f aca="false">IF(ISNUMBER(AV174), RANK(AV174,AV$8:AV$507,1), "")</f>
        <v/>
      </c>
      <c r="AX174" s="94" t="str">
        <f aca="false">IF(ISBLANK($C174),
    "",
    $B174
)</f>
        <v/>
      </c>
      <c r="AY174" s="94" t="str">
        <f aca="false">IF(ISBLANK($C174),
    "",
    $C174
)</f>
        <v/>
      </c>
      <c r="AZ174" s="94" t="str">
        <f aca="false">IF(ISBLANK($C174),
    "",
    $D174
)</f>
        <v/>
      </c>
      <c r="BA174" s="94" t="str">
        <f aca="false">AO174</f>
        <v/>
      </c>
      <c r="BB174" s="95" t="str">
        <f aca="false">AN174</f>
        <v/>
      </c>
      <c r="BC174" s="94" t="str">
        <f aca="false">IF(ISBLANK($C174),
    "",
    AQ174
)</f>
        <v/>
      </c>
      <c r="BD174" s="96" t="str">
        <f aca="false">IF(AU174&gt;AT$7,
    "",
    VLOOKUP(AU174,AW$8:BC$507,7,FALSE())
)</f>
        <v/>
      </c>
      <c r="BE174" s="97" t="str">
        <f aca="false">IF(AU174&gt;AT$7,
    "",
    VLOOKUP(AU174,AW$8:BC$507,2,FALSE())
)</f>
        <v/>
      </c>
      <c r="BF174" s="97" t="str">
        <f aca="false">IF(AU174&gt;AT$7,
    "",
    VLOOKUP(AU174,AW$8:BC$507,3,FALSE())
)</f>
        <v/>
      </c>
      <c r="BG174" s="97" t="str">
        <f aca="false">IF(AU174&gt;AT$7,
    "",
    VLOOKUP(AU174,AW$8:BC$507,4,FALSE())
)</f>
        <v/>
      </c>
      <c r="BH174" s="97" t="str">
        <f aca="false">IF(AU174&gt;AT$7,
    "",
    VLOOKUP(AU174,AW$8:BC$507,5,FALSE())
)</f>
        <v/>
      </c>
      <c r="BI174" s="98" t="str">
        <f aca="false">IF(AU174&gt;AT$7,
    "",
    VLOOKUP(AU174,AW$8:BC$507,6,FALSE())
)</f>
        <v/>
      </c>
      <c r="BJ174" s="46"/>
    </row>
    <row r="175" customFormat="false" ht="15.75" hidden="false" customHeight="false" outlineLevel="0" collapsed="false">
      <c r="A175" s="3"/>
      <c r="B175" s="105"/>
      <c r="C175" s="106"/>
      <c r="D175" s="99"/>
      <c r="E175" s="110"/>
      <c r="F175" s="107"/>
      <c r="G175" s="110"/>
      <c r="H175" s="103"/>
      <c r="I175" s="102"/>
      <c r="J175" s="103"/>
      <c r="K175" s="103"/>
      <c r="L175" s="85"/>
      <c r="M175" s="85" t="str">
        <f aca="false">IF(ISBLANK($C175),"",IF(ISBLANK(E175),0,E175))</f>
        <v/>
      </c>
      <c r="N175" s="85" t="str">
        <f aca="false">IF(ISBLANK($C175),"",IF(ISBLANK(F175),0,F175))</f>
        <v/>
      </c>
      <c r="O175" s="86" t="e">
        <f aca="false">IF(AND(NOT(ISBLANK($C175)),NOT($T175),COUNTA($E175:$K175)&gt;0),ISBLANK($F175),FALSE())</f>
        <v>#VALUE!</v>
      </c>
      <c r="P175" s="85" t="str">
        <f aca="false">IF(ISBLANK($C175),"",IF(G175=Constants!$B$9, TRUE(), IF(G175=Constants!$B$10, FALSE(), TRUE())))</f>
        <v/>
      </c>
      <c r="Q175" s="85" t="str">
        <f aca="false">IF(ISBLANK($C175),"",IF(H175=Constants!$B$9, TRUE(), IF(H175=Constants!$B$10, FALSE(), TRUE())))</f>
        <v/>
      </c>
      <c r="R175" s="85" t="str">
        <f aca="false">IF(ISBLANK($C175),"",IF(ISBLANK(I175),Constants!$B$3,I175))</f>
        <v/>
      </c>
      <c r="S175" s="85" t="str">
        <f aca="false">IF(ISBLANK($C175),"",IF(ISBLANK(J175),0,MIN(J175,Constants!$B$6)))</f>
        <v/>
      </c>
      <c r="T175" s="85" t="str">
        <f aca="false">IF(ISBLANK($C175),"",IF(K175=Constants!$B$9, TRUE(), IF(K175=Constants!$B$10, FALSE(),  FALSE())))</f>
        <v/>
      </c>
      <c r="U175" s="85" t="str">
        <f aca="false">IF(ISBLANK($C175),"",AND(R175=Constants!$B$4, S175&lt;Constants!$B$6))</f>
        <v/>
      </c>
      <c r="V175" s="85" t="str">
        <f aca="false">IF(ISBLANK(C175), "", IF(T175, Constants!$B$11, IF(COUNTA(E175:K175)=0, Constants!$B$12, IF(NOT(AND(P175,S175&lt;&gt;0)), Constants!$B$13, IF(O175, Constants!$B$15, Constants!$B$14)))))</f>
        <v/>
      </c>
      <c r="W175" s="85" t="str">
        <f aca="false">IF(OR(ISBLANK($C175), SUMPRODUCT(--(P175:T175&lt;&gt;""))=0), "", IF(V175&lt;&gt;Constants!$B$14, V175, IF(AND(NOT(ISBLANK(J175)),P175,Q175,R175&lt;&gt;Constants!$B$2), Constants!$B$7, IF(AND(P175,OR(NOT(Q175),R175=Constants!$B$2)), Constants!$B$8, "Error"))))</f>
        <v/>
      </c>
      <c r="X175" s="87" t="str">
        <f aca="false">IF(OR(W175=Constants!$B$7,W175=Constants!$B$8), MAX(0, MIN(Constants!$B$6, S175))+IF(AND(R175=Constants!$B$4, NOT(U175)), Constants!$B$5, 0), "")</f>
        <v/>
      </c>
      <c r="Y175" s="85" t="str">
        <f aca="false">IF(ISBLANK($C175),"",IF(AND(ISNUMBER(X175),N175&gt;0),X175/N175, "") )</f>
        <v/>
      </c>
      <c r="Z175" s="85" t="str">
        <f aca="false">IF(AND(NOT(ISBLANK($C175)), W175=Constants!$B$7), Y175, "")</f>
        <v/>
      </c>
      <c r="AA175" s="85" t="str">
        <f aca="false">IF(ISNUMBER(Z175), RANK(Z175,Z$8:Z$507), "")</f>
        <v/>
      </c>
      <c r="AB175" s="85" t="str">
        <f aca="false">IF(AND(NOT(ISBLANK($C175)), W175=Constants!$B$8), Y175, "")</f>
        <v/>
      </c>
      <c r="AC175" s="85" t="str">
        <f aca="false">IF(ISNUMBER(AB175), RANK(AB175,AB$8:AB$507), "")</f>
        <v/>
      </c>
      <c r="AD175" s="85" t="str">
        <f aca="false">IF(ISBLANK($C175),"",IF(V175&lt;&gt;Constants!$B$14, V175, IF(W175=Constants!$B$7, AA175, IF(W175=Constants!$B$8, COUNT($AA$8:$AA$507) + AC175, ""))))</f>
        <v/>
      </c>
      <c r="AE175" s="85" t="str">
        <f aca="false">N175</f>
        <v/>
      </c>
      <c r="AF175" s="85" t="str">
        <f aca="false">IF(ISNUMBER(AE175), RANK(AE175,AE$8:AE$507,1), "")</f>
        <v/>
      </c>
      <c r="AG175" s="88" t="str">
        <f aca="false">IF(ISBLANK(C175), "", ABS(M175-S175))</f>
        <v/>
      </c>
      <c r="AH175" s="85" t="str">
        <f aca="false">IF(ISNUMBER(AG175), RANK(AG175,AG$8:AG$507,1), "")</f>
        <v/>
      </c>
      <c r="AI175" s="85" t="str">
        <f aca="false">IF(ISBLANK(C175),"",IF(V175&lt;&gt;Constants!$B$14, V175, RANK(AD175, AD$8:AD$507, 1)+ SUMPRODUCT(--(AD$8:AD$507=AD175),--(AF175&gt;AF$8:AF$507)) + SUMPRODUCT(--(AD$8:AD$507=AD175),--(AF175=AF$8:AF$507),--(AH175&gt;AH$8:AH$507))))</f>
        <v/>
      </c>
      <c r="AJ175" s="85" t="str">
        <f aca="false">IF(ISBLANK(C175),"",IF(V175&lt;&gt;Constants!$B$14, V175, AD175-AI175))</f>
        <v/>
      </c>
      <c r="AK175" s="89"/>
      <c r="AL175" s="90" t="str">
        <f aca="false">IF(ISBLANK($C175),"",IF($V175&lt;&gt;Constants!$B$14,$V175,X175))</f>
        <v/>
      </c>
      <c r="AM175" s="90" t="str">
        <f aca="false">IF(ISBLANK($C175),"",IF($V175&lt;&gt;Constants!$B$14,$V175,N175))</f>
        <v/>
      </c>
      <c r="AN175" s="91" t="str">
        <f aca="false">IF(ISBLANK(C175),"",IF(V175&lt;&gt;Constants!$B$14, V175, IF(W175=Constants!$B$7,Z175,IF(W175=Constants!$B$8,AB175,""))))</f>
        <v/>
      </c>
      <c r="AO175" s="92" t="str">
        <f aca="false">IF(ISBLANK(C175),"",W175)</f>
        <v/>
      </c>
      <c r="AP175" s="92" t="str">
        <f aca="false">IF(ISBLANK(C175),"",AJ175)</f>
        <v/>
      </c>
      <c r="AQ175" s="92" t="str">
        <f aca="false">IF(ISBLANK(C175),"",AI175)</f>
        <v/>
      </c>
      <c r="AR175" s="93" t="str">
        <f aca="false">IF(ISBLANK(C175),
  "",
IF(AQ175=Constants!$B$11,COUNTA($C$8:$C$507)+2,IF(AQ175=Constants!$B$12,COUNTA($C$8:$C$507)+1,IF(AQ175=Constants!$B$13,COUNTA($C$8:$C$507),AQ175))))</f>
        <v/>
      </c>
      <c r="AS175" s="3"/>
      <c r="AT175" s="94" t="n">
        <f aca="false">IF(OR(ISNUMBER(AQ175),AQ175="DQ",AQ175="P",AQ175="NS"),
    1,
    0
)</f>
        <v>0</v>
      </c>
      <c r="AU175" s="94" t="n">
        <v>168</v>
      </c>
      <c r="AV175" s="94" t="str">
        <f aca="false">IF(ISBLANK($C175),
    "",
   IF(ISNUMBER(AR175),AR175+ROW($B175)/1000,"")
)</f>
        <v/>
      </c>
      <c r="AW175" s="94" t="str">
        <f aca="false">IF(ISNUMBER(AV175), RANK(AV175,AV$8:AV$507,1), "")</f>
        <v/>
      </c>
      <c r="AX175" s="94" t="str">
        <f aca="false">IF(ISBLANK($C175),
    "",
    $B175
)</f>
        <v/>
      </c>
      <c r="AY175" s="94" t="str">
        <f aca="false">IF(ISBLANK($C175),
    "",
    $C175
)</f>
        <v/>
      </c>
      <c r="AZ175" s="94" t="str">
        <f aca="false">IF(ISBLANK($C175),
    "",
    $D175
)</f>
        <v/>
      </c>
      <c r="BA175" s="94" t="str">
        <f aca="false">AO175</f>
        <v/>
      </c>
      <c r="BB175" s="95" t="str">
        <f aca="false">AN175</f>
        <v/>
      </c>
      <c r="BC175" s="94" t="str">
        <f aca="false">IF(ISBLANK($C175),
    "",
    AQ175
)</f>
        <v/>
      </c>
      <c r="BD175" s="96" t="str">
        <f aca="false">IF(AU175&gt;AT$7,
    "",
    VLOOKUP(AU175,AW$8:BC$507,7,FALSE())
)</f>
        <v/>
      </c>
      <c r="BE175" s="97" t="str">
        <f aca="false">IF(AU175&gt;AT$7,
    "",
    VLOOKUP(AU175,AW$8:BC$507,2,FALSE())
)</f>
        <v/>
      </c>
      <c r="BF175" s="97" t="str">
        <f aca="false">IF(AU175&gt;AT$7,
    "",
    VLOOKUP(AU175,AW$8:BC$507,3,FALSE())
)</f>
        <v/>
      </c>
      <c r="BG175" s="97" t="str">
        <f aca="false">IF(AU175&gt;AT$7,
    "",
    VLOOKUP(AU175,AW$8:BC$507,4,FALSE())
)</f>
        <v/>
      </c>
      <c r="BH175" s="97" t="str">
        <f aca="false">IF(AU175&gt;AT$7,
    "",
    VLOOKUP(AU175,AW$8:BC$507,5,FALSE())
)</f>
        <v/>
      </c>
      <c r="BI175" s="98" t="str">
        <f aca="false">IF(AU175&gt;AT$7,
    "",
    VLOOKUP(AU175,AW$8:BC$507,6,FALSE())
)</f>
        <v/>
      </c>
      <c r="BJ175" s="46"/>
    </row>
    <row r="176" customFormat="false" ht="15.75" hidden="false" customHeight="false" outlineLevel="0" collapsed="false">
      <c r="A176" s="3"/>
      <c r="B176" s="108"/>
      <c r="C176" s="70"/>
      <c r="D176" s="49"/>
      <c r="E176" s="109"/>
      <c r="F176" s="72"/>
      <c r="G176" s="109"/>
      <c r="H176" s="74"/>
      <c r="I176" s="104"/>
      <c r="J176" s="74"/>
      <c r="K176" s="74"/>
      <c r="L176" s="55"/>
      <c r="M176" s="55" t="str">
        <f aca="false">IF(ISBLANK($C176),"",IF(ISBLANK(E176),0,E176))</f>
        <v/>
      </c>
      <c r="N176" s="55" t="str">
        <f aca="false">IF(ISBLANK($C176),"",IF(ISBLANK(F176),0,F176))</f>
        <v/>
      </c>
      <c r="O176" s="55" t="e">
        <f aca="false">IF(AND(NOT(ISBLANK($C176)),NOT($T176),COUNTA($E176:$K176)&gt;0),ISBLANK($F176),FALSE())</f>
        <v>#VALUE!</v>
      </c>
      <c r="P176" s="55" t="str">
        <f aca="false">IF(ISBLANK($C176),"",IF(G176=Constants!$B$9, TRUE(), IF(G176=Constants!$B$10, FALSE(), TRUE())))</f>
        <v/>
      </c>
      <c r="Q176" s="55" t="str">
        <f aca="false">IF(ISBLANK($C176),"",IF(H176=Constants!$B$9, TRUE(), IF(H176=Constants!$B$10, FALSE(), TRUE())))</f>
        <v/>
      </c>
      <c r="R176" s="55" t="str">
        <f aca="false">IF(ISBLANK($C176),"",IF(ISBLANK(I176),Constants!$B$3,I176))</f>
        <v/>
      </c>
      <c r="S176" s="55" t="str">
        <f aca="false">IF(ISBLANK($C176),"",IF(ISBLANK(J176),0,MIN(J176,Constants!$B$6)))</f>
        <v/>
      </c>
      <c r="T176" s="55" t="str">
        <f aca="false">IF(ISBLANK($C176),"",IF(K176=Constants!$B$9, TRUE(), IF(K176=Constants!$B$10, FALSE(),  FALSE())))</f>
        <v/>
      </c>
      <c r="U176" s="55" t="str">
        <f aca="false">IF(ISBLANK($C176),"",AND(R176=Constants!$B$4, S176&lt;Constants!$B$6))</f>
        <v/>
      </c>
      <c r="V176" s="55" t="str">
        <f aca="false">IF(ISBLANK(C176), "", IF(T176, Constants!$B$11, IF(COUNTA(E176:K176)=0, Constants!$B$12, IF(NOT(AND(P176,S176&lt;&gt;0)), Constants!$B$13, IF(O176, Constants!$B$15, Constants!$B$14)))))</f>
        <v/>
      </c>
      <c r="W176" s="55" t="str">
        <f aca="false">IF(OR(ISBLANK($C176), SUMPRODUCT(--(P176:T176&lt;&gt;""))=0), "", IF(V176&lt;&gt;Constants!$B$14, V176, IF(AND(NOT(ISBLANK(J176)),P176,Q176,R176&lt;&gt;Constants!$B$2), Constants!$B$7, IF(AND(P176,OR(NOT(Q176),R176=Constants!$B$2)), Constants!$B$8, "Error"))))</f>
        <v/>
      </c>
      <c r="X176" s="56" t="str">
        <f aca="false">IF(OR(W176=Constants!$B$7,W176=Constants!$B$8), MAX(0, MIN(Constants!$B$6, S176))+IF(AND(R176=Constants!$B$4, NOT(U176)), Constants!$B$5, 0), "")</f>
        <v/>
      </c>
      <c r="Y176" s="55" t="str">
        <f aca="false">IF(ISBLANK($C176),"",IF(AND(ISNUMBER(X176),N176&gt;0),X176/N176, "") )</f>
        <v/>
      </c>
      <c r="Z176" s="55" t="str">
        <f aca="false">IF(AND(NOT(ISBLANK($C176)), W176=Constants!$B$7), Y176, "")</f>
        <v/>
      </c>
      <c r="AA176" s="55" t="str">
        <f aca="false">IF(ISNUMBER(Z176), RANK(Z176,Z$8:Z$507), "")</f>
        <v/>
      </c>
      <c r="AB176" s="55" t="str">
        <f aca="false">IF(AND(NOT(ISBLANK($C176)), W176=Constants!$B$8), Y176, "")</f>
        <v/>
      </c>
      <c r="AC176" s="55" t="str">
        <f aca="false">IF(ISNUMBER(AB176), RANK(AB176,AB$8:AB$507), "")</f>
        <v/>
      </c>
      <c r="AD176" s="55" t="str">
        <f aca="false">IF(ISBLANK($C176),"",IF(V176&lt;&gt;Constants!$B$14, V176, IF(W176=Constants!$B$7, AA176, IF(W176=Constants!$B$8, COUNT($AA$8:$AA$507) + AC176, ""))))</f>
        <v/>
      </c>
      <c r="AE176" s="55" t="str">
        <f aca="false">N176</f>
        <v/>
      </c>
      <c r="AF176" s="55" t="str">
        <f aca="false">IF(ISNUMBER(AE176), RANK(AE176,AE$8:AE$507,1), "")</f>
        <v/>
      </c>
      <c r="AG176" s="57" t="str">
        <f aca="false">IF(ISBLANK(C176), "", ABS(M176-S176))</f>
        <v/>
      </c>
      <c r="AH176" s="55" t="str">
        <f aca="false">IF(ISNUMBER(AG176), RANK(AG176,AG$8:AG$507,1), "")</f>
        <v/>
      </c>
      <c r="AI176" s="55" t="str">
        <f aca="false">IF(ISBLANK(C176),"",IF(V176&lt;&gt;Constants!$B$14, V176, RANK(AD176, AD$8:AD$507, 1)+ SUMPRODUCT(--(AD$8:AD$507=AD176),--(AF176&gt;AF$8:AF$507)) + SUMPRODUCT(--(AD$8:AD$507=AD176),--(AF176=AF$8:AF$507),--(AH176&gt;AH$8:AH$507))))</f>
        <v/>
      </c>
      <c r="AJ176" s="55" t="str">
        <f aca="false">IF(ISBLANK(C176),"",IF(V176&lt;&gt;Constants!$B$14, V176, AD176-AI176))</f>
        <v/>
      </c>
      <c r="AK176" s="59"/>
      <c r="AL176" s="60" t="str">
        <f aca="false">IF(ISBLANK($C176),"",IF($V176&lt;&gt;Constants!$B$14,$V176,X176))</f>
        <v/>
      </c>
      <c r="AM176" s="60" t="str">
        <f aca="false">IF(ISBLANK($C176),"",IF($V176&lt;&gt;Constants!$B$14,$V176,N176))</f>
        <v/>
      </c>
      <c r="AN176" s="62" t="str">
        <f aca="false">IF(ISBLANK(C176),"",IF(V176&lt;&gt;Constants!$B$14, V176, IF(W176=Constants!$B$7,Z176,IF(W176=Constants!$B$8,AB176,""))))</f>
        <v/>
      </c>
      <c r="AO176" s="63" t="str">
        <f aca="false">IF(ISBLANK(C176),"",W176)</f>
        <v/>
      </c>
      <c r="AP176" s="63" t="str">
        <f aca="false">IF(ISBLANK(C176),"",AJ176)</f>
        <v/>
      </c>
      <c r="AQ176" s="63" t="str">
        <f aca="false">IF(ISBLANK(C176),"",AI176)</f>
        <v/>
      </c>
      <c r="AR176" s="64" t="str">
        <f aca="false">IF(ISBLANK(C176),
  "",
IF(AQ176=Constants!$B$11,COUNTA($C$8:$C$507)+2,IF(AQ176=Constants!$B$12,COUNTA($C$8:$C$507)+1,IF(AQ176=Constants!$B$13,COUNTA($C$8:$C$507),AQ176))))</f>
        <v/>
      </c>
      <c r="AS176" s="3"/>
      <c r="AT176" s="65" t="n">
        <f aca="false">IF(OR(ISNUMBER(AQ176),AQ176="DQ",AQ176="P",AQ176="NS"),
    1,
    0
)</f>
        <v>0</v>
      </c>
      <c r="AU176" s="65" t="n">
        <v>169</v>
      </c>
      <c r="AV176" s="65" t="str">
        <f aca="false">IF(ISBLANK($C176),
    "",
   IF(ISNUMBER(AR176),AR176+ROW($B176)/1000,"")
)</f>
        <v/>
      </c>
      <c r="AW176" s="65" t="str">
        <f aca="false">IF(ISNUMBER(AV176), RANK(AV176,AV$8:AV$507,1), "")</f>
        <v/>
      </c>
      <c r="AX176" s="65" t="str">
        <f aca="false">IF(ISBLANK($C176),
    "",
    $B176
)</f>
        <v/>
      </c>
      <c r="AY176" s="65" t="str">
        <f aca="false">IF(ISBLANK($C176),
    "",
    $C176
)</f>
        <v/>
      </c>
      <c r="AZ176" s="65" t="str">
        <f aca="false">IF(ISBLANK($C176),
    "",
    $D176
)</f>
        <v/>
      </c>
      <c r="BA176" s="65" t="str">
        <f aca="false">AO176</f>
        <v/>
      </c>
      <c r="BB176" s="66" t="str">
        <f aca="false">AN176</f>
        <v/>
      </c>
      <c r="BC176" s="65" t="str">
        <f aca="false">IF(ISBLANK($C176),
    "",
    AQ176
)</f>
        <v/>
      </c>
      <c r="BD176" s="67" t="str">
        <f aca="false">IF(AU176&gt;AT$7,
    "",
    VLOOKUP(AU176,AW$8:BC$507,7,FALSE())
)</f>
        <v/>
      </c>
      <c r="BE176" s="68" t="str">
        <f aca="false">IF(AU176&gt;AT$7,
    "",
    VLOOKUP(AU176,AW$8:BC$507,2,FALSE())
)</f>
        <v/>
      </c>
      <c r="BF176" s="68" t="str">
        <f aca="false">IF(AU176&gt;AT$7,
    "",
    VLOOKUP(AU176,AW$8:BC$507,3,FALSE())
)</f>
        <v/>
      </c>
      <c r="BG176" s="68" t="str">
        <f aca="false">IF(AU176&gt;AT$7,
    "",
    VLOOKUP(AU176,AW$8:BC$507,4,FALSE())
)</f>
        <v/>
      </c>
      <c r="BH176" s="68" t="str">
        <f aca="false">IF(AU176&gt;AT$7,
    "",
    VLOOKUP(AU176,AW$8:BC$507,5,FALSE())
)</f>
        <v/>
      </c>
      <c r="BI176" s="69" t="str">
        <f aca="false">IF(AU176&gt;AT$7,
    "",
    VLOOKUP(AU176,AW$8:BC$507,6,FALSE())
)</f>
        <v/>
      </c>
      <c r="BJ176" s="46"/>
    </row>
    <row r="177" customFormat="false" ht="15.75" hidden="false" customHeight="false" outlineLevel="0" collapsed="false">
      <c r="A177" s="3"/>
      <c r="B177" s="108"/>
      <c r="C177" s="70"/>
      <c r="D177" s="49"/>
      <c r="E177" s="109"/>
      <c r="F177" s="72"/>
      <c r="G177" s="109"/>
      <c r="H177" s="74"/>
      <c r="I177" s="104"/>
      <c r="J177" s="74"/>
      <c r="K177" s="74"/>
      <c r="L177" s="55"/>
      <c r="M177" s="55" t="str">
        <f aca="false">IF(ISBLANK($C177),"",IF(ISBLANK(E177),0,E177))</f>
        <v/>
      </c>
      <c r="N177" s="55" t="str">
        <f aca="false">IF(ISBLANK($C177),"",IF(ISBLANK(F177),0,F177))</f>
        <v/>
      </c>
      <c r="O177" s="55" t="e">
        <f aca="false">IF(AND(NOT(ISBLANK($C177)),NOT($T177),COUNTA($E177:$K177)&gt;0),ISBLANK($F177),FALSE())</f>
        <v>#VALUE!</v>
      </c>
      <c r="P177" s="55" t="str">
        <f aca="false">IF(ISBLANK($C177),"",IF(G177=Constants!$B$9, TRUE(), IF(G177=Constants!$B$10, FALSE(), TRUE())))</f>
        <v/>
      </c>
      <c r="Q177" s="55" t="str">
        <f aca="false">IF(ISBLANK($C177),"",IF(H177=Constants!$B$9, TRUE(), IF(H177=Constants!$B$10, FALSE(), TRUE())))</f>
        <v/>
      </c>
      <c r="R177" s="55" t="str">
        <f aca="false">IF(ISBLANK($C177),"",IF(ISBLANK(I177),Constants!$B$3,I177))</f>
        <v/>
      </c>
      <c r="S177" s="55" t="str">
        <f aca="false">IF(ISBLANK($C177),"",IF(ISBLANK(J177),0,MIN(J177,Constants!$B$6)))</f>
        <v/>
      </c>
      <c r="T177" s="55" t="str">
        <f aca="false">IF(ISBLANK($C177),"",IF(K177=Constants!$B$9, TRUE(), IF(K177=Constants!$B$10, FALSE(),  FALSE())))</f>
        <v/>
      </c>
      <c r="U177" s="55" t="str">
        <f aca="false">IF(ISBLANK($C177),"",AND(R177=Constants!$B$4, S177&lt;Constants!$B$6))</f>
        <v/>
      </c>
      <c r="V177" s="55" t="str">
        <f aca="false">IF(ISBLANK(C177), "", IF(T177, Constants!$B$11, IF(COUNTA(E177:K177)=0, Constants!$B$12, IF(NOT(AND(P177,S177&lt;&gt;0)), Constants!$B$13, IF(O177, Constants!$B$15, Constants!$B$14)))))</f>
        <v/>
      </c>
      <c r="W177" s="55" t="str">
        <f aca="false">IF(OR(ISBLANK($C177), SUMPRODUCT(--(P177:T177&lt;&gt;""))=0), "", IF(V177&lt;&gt;Constants!$B$14, V177, IF(AND(NOT(ISBLANK(J177)),P177,Q177,R177&lt;&gt;Constants!$B$2), Constants!$B$7, IF(AND(P177,OR(NOT(Q177),R177=Constants!$B$2)), Constants!$B$8, "Error"))))</f>
        <v/>
      </c>
      <c r="X177" s="56" t="str">
        <f aca="false">IF(OR(W177=Constants!$B$7,W177=Constants!$B$8), MAX(0, MIN(Constants!$B$6, S177))+IF(AND(R177=Constants!$B$4, NOT(U177)), Constants!$B$5, 0), "")</f>
        <v/>
      </c>
      <c r="Y177" s="55" t="str">
        <f aca="false">IF(ISBLANK($C177),"",IF(AND(ISNUMBER(X177),N177&gt;0),X177/N177, "") )</f>
        <v/>
      </c>
      <c r="Z177" s="55" t="str">
        <f aca="false">IF(AND(NOT(ISBLANK($C177)), W177=Constants!$B$7), Y177, "")</f>
        <v/>
      </c>
      <c r="AA177" s="55" t="str">
        <f aca="false">IF(ISNUMBER(Z177), RANK(Z177,Z$8:Z$507), "")</f>
        <v/>
      </c>
      <c r="AB177" s="55" t="str">
        <f aca="false">IF(AND(NOT(ISBLANK($C177)), W177=Constants!$B$8), Y177, "")</f>
        <v/>
      </c>
      <c r="AC177" s="55" t="str">
        <f aca="false">IF(ISNUMBER(AB177), RANK(AB177,AB$8:AB$507), "")</f>
        <v/>
      </c>
      <c r="AD177" s="55" t="str">
        <f aca="false">IF(ISBLANK($C177),"",IF(V177&lt;&gt;Constants!$B$14, V177, IF(W177=Constants!$B$7, AA177, IF(W177=Constants!$B$8, COUNT($AA$8:$AA$507) + AC177, ""))))</f>
        <v/>
      </c>
      <c r="AE177" s="55" t="str">
        <f aca="false">N177</f>
        <v/>
      </c>
      <c r="AF177" s="55" t="str">
        <f aca="false">IF(ISNUMBER(AE177), RANK(AE177,AE$8:AE$507,1), "")</f>
        <v/>
      </c>
      <c r="AG177" s="57" t="str">
        <f aca="false">IF(ISBLANK(C177), "", ABS(M177-S177))</f>
        <v/>
      </c>
      <c r="AH177" s="55" t="str">
        <f aca="false">IF(ISNUMBER(AG177), RANK(AG177,AG$8:AG$507,1), "")</f>
        <v/>
      </c>
      <c r="AI177" s="55" t="str">
        <f aca="false">IF(ISBLANK(C177),"",IF(V177&lt;&gt;Constants!$B$14, V177, RANK(AD177, AD$8:AD$507, 1)+ SUMPRODUCT(--(AD$8:AD$507=AD177),--(AF177&gt;AF$8:AF$507)) + SUMPRODUCT(--(AD$8:AD$507=AD177),--(AF177=AF$8:AF$507),--(AH177&gt;AH$8:AH$507))))</f>
        <v/>
      </c>
      <c r="AJ177" s="55" t="str">
        <f aca="false">IF(ISBLANK(C177),"",IF(V177&lt;&gt;Constants!$B$14, V177, AD177-AI177))</f>
        <v/>
      </c>
      <c r="AK177" s="59"/>
      <c r="AL177" s="60" t="str">
        <f aca="false">IF(ISBLANK($C177),"",IF($V177&lt;&gt;Constants!$B$14,$V177,X177))</f>
        <v/>
      </c>
      <c r="AM177" s="60" t="str">
        <f aca="false">IF(ISBLANK($C177),"",IF($V177&lt;&gt;Constants!$B$14,$V177,N177))</f>
        <v/>
      </c>
      <c r="AN177" s="62" t="str">
        <f aca="false">IF(ISBLANK(C177),"",IF(V177&lt;&gt;Constants!$B$14, V177, IF(W177=Constants!$B$7,Z177,IF(W177=Constants!$B$8,AB177,""))))</f>
        <v/>
      </c>
      <c r="AO177" s="63" t="str">
        <f aca="false">IF(ISBLANK(C177),"",W177)</f>
        <v/>
      </c>
      <c r="AP177" s="63" t="str">
        <f aca="false">IF(ISBLANK(C177),"",AJ177)</f>
        <v/>
      </c>
      <c r="AQ177" s="63" t="str">
        <f aca="false">IF(ISBLANK(C177),"",AI177)</f>
        <v/>
      </c>
      <c r="AR177" s="64" t="str">
        <f aca="false">IF(ISBLANK(C177),
  "",
IF(AQ177=Constants!$B$11,COUNTA($C$8:$C$507)+2,IF(AQ177=Constants!$B$12,COUNTA($C$8:$C$507)+1,IF(AQ177=Constants!$B$13,COUNTA($C$8:$C$507),AQ177))))</f>
        <v/>
      </c>
      <c r="AS177" s="3"/>
      <c r="AT177" s="65" t="n">
        <f aca="false">IF(OR(ISNUMBER(AQ177),AQ177="DQ",AQ177="P",AQ177="NS"),
    1,
    0
)</f>
        <v>0</v>
      </c>
      <c r="AU177" s="65" t="n">
        <v>170</v>
      </c>
      <c r="AV177" s="65" t="str">
        <f aca="false">IF(ISBLANK($C177),
    "",
   IF(ISNUMBER(AR177),AR177+ROW($B177)/1000,"")
)</f>
        <v/>
      </c>
      <c r="AW177" s="65" t="str">
        <f aca="false">IF(ISNUMBER(AV177), RANK(AV177,AV$8:AV$507,1), "")</f>
        <v/>
      </c>
      <c r="AX177" s="65" t="str">
        <f aca="false">IF(ISBLANK($C177),
    "",
    $B177
)</f>
        <v/>
      </c>
      <c r="AY177" s="65" t="str">
        <f aca="false">IF(ISBLANK($C177),
    "",
    $C177
)</f>
        <v/>
      </c>
      <c r="AZ177" s="65" t="str">
        <f aca="false">IF(ISBLANK($C177),
    "",
    $D177
)</f>
        <v/>
      </c>
      <c r="BA177" s="65" t="str">
        <f aca="false">AO177</f>
        <v/>
      </c>
      <c r="BB177" s="66" t="str">
        <f aca="false">AN177</f>
        <v/>
      </c>
      <c r="BC177" s="65" t="str">
        <f aca="false">IF(ISBLANK($C177),
    "",
    AQ177
)</f>
        <v/>
      </c>
      <c r="BD177" s="67" t="str">
        <f aca="false">IF(AU177&gt;AT$7,
    "",
    VLOOKUP(AU177,AW$8:BC$507,7,FALSE())
)</f>
        <v/>
      </c>
      <c r="BE177" s="68" t="str">
        <f aca="false">IF(AU177&gt;AT$7,
    "",
    VLOOKUP(AU177,AW$8:BC$507,2,FALSE())
)</f>
        <v/>
      </c>
      <c r="BF177" s="68" t="str">
        <f aca="false">IF(AU177&gt;AT$7,
    "",
    VLOOKUP(AU177,AW$8:BC$507,3,FALSE())
)</f>
        <v/>
      </c>
      <c r="BG177" s="68" t="str">
        <f aca="false">IF(AU177&gt;AT$7,
    "",
    VLOOKUP(AU177,AW$8:BC$507,4,FALSE())
)</f>
        <v/>
      </c>
      <c r="BH177" s="68" t="str">
        <f aca="false">IF(AU177&gt;AT$7,
    "",
    VLOOKUP(AU177,AW$8:BC$507,5,FALSE())
)</f>
        <v/>
      </c>
      <c r="BI177" s="69" t="str">
        <f aca="false">IF(AU177&gt;AT$7,
    "",
    VLOOKUP(AU177,AW$8:BC$507,6,FALSE())
)</f>
        <v/>
      </c>
      <c r="BJ177" s="46"/>
    </row>
    <row r="178" customFormat="false" ht="15.75" hidden="false" customHeight="false" outlineLevel="0" collapsed="false">
      <c r="A178" s="3"/>
      <c r="B178" s="108"/>
      <c r="C178" s="70"/>
      <c r="D178" s="49"/>
      <c r="E178" s="109"/>
      <c r="F178" s="72"/>
      <c r="G178" s="109"/>
      <c r="H178" s="74"/>
      <c r="I178" s="104"/>
      <c r="J178" s="74"/>
      <c r="K178" s="74"/>
      <c r="L178" s="55"/>
      <c r="M178" s="55" t="str">
        <f aca="false">IF(ISBLANK($C178),"",IF(ISBLANK(E178),0,E178))</f>
        <v/>
      </c>
      <c r="N178" s="55" t="str">
        <f aca="false">IF(ISBLANK($C178),"",IF(ISBLANK(F178),0,F178))</f>
        <v/>
      </c>
      <c r="O178" s="55" t="e">
        <f aca="false">IF(AND(NOT(ISBLANK($C178)),NOT($T178),COUNTA($E178:$K178)&gt;0),ISBLANK($F178),FALSE())</f>
        <v>#VALUE!</v>
      </c>
      <c r="P178" s="55" t="str">
        <f aca="false">IF(ISBLANK($C178),"",IF(G178=Constants!$B$9, TRUE(), IF(G178=Constants!$B$10, FALSE(), TRUE())))</f>
        <v/>
      </c>
      <c r="Q178" s="55" t="str">
        <f aca="false">IF(ISBLANK($C178),"",IF(H178=Constants!$B$9, TRUE(), IF(H178=Constants!$B$10, FALSE(), TRUE())))</f>
        <v/>
      </c>
      <c r="R178" s="55" t="str">
        <f aca="false">IF(ISBLANK($C178),"",IF(ISBLANK(I178),Constants!$B$3,I178))</f>
        <v/>
      </c>
      <c r="S178" s="55" t="str">
        <f aca="false">IF(ISBLANK($C178),"",IF(ISBLANK(J178),0,MIN(J178,Constants!$B$6)))</f>
        <v/>
      </c>
      <c r="T178" s="55" t="str">
        <f aca="false">IF(ISBLANK($C178),"",IF(K178=Constants!$B$9, TRUE(), IF(K178=Constants!$B$10, FALSE(),  FALSE())))</f>
        <v/>
      </c>
      <c r="U178" s="55" t="str">
        <f aca="false">IF(ISBLANK($C178),"",AND(R178=Constants!$B$4, S178&lt;Constants!$B$6))</f>
        <v/>
      </c>
      <c r="V178" s="55" t="str">
        <f aca="false">IF(ISBLANK(C178), "", IF(T178, Constants!$B$11, IF(COUNTA(E178:K178)=0, Constants!$B$12, IF(NOT(AND(P178,S178&lt;&gt;0)), Constants!$B$13, IF(O178, Constants!$B$15, Constants!$B$14)))))</f>
        <v/>
      </c>
      <c r="W178" s="55" t="str">
        <f aca="false">IF(OR(ISBLANK($C178), SUMPRODUCT(--(P178:T178&lt;&gt;""))=0), "", IF(V178&lt;&gt;Constants!$B$14, V178, IF(AND(NOT(ISBLANK(J178)),P178,Q178,R178&lt;&gt;Constants!$B$2), Constants!$B$7, IF(AND(P178,OR(NOT(Q178),R178=Constants!$B$2)), Constants!$B$8, "Error"))))</f>
        <v/>
      </c>
      <c r="X178" s="56" t="str">
        <f aca="false">IF(OR(W178=Constants!$B$7,W178=Constants!$B$8), MAX(0, MIN(Constants!$B$6, S178))+IF(AND(R178=Constants!$B$4, NOT(U178)), Constants!$B$5, 0), "")</f>
        <v/>
      </c>
      <c r="Y178" s="55" t="str">
        <f aca="false">IF(ISBLANK($C178),"",IF(AND(ISNUMBER(X178),N178&gt;0),X178/N178, "") )</f>
        <v/>
      </c>
      <c r="Z178" s="55" t="str">
        <f aca="false">IF(AND(NOT(ISBLANK($C178)), W178=Constants!$B$7), Y178, "")</f>
        <v/>
      </c>
      <c r="AA178" s="55" t="str">
        <f aca="false">IF(ISNUMBER(Z178), RANK(Z178,Z$8:Z$507), "")</f>
        <v/>
      </c>
      <c r="AB178" s="55" t="str">
        <f aca="false">IF(AND(NOT(ISBLANK($C178)), W178=Constants!$B$8), Y178, "")</f>
        <v/>
      </c>
      <c r="AC178" s="55" t="str">
        <f aca="false">IF(ISNUMBER(AB178), RANK(AB178,AB$8:AB$507), "")</f>
        <v/>
      </c>
      <c r="AD178" s="55" t="str">
        <f aca="false">IF(ISBLANK($C178),"",IF(V178&lt;&gt;Constants!$B$14, V178, IF(W178=Constants!$B$7, AA178, IF(W178=Constants!$B$8, COUNT($AA$8:$AA$507) + AC178, ""))))</f>
        <v/>
      </c>
      <c r="AE178" s="55" t="str">
        <f aca="false">N178</f>
        <v/>
      </c>
      <c r="AF178" s="55" t="str">
        <f aca="false">IF(ISNUMBER(AE178), RANK(AE178,AE$8:AE$507,1), "")</f>
        <v/>
      </c>
      <c r="AG178" s="57" t="str">
        <f aca="false">IF(ISBLANK(C178), "", ABS(M178-S178))</f>
        <v/>
      </c>
      <c r="AH178" s="55" t="str">
        <f aca="false">IF(ISNUMBER(AG178), RANK(AG178,AG$8:AG$507,1), "")</f>
        <v/>
      </c>
      <c r="AI178" s="55" t="str">
        <f aca="false">IF(ISBLANK(C178),"",IF(V178&lt;&gt;Constants!$B$14, V178, RANK(AD178, AD$8:AD$507, 1)+ SUMPRODUCT(--(AD$8:AD$507=AD178),--(AF178&gt;AF$8:AF$507)) + SUMPRODUCT(--(AD$8:AD$507=AD178),--(AF178=AF$8:AF$507),--(AH178&gt;AH$8:AH$507))))</f>
        <v/>
      </c>
      <c r="AJ178" s="55" t="str">
        <f aca="false">IF(ISBLANK(C178),"",IF(V178&lt;&gt;Constants!$B$14, V178, AD178-AI178))</f>
        <v/>
      </c>
      <c r="AK178" s="59"/>
      <c r="AL178" s="60" t="str">
        <f aca="false">IF(ISBLANK($C178),"",IF($V178&lt;&gt;Constants!$B$14,$V178,X178))</f>
        <v/>
      </c>
      <c r="AM178" s="60" t="str">
        <f aca="false">IF(ISBLANK($C178),"",IF($V178&lt;&gt;Constants!$B$14,$V178,N178))</f>
        <v/>
      </c>
      <c r="AN178" s="62" t="str">
        <f aca="false">IF(ISBLANK(C178),"",IF(V178&lt;&gt;Constants!$B$14, V178, IF(W178=Constants!$B$7,Z178,IF(W178=Constants!$B$8,AB178,""))))</f>
        <v/>
      </c>
      <c r="AO178" s="63" t="str">
        <f aca="false">IF(ISBLANK(C178),"",W178)</f>
        <v/>
      </c>
      <c r="AP178" s="63" t="str">
        <f aca="false">IF(ISBLANK(C178),"",AJ178)</f>
        <v/>
      </c>
      <c r="AQ178" s="63" t="str">
        <f aca="false">IF(ISBLANK(C178),"",AI178)</f>
        <v/>
      </c>
      <c r="AR178" s="64" t="str">
        <f aca="false">IF(ISBLANK(C178),
  "",
IF(AQ178=Constants!$B$11,COUNTA($C$8:$C$507)+2,IF(AQ178=Constants!$B$12,COUNTA($C$8:$C$507)+1,IF(AQ178=Constants!$B$13,COUNTA($C$8:$C$507),AQ178))))</f>
        <v/>
      </c>
      <c r="AS178" s="3"/>
      <c r="AT178" s="65" t="n">
        <f aca="false">IF(OR(ISNUMBER(AQ178),AQ178="DQ",AQ178="P",AQ178="NS"),
    1,
    0
)</f>
        <v>0</v>
      </c>
      <c r="AU178" s="65" t="n">
        <v>171</v>
      </c>
      <c r="AV178" s="65" t="str">
        <f aca="false">IF(ISBLANK($C178),
    "",
   IF(ISNUMBER(AR178),AR178+ROW($B178)/1000,"")
)</f>
        <v/>
      </c>
      <c r="AW178" s="65" t="str">
        <f aca="false">IF(ISNUMBER(AV178), RANK(AV178,AV$8:AV$507,1), "")</f>
        <v/>
      </c>
      <c r="AX178" s="65" t="str">
        <f aca="false">IF(ISBLANK($C178),
    "",
    $B178
)</f>
        <v/>
      </c>
      <c r="AY178" s="65" t="str">
        <f aca="false">IF(ISBLANK($C178),
    "",
    $C178
)</f>
        <v/>
      </c>
      <c r="AZ178" s="65" t="str">
        <f aca="false">IF(ISBLANK($C178),
    "",
    $D178
)</f>
        <v/>
      </c>
      <c r="BA178" s="65" t="str">
        <f aca="false">AO178</f>
        <v/>
      </c>
      <c r="BB178" s="66" t="str">
        <f aca="false">AN178</f>
        <v/>
      </c>
      <c r="BC178" s="65" t="str">
        <f aca="false">IF(ISBLANK($C178),
    "",
    AQ178
)</f>
        <v/>
      </c>
      <c r="BD178" s="67" t="str">
        <f aca="false">IF(AU178&gt;AT$7,
    "",
    VLOOKUP(AU178,AW$8:BC$507,7,FALSE())
)</f>
        <v/>
      </c>
      <c r="BE178" s="68" t="str">
        <f aca="false">IF(AU178&gt;AT$7,
    "",
    VLOOKUP(AU178,AW$8:BC$507,2,FALSE())
)</f>
        <v/>
      </c>
      <c r="BF178" s="68" t="str">
        <f aca="false">IF(AU178&gt;AT$7,
    "",
    VLOOKUP(AU178,AW$8:BC$507,3,FALSE())
)</f>
        <v/>
      </c>
      <c r="BG178" s="68" t="str">
        <f aca="false">IF(AU178&gt;AT$7,
    "",
    VLOOKUP(AU178,AW$8:BC$507,4,FALSE())
)</f>
        <v/>
      </c>
      <c r="BH178" s="68" t="str">
        <f aca="false">IF(AU178&gt;AT$7,
    "",
    VLOOKUP(AU178,AW$8:BC$507,5,FALSE())
)</f>
        <v/>
      </c>
      <c r="BI178" s="69" t="str">
        <f aca="false">IF(AU178&gt;AT$7,
    "",
    VLOOKUP(AU178,AW$8:BC$507,6,FALSE())
)</f>
        <v/>
      </c>
      <c r="BJ178" s="46"/>
    </row>
    <row r="179" customFormat="false" ht="15.75" hidden="false" customHeight="false" outlineLevel="0" collapsed="false">
      <c r="A179" s="3"/>
      <c r="B179" s="105"/>
      <c r="C179" s="106"/>
      <c r="D179" s="99"/>
      <c r="E179" s="110"/>
      <c r="F179" s="107"/>
      <c r="G179" s="110"/>
      <c r="H179" s="103"/>
      <c r="I179" s="102"/>
      <c r="J179" s="103"/>
      <c r="K179" s="103"/>
      <c r="L179" s="85"/>
      <c r="M179" s="85" t="str">
        <f aca="false">IF(ISBLANK($C179),"",IF(ISBLANK(E179),0,E179))</f>
        <v/>
      </c>
      <c r="N179" s="85" t="str">
        <f aca="false">IF(ISBLANK($C179),"",IF(ISBLANK(F179),0,F179))</f>
        <v/>
      </c>
      <c r="O179" s="86" t="e">
        <f aca="false">IF(AND(NOT(ISBLANK($C179)),NOT($T179),COUNTA($E179:$K179)&gt;0),ISBLANK($F179),FALSE())</f>
        <v>#VALUE!</v>
      </c>
      <c r="P179" s="85" t="str">
        <f aca="false">IF(ISBLANK($C179),"",IF(G179=Constants!$B$9, TRUE(), IF(G179=Constants!$B$10, FALSE(), TRUE())))</f>
        <v/>
      </c>
      <c r="Q179" s="85" t="str">
        <f aca="false">IF(ISBLANK($C179),"",IF(H179=Constants!$B$9, TRUE(), IF(H179=Constants!$B$10, FALSE(), TRUE())))</f>
        <v/>
      </c>
      <c r="R179" s="85" t="str">
        <f aca="false">IF(ISBLANK($C179),"",IF(ISBLANK(I179),Constants!$B$3,I179))</f>
        <v/>
      </c>
      <c r="S179" s="85" t="str">
        <f aca="false">IF(ISBLANK($C179),"",IF(ISBLANK(J179),0,MIN(J179,Constants!$B$6)))</f>
        <v/>
      </c>
      <c r="T179" s="85" t="str">
        <f aca="false">IF(ISBLANK($C179),"",IF(K179=Constants!$B$9, TRUE(), IF(K179=Constants!$B$10, FALSE(),  FALSE())))</f>
        <v/>
      </c>
      <c r="U179" s="85" t="str">
        <f aca="false">IF(ISBLANK($C179),"",AND(R179=Constants!$B$4, S179&lt;Constants!$B$6))</f>
        <v/>
      </c>
      <c r="V179" s="85" t="str">
        <f aca="false">IF(ISBLANK(C179), "", IF(T179, Constants!$B$11, IF(COUNTA(E179:K179)=0, Constants!$B$12, IF(NOT(AND(P179,S179&lt;&gt;0)), Constants!$B$13, IF(O179, Constants!$B$15, Constants!$B$14)))))</f>
        <v/>
      </c>
      <c r="W179" s="85" t="str">
        <f aca="false">IF(OR(ISBLANK($C179), SUMPRODUCT(--(P179:T179&lt;&gt;""))=0), "", IF(V179&lt;&gt;Constants!$B$14, V179, IF(AND(NOT(ISBLANK(J179)),P179,Q179,R179&lt;&gt;Constants!$B$2), Constants!$B$7, IF(AND(P179,OR(NOT(Q179),R179=Constants!$B$2)), Constants!$B$8, "Error"))))</f>
        <v/>
      </c>
      <c r="X179" s="87" t="str">
        <f aca="false">IF(OR(W179=Constants!$B$7,W179=Constants!$B$8), MAX(0, MIN(Constants!$B$6, S179))+IF(AND(R179=Constants!$B$4, NOT(U179)), Constants!$B$5, 0), "")</f>
        <v/>
      </c>
      <c r="Y179" s="85" t="str">
        <f aca="false">IF(ISBLANK($C179),"",IF(AND(ISNUMBER(X179),N179&gt;0),X179/N179, "") )</f>
        <v/>
      </c>
      <c r="Z179" s="85" t="str">
        <f aca="false">IF(AND(NOT(ISBLANK($C179)), W179=Constants!$B$7), Y179, "")</f>
        <v/>
      </c>
      <c r="AA179" s="85" t="str">
        <f aca="false">IF(ISNUMBER(Z179), RANK(Z179,Z$8:Z$507), "")</f>
        <v/>
      </c>
      <c r="AB179" s="85" t="str">
        <f aca="false">IF(AND(NOT(ISBLANK($C179)), W179=Constants!$B$8), Y179, "")</f>
        <v/>
      </c>
      <c r="AC179" s="85" t="str">
        <f aca="false">IF(ISNUMBER(AB179), RANK(AB179,AB$8:AB$507), "")</f>
        <v/>
      </c>
      <c r="AD179" s="85" t="str">
        <f aca="false">IF(ISBLANK($C179),"",IF(V179&lt;&gt;Constants!$B$14, V179, IF(W179=Constants!$B$7, AA179, IF(W179=Constants!$B$8, COUNT($AA$8:$AA$507) + AC179, ""))))</f>
        <v/>
      </c>
      <c r="AE179" s="85" t="str">
        <f aca="false">N179</f>
        <v/>
      </c>
      <c r="AF179" s="85" t="str">
        <f aca="false">IF(ISNUMBER(AE179), RANK(AE179,AE$8:AE$507,1), "")</f>
        <v/>
      </c>
      <c r="AG179" s="88" t="str">
        <f aca="false">IF(ISBLANK(C179), "", ABS(M179-S179))</f>
        <v/>
      </c>
      <c r="AH179" s="85" t="str">
        <f aca="false">IF(ISNUMBER(AG179), RANK(AG179,AG$8:AG$507,1), "")</f>
        <v/>
      </c>
      <c r="AI179" s="85" t="str">
        <f aca="false">IF(ISBLANK(C179),"",IF(V179&lt;&gt;Constants!$B$14, V179, RANK(AD179, AD$8:AD$507, 1)+ SUMPRODUCT(--(AD$8:AD$507=AD179),--(AF179&gt;AF$8:AF$507)) + SUMPRODUCT(--(AD$8:AD$507=AD179),--(AF179=AF$8:AF$507),--(AH179&gt;AH$8:AH$507))))</f>
        <v/>
      </c>
      <c r="AJ179" s="85" t="str">
        <f aca="false">IF(ISBLANK(C179),"",IF(V179&lt;&gt;Constants!$B$14, V179, AD179-AI179))</f>
        <v/>
      </c>
      <c r="AK179" s="89"/>
      <c r="AL179" s="90" t="str">
        <f aca="false">IF(ISBLANK($C179),"",IF($V179&lt;&gt;Constants!$B$14,$V179,X179))</f>
        <v/>
      </c>
      <c r="AM179" s="90" t="str">
        <f aca="false">IF(ISBLANK($C179),"",IF($V179&lt;&gt;Constants!$B$14,$V179,N179))</f>
        <v/>
      </c>
      <c r="AN179" s="91" t="str">
        <f aca="false">IF(ISBLANK(C179),"",IF(V179&lt;&gt;Constants!$B$14, V179, IF(W179=Constants!$B$7,Z179,IF(W179=Constants!$B$8,AB179,""))))</f>
        <v/>
      </c>
      <c r="AO179" s="92" t="str">
        <f aca="false">IF(ISBLANK(C179),"",W179)</f>
        <v/>
      </c>
      <c r="AP179" s="92" t="str">
        <f aca="false">IF(ISBLANK(C179),"",AJ179)</f>
        <v/>
      </c>
      <c r="AQ179" s="92" t="str">
        <f aca="false">IF(ISBLANK(C179),"",AI179)</f>
        <v/>
      </c>
      <c r="AR179" s="93" t="str">
        <f aca="false">IF(ISBLANK(C179),
  "",
IF(AQ179=Constants!$B$11,COUNTA($C$8:$C$507)+2,IF(AQ179=Constants!$B$12,COUNTA($C$8:$C$507)+1,IF(AQ179=Constants!$B$13,COUNTA($C$8:$C$507),AQ179))))</f>
        <v/>
      </c>
      <c r="AS179" s="3"/>
      <c r="AT179" s="94" t="n">
        <f aca="false">IF(OR(ISNUMBER(AQ179),AQ179="DQ",AQ179="P",AQ179="NS"),
    1,
    0
)</f>
        <v>0</v>
      </c>
      <c r="AU179" s="94" t="n">
        <v>172</v>
      </c>
      <c r="AV179" s="94" t="str">
        <f aca="false">IF(ISBLANK($C179),
    "",
   IF(ISNUMBER(AR179),AR179+ROW($B179)/1000,"")
)</f>
        <v/>
      </c>
      <c r="AW179" s="94" t="str">
        <f aca="false">IF(ISNUMBER(AV179), RANK(AV179,AV$8:AV$507,1), "")</f>
        <v/>
      </c>
      <c r="AX179" s="94" t="str">
        <f aca="false">IF(ISBLANK($C179),
    "",
    $B179
)</f>
        <v/>
      </c>
      <c r="AY179" s="94" t="str">
        <f aca="false">IF(ISBLANK($C179),
    "",
    $C179
)</f>
        <v/>
      </c>
      <c r="AZ179" s="94" t="str">
        <f aca="false">IF(ISBLANK($C179),
    "",
    $D179
)</f>
        <v/>
      </c>
      <c r="BA179" s="94" t="str">
        <f aca="false">AO179</f>
        <v/>
      </c>
      <c r="BB179" s="95" t="str">
        <f aca="false">AN179</f>
        <v/>
      </c>
      <c r="BC179" s="94" t="str">
        <f aca="false">IF(ISBLANK($C179),
    "",
    AQ179
)</f>
        <v/>
      </c>
      <c r="BD179" s="96" t="str">
        <f aca="false">IF(AU179&gt;AT$7,
    "",
    VLOOKUP(AU179,AW$8:BC$507,7,FALSE())
)</f>
        <v/>
      </c>
      <c r="BE179" s="97" t="str">
        <f aca="false">IF(AU179&gt;AT$7,
    "",
    VLOOKUP(AU179,AW$8:BC$507,2,FALSE())
)</f>
        <v/>
      </c>
      <c r="BF179" s="97" t="str">
        <f aca="false">IF(AU179&gt;AT$7,
    "",
    VLOOKUP(AU179,AW$8:BC$507,3,FALSE())
)</f>
        <v/>
      </c>
      <c r="BG179" s="97" t="str">
        <f aca="false">IF(AU179&gt;AT$7,
    "",
    VLOOKUP(AU179,AW$8:BC$507,4,FALSE())
)</f>
        <v/>
      </c>
      <c r="BH179" s="97" t="str">
        <f aca="false">IF(AU179&gt;AT$7,
    "",
    VLOOKUP(AU179,AW$8:BC$507,5,FALSE())
)</f>
        <v/>
      </c>
      <c r="BI179" s="98" t="str">
        <f aca="false">IF(AU179&gt;AT$7,
    "",
    VLOOKUP(AU179,AW$8:BC$507,6,FALSE())
)</f>
        <v/>
      </c>
      <c r="BJ179" s="46"/>
    </row>
    <row r="180" customFormat="false" ht="15.75" hidden="false" customHeight="false" outlineLevel="0" collapsed="false">
      <c r="A180" s="3"/>
      <c r="B180" s="105"/>
      <c r="C180" s="106"/>
      <c r="D180" s="99"/>
      <c r="E180" s="110"/>
      <c r="F180" s="107"/>
      <c r="G180" s="110"/>
      <c r="H180" s="103"/>
      <c r="I180" s="102"/>
      <c r="J180" s="103"/>
      <c r="K180" s="103"/>
      <c r="L180" s="85"/>
      <c r="M180" s="85" t="str">
        <f aca="false">IF(ISBLANK($C180),"",IF(ISBLANK(E180),0,E180))</f>
        <v/>
      </c>
      <c r="N180" s="85" t="str">
        <f aca="false">IF(ISBLANK($C180),"",IF(ISBLANK(F180),0,F180))</f>
        <v/>
      </c>
      <c r="O180" s="86" t="e">
        <f aca="false">IF(AND(NOT(ISBLANK($C180)),NOT($T180),COUNTA($E180:$K180)&gt;0),ISBLANK($F180),FALSE())</f>
        <v>#VALUE!</v>
      </c>
      <c r="P180" s="85" t="str">
        <f aca="false">IF(ISBLANK($C180),"",IF(G180=Constants!$B$9, TRUE(), IF(G180=Constants!$B$10, FALSE(), TRUE())))</f>
        <v/>
      </c>
      <c r="Q180" s="85" t="str">
        <f aca="false">IF(ISBLANK($C180),"",IF(H180=Constants!$B$9, TRUE(), IF(H180=Constants!$B$10, FALSE(), TRUE())))</f>
        <v/>
      </c>
      <c r="R180" s="85" t="str">
        <f aca="false">IF(ISBLANK($C180),"",IF(ISBLANK(I180),Constants!$B$3,I180))</f>
        <v/>
      </c>
      <c r="S180" s="85" t="str">
        <f aca="false">IF(ISBLANK($C180),"",IF(ISBLANK(J180),0,MIN(J180,Constants!$B$6)))</f>
        <v/>
      </c>
      <c r="T180" s="85" t="str">
        <f aca="false">IF(ISBLANK($C180),"",IF(K180=Constants!$B$9, TRUE(), IF(K180=Constants!$B$10, FALSE(),  FALSE())))</f>
        <v/>
      </c>
      <c r="U180" s="85" t="str">
        <f aca="false">IF(ISBLANK($C180),"",AND(R180=Constants!$B$4, S180&lt;Constants!$B$6))</f>
        <v/>
      </c>
      <c r="V180" s="85" t="str">
        <f aca="false">IF(ISBLANK(C180), "", IF(T180, Constants!$B$11, IF(COUNTA(E180:K180)=0, Constants!$B$12, IF(NOT(AND(P180,S180&lt;&gt;0)), Constants!$B$13, IF(O180, Constants!$B$15, Constants!$B$14)))))</f>
        <v/>
      </c>
      <c r="W180" s="85" t="str">
        <f aca="false">IF(OR(ISBLANK($C180), SUMPRODUCT(--(P180:T180&lt;&gt;""))=0), "", IF(V180&lt;&gt;Constants!$B$14, V180, IF(AND(NOT(ISBLANK(J180)),P180,Q180,R180&lt;&gt;Constants!$B$2), Constants!$B$7, IF(AND(P180,OR(NOT(Q180),R180=Constants!$B$2)), Constants!$B$8, "Error"))))</f>
        <v/>
      </c>
      <c r="X180" s="87" t="str">
        <f aca="false">IF(OR(W180=Constants!$B$7,W180=Constants!$B$8), MAX(0, MIN(Constants!$B$6, S180))+IF(AND(R180=Constants!$B$4, NOT(U180)), Constants!$B$5, 0), "")</f>
        <v/>
      </c>
      <c r="Y180" s="85" t="str">
        <f aca="false">IF(ISBLANK($C180),"",IF(AND(ISNUMBER(X180),N180&gt;0),X180/N180, "") )</f>
        <v/>
      </c>
      <c r="Z180" s="85" t="str">
        <f aca="false">IF(AND(NOT(ISBLANK($C180)), W180=Constants!$B$7), Y180, "")</f>
        <v/>
      </c>
      <c r="AA180" s="85" t="str">
        <f aca="false">IF(ISNUMBER(Z180), RANK(Z180,Z$8:Z$507), "")</f>
        <v/>
      </c>
      <c r="AB180" s="85" t="str">
        <f aca="false">IF(AND(NOT(ISBLANK($C180)), W180=Constants!$B$8), Y180, "")</f>
        <v/>
      </c>
      <c r="AC180" s="85" t="str">
        <f aca="false">IF(ISNUMBER(AB180), RANK(AB180,AB$8:AB$507), "")</f>
        <v/>
      </c>
      <c r="AD180" s="85" t="str">
        <f aca="false">IF(ISBLANK($C180),"",IF(V180&lt;&gt;Constants!$B$14, V180, IF(W180=Constants!$B$7, AA180, IF(W180=Constants!$B$8, COUNT($AA$8:$AA$507) + AC180, ""))))</f>
        <v/>
      </c>
      <c r="AE180" s="85" t="str">
        <f aca="false">N180</f>
        <v/>
      </c>
      <c r="AF180" s="85" t="str">
        <f aca="false">IF(ISNUMBER(AE180), RANK(AE180,AE$8:AE$507,1), "")</f>
        <v/>
      </c>
      <c r="AG180" s="88" t="str">
        <f aca="false">IF(ISBLANK(C180), "", ABS(M180-S180))</f>
        <v/>
      </c>
      <c r="AH180" s="85" t="str">
        <f aca="false">IF(ISNUMBER(AG180), RANK(AG180,AG$8:AG$507,1), "")</f>
        <v/>
      </c>
      <c r="AI180" s="85" t="str">
        <f aca="false">IF(ISBLANK(C180),"",IF(V180&lt;&gt;Constants!$B$14, V180, RANK(AD180, AD$8:AD$507, 1)+ SUMPRODUCT(--(AD$8:AD$507=AD180),--(AF180&gt;AF$8:AF$507)) + SUMPRODUCT(--(AD$8:AD$507=AD180),--(AF180=AF$8:AF$507),--(AH180&gt;AH$8:AH$507))))</f>
        <v/>
      </c>
      <c r="AJ180" s="85" t="str">
        <f aca="false">IF(ISBLANK(C180),"",IF(V180&lt;&gt;Constants!$B$14, V180, AD180-AI180))</f>
        <v/>
      </c>
      <c r="AK180" s="89"/>
      <c r="AL180" s="90" t="str">
        <f aca="false">IF(ISBLANK($C180),"",IF($V180&lt;&gt;Constants!$B$14,$V180,X180))</f>
        <v/>
      </c>
      <c r="AM180" s="90" t="str">
        <f aca="false">IF(ISBLANK($C180),"",IF($V180&lt;&gt;Constants!$B$14,$V180,N180))</f>
        <v/>
      </c>
      <c r="AN180" s="91" t="str">
        <f aca="false">IF(ISBLANK(C180),"",IF(V180&lt;&gt;Constants!$B$14, V180, IF(W180=Constants!$B$7,Z180,IF(W180=Constants!$B$8,AB180,""))))</f>
        <v/>
      </c>
      <c r="AO180" s="92" t="str">
        <f aca="false">IF(ISBLANK(C180),"",W180)</f>
        <v/>
      </c>
      <c r="AP180" s="92" t="str">
        <f aca="false">IF(ISBLANK(C180),"",AJ180)</f>
        <v/>
      </c>
      <c r="AQ180" s="92" t="str">
        <f aca="false">IF(ISBLANK(C180),"",AI180)</f>
        <v/>
      </c>
      <c r="AR180" s="93" t="str">
        <f aca="false">IF(ISBLANK(C180),
  "",
IF(AQ180=Constants!$B$11,COUNTA($C$8:$C$507)+2,IF(AQ180=Constants!$B$12,COUNTA($C$8:$C$507)+1,IF(AQ180=Constants!$B$13,COUNTA($C$8:$C$507),AQ180))))</f>
        <v/>
      </c>
      <c r="AS180" s="3"/>
      <c r="AT180" s="94" t="n">
        <f aca="false">IF(OR(ISNUMBER(AQ180),AQ180="DQ",AQ180="P",AQ180="NS"),
    1,
    0
)</f>
        <v>0</v>
      </c>
      <c r="AU180" s="94" t="n">
        <v>173</v>
      </c>
      <c r="AV180" s="94" t="str">
        <f aca="false">IF(ISBLANK($C180),
    "",
   IF(ISNUMBER(AR180),AR180+ROW($B180)/1000,"")
)</f>
        <v/>
      </c>
      <c r="AW180" s="94" t="str">
        <f aca="false">IF(ISNUMBER(AV180), RANK(AV180,AV$8:AV$507,1), "")</f>
        <v/>
      </c>
      <c r="AX180" s="94" t="str">
        <f aca="false">IF(ISBLANK($C180),
    "",
    $B180
)</f>
        <v/>
      </c>
      <c r="AY180" s="94" t="str">
        <f aca="false">IF(ISBLANK($C180),
    "",
    $C180
)</f>
        <v/>
      </c>
      <c r="AZ180" s="94" t="str">
        <f aca="false">IF(ISBLANK($C180),
    "",
    $D180
)</f>
        <v/>
      </c>
      <c r="BA180" s="94" t="str">
        <f aca="false">AO180</f>
        <v/>
      </c>
      <c r="BB180" s="95" t="str">
        <f aca="false">AN180</f>
        <v/>
      </c>
      <c r="BC180" s="94" t="str">
        <f aca="false">IF(ISBLANK($C180),
    "",
    AQ180
)</f>
        <v/>
      </c>
      <c r="BD180" s="96" t="str">
        <f aca="false">IF(AU180&gt;AT$7,
    "",
    VLOOKUP(AU180,AW$8:BC$507,7,FALSE())
)</f>
        <v/>
      </c>
      <c r="BE180" s="97" t="str">
        <f aca="false">IF(AU180&gt;AT$7,
    "",
    VLOOKUP(AU180,AW$8:BC$507,2,FALSE())
)</f>
        <v/>
      </c>
      <c r="BF180" s="97" t="str">
        <f aca="false">IF(AU180&gt;AT$7,
    "",
    VLOOKUP(AU180,AW$8:BC$507,3,FALSE())
)</f>
        <v/>
      </c>
      <c r="BG180" s="97" t="str">
        <f aca="false">IF(AU180&gt;AT$7,
    "",
    VLOOKUP(AU180,AW$8:BC$507,4,FALSE())
)</f>
        <v/>
      </c>
      <c r="BH180" s="97" t="str">
        <f aca="false">IF(AU180&gt;AT$7,
    "",
    VLOOKUP(AU180,AW$8:BC$507,5,FALSE())
)</f>
        <v/>
      </c>
      <c r="BI180" s="98" t="str">
        <f aca="false">IF(AU180&gt;AT$7,
    "",
    VLOOKUP(AU180,AW$8:BC$507,6,FALSE())
)</f>
        <v/>
      </c>
      <c r="BJ180" s="46"/>
    </row>
    <row r="181" customFormat="false" ht="15.75" hidden="false" customHeight="false" outlineLevel="0" collapsed="false">
      <c r="A181" s="3"/>
      <c r="B181" s="105"/>
      <c r="C181" s="106"/>
      <c r="D181" s="99"/>
      <c r="E181" s="110"/>
      <c r="F181" s="107"/>
      <c r="G181" s="110"/>
      <c r="H181" s="103"/>
      <c r="I181" s="102"/>
      <c r="J181" s="103"/>
      <c r="K181" s="103"/>
      <c r="L181" s="85"/>
      <c r="M181" s="85" t="str">
        <f aca="false">IF(ISBLANK($C181),"",IF(ISBLANK(E181),0,E181))</f>
        <v/>
      </c>
      <c r="N181" s="85" t="str">
        <f aca="false">IF(ISBLANK($C181),"",IF(ISBLANK(F181),0,F181))</f>
        <v/>
      </c>
      <c r="O181" s="86" t="e">
        <f aca="false">IF(AND(NOT(ISBLANK($C181)),NOT($T181),COUNTA($E181:$K181)&gt;0),ISBLANK($F181),FALSE())</f>
        <v>#VALUE!</v>
      </c>
      <c r="P181" s="85" t="str">
        <f aca="false">IF(ISBLANK($C181),"",IF(G181=Constants!$B$9, TRUE(), IF(G181=Constants!$B$10, FALSE(), TRUE())))</f>
        <v/>
      </c>
      <c r="Q181" s="85" t="str">
        <f aca="false">IF(ISBLANK($C181),"",IF(H181=Constants!$B$9, TRUE(), IF(H181=Constants!$B$10, FALSE(), TRUE())))</f>
        <v/>
      </c>
      <c r="R181" s="85" t="str">
        <f aca="false">IF(ISBLANK($C181),"",IF(ISBLANK(I181),Constants!$B$3,I181))</f>
        <v/>
      </c>
      <c r="S181" s="85" t="str">
        <f aca="false">IF(ISBLANK($C181),"",IF(ISBLANK(J181),0,MIN(J181,Constants!$B$6)))</f>
        <v/>
      </c>
      <c r="T181" s="85" t="str">
        <f aca="false">IF(ISBLANK($C181),"",IF(K181=Constants!$B$9, TRUE(), IF(K181=Constants!$B$10, FALSE(),  FALSE())))</f>
        <v/>
      </c>
      <c r="U181" s="85" t="str">
        <f aca="false">IF(ISBLANK($C181),"",AND(R181=Constants!$B$4, S181&lt;Constants!$B$6))</f>
        <v/>
      </c>
      <c r="V181" s="85" t="str">
        <f aca="false">IF(ISBLANK(C181), "", IF(T181, Constants!$B$11, IF(COUNTA(E181:K181)=0, Constants!$B$12, IF(NOT(AND(P181,S181&lt;&gt;0)), Constants!$B$13, IF(O181, Constants!$B$15, Constants!$B$14)))))</f>
        <v/>
      </c>
      <c r="W181" s="85" t="str">
        <f aca="false">IF(OR(ISBLANK($C181), SUMPRODUCT(--(P181:T181&lt;&gt;""))=0), "", IF(V181&lt;&gt;Constants!$B$14, V181, IF(AND(NOT(ISBLANK(J181)),P181,Q181,R181&lt;&gt;Constants!$B$2), Constants!$B$7, IF(AND(P181,OR(NOT(Q181),R181=Constants!$B$2)), Constants!$B$8, "Error"))))</f>
        <v/>
      </c>
      <c r="X181" s="87" t="str">
        <f aca="false">IF(OR(W181=Constants!$B$7,W181=Constants!$B$8), MAX(0, MIN(Constants!$B$6, S181))+IF(AND(R181=Constants!$B$4, NOT(U181)), Constants!$B$5, 0), "")</f>
        <v/>
      </c>
      <c r="Y181" s="85" t="str">
        <f aca="false">IF(ISBLANK($C181),"",IF(AND(ISNUMBER(X181),N181&gt;0),X181/N181, "") )</f>
        <v/>
      </c>
      <c r="Z181" s="85" t="str">
        <f aca="false">IF(AND(NOT(ISBLANK($C181)), W181=Constants!$B$7), Y181, "")</f>
        <v/>
      </c>
      <c r="AA181" s="85" t="str">
        <f aca="false">IF(ISNUMBER(Z181), RANK(Z181,Z$8:Z$507), "")</f>
        <v/>
      </c>
      <c r="AB181" s="85" t="str">
        <f aca="false">IF(AND(NOT(ISBLANK($C181)), W181=Constants!$B$8), Y181, "")</f>
        <v/>
      </c>
      <c r="AC181" s="85" t="str">
        <f aca="false">IF(ISNUMBER(AB181), RANK(AB181,AB$8:AB$507), "")</f>
        <v/>
      </c>
      <c r="AD181" s="85" t="str">
        <f aca="false">IF(ISBLANK($C181),"",IF(V181&lt;&gt;Constants!$B$14, V181, IF(W181=Constants!$B$7, AA181, IF(W181=Constants!$B$8, COUNT($AA$8:$AA$507) + AC181, ""))))</f>
        <v/>
      </c>
      <c r="AE181" s="85" t="str">
        <f aca="false">N181</f>
        <v/>
      </c>
      <c r="AF181" s="85" t="str">
        <f aca="false">IF(ISNUMBER(AE181), RANK(AE181,AE$8:AE$507,1), "")</f>
        <v/>
      </c>
      <c r="AG181" s="88" t="str">
        <f aca="false">IF(ISBLANK(C181), "", ABS(M181-S181))</f>
        <v/>
      </c>
      <c r="AH181" s="85" t="str">
        <f aca="false">IF(ISNUMBER(AG181), RANK(AG181,AG$8:AG$507,1), "")</f>
        <v/>
      </c>
      <c r="AI181" s="85" t="str">
        <f aca="false">IF(ISBLANK(C181),"",IF(V181&lt;&gt;Constants!$B$14, V181, RANK(AD181, AD$8:AD$507, 1)+ SUMPRODUCT(--(AD$8:AD$507=AD181),--(AF181&gt;AF$8:AF$507)) + SUMPRODUCT(--(AD$8:AD$507=AD181),--(AF181=AF$8:AF$507),--(AH181&gt;AH$8:AH$507))))</f>
        <v/>
      </c>
      <c r="AJ181" s="85" t="str">
        <f aca="false">IF(ISBLANK(C181),"",IF(V181&lt;&gt;Constants!$B$14, V181, AD181-AI181))</f>
        <v/>
      </c>
      <c r="AK181" s="89"/>
      <c r="AL181" s="90" t="str">
        <f aca="false">IF(ISBLANK($C181),"",IF($V181&lt;&gt;Constants!$B$14,$V181,X181))</f>
        <v/>
      </c>
      <c r="AM181" s="90" t="str">
        <f aca="false">IF(ISBLANK($C181),"",IF($V181&lt;&gt;Constants!$B$14,$V181,N181))</f>
        <v/>
      </c>
      <c r="AN181" s="91" t="str">
        <f aca="false">IF(ISBLANK(C181),"",IF(V181&lt;&gt;Constants!$B$14, V181, IF(W181=Constants!$B$7,Z181,IF(W181=Constants!$B$8,AB181,""))))</f>
        <v/>
      </c>
      <c r="AO181" s="92" t="str">
        <f aca="false">IF(ISBLANK(C181),"",W181)</f>
        <v/>
      </c>
      <c r="AP181" s="92" t="str">
        <f aca="false">IF(ISBLANK(C181),"",AJ181)</f>
        <v/>
      </c>
      <c r="AQ181" s="92" t="str">
        <f aca="false">IF(ISBLANK(C181),"",AI181)</f>
        <v/>
      </c>
      <c r="AR181" s="93" t="str">
        <f aca="false">IF(ISBLANK(C181),
  "",
IF(AQ181=Constants!$B$11,COUNTA($C$8:$C$507)+2,IF(AQ181=Constants!$B$12,COUNTA($C$8:$C$507)+1,IF(AQ181=Constants!$B$13,COUNTA($C$8:$C$507),AQ181))))</f>
        <v/>
      </c>
      <c r="AS181" s="3"/>
      <c r="AT181" s="94" t="n">
        <f aca="false">IF(OR(ISNUMBER(AQ181),AQ181="DQ",AQ181="P",AQ181="NS"),
    1,
    0
)</f>
        <v>0</v>
      </c>
      <c r="AU181" s="94" t="n">
        <v>174</v>
      </c>
      <c r="AV181" s="94" t="str">
        <f aca="false">IF(ISBLANK($C181),
    "",
   IF(ISNUMBER(AR181),AR181+ROW($B181)/1000,"")
)</f>
        <v/>
      </c>
      <c r="AW181" s="94" t="str">
        <f aca="false">IF(ISNUMBER(AV181), RANK(AV181,AV$8:AV$507,1), "")</f>
        <v/>
      </c>
      <c r="AX181" s="94" t="str">
        <f aca="false">IF(ISBLANK($C181),
    "",
    $B181
)</f>
        <v/>
      </c>
      <c r="AY181" s="94" t="str">
        <f aca="false">IF(ISBLANK($C181),
    "",
    $C181
)</f>
        <v/>
      </c>
      <c r="AZ181" s="94" t="str">
        <f aca="false">IF(ISBLANK($C181),
    "",
    $D181
)</f>
        <v/>
      </c>
      <c r="BA181" s="94" t="str">
        <f aca="false">AO181</f>
        <v/>
      </c>
      <c r="BB181" s="95" t="str">
        <f aca="false">AN181</f>
        <v/>
      </c>
      <c r="BC181" s="94" t="str">
        <f aca="false">IF(ISBLANK($C181),
    "",
    AQ181
)</f>
        <v/>
      </c>
      <c r="BD181" s="96" t="str">
        <f aca="false">IF(AU181&gt;AT$7,
    "",
    VLOOKUP(AU181,AW$8:BC$507,7,FALSE())
)</f>
        <v/>
      </c>
      <c r="BE181" s="97" t="str">
        <f aca="false">IF(AU181&gt;AT$7,
    "",
    VLOOKUP(AU181,AW$8:BC$507,2,FALSE())
)</f>
        <v/>
      </c>
      <c r="BF181" s="97" t="str">
        <f aca="false">IF(AU181&gt;AT$7,
    "",
    VLOOKUP(AU181,AW$8:BC$507,3,FALSE())
)</f>
        <v/>
      </c>
      <c r="BG181" s="97" t="str">
        <f aca="false">IF(AU181&gt;AT$7,
    "",
    VLOOKUP(AU181,AW$8:BC$507,4,FALSE())
)</f>
        <v/>
      </c>
      <c r="BH181" s="97" t="str">
        <f aca="false">IF(AU181&gt;AT$7,
    "",
    VLOOKUP(AU181,AW$8:BC$507,5,FALSE())
)</f>
        <v/>
      </c>
      <c r="BI181" s="98" t="str">
        <f aca="false">IF(AU181&gt;AT$7,
    "",
    VLOOKUP(AU181,AW$8:BC$507,6,FALSE())
)</f>
        <v/>
      </c>
      <c r="BJ181" s="46"/>
    </row>
    <row r="182" customFormat="false" ht="15.75" hidden="false" customHeight="false" outlineLevel="0" collapsed="false">
      <c r="A182" s="3"/>
      <c r="B182" s="108"/>
      <c r="C182" s="70"/>
      <c r="D182" s="49"/>
      <c r="E182" s="109"/>
      <c r="F182" s="72"/>
      <c r="G182" s="109"/>
      <c r="H182" s="74"/>
      <c r="I182" s="104"/>
      <c r="J182" s="74"/>
      <c r="K182" s="74"/>
      <c r="L182" s="55"/>
      <c r="M182" s="55" t="str">
        <f aca="false">IF(ISBLANK($C182),"",IF(ISBLANK(E182),0,E182))</f>
        <v/>
      </c>
      <c r="N182" s="55" t="str">
        <f aca="false">IF(ISBLANK($C182),"",IF(ISBLANK(F182),0,F182))</f>
        <v/>
      </c>
      <c r="O182" s="55" t="e">
        <f aca="false">IF(AND(NOT(ISBLANK($C182)),NOT($T182),COUNTA($E182:$K182)&gt;0),ISBLANK($F182),FALSE())</f>
        <v>#VALUE!</v>
      </c>
      <c r="P182" s="55" t="str">
        <f aca="false">IF(ISBLANK($C182),"",IF(G182=Constants!$B$9, TRUE(), IF(G182=Constants!$B$10, FALSE(), TRUE())))</f>
        <v/>
      </c>
      <c r="Q182" s="55" t="str">
        <f aca="false">IF(ISBLANK($C182),"",IF(H182=Constants!$B$9, TRUE(), IF(H182=Constants!$B$10, FALSE(), TRUE())))</f>
        <v/>
      </c>
      <c r="R182" s="55" t="str">
        <f aca="false">IF(ISBLANK($C182),"",IF(ISBLANK(I182),Constants!$B$3,I182))</f>
        <v/>
      </c>
      <c r="S182" s="55" t="str">
        <f aca="false">IF(ISBLANK($C182),"",IF(ISBLANK(J182),0,MIN(J182,Constants!$B$6)))</f>
        <v/>
      </c>
      <c r="T182" s="55" t="str">
        <f aca="false">IF(ISBLANK($C182),"",IF(K182=Constants!$B$9, TRUE(), IF(K182=Constants!$B$10, FALSE(),  FALSE())))</f>
        <v/>
      </c>
      <c r="U182" s="55" t="str">
        <f aca="false">IF(ISBLANK($C182),"",AND(R182=Constants!$B$4, S182&lt;Constants!$B$6))</f>
        <v/>
      </c>
      <c r="V182" s="55" t="str">
        <f aca="false">IF(ISBLANK(C182), "", IF(T182, Constants!$B$11, IF(COUNTA(E182:K182)=0, Constants!$B$12, IF(NOT(AND(P182,S182&lt;&gt;0)), Constants!$B$13, IF(O182, Constants!$B$15, Constants!$B$14)))))</f>
        <v/>
      </c>
      <c r="W182" s="55" t="str">
        <f aca="false">IF(OR(ISBLANK($C182), SUMPRODUCT(--(P182:T182&lt;&gt;""))=0), "", IF(V182&lt;&gt;Constants!$B$14, V182, IF(AND(NOT(ISBLANK(J182)),P182,Q182,R182&lt;&gt;Constants!$B$2), Constants!$B$7, IF(AND(P182,OR(NOT(Q182),R182=Constants!$B$2)), Constants!$B$8, "Error"))))</f>
        <v/>
      </c>
      <c r="X182" s="56" t="str">
        <f aca="false">IF(OR(W182=Constants!$B$7,W182=Constants!$B$8), MAX(0, MIN(Constants!$B$6, S182))+IF(AND(R182=Constants!$B$4, NOT(U182)), Constants!$B$5, 0), "")</f>
        <v/>
      </c>
      <c r="Y182" s="55" t="str">
        <f aca="false">IF(ISBLANK($C182),"",IF(AND(ISNUMBER(X182),N182&gt;0),X182/N182, "") )</f>
        <v/>
      </c>
      <c r="Z182" s="55" t="str">
        <f aca="false">IF(AND(NOT(ISBLANK($C182)), W182=Constants!$B$7), Y182, "")</f>
        <v/>
      </c>
      <c r="AA182" s="55" t="str">
        <f aca="false">IF(ISNUMBER(Z182), RANK(Z182,Z$8:Z$507), "")</f>
        <v/>
      </c>
      <c r="AB182" s="55" t="str">
        <f aca="false">IF(AND(NOT(ISBLANK($C182)), W182=Constants!$B$8), Y182, "")</f>
        <v/>
      </c>
      <c r="AC182" s="55" t="str">
        <f aca="false">IF(ISNUMBER(AB182), RANK(AB182,AB$8:AB$507), "")</f>
        <v/>
      </c>
      <c r="AD182" s="55" t="str">
        <f aca="false">IF(ISBLANK($C182),"",IF(V182&lt;&gt;Constants!$B$14, V182, IF(W182=Constants!$B$7, AA182, IF(W182=Constants!$B$8, COUNT($AA$8:$AA$507) + AC182, ""))))</f>
        <v/>
      </c>
      <c r="AE182" s="55" t="str">
        <f aca="false">N182</f>
        <v/>
      </c>
      <c r="AF182" s="55" t="str">
        <f aca="false">IF(ISNUMBER(AE182), RANK(AE182,AE$8:AE$507,1), "")</f>
        <v/>
      </c>
      <c r="AG182" s="57" t="str">
        <f aca="false">IF(ISBLANK(C182), "", ABS(M182-S182))</f>
        <v/>
      </c>
      <c r="AH182" s="55" t="str">
        <f aca="false">IF(ISNUMBER(AG182), RANK(AG182,AG$8:AG$507,1), "")</f>
        <v/>
      </c>
      <c r="AI182" s="55" t="str">
        <f aca="false">IF(ISBLANK(C182),"",IF(V182&lt;&gt;Constants!$B$14, V182, RANK(AD182, AD$8:AD$507, 1)+ SUMPRODUCT(--(AD$8:AD$507=AD182),--(AF182&gt;AF$8:AF$507)) + SUMPRODUCT(--(AD$8:AD$507=AD182),--(AF182=AF$8:AF$507),--(AH182&gt;AH$8:AH$507))))</f>
        <v/>
      </c>
      <c r="AJ182" s="55" t="str">
        <f aca="false">IF(ISBLANK(C182),"",IF(V182&lt;&gt;Constants!$B$14, V182, AD182-AI182))</f>
        <v/>
      </c>
      <c r="AK182" s="59"/>
      <c r="AL182" s="60" t="str">
        <f aca="false">IF(ISBLANK($C182),"",IF($V182&lt;&gt;Constants!$B$14,$V182,X182))</f>
        <v/>
      </c>
      <c r="AM182" s="60" t="str">
        <f aca="false">IF(ISBLANK($C182),"",IF($V182&lt;&gt;Constants!$B$14,$V182,N182))</f>
        <v/>
      </c>
      <c r="AN182" s="62" t="str">
        <f aca="false">IF(ISBLANK(C182),"",IF(V182&lt;&gt;Constants!$B$14, V182, IF(W182=Constants!$B$7,Z182,IF(W182=Constants!$B$8,AB182,""))))</f>
        <v/>
      </c>
      <c r="AO182" s="63" t="str">
        <f aca="false">IF(ISBLANK(C182),"",W182)</f>
        <v/>
      </c>
      <c r="AP182" s="63" t="str">
        <f aca="false">IF(ISBLANK(C182),"",AJ182)</f>
        <v/>
      </c>
      <c r="AQ182" s="63" t="str">
        <f aca="false">IF(ISBLANK(C182),"",AI182)</f>
        <v/>
      </c>
      <c r="AR182" s="64" t="str">
        <f aca="false">IF(ISBLANK(C182),
  "",
IF(AQ182=Constants!$B$11,COUNTA($C$8:$C$507)+2,IF(AQ182=Constants!$B$12,COUNTA($C$8:$C$507)+1,IF(AQ182=Constants!$B$13,COUNTA($C$8:$C$507),AQ182))))</f>
        <v/>
      </c>
      <c r="AS182" s="3"/>
      <c r="AT182" s="65" t="n">
        <f aca="false">IF(OR(ISNUMBER(AQ182),AQ182="DQ",AQ182="P",AQ182="NS"),
    1,
    0
)</f>
        <v>0</v>
      </c>
      <c r="AU182" s="65" t="n">
        <v>175</v>
      </c>
      <c r="AV182" s="65" t="str">
        <f aca="false">IF(ISBLANK($C182),
    "",
   IF(ISNUMBER(AR182),AR182+ROW($B182)/1000,"")
)</f>
        <v/>
      </c>
      <c r="AW182" s="65" t="str">
        <f aca="false">IF(ISNUMBER(AV182), RANK(AV182,AV$8:AV$507,1), "")</f>
        <v/>
      </c>
      <c r="AX182" s="65" t="str">
        <f aca="false">IF(ISBLANK($C182),
    "",
    $B182
)</f>
        <v/>
      </c>
      <c r="AY182" s="65" t="str">
        <f aca="false">IF(ISBLANK($C182),
    "",
    $C182
)</f>
        <v/>
      </c>
      <c r="AZ182" s="65" t="str">
        <f aca="false">IF(ISBLANK($C182),
    "",
    $D182
)</f>
        <v/>
      </c>
      <c r="BA182" s="65" t="str">
        <f aca="false">AO182</f>
        <v/>
      </c>
      <c r="BB182" s="66" t="str">
        <f aca="false">AN182</f>
        <v/>
      </c>
      <c r="BC182" s="65" t="str">
        <f aca="false">IF(ISBLANK($C182),
    "",
    AQ182
)</f>
        <v/>
      </c>
      <c r="BD182" s="67" t="str">
        <f aca="false">IF(AU182&gt;AT$7,
    "",
    VLOOKUP(AU182,AW$8:BC$507,7,FALSE())
)</f>
        <v/>
      </c>
      <c r="BE182" s="68" t="str">
        <f aca="false">IF(AU182&gt;AT$7,
    "",
    VLOOKUP(AU182,AW$8:BC$507,2,FALSE())
)</f>
        <v/>
      </c>
      <c r="BF182" s="68" t="str">
        <f aca="false">IF(AU182&gt;AT$7,
    "",
    VLOOKUP(AU182,AW$8:BC$507,3,FALSE())
)</f>
        <v/>
      </c>
      <c r="BG182" s="68" t="str">
        <f aca="false">IF(AU182&gt;AT$7,
    "",
    VLOOKUP(AU182,AW$8:BC$507,4,FALSE())
)</f>
        <v/>
      </c>
      <c r="BH182" s="68" t="str">
        <f aca="false">IF(AU182&gt;AT$7,
    "",
    VLOOKUP(AU182,AW$8:BC$507,5,FALSE())
)</f>
        <v/>
      </c>
      <c r="BI182" s="69" t="str">
        <f aca="false">IF(AU182&gt;AT$7,
    "",
    VLOOKUP(AU182,AW$8:BC$507,6,FALSE())
)</f>
        <v/>
      </c>
      <c r="BJ182" s="46"/>
    </row>
    <row r="183" customFormat="false" ht="15.75" hidden="false" customHeight="false" outlineLevel="0" collapsed="false">
      <c r="A183" s="3"/>
      <c r="B183" s="108"/>
      <c r="C183" s="70"/>
      <c r="D183" s="49"/>
      <c r="E183" s="109"/>
      <c r="F183" s="72"/>
      <c r="G183" s="109"/>
      <c r="H183" s="74"/>
      <c r="I183" s="104"/>
      <c r="J183" s="74"/>
      <c r="K183" s="74"/>
      <c r="L183" s="55"/>
      <c r="M183" s="55" t="str">
        <f aca="false">IF(ISBLANK($C183),"",IF(ISBLANK(E183),0,E183))</f>
        <v/>
      </c>
      <c r="N183" s="55" t="str">
        <f aca="false">IF(ISBLANK($C183),"",IF(ISBLANK(F183),0,F183))</f>
        <v/>
      </c>
      <c r="O183" s="55" t="e">
        <f aca="false">IF(AND(NOT(ISBLANK($C183)),NOT($T183),COUNTA($E183:$K183)&gt;0),ISBLANK($F183),FALSE())</f>
        <v>#VALUE!</v>
      </c>
      <c r="P183" s="55" t="str">
        <f aca="false">IF(ISBLANK($C183),"",IF(G183=Constants!$B$9, TRUE(), IF(G183=Constants!$B$10, FALSE(), TRUE())))</f>
        <v/>
      </c>
      <c r="Q183" s="55" t="str">
        <f aca="false">IF(ISBLANK($C183),"",IF(H183=Constants!$B$9, TRUE(), IF(H183=Constants!$B$10, FALSE(), TRUE())))</f>
        <v/>
      </c>
      <c r="R183" s="55" t="str">
        <f aca="false">IF(ISBLANK($C183),"",IF(ISBLANK(I183),Constants!$B$3,I183))</f>
        <v/>
      </c>
      <c r="S183" s="55" t="str">
        <f aca="false">IF(ISBLANK($C183),"",IF(ISBLANK(J183),0,MIN(J183,Constants!$B$6)))</f>
        <v/>
      </c>
      <c r="T183" s="55" t="str">
        <f aca="false">IF(ISBLANK($C183),"",IF(K183=Constants!$B$9, TRUE(), IF(K183=Constants!$B$10, FALSE(),  FALSE())))</f>
        <v/>
      </c>
      <c r="U183" s="55" t="str">
        <f aca="false">IF(ISBLANK($C183),"",AND(R183=Constants!$B$4, S183&lt;Constants!$B$6))</f>
        <v/>
      </c>
      <c r="V183" s="55" t="str">
        <f aca="false">IF(ISBLANK(C183), "", IF(T183, Constants!$B$11, IF(COUNTA(E183:K183)=0, Constants!$B$12, IF(NOT(AND(P183,S183&lt;&gt;0)), Constants!$B$13, IF(O183, Constants!$B$15, Constants!$B$14)))))</f>
        <v/>
      </c>
      <c r="W183" s="55" t="str">
        <f aca="false">IF(OR(ISBLANK($C183), SUMPRODUCT(--(P183:T183&lt;&gt;""))=0), "", IF(V183&lt;&gt;Constants!$B$14, V183, IF(AND(NOT(ISBLANK(J183)),P183,Q183,R183&lt;&gt;Constants!$B$2), Constants!$B$7, IF(AND(P183,OR(NOT(Q183),R183=Constants!$B$2)), Constants!$B$8, "Error"))))</f>
        <v/>
      </c>
      <c r="X183" s="56" t="str">
        <f aca="false">IF(OR(W183=Constants!$B$7,W183=Constants!$B$8), MAX(0, MIN(Constants!$B$6, S183))+IF(AND(R183=Constants!$B$4, NOT(U183)), Constants!$B$5, 0), "")</f>
        <v/>
      </c>
      <c r="Y183" s="55" t="str">
        <f aca="false">IF(ISBLANK($C183),"",IF(AND(ISNUMBER(X183),N183&gt;0),X183/N183, "") )</f>
        <v/>
      </c>
      <c r="Z183" s="55" t="str">
        <f aca="false">IF(AND(NOT(ISBLANK($C183)), W183=Constants!$B$7), Y183, "")</f>
        <v/>
      </c>
      <c r="AA183" s="55" t="str">
        <f aca="false">IF(ISNUMBER(Z183), RANK(Z183,Z$8:Z$507), "")</f>
        <v/>
      </c>
      <c r="AB183" s="55" t="str">
        <f aca="false">IF(AND(NOT(ISBLANK($C183)), W183=Constants!$B$8), Y183, "")</f>
        <v/>
      </c>
      <c r="AC183" s="55" t="str">
        <f aca="false">IF(ISNUMBER(AB183), RANK(AB183,AB$8:AB$507), "")</f>
        <v/>
      </c>
      <c r="AD183" s="55" t="str">
        <f aca="false">IF(ISBLANK($C183),"",IF(V183&lt;&gt;Constants!$B$14, V183, IF(W183=Constants!$B$7, AA183, IF(W183=Constants!$B$8, COUNT($AA$8:$AA$507) + AC183, ""))))</f>
        <v/>
      </c>
      <c r="AE183" s="55" t="str">
        <f aca="false">N183</f>
        <v/>
      </c>
      <c r="AF183" s="55" t="str">
        <f aca="false">IF(ISNUMBER(AE183), RANK(AE183,AE$8:AE$507,1), "")</f>
        <v/>
      </c>
      <c r="AG183" s="57" t="str">
        <f aca="false">IF(ISBLANK(C183), "", ABS(M183-S183))</f>
        <v/>
      </c>
      <c r="AH183" s="55" t="str">
        <f aca="false">IF(ISNUMBER(AG183), RANK(AG183,AG$8:AG$507,1), "")</f>
        <v/>
      </c>
      <c r="AI183" s="55" t="str">
        <f aca="false">IF(ISBLANK(C183),"",IF(V183&lt;&gt;Constants!$B$14, V183, RANK(AD183, AD$8:AD$507, 1)+ SUMPRODUCT(--(AD$8:AD$507=AD183),--(AF183&gt;AF$8:AF$507)) + SUMPRODUCT(--(AD$8:AD$507=AD183),--(AF183=AF$8:AF$507),--(AH183&gt;AH$8:AH$507))))</f>
        <v/>
      </c>
      <c r="AJ183" s="55" t="str">
        <f aca="false">IF(ISBLANK(C183),"",IF(V183&lt;&gt;Constants!$B$14, V183, AD183-AI183))</f>
        <v/>
      </c>
      <c r="AK183" s="59"/>
      <c r="AL183" s="60" t="str">
        <f aca="false">IF(ISBLANK($C183),"",IF($V183&lt;&gt;Constants!$B$14,$V183,X183))</f>
        <v/>
      </c>
      <c r="AM183" s="60" t="str">
        <f aca="false">IF(ISBLANK($C183),"",IF($V183&lt;&gt;Constants!$B$14,$V183,N183))</f>
        <v/>
      </c>
      <c r="AN183" s="62" t="str">
        <f aca="false">IF(ISBLANK(C183),"",IF(V183&lt;&gt;Constants!$B$14, V183, IF(W183=Constants!$B$7,Z183,IF(W183=Constants!$B$8,AB183,""))))</f>
        <v/>
      </c>
      <c r="AO183" s="63" t="str">
        <f aca="false">IF(ISBLANK(C183),"",W183)</f>
        <v/>
      </c>
      <c r="AP183" s="63" t="str">
        <f aca="false">IF(ISBLANK(C183),"",AJ183)</f>
        <v/>
      </c>
      <c r="AQ183" s="63" t="str">
        <f aca="false">IF(ISBLANK(C183),"",AI183)</f>
        <v/>
      </c>
      <c r="AR183" s="64" t="str">
        <f aca="false">IF(ISBLANK(C183),
  "",
IF(AQ183=Constants!$B$11,COUNTA($C$8:$C$507)+2,IF(AQ183=Constants!$B$12,COUNTA($C$8:$C$507)+1,IF(AQ183=Constants!$B$13,COUNTA($C$8:$C$507),AQ183))))</f>
        <v/>
      </c>
      <c r="AS183" s="3"/>
      <c r="AT183" s="65" t="n">
        <f aca="false">IF(OR(ISNUMBER(AQ183),AQ183="DQ",AQ183="P",AQ183="NS"),
    1,
    0
)</f>
        <v>0</v>
      </c>
      <c r="AU183" s="65" t="n">
        <v>176</v>
      </c>
      <c r="AV183" s="65" t="str">
        <f aca="false">IF(ISBLANK($C183),
    "",
   IF(ISNUMBER(AR183),AR183+ROW($B183)/1000,"")
)</f>
        <v/>
      </c>
      <c r="AW183" s="65" t="str">
        <f aca="false">IF(ISNUMBER(AV183), RANK(AV183,AV$8:AV$507,1), "")</f>
        <v/>
      </c>
      <c r="AX183" s="65" t="str">
        <f aca="false">IF(ISBLANK($C183),
    "",
    $B183
)</f>
        <v/>
      </c>
      <c r="AY183" s="65" t="str">
        <f aca="false">IF(ISBLANK($C183),
    "",
    $C183
)</f>
        <v/>
      </c>
      <c r="AZ183" s="65" t="str">
        <f aca="false">IF(ISBLANK($C183),
    "",
    $D183
)</f>
        <v/>
      </c>
      <c r="BA183" s="65" t="str">
        <f aca="false">AO183</f>
        <v/>
      </c>
      <c r="BB183" s="66" t="str">
        <f aca="false">AN183</f>
        <v/>
      </c>
      <c r="BC183" s="65" t="str">
        <f aca="false">IF(ISBLANK($C183),
    "",
    AQ183
)</f>
        <v/>
      </c>
      <c r="BD183" s="67" t="str">
        <f aca="false">IF(AU183&gt;AT$7,
    "",
    VLOOKUP(AU183,AW$8:BC$507,7,FALSE())
)</f>
        <v/>
      </c>
      <c r="BE183" s="68" t="str">
        <f aca="false">IF(AU183&gt;AT$7,
    "",
    VLOOKUP(AU183,AW$8:BC$507,2,FALSE())
)</f>
        <v/>
      </c>
      <c r="BF183" s="68" t="str">
        <f aca="false">IF(AU183&gt;AT$7,
    "",
    VLOOKUP(AU183,AW$8:BC$507,3,FALSE())
)</f>
        <v/>
      </c>
      <c r="BG183" s="68" t="str">
        <f aca="false">IF(AU183&gt;AT$7,
    "",
    VLOOKUP(AU183,AW$8:BC$507,4,FALSE())
)</f>
        <v/>
      </c>
      <c r="BH183" s="68" t="str">
        <f aca="false">IF(AU183&gt;AT$7,
    "",
    VLOOKUP(AU183,AW$8:BC$507,5,FALSE())
)</f>
        <v/>
      </c>
      <c r="BI183" s="69" t="str">
        <f aca="false">IF(AU183&gt;AT$7,
    "",
    VLOOKUP(AU183,AW$8:BC$507,6,FALSE())
)</f>
        <v/>
      </c>
      <c r="BJ183" s="46"/>
    </row>
    <row r="184" customFormat="false" ht="15.75" hidden="false" customHeight="false" outlineLevel="0" collapsed="false">
      <c r="A184" s="3"/>
      <c r="B184" s="108"/>
      <c r="C184" s="70"/>
      <c r="D184" s="49"/>
      <c r="E184" s="109"/>
      <c r="F184" s="72"/>
      <c r="G184" s="109"/>
      <c r="H184" s="74"/>
      <c r="I184" s="104"/>
      <c r="J184" s="74"/>
      <c r="K184" s="74"/>
      <c r="L184" s="55"/>
      <c r="M184" s="55" t="str">
        <f aca="false">IF(ISBLANK($C184),"",IF(ISBLANK(E184),0,E184))</f>
        <v/>
      </c>
      <c r="N184" s="55" t="str">
        <f aca="false">IF(ISBLANK($C184),"",IF(ISBLANK(F184),0,F184))</f>
        <v/>
      </c>
      <c r="O184" s="55" t="e">
        <f aca="false">IF(AND(NOT(ISBLANK($C184)),NOT($T184),COUNTA($E184:$K184)&gt;0),ISBLANK($F184),FALSE())</f>
        <v>#VALUE!</v>
      </c>
      <c r="P184" s="55" t="str">
        <f aca="false">IF(ISBLANK($C184),"",IF(G184=Constants!$B$9, TRUE(), IF(G184=Constants!$B$10, FALSE(), TRUE())))</f>
        <v/>
      </c>
      <c r="Q184" s="55" t="str">
        <f aca="false">IF(ISBLANK($C184),"",IF(H184=Constants!$B$9, TRUE(), IF(H184=Constants!$B$10, FALSE(), TRUE())))</f>
        <v/>
      </c>
      <c r="R184" s="55" t="str">
        <f aca="false">IF(ISBLANK($C184),"",IF(ISBLANK(I184),Constants!$B$3,I184))</f>
        <v/>
      </c>
      <c r="S184" s="55" t="str">
        <f aca="false">IF(ISBLANK($C184),"",IF(ISBLANK(J184),0,MIN(J184,Constants!$B$6)))</f>
        <v/>
      </c>
      <c r="T184" s="55" t="str">
        <f aca="false">IF(ISBLANK($C184),"",IF(K184=Constants!$B$9, TRUE(), IF(K184=Constants!$B$10, FALSE(),  FALSE())))</f>
        <v/>
      </c>
      <c r="U184" s="55" t="str">
        <f aca="false">IF(ISBLANK($C184),"",AND(R184=Constants!$B$4, S184&lt;Constants!$B$6))</f>
        <v/>
      </c>
      <c r="V184" s="55" t="str">
        <f aca="false">IF(ISBLANK(C184), "", IF(T184, Constants!$B$11, IF(COUNTA(E184:K184)=0, Constants!$B$12, IF(NOT(AND(P184,S184&lt;&gt;0)), Constants!$B$13, IF(O184, Constants!$B$15, Constants!$B$14)))))</f>
        <v/>
      </c>
      <c r="W184" s="55" t="str">
        <f aca="false">IF(OR(ISBLANK($C184), SUMPRODUCT(--(P184:T184&lt;&gt;""))=0), "", IF(V184&lt;&gt;Constants!$B$14, V184, IF(AND(NOT(ISBLANK(J184)),P184,Q184,R184&lt;&gt;Constants!$B$2), Constants!$B$7, IF(AND(P184,OR(NOT(Q184),R184=Constants!$B$2)), Constants!$B$8, "Error"))))</f>
        <v/>
      </c>
      <c r="X184" s="56" t="str">
        <f aca="false">IF(OR(W184=Constants!$B$7,W184=Constants!$B$8), MAX(0, MIN(Constants!$B$6, S184))+IF(AND(R184=Constants!$B$4, NOT(U184)), Constants!$B$5, 0), "")</f>
        <v/>
      </c>
      <c r="Y184" s="55" t="str">
        <f aca="false">IF(ISBLANK($C184),"",IF(AND(ISNUMBER(X184),N184&gt;0),X184/N184, "") )</f>
        <v/>
      </c>
      <c r="Z184" s="55" t="str">
        <f aca="false">IF(AND(NOT(ISBLANK($C184)), W184=Constants!$B$7), Y184, "")</f>
        <v/>
      </c>
      <c r="AA184" s="55" t="str">
        <f aca="false">IF(ISNUMBER(Z184), RANK(Z184,Z$8:Z$507), "")</f>
        <v/>
      </c>
      <c r="AB184" s="55" t="str">
        <f aca="false">IF(AND(NOT(ISBLANK($C184)), W184=Constants!$B$8), Y184, "")</f>
        <v/>
      </c>
      <c r="AC184" s="55" t="str">
        <f aca="false">IF(ISNUMBER(AB184), RANK(AB184,AB$8:AB$507), "")</f>
        <v/>
      </c>
      <c r="AD184" s="55" t="str">
        <f aca="false">IF(ISBLANK($C184),"",IF(V184&lt;&gt;Constants!$B$14, V184, IF(W184=Constants!$B$7, AA184, IF(W184=Constants!$B$8, COUNT($AA$8:$AA$507) + AC184, ""))))</f>
        <v/>
      </c>
      <c r="AE184" s="55" t="str">
        <f aca="false">N184</f>
        <v/>
      </c>
      <c r="AF184" s="55" t="str">
        <f aca="false">IF(ISNUMBER(AE184), RANK(AE184,AE$8:AE$507,1), "")</f>
        <v/>
      </c>
      <c r="AG184" s="57" t="str">
        <f aca="false">IF(ISBLANK(C184), "", ABS(M184-S184))</f>
        <v/>
      </c>
      <c r="AH184" s="55" t="str">
        <f aca="false">IF(ISNUMBER(AG184), RANK(AG184,AG$8:AG$507,1), "")</f>
        <v/>
      </c>
      <c r="AI184" s="55" t="str">
        <f aca="false">IF(ISBLANK(C184),"",IF(V184&lt;&gt;Constants!$B$14, V184, RANK(AD184, AD$8:AD$507, 1)+ SUMPRODUCT(--(AD$8:AD$507=AD184),--(AF184&gt;AF$8:AF$507)) + SUMPRODUCT(--(AD$8:AD$507=AD184),--(AF184=AF$8:AF$507),--(AH184&gt;AH$8:AH$507))))</f>
        <v/>
      </c>
      <c r="AJ184" s="55" t="str">
        <f aca="false">IF(ISBLANK(C184),"",IF(V184&lt;&gt;Constants!$B$14, V184, AD184-AI184))</f>
        <v/>
      </c>
      <c r="AK184" s="59"/>
      <c r="AL184" s="60" t="str">
        <f aca="false">IF(ISBLANK($C184),"",IF($V184&lt;&gt;Constants!$B$14,$V184,X184))</f>
        <v/>
      </c>
      <c r="AM184" s="60" t="str">
        <f aca="false">IF(ISBLANK($C184),"",IF($V184&lt;&gt;Constants!$B$14,$V184,N184))</f>
        <v/>
      </c>
      <c r="AN184" s="62" t="str">
        <f aca="false">IF(ISBLANK(C184),"",IF(V184&lt;&gt;Constants!$B$14, V184, IF(W184=Constants!$B$7,Z184,IF(W184=Constants!$B$8,AB184,""))))</f>
        <v/>
      </c>
      <c r="AO184" s="63" t="str">
        <f aca="false">IF(ISBLANK(C184),"",W184)</f>
        <v/>
      </c>
      <c r="AP184" s="63" t="str">
        <f aca="false">IF(ISBLANK(C184),"",AJ184)</f>
        <v/>
      </c>
      <c r="AQ184" s="63" t="str">
        <f aca="false">IF(ISBLANK(C184),"",AI184)</f>
        <v/>
      </c>
      <c r="AR184" s="64" t="str">
        <f aca="false">IF(ISBLANK(C184),
  "",
IF(AQ184=Constants!$B$11,COUNTA($C$8:$C$507)+2,IF(AQ184=Constants!$B$12,COUNTA($C$8:$C$507)+1,IF(AQ184=Constants!$B$13,COUNTA($C$8:$C$507),AQ184))))</f>
        <v/>
      </c>
      <c r="AS184" s="3"/>
      <c r="AT184" s="65" t="n">
        <f aca="false">IF(OR(ISNUMBER(AQ184),AQ184="DQ",AQ184="P",AQ184="NS"),
    1,
    0
)</f>
        <v>0</v>
      </c>
      <c r="AU184" s="65" t="n">
        <v>177</v>
      </c>
      <c r="AV184" s="65" t="str">
        <f aca="false">IF(ISBLANK($C184),
    "",
   IF(ISNUMBER(AR184),AR184+ROW($B184)/1000,"")
)</f>
        <v/>
      </c>
      <c r="AW184" s="65" t="str">
        <f aca="false">IF(ISNUMBER(AV184), RANK(AV184,AV$8:AV$507,1), "")</f>
        <v/>
      </c>
      <c r="AX184" s="65" t="str">
        <f aca="false">IF(ISBLANK($C184),
    "",
    $B184
)</f>
        <v/>
      </c>
      <c r="AY184" s="65" t="str">
        <f aca="false">IF(ISBLANK($C184),
    "",
    $C184
)</f>
        <v/>
      </c>
      <c r="AZ184" s="65" t="str">
        <f aca="false">IF(ISBLANK($C184),
    "",
    $D184
)</f>
        <v/>
      </c>
      <c r="BA184" s="65" t="str">
        <f aca="false">AO184</f>
        <v/>
      </c>
      <c r="BB184" s="66" t="str">
        <f aca="false">AN184</f>
        <v/>
      </c>
      <c r="BC184" s="65" t="str">
        <f aca="false">IF(ISBLANK($C184),
    "",
    AQ184
)</f>
        <v/>
      </c>
      <c r="BD184" s="67" t="str">
        <f aca="false">IF(AU184&gt;AT$7,
    "",
    VLOOKUP(AU184,AW$8:BC$507,7,FALSE())
)</f>
        <v/>
      </c>
      <c r="BE184" s="68" t="str">
        <f aca="false">IF(AU184&gt;AT$7,
    "",
    VLOOKUP(AU184,AW$8:BC$507,2,FALSE())
)</f>
        <v/>
      </c>
      <c r="BF184" s="68" t="str">
        <f aca="false">IF(AU184&gt;AT$7,
    "",
    VLOOKUP(AU184,AW$8:BC$507,3,FALSE())
)</f>
        <v/>
      </c>
      <c r="BG184" s="68" t="str">
        <f aca="false">IF(AU184&gt;AT$7,
    "",
    VLOOKUP(AU184,AW$8:BC$507,4,FALSE())
)</f>
        <v/>
      </c>
      <c r="BH184" s="68" t="str">
        <f aca="false">IF(AU184&gt;AT$7,
    "",
    VLOOKUP(AU184,AW$8:BC$507,5,FALSE())
)</f>
        <v/>
      </c>
      <c r="BI184" s="69" t="str">
        <f aca="false">IF(AU184&gt;AT$7,
    "",
    VLOOKUP(AU184,AW$8:BC$507,6,FALSE())
)</f>
        <v/>
      </c>
      <c r="BJ184" s="46"/>
    </row>
    <row r="185" customFormat="false" ht="15.75" hidden="false" customHeight="false" outlineLevel="0" collapsed="false">
      <c r="A185" s="3"/>
      <c r="B185" s="105"/>
      <c r="C185" s="106"/>
      <c r="D185" s="99"/>
      <c r="E185" s="110"/>
      <c r="F185" s="107"/>
      <c r="G185" s="110"/>
      <c r="H185" s="103"/>
      <c r="I185" s="102"/>
      <c r="J185" s="103"/>
      <c r="K185" s="103"/>
      <c r="L185" s="85"/>
      <c r="M185" s="85" t="str">
        <f aca="false">IF(ISBLANK($C185),"",IF(ISBLANK(E185),0,E185))</f>
        <v/>
      </c>
      <c r="N185" s="85" t="str">
        <f aca="false">IF(ISBLANK($C185),"",IF(ISBLANK(F185),0,F185))</f>
        <v/>
      </c>
      <c r="O185" s="86" t="e">
        <f aca="false">IF(AND(NOT(ISBLANK($C185)),NOT($T185),COUNTA($E185:$K185)&gt;0),ISBLANK($F185),FALSE())</f>
        <v>#VALUE!</v>
      </c>
      <c r="P185" s="85" t="str">
        <f aca="false">IF(ISBLANK($C185),"",IF(G185=Constants!$B$9, TRUE(), IF(G185=Constants!$B$10, FALSE(), TRUE())))</f>
        <v/>
      </c>
      <c r="Q185" s="85" t="str">
        <f aca="false">IF(ISBLANK($C185),"",IF(H185=Constants!$B$9, TRUE(), IF(H185=Constants!$B$10, FALSE(), TRUE())))</f>
        <v/>
      </c>
      <c r="R185" s="85" t="str">
        <f aca="false">IF(ISBLANK($C185),"",IF(ISBLANK(I185),Constants!$B$3,I185))</f>
        <v/>
      </c>
      <c r="S185" s="85" t="str">
        <f aca="false">IF(ISBLANK($C185),"",IF(ISBLANK(J185),0,MIN(J185,Constants!$B$6)))</f>
        <v/>
      </c>
      <c r="T185" s="85" t="str">
        <f aca="false">IF(ISBLANK($C185),"",IF(K185=Constants!$B$9, TRUE(), IF(K185=Constants!$B$10, FALSE(),  FALSE())))</f>
        <v/>
      </c>
      <c r="U185" s="85" t="str">
        <f aca="false">IF(ISBLANK($C185),"",AND(R185=Constants!$B$4, S185&lt;Constants!$B$6))</f>
        <v/>
      </c>
      <c r="V185" s="85" t="str">
        <f aca="false">IF(ISBLANK(C185), "", IF(T185, Constants!$B$11, IF(COUNTA(E185:K185)=0, Constants!$B$12, IF(NOT(AND(P185,S185&lt;&gt;0)), Constants!$B$13, IF(O185, Constants!$B$15, Constants!$B$14)))))</f>
        <v/>
      </c>
      <c r="W185" s="85" t="str">
        <f aca="false">IF(OR(ISBLANK($C185), SUMPRODUCT(--(P185:T185&lt;&gt;""))=0), "", IF(V185&lt;&gt;Constants!$B$14, V185, IF(AND(NOT(ISBLANK(J185)),P185,Q185,R185&lt;&gt;Constants!$B$2), Constants!$B$7, IF(AND(P185,OR(NOT(Q185),R185=Constants!$B$2)), Constants!$B$8, "Error"))))</f>
        <v/>
      </c>
      <c r="X185" s="87" t="str">
        <f aca="false">IF(OR(W185=Constants!$B$7,W185=Constants!$B$8), MAX(0, MIN(Constants!$B$6, S185))+IF(AND(R185=Constants!$B$4, NOT(U185)), Constants!$B$5, 0), "")</f>
        <v/>
      </c>
      <c r="Y185" s="85" t="str">
        <f aca="false">IF(ISBLANK($C185),"",IF(AND(ISNUMBER(X185),N185&gt;0),X185/N185, "") )</f>
        <v/>
      </c>
      <c r="Z185" s="85" t="str">
        <f aca="false">IF(AND(NOT(ISBLANK($C185)), W185=Constants!$B$7), Y185, "")</f>
        <v/>
      </c>
      <c r="AA185" s="85" t="str">
        <f aca="false">IF(ISNUMBER(Z185), RANK(Z185,Z$8:Z$507), "")</f>
        <v/>
      </c>
      <c r="AB185" s="85" t="str">
        <f aca="false">IF(AND(NOT(ISBLANK($C185)), W185=Constants!$B$8), Y185, "")</f>
        <v/>
      </c>
      <c r="AC185" s="85" t="str">
        <f aca="false">IF(ISNUMBER(AB185), RANK(AB185,AB$8:AB$507), "")</f>
        <v/>
      </c>
      <c r="AD185" s="85" t="str">
        <f aca="false">IF(ISBLANK($C185),"",IF(V185&lt;&gt;Constants!$B$14, V185, IF(W185=Constants!$B$7, AA185, IF(W185=Constants!$B$8, COUNT($AA$8:$AA$507) + AC185, ""))))</f>
        <v/>
      </c>
      <c r="AE185" s="85" t="str">
        <f aca="false">N185</f>
        <v/>
      </c>
      <c r="AF185" s="85" t="str">
        <f aca="false">IF(ISNUMBER(AE185), RANK(AE185,AE$8:AE$507,1), "")</f>
        <v/>
      </c>
      <c r="AG185" s="88" t="str">
        <f aca="false">IF(ISBLANK(C185), "", ABS(M185-S185))</f>
        <v/>
      </c>
      <c r="AH185" s="85" t="str">
        <f aca="false">IF(ISNUMBER(AG185), RANK(AG185,AG$8:AG$507,1), "")</f>
        <v/>
      </c>
      <c r="AI185" s="85" t="str">
        <f aca="false">IF(ISBLANK(C185),"",IF(V185&lt;&gt;Constants!$B$14, V185, RANK(AD185, AD$8:AD$507, 1)+ SUMPRODUCT(--(AD$8:AD$507=AD185),--(AF185&gt;AF$8:AF$507)) + SUMPRODUCT(--(AD$8:AD$507=AD185),--(AF185=AF$8:AF$507),--(AH185&gt;AH$8:AH$507))))</f>
        <v/>
      </c>
      <c r="AJ185" s="85" t="str">
        <f aca="false">IF(ISBLANK(C185),"",IF(V185&lt;&gt;Constants!$B$14, V185, AD185-AI185))</f>
        <v/>
      </c>
      <c r="AK185" s="89"/>
      <c r="AL185" s="90" t="str">
        <f aca="false">IF(ISBLANK($C185),"",IF($V185&lt;&gt;Constants!$B$14,$V185,X185))</f>
        <v/>
      </c>
      <c r="AM185" s="90" t="str">
        <f aca="false">IF(ISBLANK($C185),"",IF($V185&lt;&gt;Constants!$B$14,$V185,N185))</f>
        <v/>
      </c>
      <c r="AN185" s="91" t="str">
        <f aca="false">IF(ISBLANK(C185),"",IF(V185&lt;&gt;Constants!$B$14, V185, IF(W185=Constants!$B$7,Z185,IF(W185=Constants!$B$8,AB185,""))))</f>
        <v/>
      </c>
      <c r="AO185" s="92" t="str">
        <f aca="false">IF(ISBLANK(C185),"",W185)</f>
        <v/>
      </c>
      <c r="AP185" s="92" t="str">
        <f aca="false">IF(ISBLANK(C185),"",AJ185)</f>
        <v/>
      </c>
      <c r="AQ185" s="92" t="str">
        <f aca="false">IF(ISBLANK(C185),"",AI185)</f>
        <v/>
      </c>
      <c r="AR185" s="93" t="str">
        <f aca="false">IF(ISBLANK(C185),
  "",
IF(AQ185=Constants!$B$11,COUNTA($C$8:$C$507)+2,IF(AQ185=Constants!$B$12,COUNTA($C$8:$C$507)+1,IF(AQ185=Constants!$B$13,COUNTA($C$8:$C$507),AQ185))))</f>
        <v/>
      </c>
      <c r="AS185" s="3"/>
      <c r="AT185" s="94" t="n">
        <f aca="false">IF(OR(ISNUMBER(AQ185),AQ185="DQ",AQ185="P",AQ185="NS"),
    1,
    0
)</f>
        <v>0</v>
      </c>
      <c r="AU185" s="94" t="n">
        <v>178</v>
      </c>
      <c r="AV185" s="94" t="str">
        <f aca="false">IF(ISBLANK($C185),
    "",
   IF(ISNUMBER(AR185),AR185+ROW($B185)/1000,"")
)</f>
        <v/>
      </c>
      <c r="AW185" s="94" t="str">
        <f aca="false">IF(ISNUMBER(AV185), RANK(AV185,AV$8:AV$507,1), "")</f>
        <v/>
      </c>
      <c r="AX185" s="94" t="str">
        <f aca="false">IF(ISBLANK($C185),
    "",
    $B185
)</f>
        <v/>
      </c>
      <c r="AY185" s="94" t="str">
        <f aca="false">IF(ISBLANK($C185),
    "",
    $C185
)</f>
        <v/>
      </c>
      <c r="AZ185" s="94" t="str">
        <f aca="false">IF(ISBLANK($C185),
    "",
    $D185
)</f>
        <v/>
      </c>
      <c r="BA185" s="94" t="str">
        <f aca="false">AO185</f>
        <v/>
      </c>
      <c r="BB185" s="95" t="str">
        <f aca="false">AN185</f>
        <v/>
      </c>
      <c r="BC185" s="94" t="str">
        <f aca="false">IF(ISBLANK($C185),
    "",
    AQ185
)</f>
        <v/>
      </c>
      <c r="BD185" s="96" t="str">
        <f aca="false">IF(AU185&gt;AT$7,
    "",
    VLOOKUP(AU185,AW$8:BC$507,7,FALSE())
)</f>
        <v/>
      </c>
      <c r="BE185" s="97" t="str">
        <f aca="false">IF(AU185&gt;AT$7,
    "",
    VLOOKUP(AU185,AW$8:BC$507,2,FALSE())
)</f>
        <v/>
      </c>
      <c r="BF185" s="97" t="str">
        <f aca="false">IF(AU185&gt;AT$7,
    "",
    VLOOKUP(AU185,AW$8:BC$507,3,FALSE())
)</f>
        <v/>
      </c>
      <c r="BG185" s="97" t="str">
        <f aca="false">IF(AU185&gt;AT$7,
    "",
    VLOOKUP(AU185,AW$8:BC$507,4,FALSE())
)</f>
        <v/>
      </c>
      <c r="BH185" s="97" t="str">
        <f aca="false">IF(AU185&gt;AT$7,
    "",
    VLOOKUP(AU185,AW$8:BC$507,5,FALSE())
)</f>
        <v/>
      </c>
      <c r="BI185" s="98" t="str">
        <f aca="false">IF(AU185&gt;AT$7,
    "",
    VLOOKUP(AU185,AW$8:BC$507,6,FALSE())
)</f>
        <v/>
      </c>
      <c r="BJ185" s="46"/>
    </row>
    <row r="186" customFormat="false" ht="15.75" hidden="false" customHeight="false" outlineLevel="0" collapsed="false">
      <c r="A186" s="3"/>
      <c r="B186" s="105"/>
      <c r="C186" s="106"/>
      <c r="D186" s="99"/>
      <c r="E186" s="110"/>
      <c r="F186" s="107"/>
      <c r="G186" s="110"/>
      <c r="H186" s="103"/>
      <c r="I186" s="102"/>
      <c r="J186" s="103"/>
      <c r="K186" s="103"/>
      <c r="L186" s="85"/>
      <c r="M186" s="85" t="str">
        <f aca="false">IF(ISBLANK($C186),"",IF(ISBLANK(E186),0,E186))</f>
        <v/>
      </c>
      <c r="N186" s="85" t="str">
        <f aca="false">IF(ISBLANK($C186),"",IF(ISBLANK(F186),0,F186))</f>
        <v/>
      </c>
      <c r="O186" s="86" t="e">
        <f aca="false">IF(AND(NOT(ISBLANK($C186)),NOT($T186),COUNTA($E186:$K186)&gt;0),ISBLANK($F186),FALSE())</f>
        <v>#VALUE!</v>
      </c>
      <c r="P186" s="85" t="str">
        <f aca="false">IF(ISBLANK($C186),"",IF(G186=Constants!$B$9, TRUE(), IF(G186=Constants!$B$10, FALSE(), TRUE())))</f>
        <v/>
      </c>
      <c r="Q186" s="85" t="str">
        <f aca="false">IF(ISBLANK($C186),"",IF(H186=Constants!$B$9, TRUE(), IF(H186=Constants!$B$10, FALSE(), TRUE())))</f>
        <v/>
      </c>
      <c r="R186" s="85" t="str">
        <f aca="false">IF(ISBLANK($C186),"",IF(ISBLANK(I186),Constants!$B$3,I186))</f>
        <v/>
      </c>
      <c r="S186" s="85" t="str">
        <f aca="false">IF(ISBLANK($C186),"",IF(ISBLANK(J186),0,MIN(J186,Constants!$B$6)))</f>
        <v/>
      </c>
      <c r="T186" s="85" t="str">
        <f aca="false">IF(ISBLANK($C186),"",IF(K186=Constants!$B$9, TRUE(), IF(K186=Constants!$B$10, FALSE(),  FALSE())))</f>
        <v/>
      </c>
      <c r="U186" s="85" t="str">
        <f aca="false">IF(ISBLANK($C186),"",AND(R186=Constants!$B$4, S186&lt;Constants!$B$6))</f>
        <v/>
      </c>
      <c r="V186" s="85" t="str">
        <f aca="false">IF(ISBLANK(C186), "", IF(T186, Constants!$B$11, IF(COUNTA(E186:K186)=0, Constants!$B$12, IF(NOT(AND(P186,S186&lt;&gt;0)), Constants!$B$13, IF(O186, Constants!$B$15, Constants!$B$14)))))</f>
        <v/>
      </c>
      <c r="W186" s="85" t="str">
        <f aca="false">IF(OR(ISBLANK($C186), SUMPRODUCT(--(P186:T186&lt;&gt;""))=0), "", IF(V186&lt;&gt;Constants!$B$14, V186, IF(AND(NOT(ISBLANK(J186)),P186,Q186,R186&lt;&gt;Constants!$B$2), Constants!$B$7, IF(AND(P186,OR(NOT(Q186),R186=Constants!$B$2)), Constants!$B$8, "Error"))))</f>
        <v/>
      </c>
      <c r="X186" s="87" t="str">
        <f aca="false">IF(OR(W186=Constants!$B$7,W186=Constants!$B$8), MAX(0, MIN(Constants!$B$6, S186))+IF(AND(R186=Constants!$B$4, NOT(U186)), Constants!$B$5, 0), "")</f>
        <v/>
      </c>
      <c r="Y186" s="85" t="str">
        <f aca="false">IF(ISBLANK($C186),"",IF(AND(ISNUMBER(X186),N186&gt;0),X186/N186, "") )</f>
        <v/>
      </c>
      <c r="Z186" s="85" t="str">
        <f aca="false">IF(AND(NOT(ISBLANK($C186)), W186=Constants!$B$7), Y186, "")</f>
        <v/>
      </c>
      <c r="AA186" s="85" t="str">
        <f aca="false">IF(ISNUMBER(Z186), RANK(Z186,Z$8:Z$507), "")</f>
        <v/>
      </c>
      <c r="AB186" s="85" t="str">
        <f aca="false">IF(AND(NOT(ISBLANK($C186)), W186=Constants!$B$8), Y186, "")</f>
        <v/>
      </c>
      <c r="AC186" s="85" t="str">
        <f aca="false">IF(ISNUMBER(AB186), RANK(AB186,AB$8:AB$507), "")</f>
        <v/>
      </c>
      <c r="AD186" s="85" t="str">
        <f aca="false">IF(ISBLANK($C186),"",IF(V186&lt;&gt;Constants!$B$14, V186, IF(W186=Constants!$B$7, AA186, IF(W186=Constants!$B$8, COUNT($AA$8:$AA$507) + AC186, ""))))</f>
        <v/>
      </c>
      <c r="AE186" s="85" t="str">
        <f aca="false">N186</f>
        <v/>
      </c>
      <c r="AF186" s="85" t="str">
        <f aca="false">IF(ISNUMBER(AE186), RANK(AE186,AE$8:AE$507,1), "")</f>
        <v/>
      </c>
      <c r="AG186" s="88" t="str">
        <f aca="false">IF(ISBLANK(C186), "", ABS(M186-S186))</f>
        <v/>
      </c>
      <c r="AH186" s="85" t="str">
        <f aca="false">IF(ISNUMBER(AG186), RANK(AG186,AG$8:AG$507,1), "")</f>
        <v/>
      </c>
      <c r="AI186" s="85" t="str">
        <f aca="false">IF(ISBLANK(C186),"",IF(V186&lt;&gt;Constants!$B$14, V186, RANK(AD186, AD$8:AD$507, 1)+ SUMPRODUCT(--(AD$8:AD$507=AD186),--(AF186&gt;AF$8:AF$507)) + SUMPRODUCT(--(AD$8:AD$507=AD186),--(AF186=AF$8:AF$507),--(AH186&gt;AH$8:AH$507))))</f>
        <v/>
      </c>
      <c r="AJ186" s="85" t="str">
        <f aca="false">IF(ISBLANK(C186),"",IF(V186&lt;&gt;Constants!$B$14, V186, AD186-AI186))</f>
        <v/>
      </c>
      <c r="AK186" s="89"/>
      <c r="AL186" s="90" t="str">
        <f aca="false">IF(ISBLANK($C186),"",IF($V186&lt;&gt;Constants!$B$14,$V186,X186))</f>
        <v/>
      </c>
      <c r="AM186" s="90" t="str">
        <f aca="false">IF(ISBLANK($C186),"",IF($V186&lt;&gt;Constants!$B$14,$V186,N186))</f>
        <v/>
      </c>
      <c r="AN186" s="91" t="str">
        <f aca="false">IF(ISBLANK(C186),"",IF(V186&lt;&gt;Constants!$B$14, V186, IF(W186=Constants!$B$7,Z186,IF(W186=Constants!$B$8,AB186,""))))</f>
        <v/>
      </c>
      <c r="AO186" s="92" t="str">
        <f aca="false">IF(ISBLANK(C186),"",W186)</f>
        <v/>
      </c>
      <c r="AP186" s="92" t="str">
        <f aca="false">IF(ISBLANK(C186),"",AJ186)</f>
        <v/>
      </c>
      <c r="AQ186" s="92" t="str">
        <f aca="false">IF(ISBLANK(C186),"",AI186)</f>
        <v/>
      </c>
      <c r="AR186" s="93" t="str">
        <f aca="false">IF(ISBLANK(C186),
  "",
IF(AQ186=Constants!$B$11,COUNTA($C$8:$C$507)+2,IF(AQ186=Constants!$B$12,COUNTA($C$8:$C$507)+1,IF(AQ186=Constants!$B$13,COUNTA($C$8:$C$507),AQ186))))</f>
        <v/>
      </c>
      <c r="AS186" s="3"/>
      <c r="AT186" s="94" t="n">
        <f aca="false">IF(OR(ISNUMBER(AQ186),AQ186="DQ",AQ186="P",AQ186="NS"),
    1,
    0
)</f>
        <v>0</v>
      </c>
      <c r="AU186" s="94" t="n">
        <v>179</v>
      </c>
      <c r="AV186" s="94" t="str">
        <f aca="false">IF(ISBLANK($C186),
    "",
   IF(ISNUMBER(AR186),AR186+ROW($B186)/1000,"")
)</f>
        <v/>
      </c>
      <c r="AW186" s="94" t="str">
        <f aca="false">IF(ISNUMBER(AV186), RANK(AV186,AV$8:AV$507,1), "")</f>
        <v/>
      </c>
      <c r="AX186" s="94" t="str">
        <f aca="false">IF(ISBLANK($C186),
    "",
    $B186
)</f>
        <v/>
      </c>
      <c r="AY186" s="94" t="str">
        <f aca="false">IF(ISBLANK($C186),
    "",
    $C186
)</f>
        <v/>
      </c>
      <c r="AZ186" s="94" t="str">
        <f aca="false">IF(ISBLANK($C186),
    "",
    $D186
)</f>
        <v/>
      </c>
      <c r="BA186" s="94" t="str">
        <f aca="false">AO186</f>
        <v/>
      </c>
      <c r="BB186" s="95" t="str">
        <f aca="false">AN186</f>
        <v/>
      </c>
      <c r="BC186" s="94" t="str">
        <f aca="false">IF(ISBLANK($C186),
    "",
    AQ186
)</f>
        <v/>
      </c>
      <c r="BD186" s="96" t="str">
        <f aca="false">IF(AU186&gt;AT$7,
    "",
    VLOOKUP(AU186,AW$8:BC$507,7,FALSE())
)</f>
        <v/>
      </c>
      <c r="BE186" s="97" t="str">
        <f aca="false">IF(AU186&gt;AT$7,
    "",
    VLOOKUP(AU186,AW$8:BC$507,2,FALSE())
)</f>
        <v/>
      </c>
      <c r="BF186" s="97" t="str">
        <f aca="false">IF(AU186&gt;AT$7,
    "",
    VLOOKUP(AU186,AW$8:BC$507,3,FALSE())
)</f>
        <v/>
      </c>
      <c r="BG186" s="97" t="str">
        <f aca="false">IF(AU186&gt;AT$7,
    "",
    VLOOKUP(AU186,AW$8:BC$507,4,FALSE())
)</f>
        <v/>
      </c>
      <c r="BH186" s="97" t="str">
        <f aca="false">IF(AU186&gt;AT$7,
    "",
    VLOOKUP(AU186,AW$8:BC$507,5,FALSE())
)</f>
        <v/>
      </c>
      <c r="BI186" s="98" t="str">
        <f aca="false">IF(AU186&gt;AT$7,
    "",
    VLOOKUP(AU186,AW$8:BC$507,6,FALSE())
)</f>
        <v/>
      </c>
      <c r="BJ186" s="46"/>
    </row>
    <row r="187" customFormat="false" ht="15.75" hidden="false" customHeight="false" outlineLevel="0" collapsed="false">
      <c r="A187" s="3"/>
      <c r="B187" s="105"/>
      <c r="C187" s="106"/>
      <c r="D187" s="99"/>
      <c r="E187" s="110"/>
      <c r="F187" s="107"/>
      <c r="G187" s="110"/>
      <c r="H187" s="103"/>
      <c r="I187" s="102"/>
      <c r="J187" s="103"/>
      <c r="K187" s="103"/>
      <c r="L187" s="85"/>
      <c r="M187" s="85" t="str">
        <f aca="false">IF(ISBLANK($C187),"",IF(ISBLANK(E187),0,E187))</f>
        <v/>
      </c>
      <c r="N187" s="85" t="str">
        <f aca="false">IF(ISBLANK($C187),"",IF(ISBLANK(F187),0,F187))</f>
        <v/>
      </c>
      <c r="O187" s="86" t="e">
        <f aca="false">IF(AND(NOT(ISBLANK($C187)),NOT($T187),COUNTA($E187:$K187)&gt;0),ISBLANK($F187),FALSE())</f>
        <v>#VALUE!</v>
      </c>
      <c r="P187" s="85" t="str">
        <f aca="false">IF(ISBLANK($C187),"",IF(G187=Constants!$B$9, TRUE(), IF(G187=Constants!$B$10, FALSE(), TRUE())))</f>
        <v/>
      </c>
      <c r="Q187" s="85" t="str">
        <f aca="false">IF(ISBLANK($C187),"",IF(H187=Constants!$B$9, TRUE(), IF(H187=Constants!$B$10, FALSE(), TRUE())))</f>
        <v/>
      </c>
      <c r="R187" s="85" t="str">
        <f aca="false">IF(ISBLANK($C187),"",IF(ISBLANK(I187),Constants!$B$3,I187))</f>
        <v/>
      </c>
      <c r="S187" s="85" t="str">
        <f aca="false">IF(ISBLANK($C187),"",IF(ISBLANK(J187),0,MIN(J187,Constants!$B$6)))</f>
        <v/>
      </c>
      <c r="T187" s="85" t="str">
        <f aca="false">IF(ISBLANK($C187),"",IF(K187=Constants!$B$9, TRUE(), IF(K187=Constants!$B$10, FALSE(),  FALSE())))</f>
        <v/>
      </c>
      <c r="U187" s="85" t="str">
        <f aca="false">IF(ISBLANK($C187),"",AND(R187=Constants!$B$4, S187&lt;Constants!$B$6))</f>
        <v/>
      </c>
      <c r="V187" s="85" t="str">
        <f aca="false">IF(ISBLANK(C187), "", IF(T187, Constants!$B$11, IF(COUNTA(E187:K187)=0, Constants!$B$12, IF(NOT(AND(P187,S187&lt;&gt;0)), Constants!$B$13, IF(O187, Constants!$B$15, Constants!$B$14)))))</f>
        <v/>
      </c>
      <c r="W187" s="85" t="str">
        <f aca="false">IF(OR(ISBLANK($C187), SUMPRODUCT(--(P187:T187&lt;&gt;""))=0), "", IF(V187&lt;&gt;Constants!$B$14, V187, IF(AND(NOT(ISBLANK(J187)),P187,Q187,R187&lt;&gt;Constants!$B$2), Constants!$B$7, IF(AND(P187,OR(NOT(Q187),R187=Constants!$B$2)), Constants!$B$8, "Error"))))</f>
        <v/>
      </c>
      <c r="X187" s="87" t="str">
        <f aca="false">IF(OR(W187=Constants!$B$7,W187=Constants!$B$8), MAX(0, MIN(Constants!$B$6, S187))+IF(AND(R187=Constants!$B$4, NOT(U187)), Constants!$B$5, 0), "")</f>
        <v/>
      </c>
      <c r="Y187" s="85" t="str">
        <f aca="false">IF(ISBLANK($C187),"",IF(AND(ISNUMBER(X187),N187&gt;0),X187/N187, "") )</f>
        <v/>
      </c>
      <c r="Z187" s="85" t="str">
        <f aca="false">IF(AND(NOT(ISBLANK($C187)), W187=Constants!$B$7), Y187, "")</f>
        <v/>
      </c>
      <c r="AA187" s="85" t="str">
        <f aca="false">IF(ISNUMBER(Z187), RANK(Z187,Z$8:Z$507), "")</f>
        <v/>
      </c>
      <c r="AB187" s="85" t="str">
        <f aca="false">IF(AND(NOT(ISBLANK($C187)), W187=Constants!$B$8), Y187, "")</f>
        <v/>
      </c>
      <c r="AC187" s="85" t="str">
        <f aca="false">IF(ISNUMBER(AB187), RANK(AB187,AB$8:AB$507), "")</f>
        <v/>
      </c>
      <c r="AD187" s="85" t="str">
        <f aca="false">IF(ISBLANK($C187),"",IF(V187&lt;&gt;Constants!$B$14, V187, IF(W187=Constants!$B$7, AA187, IF(W187=Constants!$B$8, COUNT($AA$8:$AA$507) + AC187, ""))))</f>
        <v/>
      </c>
      <c r="AE187" s="85" t="str">
        <f aca="false">N187</f>
        <v/>
      </c>
      <c r="AF187" s="85" t="str">
        <f aca="false">IF(ISNUMBER(AE187), RANK(AE187,AE$8:AE$507,1), "")</f>
        <v/>
      </c>
      <c r="AG187" s="88" t="str">
        <f aca="false">IF(ISBLANK(C187), "", ABS(M187-S187))</f>
        <v/>
      </c>
      <c r="AH187" s="85" t="str">
        <f aca="false">IF(ISNUMBER(AG187), RANK(AG187,AG$8:AG$507,1), "")</f>
        <v/>
      </c>
      <c r="AI187" s="85" t="str">
        <f aca="false">IF(ISBLANK(C187),"",IF(V187&lt;&gt;Constants!$B$14, V187, RANK(AD187, AD$8:AD$507, 1)+ SUMPRODUCT(--(AD$8:AD$507=AD187),--(AF187&gt;AF$8:AF$507)) + SUMPRODUCT(--(AD$8:AD$507=AD187),--(AF187=AF$8:AF$507),--(AH187&gt;AH$8:AH$507))))</f>
        <v/>
      </c>
      <c r="AJ187" s="85" t="str">
        <f aca="false">IF(ISBLANK(C187),"",IF(V187&lt;&gt;Constants!$B$14, V187, AD187-AI187))</f>
        <v/>
      </c>
      <c r="AK187" s="89"/>
      <c r="AL187" s="90" t="str">
        <f aca="false">IF(ISBLANK($C187),"",IF($V187&lt;&gt;Constants!$B$14,$V187,X187))</f>
        <v/>
      </c>
      <c r="AM187" s="90" t="str">
        <f aca="false">IF(ISBLANK($C187),"",IF($V187&lt;&gt;Constants!$B$14,$V187,N187))</f>
        <v/>
      </c>
      <c r="AN187" s="91" t="str">
        <f aca="false">IF(ISBLANK(C187),"",IF(V187&lt;&gt;Constants!$B$14, V187, IF(W187=Constants!$B$7,Z187,IF(W187=Constants!$B$8,AB187,""))))</f>
        <v/>
      </c>
      <c r="AO187" s="92" t="str">
        <f aca="false">IF(ISBLANK(C187),"",W187)</f>
        <v/>
      </c>
      <c r="AP187" s="92" t="str">
        <f aca="false">IF(ISBLANK(C187),"",AJ187)</f>
        <v/>
      </c>
      <c r="AQ187" s="92" t="str">
        <f aca="false">IF(ISBLANK(C187),"",AI187)</f>
        <v/>
      </c>
      <c r="AR187" s="93" t="str">
        <f aca="false">IF(ISBLANK(C187),
  "",
IF(AQ187=Constants!$B$11,COUNTA($C$8:$C$507)+2,IF(AQ187=Constants!$B$12,COUNTA($C$8:$C$507)+1,IF(AQ187=Constants!$B$13,COUNTA($C$8:$C$507),AQ187))))</f>
        <v/>
      </c>
      <c r="AS187" s="3"/>
      <c r="AT187" s="94" t="n">
        <f aca="false">IF(OR(ISNUMBER(AQ187),AQ187="DQ",AQ187="P",AQ187="NS"),
    1,
    0
)</f>
        <v>0</v>
      </c>
      <c r="AU187" s="94" t="n">
        <v>180</v>
      </c>
      <c r="AV187" s="94" t="str">
        <f aca="false">IF(ISBLANK($C187),
    "",
   IF(ISNUMBER(AR187),AR187+ROW($B187)/1000,"")
)</f>
        <v/>
      </c>
      <c r="AW187" s="94" t="str">
        <f aca="false">IF(ISNUMBER(AV187), RANK(AV187,AV$8:AV$507,1), "")</f>
        <v/>
      </c>
      <c r="AX187" s="94" t="str">
        <f aca="false">IF(ISBLANK($C187),
    "",
    $B187
)</f>
        <v/>
      </c>
      <c r="AY187" s="94" t="str">
        <f aca="false">IF(ISBLANK($C187),
    "",
    $C187
)</f>
        <v/>
      </c>
      <c r="AZ187" s="94" t="str">
        <f aca="false">IF(ISBLANK($C187),
    "",
    $D187
)</f>
        <v/>
      </c>
      <c r="BA187" s="94" t="str">
        <f aca="false">AO187</f>
        <v/>
      </c>
      <c r="BB187" s="95" t="str">
        <f aca="false">AN187</f>
        <v/>
      </c>
      <c r="BC187" s="94" t="str">
        <f aca="false">IF(ISBLANK($C187),
    "",
    AQ187
)</f>
        <v/>
      </c>
      <c r="BD187" s="96" t="str">
        <f aca="false">IF(AU187&gt;AT$7,
    "",
    VLOOKUP(AU187,AW$8:BC$507,7,FALSE())
)</f>
        <v/>
      </c>
      <c r="BE187" s="97" t="str">
        <f aca="false">IF(AU187&gt;AT$7,
    "",
    VLOOKUP(AU187,AW$8:BC$507,2,FALSE())
)</f>
        <v/>
      </c>
      <c r="BF187" s="97" t="str">
        <f aca="false">IF(AU187&gt;AT$7,
    "",
    VLOOKUP(AU187,AW$8:BC$507,3,FALSE())
)</f>
        <v/>
      </c>
      <c r="BG187" s="97" t="str">
        <f aca="false">IF(AU187&gt;AT$7,
    "",
    VLOOKUP(AU187,AW$8:BC$507,4,FALSE())
)</f>
        <v/>
      </c>
      <c r="BH187" s="97" t="str">
        <f aca="false">IF(AU187&gt;AT$7,
    "",
    VLOOKUP(AU187,AW$8:BC$507,5,FALSE())
)</f>
        <v/>
      </c>
      <c r="BI187" s="98" t="str">
        <f aca="false">IF(AU187&gt;AT$7,
    "",
    VLOOKUP(AU187,AW$8:BC$507,6,FALSE())
)</f>
        <v/>
      </c>
      <c r="BJ187" s="46"/>
    </row>
    <row r="188" customFormat="false" ht="15.75" hidden="false" customHeight="false" outlineLevel="0" collapsed="false">
      <c r="A188" s="3"/>
      <c r="B188" s="108"/>
      <c r="C188" s="70"/>
      <c r="D188" s="49"/>
      <c r="E188" s="109"/>
      <c r="F188" s="72"/>
      <c r="G188" s="109"/>
      <c r="H188" s="74"/>
      <c r="I188" s="104"/>
      <c r="J188" s="74"/>
      <c r="K188" s="74"/>
      <c r="L188" s="55"/>
      <c r="M188" s="55" t="str">
        <f aca="false">IF(ISBLANK($C188),"",IF(ISBLANK(E188),0,E188))</f>
        <v/>
      </c>
      <c r="N188" s="55" t="str">
        <f aca="false">IF(ISBLANK($C188),"",IF(ISBLANK(F188),0,F188))</f>
        <v/>
      </c>
      <c r="O188" s="55" t="e">
        <f aca="false">IF(AND(NOT(ISBLANK($C188)),NOT($T188),COUNTA($E188:$K188)&gt;0),ISBLANK($F188),FALSE())</f>
        <v>#VALUE!</v>
      </c>
      <c r="P188" s="55" t="str">
        <f aca="false">IF(ISBLANK($C188),"",IF(G188=Constants!$B$9, TRUE(), IF(G188=Constants!$B$10, FALSE(), TRUE())))</f>
        <v/>
      </c>
      <c r="Q188" s="55" t="str">
        <f aca="false">IF(ISBLANK($C188),"",IF(H188=Constants!$B$9, TRUE(), IF(H188=Constants!$B$10, FALSE(), TRUE())))</f>
        <v/>
      </c>
      <c r="R188" s="55" t="str">
        <f aca="false">IF(ISBLANK($C188),"",IF(ISBLANK(I188),Constants!$B$3,I188))</f>
        <v/>
      </c>
      <c r="S188" s="55" t="str">
        <f aca="false">IF(ISBLANK($C188),"",IF(ISBLANK(J188),0,MIN(J188,Constants!$B$6)))</f>
        <v/>
      </c>
      <c r="T188" s="55" t="str">
        <f aca="false">IF(ISBLANK($C188),"",IF(K188=Constants!$B$9, TRUE(), IF(K188=Constants!$B$10, FALSE(),  FALSE())))</f>
        <v/>
      </c>
      <c r="U188" s="55" t="str">
        <f aca="false">IF(ISBLANK($C188),"",AND(R188=Constants!$B$4, S188&lt;Constants!$B$6))</f>
        <v/>
      </c>
      <c r="V188" s="55" t="str">
        <f aca="false">IF(ISBLANK(C188), "", IF(T188, Constants!$B$11, IF(COUNTA(E188:K188)=0, Constants!$B$12, IF(NOT(AND(P188,S188&lt;&gt;0)), Constants!$B$13, IF(O188, Constants!$B$15, Constants!$B$14)))))</f>
        <v/>
      </c>
      <c r="W188" s="55" t="str">
        <f aca="false">IF(OR(ISBLANK($C188), SUMPRODUCT(--(P188:T188&lt;&gt;""))=0), "", IF(V188&lt;&gt;Constants!$B$14, V188, IF(AND(NOT(ISBLANK(J188)),P188,Q188,R188&lt;&gt;Constants!$B$2), Constants!$B$7, IF(AND(P188,OR(NOT(Q188),R188=Constants!$B$2)), Constants!$B$8, "Error"))))</f>
        <v/>
      </c>
      <c r="X188" s="56" t="str">
        <f aca="false">IF(OR(W188=Constants!$B$7,W188=Constants!$B$8), MAX(0, MIN(Constants!$B$6, S188))+IF(AND(R188=Constants!$B$4, NOT(U188)), Constants!$B$5, 0), "")</f>
        <v/>
      </c>
      <c r="Y188" s="55" t="str">
        <f aca="false">IF(ISBLANK($C188),"",IF(AND(ISNUMBER(X188),N188&gt;0),X188/N188, "") )</f>
        <v/>
      </c>
      <c r="Z188" s="55" t="str">
        <f aca="false">IF(AND(NOT(ISBLANK($C188)), W188=Constants!$B$7), Y188, "")</f>
        <v/>
      </c>
      <c r="AA188" s="55" t="str">
        <f aca="false">IF(ISNUMBER(Z188), RANK(Z188,Z$8:Z$507), "")</f>
        <v/>
      </c>
      <c r="AB188" s="55" t="str">
        <f aca="false">IF(AND(NOT(ISBLANK($C188)), W188=Constants!$B$8), Y188, "")</f>
        <v/>
      </c>
      <c r="AC188" s="55" t="str">
        <f aca="false">IF(ISNUMBER(AB188), RANK(AB188,AB$8:AB$507), "")</f>
        <v/>
      </c>
      <c r="AD188" s="55" t="str">
        <f aca="false">IF(ISBLANK($C188),"",IF(V188&lt;&gt;Constants!$B$14, V188, IF(W188=Constants!$B$7, AA188, IF(W188=Constants!$B$8, COUNT($AA$8:$AA$507) + AC188, ""))))</f>
        <v/>
      </c>
      <c r="AE188" s="55" t="str">
        <f aca="false">N188</f>
        <v/>
      </c>
      <c r="AF188" s="55" t="str">
        <f aca="false">IF(ISNUMBER(AE188), RANK(AE188,AE$8:AE$507,1), "")</f>
        <v/>
      </c>
      <c r="AG188" s="57" t="str">
        <f aca="false">IF(ISBLANK(C188), "", ABS(M188-S188))</f>
        <v/>
      </c>
      <c r="AH188" s="55" t="str">
        <f aca="false">IF(ISNUMBER(AG188), RANK(AG188,AG$8:AG$507,1), "")</f>
        <v/>
      </c>
      <c r="AI188" s="55" t="str">
        <f aca="false">IF(ISBLANK(C188),"",IF(V188&lt;&gt;Constants!$B$14, V188, RANK(AD188, AD$8:AD$507, 1)+ SUMPRODUCT(--(AD$8:AD$507=AD188),--(AF188&gt;AF$8:AF$507)) + SUMPRODUCT(--(AD$8:AD$507=AD188),--(AF188=AF$8:AF$507),--(AH188&gt;AH$8:AH$507))))</f>
        <v/>
      </c>
      <c r="AJ188" s="55" t="str">
        <f aca="false">IF(ISBLANK(C188),"",IF(V188&lt;&gt;Constants!$B$14, V188, AD188-AI188))</f>
        <v/>
      </c>
      <c r="AK188" s="59"/>
      <c r="AL188" s="60" t="str">
        <f aca="false">IF(ISBLANK($C188),"",IF($V188&lt;&gt;Constants!$B$14,$V188,X188))</f>
        <v/>
      </c>
      <c r="AM188" s="60" t="str">
        <f aca="false">IF(ISBLANK($C188),"",IF($V188&lt;&gt;Constants!$B$14,$V188,N188))</f>
        <v/>
      </c>
      <c r="AN188" s="62" t="str">
        <f aca="false">IF(ISBLANK(C188),"",IF(V188&lt;&gt;Constants!$B$14, V188, IF(W188=Constants!$B$7,Z188,IF(W188=Constants!$B$8,AB188,""))))</f>
        <v/>
      </c>
      <c r="AO188" s="63" t="str">
        <f aca="false">IF(ISBLANK(C188),"",W188)</f>
        <v/>
      </c>
      <c r="AP188" s="63" t="str">
        <f aca="false">IF(ISBLANK(C188),"",AJ188)</f>
        <v/>
      </c>
      <c r="AQ188" s="63" t="str">
        <f aca="false">IF(ISBLANK(C188),"",AI188)</f>
        <v/>
      </c>
      <c r="AR188" s="64" t="str">
        <f aca="false">IF(ISBLANK(C188),
  "",
IF(AQ188=Constants!$B$11,COUNTA($C$8:$C$507)+2,IF(AQ188=Constants!$B$12,COUNTA($C$8:$C$507)+1,IF(AQ188=Constants!$B$13,COUNTA($C$8:$C$507),AQ188))))</f>
        <v/>
      </c>
      <c r="AS188" s="3"/>
      <c r="AT188" s="65" t="n">
        <f aca="false">IF(OR(ISNUMBER(AQ188),AQ188="DQ",AQ188="P",AQ188="NS"),
    1,
    0
)</f>
        <v>0</v>
      </c>
      <c r="AU188" s="65" t="n">
        <v>181</v>
      </c>
      <c r="AV188" s="65" t="str">
        <f aca="false">IF(ISBLANK($C188),
    "",
   IF(ISNUMBER(AR188),AR188+ROW($B188)/1000,"")
)</f>
        <v/>
      </c>
      <c r="AW188" s="65" t="str">
        <f aca="false">IF(ISNUMBER(AV188), RANK(AV188,AV$8:AV$507,1), "")</f>
        <v/>
      </c>
      <c r="AX188" s="65" t="str">
        <f aca="false">IF(ISBLANK($C188),
    "",
    $B188
)</f>
        <v/>
      </c>
      <c r="AY188" s="65" t="str">
        <f aca="false">IF(ISBLANK($C188),
    "",
    $C188
)</f>
        <v/>
      </c>
      <c r="AZ188" s="65" t="str">
        <f aca="false">IF(ISBLANK($C188),
    "",
    $D188
)</f>
        <v/>
      </c>
      <c r="BA188" s="65" t="str">
        <f aca="false">AO188</f>
        <v/>
      </c>
      <c r="BB188" s="66" t="str">
        <f aca="false">AN188</f>
        <v/>
      </c>
      <c r="BC188" s="65" t="str">
        <f aca="false">IF(ISBLANK($C188),
    "",
    AQ188
)</f>
        <v/>
      </c>
      <c r="BD188" s="67" t="str">
        <f aca="false">IF(AU188&gt;AT$7,
    "",
    VLOOKUP(AU188,AW$8:BC$507,7,FALSE())
)</f>
        <v/>
      </c>
      <c r="BE188" s="68" t="str">
        <f aca="false">IF(AU188&gt;AT$7,
    "",
    VLOOKUP(AU188,AW$8:BC$507,2,FALSE())
)</f>
        <v/>
      </c>
      <c r="BF188" s="68" t="str">
        <f aca="false">IF(AU188&gt;AT$7,
    "",
    VLOOKUP(AU188,AW$8:BC$507,3,FALSE())
)</f>
        <v/>
      </c>
      <c r="BG188" s="68" t="str">
        <f aca="false">IF(AU188&gt;AT$7,
    "",
    VLOOKUP(AU188,AW$8:BC$507,4,FALSE())
)</f>
        <v/>
      </c>
      <c r="BH188" s="68" t="str">
        <f aca="false">IF(AU188&gt;AT$7,
    "",
    VLOOKUP(AU188,AW$8:BC$507,5,FALSE())
)</f>
        <v/>
      </c>
      <c r="BI188" s="69" t="str">
        <f aca="false">IF(AU188&gt;AT$7,
    "",
    VLOOKUP(AU188,AW$8:BC$507,6,FALSE())
)</f>
        <v/>
      </c>
      <c r="BJ188" s="46"/>
    </row>
    <row r="189" customFormat="false" ht="15.75" hidden="false" customHeight="false" outlineLevel="0" collapsed="false">
      <c r="A189" s="3"/>
      <c r="B189" s="108"/>
      <c r="C189" s="70"/>
      <c r="D189" s="49"/>
      <c r="E189" s="109"/>
      <c r="F189" s="72"/>
      <c r="G189" s="109"/>
      <c r="H189" s="74"/>
      <c r="I189" s="104"/>
      <c r="J189" s="74"/>
      <c r="K189" s="74"/>
      <c r="L189" s="55"/>
      <c r="M189" s="55" t="str">
        <f aca="false">IF(ISBLANK($C189),"",IF(ISBLANK(E189),0,E189))</f>
        <v/>
      </c>
      <c r="N189" s="55" t="str">
        <f aca="false">IF(ISBLANK($C189),"",IF(ISBLANK(F189),0,F189))</f>
        <v/>
      </c>
      <c r="O189" s="55" t="e">
        <f aca="false">IF(AND(NOT(ISBLANK($C189)),NOT($T189),COUNTA($E189:$K189)&gt;0),ISBLANK($F189),FALSE())</f>
        <v>#VALUE!</v>
      </c>
      <c r="P189" s="55" t="str">
        <f aca="false">IF(ISBLANK($C189),"",IF(G189=Constants!$B$9, TRUE(), IF(G189=Constants!$B$10, FALSE(), TRUE())))</f>
        <v/>
      </c>
      <c r="Q189" s="55" t="str">
        <f aca="false">IF(ISBLANK($C189),"",IF(H189=Constants!$B$9, TRUE(), IF(H189=Constants!$B$10, FALSE(), TRUE())))</f>
        <v/>
      </c>
      <c r="R189" s="55" t="str">
        <f aca="false">IF(ISBLANK($C189),"",IF(ISBLANK(I189),Constants!$B$3,I189))</f>
        <v/>
      </c>
      <c r="S189" s="55" t="str">
        <f aca="false">IF(ISBLANK($C189),"",IF(ISBLANK(J189),0,MIN(J189,Constants!$B$6)))</f>
        <v/>
      </c>
      <c r="T189" s="55" t="str">
        <f aca="false">IF(ISBLANK($C189),"",IF(K189=Constants!$B$9, TRUE(), IF(K189=Constants!$B$10, FALSE(),  FALSE())))</f>
        <v/>
      </c>
      <c r="U189" s="55" t="str">
        <f aca="false">IF(ISBLANK($C189),"",AND(R189=Constants!$B$4, S189&lt;Constants!$B$6))</f>
        <v/>
      </c>
      <c r="V189" s="55" t="str">
        <f aca="false">IF(ISBLANK(C189), "", IF(T189, Constants!$B$11, IF(COUNTA(E189:K189)=0, Constants!$B$12, IF(NOT(AND(P189,S189&lt;&gt;0)), Constants!$B$13, IF(O189, Constants!$B$15, Constants!$B$14)))))</f>
        <v/>
      </c>
      <c r="W189" s="55" t="str">
        <f aca="false">IF(OR(ISBLANK($C189), SUMPRODUCT(--(P189:T189&lt;&gt;""))=0), "", IF(V189&lt;&gt;Constants!$B$14, V189, IF(AND(NOT(ISBLANK(J189)),P189,Q189,R189&lt;&gt;Constants!$B$2), Constants!$B$7, IF(AND(P189,OR(NOT(Q189),R189=Constants!$B$2)), Constants!$B$8, "Error"))))</f>
        <v/>
      </c>
      <c r="X189" s="56" t="str">
        <f aca="false">IF(OR(W189=Constants!$B$7,W189=Constants!$B$8), MAX(0, MIN(Constants!$B$6, S189))+IF(AND(R189=Constants!$B$4, NOT(U189)), Constants!$B$5, 0), "")</f>
        <v/>
      </c>
      <c r="Y189" s="55" t="str">
        <f aca="false">IF(ISBLANK($C189),"",IF(AND(ISNUMBER(X189),N189&gt;0),X189/N189, "") )</f>
        <v/>
      </c>
      <c r="Z189" s="55" t="str">
        <f aca="false">IF(AND(NOT(ISBLANK($C189)), W189=Constants!$B$7), Y189, "")</f>
        <v/>
      </c>
      <c r="AA189" s="55" t="str">
        <f aca="false">IF(ISNUMBER(Z189), RANK(Z189,Z$8:Z$507), "")</f>
        <v/>
      </c>
      <c r="AB189" s="55" t="str">
        <f aca="false">IF(AND(NOT(ISBLANK($C189)), W189=Constants!$B$8), Y189, "")</f>
        <v/>
      </c>
      <c r="AC189" s="55" t="str">
        <f aca="false">IF(ISNUMBER(AB189), RANK(AB189,AB$8:AB$507), "")</f>
        <v/>
      </c>
      <c r="AD189" s="55" t="str">
        <f aca="false">IF(ISBLANK($C189),"",IF(V189&lt;&gt;Constants!$B$14, V189, IF(W189=Constants!$B$7, AA189, IF(W189=Constants!$B$8, COUNT($AA$8:$AA$507) + AC189, ""))))</f>
        <v/>
      </c>
      <c r="AE189" s="55" t="str">
        <f aca="false">N189</f>
        <v/>
      </c>
      <c r="AF189" s="55" t="str">
        <f aca="false">IF(ISNUMBER(AE189), RANK(AE189,AE$8:AE$507,1), "")</f>
        <v/>
      </c>
      <c r="AG189" s="57" t="str">
        <f aca="false">IF(ISBLANK(C189), "", ABS(M189-S189))</f>
        <v/>
      </c>
      <c r="AH189" s="55" t="str">
        <f aca="false">IF(ISNUMBER(AG189), RANK(AG189,AG$8:AG$507,1), "")</f>
        <v/>
      </c>
      <c r="AI189" s="55" t="str">
        <f aca="false">IF(ISBLANK(C189),"",IF(V189&lt;&gt;Constants!$B$14, V189, RANK(AD189, AD$8:AD$507, 1)+ SUMPRODUCT(--(AD$8:AD$507=AD189),--(AF189&gt;AF$8:AF$507)) + SUMPRODUCT(--(AD$8:AD$507=AD189),--(AF189=AF$8:AF$507),--(AH189&gt;AH$8:AH$507))))</f>
        <v/>
      </c>
      <c r="AJ189" s="55" t="str">
        <f aca="false">IF(ISBLANK(C189),"",IF(V189&lt;&gt;Constants!$B$14, V189, AD189-AI189))</f>
        <v/>
      </c>
      <c r="AK189" s="59"/>
      <c r="AL189" s="60" t="str">
        <f aca="false">IF(ISBLANK($C189),"",IF($V189&lt;&gt;Constants!$B$14,$V189,X189))</f>
        <v/>
      </c>
      <c r="AM189" s="60" t="str">
        <f aca="false">IF(ISBLANK($C189),"",IF($V189&lt;&gt;Constants!$B$14,$V189,N189))</f>
        <v/>
      </c>
      <c r="AN189" s="62" t="str">
        <f aca="false">IF(ISBLANK(C189),"",IF(V189&lt;&gt;Constants!$B$14, V189, IF(W189=Constants!$B$7,Z189,IF(W189=Constants!$B$8,AB189,""))))</f>
        <v/>
      </c>
      <c r="AO189" s="63" t="str">
        <f aca="false">IF(ISBLANK(C189),"",W189)</f>
        <v/>
      </c>
      <c r="AP189" s="63" t="str">
        <f aca="false">IF(ISBLANK(C189),"",AJ189)</f>
        <v/>
      </c>
      <c r="AQ189" s="63" t="str">
        <f aca="false">IF(ISBLANK(C189),"",AI189)</f>
        <v/>
      </c>
      <c r="AR189" s="64" t="str">
        <f aca="false">IF(ISBLANK(C189),
  "",
IF(AQ189=Constants!$B$11,COUNTA($C$8:$C$507)+2,IF(AQ189=Constants!$B$12,COUNTA($C$8:$C$507)+1,IF(AQ189=Constants!$B$13,COUNTA($C$8:$C$507),AQ189))))</f>
        <v/>
      </c>
      <c r="AS189" s="3"/>
      <c r="AT189" s="65" t="n">
        <f aca="false">IF(OR(ISNUMBER(AQ189),AQ189="DQ",AQ189="P",AQ189="NS"),
    1,
    0
)</f>
        <v>0</v>
      </c>
      <c r="AU189" s="65" t="n">
        <v>182</v>
      </c>
      <c r="AV189" s="65" t="str">
        <f aca="false">IF(ISBLANK($C189),
    "",
   IF(ISNUMBER(AR189),AR189+ROW($B189)/1000,"")
)</f>
        <v/>
      </c>
      <c r="AW189" s="65" t="str">
        <f aca="false">IF(ISNUMBER(AV189), RANK(AV189,AV$8:AV$507,1), "")</f>
        <v/>
      </c>
      <c r="AX189" s="65" t="str">
        <f aca="false">IF(ISBLANK($C189),
    "",
    $B189
)</f>
        <v/>
      </c>
      <c r="AY189" s="65" t="str">
        <f aca="false">IF(ISBLANK($C189),
    "",
    $C189
)</f>
        <v/>
      </c>
      <c r="AZ189" s="65" t="str">
        <f aca="false">IF(ISBLANK($C189),
    "",
    $D189
)</f>
        <v/>
      </c>
      <c r="BA189" s="65" t="str">
        <f aca="false">AO189</f>
        <v/>
      </c>
      <c r="BB189" s="66" t="str">
        <f aca="false">AN189</f>
        <v/>
      </c>
      <c r="BC189" s="65" t="str">
        <f aca="false">IF(ISBLANK($C189),
    "",
    AQ189
)</f>
        <v/>
      </c>
      <c r="BD189" s="67" t="str">
        <f aca="false">IF(AU189&gt;AT$7,
    "",
    VLOOKUP(AU189,AW$8:BC$507,7,FALSE())
)</f>
        <v/>
      </c>
      <c r="BE189" s="68" t="str">
        <f aca="false">IF(AU189&gt;AT$7,
    "",
    VLOOKUP(AU189,AW$8:BC$507,2,FALSE())
)</f>
        <v/>
      </c>
      <c r="BF189" s="68" t="str">
        <f aca="false">IF(AU189&gt;AT$7,
    "",
    VLOOKUP(AU189,AW$8:BC$507,3,FALSE())
)</f>
        <v/>
      </c>
      <c r="BG189" s="68" t="str">
        <f aca="false">IF(AU189&gt;AT$7,
    "",
    VLOOKUP(AU189,AW$8:BC$507,4,FALSE())
)</f>
        <v/>
      </c>
      <c r="BH189" s="68" t="str">
        <f aca="false">IF(AU189&gt;AT$7,
    "",
    VLOOKUP(AU189,AW$8:BC$507,5,FALSE())
)</f>
        <v/>
      </c>
      <c r="BI189" s="69" t="str">
        <f aca="false">IF(AU189&gt;AT$7,
    "",
    VLOOKUP(AU189,AW$8:BC$507,6,FALSE())
)</f>
        <v/>
      </c>
      <c r="BJ189" s="46"/>
    </row>
    <row r="190" customFormat="false" ht="15.75" hidden="false" customHeight="false" outlineLevel="0" collapsed="false">
      <c r="A190" s="3"/>
      <c r="B190" s="108"/>
      <c r="C190" s="70"/>
      <c r="D190" s="49"/>
      <c r="E190" s="109"/>
      <c r="F190" s="72"/>
      <c r="G190" s="109"/>
      <c r="H190" s="74"/>
      <c r="I190" s="104"/>
      <c r="J190" s="74"/>
      <c r="K190" s="74"/>
      <c r="L190" s="55"/>
      <c r="M190" s="55" t="str">
        <f aca="false">IF(ISBLANK($C190),"",IF(ISBLANK(E190),0,E190))</f>
        <v/>
      </c>
      <c r="N190" s="55" t="str">
        <f aca="false">IF(ISBLANK($C190),"",IF(ISBLANK(F190),0,F190))</f>
        <v/>
      </c>
      <c r="O190" s="55" t="e">
        <f aca="false">IF(AND(NOT(ISBLANK($C190)),NOT($T190),COUNTA($E190:$K190)&gt;0),ISBLANK($F190),FALSE())</f>
        <v>#VALUE!</v>
      </c>
      <c r="P190" s="55" t="str">
        <f aca="false">IF(ISBLANK($C190),"",IF(G190=Constants!$B$9, TRUE(), IF(G190=Constants!$B$10, FALSE(), TRUE())))</f>
        <v/>
      </c>
      <c r="Q190" s="55" t="str">
        <f aca="false">IF(ISBLANK($C190),"",IF(H190=Constants!$B$9, TRUE(), IF(H190=Constants!$B$10, FALSE(), TRUE())))</f>
        <v/>
      </c>
      <c r="R190" s="55" t="str">
        <f aca="false">IF(ISBLANK($C190),"",IF(ISBLANK(I190),Constants!$B$3,I190))</f>
        <v/>
      </c>
      <c r="S190" s="55" t="str">
        <f aca="false">IF(ISBLANK($C190),"",IF(ISBLANK(J190),0,MIN(J190,Constants!$B$6)))</f>
        <v/>
      </c>
      <c r="T190" s="55" t="str">
        <f aca="false">IF(ISBLANK($C190),"",IF(K190=Constants!$B$9, TRUE(), IF(K190=Constants!$B$10, FALSE(),  FALSE())))</f>
        <v/>
      </c>
      <c r="U190" s="55" t="str">
        <f aca="false">IF(ISBLANK($C190),"",AND(R190=Constants!$B$4, S190&lt;Constants!$B$6))</f>
        <v/>
      </c>
      <c r="V190" s="55" t="str">
        <f aca="false">IF(ISBLANK(C190), "", IF(T190, Constants!$B$11, IF(COUNTA(E190:K190)=0, Constants!$B$12, IF(NOT(AND(P190,S190&lt;&gt;0)), Constants!$B$13, IF(O190, Constants!$B$15, Constants!$B$14)))))</f>
        <v/>
      </c>
      <c r="W190" s="55" t="str">
        <f aca="false">IF(OR(ISBLANK($C190), SUMPRODUCT(--(P190:T190&lt;&gt;""))=0), "", IF(V190&lt;&gt;Constants!$B$14, V190, IF(AND(NOT(ISBLANK(J190)),P190,Q190,R190&lt;&gt;Constants!$B$2), Constants!$B$7, IF(AND(P190,OR(NOT(Q190),R190=Constants!$B$2)), Constants!$B$8, "Error"))))</f>
        <v/>
      </c>
      <c r="X190" s="56" t="str">
        <f aca="false">IF(OR(W190=Constants!$B$7,W190=Constants!$B$8), MAX(0, MIN(Constants!$B$6, S190))+IF(AND(R190=Constants!$B$4, NOT(U190)), Constants!$B$5, 0), "")</f>
        <v/>
      </c>
      <c r="Y190" s="55" t="str">
        <f aca="false">IF(ISBLANK($C190),"",IF(AND(ISNUMBER(X190),N190&gt;0),X190/N190, "") )</f>
        <v/>
      </c>
      <c r="Z190" s="55" t="str">
        <f aca="false">IF(AND(NOT(ISBLANK($C190)), W190=Constants!$B$7), Y190, "")</f>
        <v/>
      </c>
      <c r="AA190" s="55" t="str">
        <f aca="false">IF(ISNUMBER(Z190), RANK(Z190,Z$8:Z$507), "")</f>
        <v/>
      </c>
      <c r="AB190" s="55" t="str">
        <f aca="false">IF(AND(NOT(ISBLANK($C190)), W190=Constants!$B$8), Y190, "")</f>
        <v/>
      </c>
      <c r="AC190" s="55" t="str">
        <f aca="false">IF(ISNUMBER(AB190), RANK(AB190,AB$8:AB$507), "")</f>
        <v/>
      </c>
      <c r="AD190" s="55" t="str">
        <f aca="false">IF(ISBLANK($C190),"",IF(V190&lt;&gt;Constants!$B$14, V190, IF(W190=Constants!$B$7, AA190, IF(W190=Constants!$B$8, COUNT($AA$8:$AA$507) + AC190, ""))))</f>
        <v/>
      </c>
      <c r="AE190" s="55" t="str">
        <f aca="false">N190</f>
        <v/>
      </c>
      <c r="AF190" s="55" t="str">
        <f aca="false">IF(ISNUMBER(AE190), RANK(AE190,AE$8:AE$507,1), "")</f>
        <v/>
      </c>
      <c r="AG190" s="57" t="str">
        <f aca="false">IF(ISBLANK(C190), "", ABS(M190-S190))</f>
        <v/>
      </c>
      <c r="AH190" s="55" t="str">
        <f aca="false">IF(ISNUMBER(AG190), RANK(AG190,AG$8:AG$507,1), "")</f>
        <v/>
      </c>
      <c r="AI190" s="55" t="str">
        <f aca="false">IF(ISBLANK(C190),"",IF(V190&lt;&gt;Constants!$B$14, V190, RANK(AD190, AD$8:AD$507, 1)+ SUMPRODUCT(--(AD$8:AD$507=AD190),--(AF190&gt;AF$8:AF$507)) + SUMPRODUCT(--(AD$8:AD$507=AD190),--(AF190=AF$8:AF$507),--(AH190&gt;AH$8:AH$507))))</f>
        <v/>
      </c>
      <c r="AJ190" s="55" t="str">
        <f aca="false">IF(ISBLANK(C190),"",IF(V190&lt;&gt;Constants!$B$14, V190, AD190-AI190))</f>
        <v/>
      </c>
      <c r="AK190" s="59"/>
      <c r="AL190" s="60" t="str">
        <f aca="false">IF(ISBLANK($C190),"",IF($V190&lt;&gt;Constants!$B$14,$V190,X190))</f>
        <v/>
      </c>
      <c r="AM190" s="60" t="str">
        <f aca="false">IF(ISBLANK($C190),"",IF($V190&lt;&gt;Constants!$B$14,$V190,N190))</f>
        <v/>
      </c>
      <c r="AN190" s="62" t="str">
        <f aca="false">IF(ISBLANK(C190),"",IF(V190&lt;&gt;Constants!$B$14, V190, IF(W190=Constants!$B$7,Z190,IF(W190=Constants!$B$8,AB190,""))))</f>
        <v/>
      </c>
      <c r="AO190" s="63" t="str">
        <f aca="false">IF(ISBLANK(C190),"",W190)</f>
        <v/>
      </c>
      <c r="AP190" s="63" t="str">
        <f aca="false">IF(ISBLANK(C190),"",AJ190)</f>
        <v/>
      </c>
      <c r="AQ190" s="63" t="str">
        <f aca="false">IF(ISBLANK(C190),"",AI190)</f>
        <v/>
      </c>
      <c r="AR190" s="64" t="str">
        <f aca="false">IF(ISBLANK(C190),
  "",
IF(AQ190=Constants!$B$11,COUNTA($C$8:$C$507)+2,IF(AQ190=Constants!$B$12,COUNTA($C$8:$C$507)+1,IF(AQ190=Constants!$B$13,COUNTA($C$8:$C$507),AQ190))))</f>
        <v/>
      </c>
      <c r="AS190" s="3"/>
      <c r="AT190" s="65" t="n">
        <f aca="false">IF(OR(ISNUMBER(AQ190),AQ190="DQ",AQ190="P",AQ190="NS"),
    1,
    0
)</f>
        <v>0</v>
      </c>
      <c r="AU190" s="65" t="n">
        <v>183</v>
      </c>
      <c r="AV190" s="65" t="str">
        <f aca="false">IF(ISBLANK($C190),
    "",
   IF(ISNUMBER(AR190),AR190+ROW($B190)/1000,"")
)</f>
        <v/>
      </c>
      <c r="AW190" s="65" t="str">
        <f aca="false">IF(ISNUMBER(AV190), RANK(AV190,AV$8:AV$507,1), "")</f>
        <v/>
      </c>
      <c r="AX190" s="65" t="str">
        <f aca="false">IF(ISBLANK($C190),
    "",
    $B190
)</f>
        <v/>
      </c>
      <c r="AY190" s="65" t="str">
        <f aca="false">IF(ISBLANK($C190),
    "",
    $C190
)</f>
        <v/>
      </c>
      <c r="AZ190" s="65" t="str">
        <f aca="false">IF(ISBLANK($C190),
    "",
    $D190
)</f>
        <v/>
      </c>
      <c r="BA190" s="65" t="str">
        <f aca="false">AO190</f>
        <v/>
      </c>
      <c r="BB190" s="66" t="str">
        <f aca="false">AN190</f>
        <v/>
      </c>
      <c r="BC190" s="65" t="str">
        <f aca="false">IF(ISBLANK($C190),
    "",
    AQ190
)</f>
        <v/>
      </c>
      <c r="BD190" s="67" t="str">
        <f aca="false">IF(AU190&gt;AT$7,
    "",
    VLOOKUP(AU190,AW$8:BC$507,7,FALSE())
)</f>
        <v/>
      </c>
      <c r="BE190" s="68" t="str">
        <f aca="false">IF(AU190&gt;AT$7,
    "",
    VLOOKUP(AU190,AW$8:BC$507,2,FALSE())
)</f>
        <v/>
      </c>
      <c r="BF190" s="68" t="str">
        <f aca="false">IF(AU190&gt;AT$7,
    "",
    VLOOKUP(AU190,AW$8:BC$507,3,FALSE())
)</f>
        <v/>
      </c>
      <c r="BG190" s="68" t="str">
        <f aca="false">IF(AU190&gt;AT$7,
    "",
    VLOOKUP(AU190,AW$8:BC$507,4,FALSE())
)</f>
        <v/>
      </c>
      <c r="BH190" s="68" t="str">
        <f aca="false">IF(AU190&gt;AT$7,
    "",
    VLOOKUP(AU190,AW$8:BC$507,5,FALSE())
)</f>
        <v/>
      </c>
      <c r="BI190" s="69" t="str">
        <f aca="false">IF(AU190&gt;AT$7,
    "",
    VLOOKUP(AU190,AW$8:BC$507,6,FALSE())
)</f>
        <v/>
      </c>
      <c r="BJ190" s="46"/>
    </row>
    <row r="191" customFormat="false" ht="15.75" hidden="false" customHeight="false" outlineLevel="0" collapsed="false">
      <c r="A191" s="3"/>
      <c r="B191" s="105"/>
      <c r="C191" s="106"/>
      <c r="D191" s="99"/>
      <c r="E191" s="110"/>
      <c r="F191" s="107"/>
      <c r="G191" s="110"/>
      <c r="H191" s="103"/>
      <c r="I191" s="102"/>
      <c r="J191" s="103"/>
      <c r="K191" s="103"/>
      <c r="L191" s="85"/>
      <c r="M191" s="85" t="str">
        <f aca="false">IF(ISBLANK($C191),"",IF(ISBLANK(E191),0,E191))</f>
        <v/>
      </c>
      <c r="N191" s="85" t="str">
        <f aca="false">IF(ISBLANK($C191),"",IF(ISBLANK(F191),0,F191))</f>
        <v/>
      </c>
      <c r="O191" s="86" t="e">
        <f aca="false">IF(AND(NOT(ISBLANK($C191)),NOT($T191),COUNTA($E191:$K191)&gt;0),ISBLANK($F191),FALSE())</f>
        <v>#VALUE!</v>
      </c>
      <c r="P191" s="85" t="str">
        <f aca="false">IF(ISBLANK($C191),"",IF(G191=Constants!$B$9, TRUE(), IF(G191=Constants!$B$10, FALSE(), TRUE())))</f>
        <v/>
      </c>
      <c r="Q191" s="85" t="str">
        <f aca="false">IF(ISBLANK($C191),"",IF(H191=Constants!$B$9, TRUE(), IF(H191=Constants!$B$10, FALSE(), TRUE())))</f>
        <v/>
      </c>
      <c r="R191" s="85" t="str">
        <f aca="false">IF(ISBLANK($C191),"",IF(ISBLANK(I191),Constants!$B$3,I191))</f>
        <v/>
      </c>
      <c r="S191" s="85" t="str">
        <f aca="false">IF(ISBLANK($C191),"",IF(ISBLANK(J191),0,MIN(J191,Constants!$B$6)))</f>
        <v/>
      </c>
      <c r="T191" s="85" t="str">
        <f aca="false">IF(ISBLANK($C191),"",IF(K191=Constants!$B$9, TRUE(), IF(K191=Constants!$B$10, FALSE(),  FALSE())))</f>
        <v/>
      </c>
      <c r="U191" s="85" t="str">
        <f aca="false">IF(ISBLANK($C191),"",AND(R191=Constants!$B$4, S191&lt;Constants!$B$6))</f>
        <v/>
      </c>
      <c r="V191" s="85" t="str">
        <f aca="false">IF(ISBLANK(C191), "", IF(T191, Constants!$B$11, IF(COUNTA(E191:K191)=0, Constants!$B$12, IF(NOT(AND(P191,S191&lt;&gt;0)), Constants!$B$13, IF(O191, Constants!$B$15, Constants!$B$14)))))</f>
        <v/>
      </c>
      <c r="W191" s="85" t="str">
        <f aca="false">IF(OR(ISBLANK($C191), SUMPRODUCT(--(P191:T191&lt;&gt;""))=0), "", IF(V191&lt;&gt;Constants!$B$14, V191, IF(AND(NOT(ISBLANK(J191)),P191,Q191,R191&lt;&gt;Constants!$B$2), Constants!$B$7, IF(AND(P191,OR(NOT(Q191),R191=Constants!$B$2)), Constants!$B$8, "Error"))))</f>
        <v/>
      </c>
      <c r="X191" s="87" t="str">
        <f aca="false">IF(OR(W191=Constants!$B$7,W191=Constants!$B$8), MAX(0, MIN(Constants!$B$6, S191))+IF(AND(R191=Constants!$B$4, NOT(U191)), Constants!$B$5, 0), "")</f>
        <v/>
      </c>
      <c r="Y191" s="85" t="str">
        <f aca="false">IF(ISBLANK($C191),"",IF(AND(ISNUMBER(X191),N191&gt;0),X191/N191, "") )</f>
        <v/>
      </c>
      <c r="Z191" s="85" t="str">
        <f aca="false">IF(AND(NOT(ISBLANK($C191)), W191=Constants!$B$7), Y191, "")</f>
        <v/>
      </c>
      <c r="AA191" s="85" t="str">
        <f aca="false">IF(ISNUMBER(Z191), RANK(Z191,Z$8:Z$507), "")</f>
        <v/>
      </c>
      <c r="AB191" s="85" t="str">
        <f aca="false">IF(AND(NOT(ISBLANK($C191)), W191=Constants!$B$8), Y191, "")</f>
        <v/>
      </c>
      <c r="AC191" s="85" t="str">
        <f aca="false">IF(ISNUMBER(AB191), RANK(AB191,AB$8:AB$507), "")</f>
        <v/>
      </c>
      <c r="AD191" s="85" t="str">
        <f aca="false">IF(ISBLANK($C191),"",IF(V191&lt;&gt;Constants!$B$14, V191, IF(W191=Constants!$B$7, AA191, IF(W191=Constants!$B$8, COUNT($AA$8:$AA$507) + AC191, ""))))</f>
        <v/>
      </c>
      <c r="AE191" s="85" t="str">
        <f aca="false">N191</f>
        <v/>
      </c>
      <c r="AF191" s="85" t="str">
        <f aca="false">IF(ISNUMBER(AE191), RANK(AE191,AE$8:AE$507,1), "")</f>
        <v/>
      </c>
      <c r="AG191" s="88" t="str">
        <f aca="false">IF(ISBLANK(C191), "", ABS(M191-S191))</f>
        <v/>
      </c>
      <c r="AH191" s="85" t="str">
        <f aca="false">IF(ISNUMBER(AG191), RANK(AG191,AG$8:AG$507,1), "")</f>
        <v/>
      </c>
      <c r="AI191" s="85" t="str">
        <f aca="false">IF(ISBLANK(C191),"",IF(V191&lt;&gt;Constants!$B$14, V191, RANK(AD191, AD$8:AD$507, 1)+ SUMPRODUCT(--(AD$8:AD$507=AD191),--(AF191&gt;AF$8:AF$507)) + SUMPRODUCT(--(AD$8:AD$507=AD191),--(AF191=AF$8:AF$507),--(AH191&gt;AH$8:AH$507))))</f>
        <v/>
      </c>
      <c r="AJ191" s="85" t="str">
        <f aca="false">IF(ISBLANK(C191),"",IF(V191&lt;&gt;Constants!$B$14, V191, AD191-AI191))</f>
        <v/>
      </c>
      <c r="AK191" s="89"/>
      <c r="AL191" s="90" t="str">
        <f aca="false">IF(ISBLANK($C191),"",IF($V191&lt;&gt;Constants!$B$14,$V191,X191))</f>
        <v/>
      </c>
      <c r="AM191" s="90" t="str">
        <f aca="false">IF(ISBLANK($C191),"",IF($V191&lt;&gt;Constants!$B$14,$V191,N191))</f>
        <v/>
      </c>
      <c r="AN191" s="91" t="str">
        <f aca="false">IF(ISBLANK(C191),"",IF(V191&lt;&gt;Constants!$B$14, V191, IF(W191=Constants!$B$7,Z191,IF(W191=Constants!$B$8,AB191,""))))</f>
        <v/>
      </c>
      <c r="AO191" s="92" t="str">
        <f aca="false">IF(ISBLANK(C191),"",W191)</f>
        <v/>
      </c>
      <c r="AP191" s="92" t="str">
        <f aca="false">IF(ISBLANK(C191),"",AJ191)</f>
        <v/>
      </c>
      <c r="AQ191" s="92" t="str">
        <f aca="false">IF(ISBLANK(C191),"",AI191)</f>
        <v/>
      </c>
      <c r="AR191" s="93" t="str">
        <f aca="false">IF(ISBLANK(C191),
  "",
IF(AQ191=Constants!$B$11,COUNTA($C$8:$C$507)+2,IF(AQ191=Constants!$B$12,COUNTA($C$8:$C$507)+1,IF(AQ191=Constants!$B$13,COUNTA($C$8:$C$507),AQ191))))</f>
        <v/>
      </c>
      <c r="AS191" s="3"/>
      <c r="AT191" s="94" t="n">
        <f aca="false">IF(OR(ISNUMBER(AQ191),AQ191="DQ",AQ191="P",AQ191="NS"),
    1,
    0
)</f>
        <v>0</v>
      </c>
      <c r="AU191" s="94" t="n">
        <v>184</v>
      </c>
      <c r="AV191" s="94" t="str">
        <f aca="false">IF(ISBLANK($C191),
    "",
   IF(ISNUMBER(AR191),AR191+ROW($B191)/1000,"")
)</f>
        <v/>
      </c>
      <c r="AW191" s="94" t="str">
        <f aca="false">IF(ISNUMBER(AV191), RANK(AV191,AV$8:AV$507,1), "")</f>
        <v/>
      </c>
      <c r="AX191" s="94" t="str">
        <f aca="false">IF(ISBLANK($C191),
    "",
    $B191
)</f>
        <v/>
      </c>
      <c r="AY191" s="94" t="str">
        <f aca="false">IF(ISBLANK($C191),
    "",
    $C191
)</f>
        <v/>
      </c>
      <c r="AZ191" s="94" t="str">
        <f aca="false">IF(ISBLANK($C191),
    "",
    $D191
)</f>
        <v/>
      </c>
      <c r="BA191" s="94" t="str">
        <f aca="false">AO191</f>
        <v/>
      </c>
      <c r="BB191" s="95" t="str">
        <f aca="false">AN191</f>
        <v/>
      </c>
      <c r="BC191" s="94" t="str">
        <f aca="false">IF(ISBLANK($C191),
    "",
    AQ191
)</f>
        <v/>
      </c>
      <c r="BD191" s="96" t="str">
        <f aca="false">IF(AU191&gt;AT$7,
    "",
    VLOOKUP(AU191,AW$8:BC$507,7,FALSE())
)</f>
        <v/>
      </c>
      <c r="BE191" s="97" t="str">
        <f aca="false">IF(AU191&gt;AT$7,
    "",
    VLOOKUP(AU191,AW$8:BC$507,2,FALSE())
)</f>
        <v/>
      </c>
      <c r="BF191" s="97" t="str">
        <f aca="false">IF(AU191&gt;AT$7,
    "",
    VLOOKUP(AU191,AW$8:BC$507,3,FALSE())
)</f>
        <v/>
      </c>
      <c r="BG191" s="97" t="str">
        <f aca="false">IF(AU191&gt;AT$7,
    "",
    VLOOKUP(AU191,AW$8:BC$507,4,FALSE())
)</f>
        <v/>
      </c>
      <c r="BH191" s="97" t="str">
        <f aca="false">IF(AU191&gt;AT$7,
    "",
    VLOOKUP(AU191,AW$8:BC$507,5,FALSE())
)</f>
        <v/>
      </c>
      <c r="BI191" s="98" t="str">
        <f aca="false">IF(AU191&gt;AT$7,
    "",
    VLOOKUP(AU191,AW$8:BC$507,6,FALSE())
)</f>
        <v/>
      </c>
      <c r="BJ191" s="46"/>
    </row>
    <row r="192" customFormat="false" ht="15.75" hidden="false" customHeight="false" outlineLevel="0" collapsed="false">
      <c r="A192" s="3"/>
      <c r="B192" s="105"/>
      <c r="C192" s="106"/>
      <c r="D192" s="99"/>
      <c r="E192" s="110"/>
      <c r="F192" s="107"/>
      <c r="G192" s="110"/>
      <c r="H192" s="103"/>
      <c r="I192" s="102"/>
      <c r="J192" s="103"/>
      <c r="K192" s="103"/>
      <c r="L192" s="85"/>
      <c r="M192" s="85" t="str">
        <f aca="false">IF(ISBLANK($C192),"",IF(ISBLANK(E192),0,E192))</f>
        <v/>
      </c>
      <c r="N192" s="85" t="str">
        <f aca="false">IF(ISBLANK($C192),"",IF(ISBLANK(F192),0,F192))</f>
        <v/>
      </c>
      <c r="O192" s="86" t="e">
        <f aca="false">IF(AND(NOT(ISBLANK($C192)),NOT($T192),COUNTA($E192:$K192)&gt;0),ISBLANK($F192),FALSE())</f>
        <v>#VALUE!</v>
      </c>
      <c r="P192" s="85" t="str">
        <f aca="false">IF(ISBLANK($C192),"",IF(G192=Constants!$B$9, TRUE(), IF(G192=Constants!$B$10, FALSE(), TRUE())))</f>
        <v/>
      </c>
      <c r="Q192" s="85" t="str">
        <f aca="false">IF(ISBLANK($C192),"",IF(H192=Constants!$B$9, TRUE(), IF(H192=Constants!$B$10, FALSE(), TRUE())))</f>
        <v/>
      </c>
      <c r="R192" s="85" t="str">
        <f aca="false">IF(ISBLANK($C192),"",IF(ISBLANK(I192),Constants!$B$3,I192))</f>
        <v/>
      </c>
      <c r="S192" s="85" t="str">
        <f aca="false">IF(ISBLANK($C192),"",IF(ISBLANK(J192),0,MIN(J192,Constants!$B$6)))</f>
        <v/>
      </c>
      <c r="T192" s="85" t="str">
        <f aca="false">IF(ISBLANK($C192),"",IF(K192=Constants!$B$9, TRUE(), IF(K192=Constants!$B$10, FALSE(),  FALSE())))</f>
        <v/>
      </c>
      <c r="U192" s="85" t="str">
        <f aca="false">IF(ISBLANK($C192),"",AND(R192=Constants!$B$4, S192&lt;Constants!$B$6))</f>
        <v/>
      </c>
      <c r="V192" s="85" t="str">
        <f aca="false">IF(ISBLANK(C192), "", IF(T192, Constants!$B$11, IF(COUNTA(E192:K192)=0, Constants!$B$12, IF(NOT(AND(P192,S192&lt;&gt;0)), Constants!$B$13, IF(O192, Constants!$B$15, Constants!$B$14)))))</f>
        <v/>
      </c>
      <c r="W192" s="85" t="str">
        <f aca="false">IF(OR(ISBLANK($C192), SUMPRODUCT(--(P192:T192&lt;&gt;""))=0), "", IF(V192&lt;&gt;Constants!$B$14, V192, IF(AND(NOT(ISBLANK(J192)),P192,Q192,R192&lt;&gt;Constants!$B$2), Constants!$B$7, IF(AND(P192,OR(NOT(Q192),R192=Constants!$B$2)), Constants!$B$8, "Error"))))</f>
        <v/>
      </c>
      <c r="X192" s="87" t="str">
        <f aca="false">IF(OR(W192=Constants!$B$7,W192=Constants!$B$8), MAX(0, MIN(Constants!$B$6, S192))+IF(AND(R192=Constants!$B$4, NOT(U192)), Constants!$B$5, 0), "")</f>
        <v/>
      </c>
      <c r="Y192" s="85" t="str">
        <f aca="false">IF(ISBLANK($C192),"",IF(AND(ISNUMBER(X192),N192&gt;0),X192/N192, "") )</f>
        <v/>
      </c>
      <c r="Z192" s="85" t="str">
        <f aca="false">IF(AND(NOT(ISBLANK($C192)), W192=Constants!$B$7), Y192, "")</f>
        <v/>
      </c>
      <c r="AA192" s="85" t="str">
        <f aca="false">IF(ISNUMBER(Z192), RANK(Z192,Z$8:Z$507), "")</f>
        <v/>
      </c>
      <c r="AB192" s="85" t="str">
        <f aca="false">IF(AND(NOT(ISBLANK($C192)), W192=Constants!$B$8), Y192, "")</f>
        <v/>
      </c>
      <c r="AC192" s="85" t="str">
        <f aca="false">IF(ISNUMBER(AB192), RANK(AB192,AB$8:AB$507), "")</f>
        <v/>
      </c>
      <c r="AD192" s="85" t="str">
        <f aca="false">IF(ISBLANK($C192),"",IF(V192&lt;&gt;Constants!$B$14, V192, IF(W192=Constants!$B$7, AA192, IF(W192=Constants!$B$8, COUNT($AA$8:$AA$507) + AC192, ""))))</f>
        <v/>
      </c>
      <c r="AE192" s="85" t="str">
        <f aca="false">N192</f>
        <v/>
      </c>
      <c r="AF192" s="85" t="str">
        <f aca="false">IF(ISNUMBER(AE192), RANK(AE192,AE$8:AE$507,1), "")</f>
        <v/>
      </c>
      <c r="AG192" s="88" t="str">
        <f aca="false">IF(ISBLANK(C192), "", ABS(M192-S192))</f>
        <v/>
      </c>
      <c r="AH192" s="85" t="str">
        <f aca="false">IF(ISNUMBER(AG192), RANK(AG192,AG$8:AG$507,1), "")</f>
        <v/>
      </c>
      <c r="AI192" s="85" t="str">
        <f aca="false">IF(ISBLANK(C192),"",IF(V192&lt;&gt;Constants!$B$14, V192, RANK(AD192, AD$8:AD$507, 1)+ SUMPRODUCT(--(AD$8:AD$507=AD192),--(AF192&gt;AF$8:AF$507)) + SUMPRODUCT(--(AD$8:AD$507=AD192),--(AF192=AF$8:AF$507),--(AH192&gt;AH$8:AH$507))))</f>
        <v/>
      </c>
      <c r="AJ192" s="85" t="str">
        <f aca="false">IF(ISBLANK(C192),"",IF(V192&lt;&gt;Constants!$B$14, V192, AD192-AI192))</f>
        <v/>
      </c>
      <c r="AK192" s="89"/>
      <c r="AL192" s="90" t="str">
        <f aca="false">IF(ISBLANK($C192),"",IF($V192&lt;&gt;Constants!$B$14,$V192,X192))</f>
        <v/>
      </c>
      <c r="AM192" s="90" t="str">
        <f aca="false">IF(ISBLANK($C192),"",IF($V192&lt;&gt;Constants!$B$14,$V192,N192))</f>
        <v/>
      </c>
      <c r="AN192" s="91" t="str">
        <f aca="false">IF(ISBLANK(C192),"",IF(V192&lt;&gt;Constants!$B$14, V192, IF(W192=Constants!$B$7,Z192,IF(W192=Constants!$B$8,AB192,""))))</f>
        <v/>
      </c>
      <c r="AO192" s="92" t="str">
        <f aca="false">IF(ISBLANK(C192),"",W192)</f>
        <v/>
      </c>
      <c r="AP192" s="92" t="str">
        <f aca="false">IF(ISBLANK(C192),"",AJ192)</f>
        <v/>
      </c>
      <c r="AQ192" s="92" t="str">
        <f aca="false">IF(ISBLANK(C192),"",AI192)</f>
        <v/>
      </c>
      <c r="AR192" s="93" t="str">
        <f aca="false">IF(ISBLANK(C192),
  "",
IF(AQ192=Constants!$B$11,COUNTA($C$8:$C$507)+2,IF(AQ192=Constants!$B$12,COUNTA($C$8:$C$507)+1,IF(AQ192=Constants!$B$13,COUNTA($C$8:$C$507),AQ192))))</f>
        <v/>
      </c>
      <c r="AS192" s="3"/>
      <c r="AT192" s="94" t="n">
        <f aca="false">IF(OR(ISNUMBER(AQ192),AQ192="DQ",AQ192="P",AQ192="NS"),
    1,
    0
)</f>
        <v>0</v>
      </c>
      <c r="AU192" s="94" t="n">
        <v>185</v>
      </c>
      <c r="AV192" s="94" t="str">
        <f aca="false">IF(ISBLANK($C192),
    "",
   IF(ISNUMBER(AR192),AR192+ROW($B192)/1000,"")
)</f>
        <v/>
      </c>
      <c r="AW192" s="94" t="str">
        <f aca="false">IF(ISNUMBER(AV192), RANK(AV192,AV$8:AV$507,1), "")</f>
        <v/>
      </c>
      <c r="AX192" s="94" t="str">
        <f aca="false">IF(ISBLANK($C192),
    "",
    $B192
)</f>
        <v/>
      </c>
      <c r="AY192" s="94" t="str">
        <f aca="false">IF(ISBLANK($C192),
    "",
    $C192
)</f>
        <v/>
      </c>
      <c r="AZ192" s="94" t="str">
        <f aca="false">IF(ISBLANK($C192),
    "",
    $D192
)</f>
        <v/>
      </c>
      <c r="BA192" s="94" t="str">
        <f aca="false">AO192</f>
        <v/>
      </c>
      <c r="BB192" s="95" t="str">
        <f aca="false">AN192</f>
        <v/>
      </c>
      <c r="BC192" s="94" t="str">
        <f aca="false">IF(ISBLANK($C192),
    "",
    AQ192
)</f>
        <v/>
      </c>
      <c r="BD192" s="96" t="str">
        <f aca="false">IF(AU192&gt;AT$7,
    "",
    VLOOKUP(AU192,AW$8:BC$507,7,FALSE())
)</f>
        <v/>
      </c>
      <c r="BE192" s="97" t="str">
        <f aca="false">IF(AU192&gt;AT$7,
    "",
    VLOOKUP(AU192,AW$8:BC$507,2,FALSE())
)</f>
        <v/>
      </c>
      <c r="BF192" s="97" t="str">
        <f aca="false">IF(AU192&gt;AT$7,
    "",
    VLOOKUP(AU192,AW$8:BC$507,3,FALSE())
)</f>
        <v/>
      </c>
      <c r="BG192" s="97" t="str">
        <f aca="false">IF(AU192&gt;AT$7,
    "",
    VLOOKUP(AU192,AW$8:BC$507,4,FALSE())
)</f>
        <v/>
      </c>
      <c r="BH192" s="97" t="str">
        <f aca="false">IF(AU192&gt;AT$7,
    "",
    VLOOKUP(AU192,AW$8:BC$507,5,FALSE())
)</f>
        <v/>
      </c>
      <c r="BI192" s="98" t="str">
        <f aca="false">IF(AU192&gt;AT$7,
    "",
    VLOOKUP(AU192,AW$8:BC$507,6,FALSE())
)</f>
        <v/>
      </c>
      <c r="BJ192" s="46"/>
    </row>
    <row r="193" customFormat="false" ht="15.75" hidden="false" customHeight="false" outlineLevel="0" collapsed="false">
      <c r="A193" s="3"/>
      <c r="B193" s="105"/>
      <c r="C193" s="106"/>
      <c r="D193" s="99"/>
      <c r="E193" s="110"/>
      <c r="F193" s="107"/>
      <c r="G193" s="110"/>
      <c r="H193" s="103"/>
      <c r="I193" s="102"/>
      <c r="J193" s="103"/>
      <c r="K193" s="103"/>
      <c r="L193" s="85"/>
      <c r="M193" s="85" t="str">
        <f aca="false">IF(ISBLANK($C193),"",IF(ISBLANK(E193),0,E193))</f>
        <v/>
      </c>
      <c r="N193" s="85" t="str">
        <f aca="false">IF(ISBLANK($C193),"",IF(ISBLANK(F193),0,F193))</f>
        <v/>
      </c>
      <c r="O193" s="86" t="e">
        <f aca="false">IF(AND(NOT(ISBLANK($C193)),NOT($T193),COUNTA($E193:$K193)&gt;0),ISBLANK($F193),FALSE())</f>
        <v>#VALUE!</v>
      </c>
      <c r="P193" s="85" t="str">
        <f aca="false">IF(ISBLANK($C193),"",IF(G193=Constants!$B$9, TRUE(), IF(G193=Constants!$B$10, FALSE(), TRUE())))</f>
        <v/>
      </c>
      <c r="Q193" s="85" t="str">
        <f aca="false">IF(ISBLANK($C193),"",IF(H193=Constants!$B$9, TRUE(), IF(H193=Constants!$B$10, FALSE(), TRUE())))</f>
        <v/>
      </c>
      <c r="R193" s="85" t="str">
        <f aca="false">IF(ISBLANK($C193),"",IF(ISBLANK(I193),Constants!$B$3,I193))</f>
        <v/>
      </c>
      <c r="S193" s="85" t="str">
        <f aca="false">IF(ISBLANK($C193),"",IF(ISBLANK(J193),0,MIN(J193,Constants!$B$6)))</f>
        <v/>
      </c>
      <c r="T193" s="85" t="str">
        <f aca="false">IF(ISBLANK($C193),"",IF(K193=Constants!$B$9, TRUE(), IF(K193=Constants!$B$10, FALSE(),  FALSE())))</f>
        <v/>
      </c>
      <c r="U193" s="85" t="str">
        <f aca="false">IF(ISBLANK($C193),"",AND(R193=Constants!$B$4, S193&lt;Constants!$B$6))</f>
        <v/>
      </c>
      <c r="V193" s="85" t="str">
        <f aca="false">IF(ISBLANK(C193), "", IF(T193, Constants!$B$11, IF(COUNTA(E193:K193)=0, Constants!$B$12, IF(NOT(AND(P193,S193&lt;&gt;0)), Constants!$B$13, IF(O193, Constants!$B$15, Constants!$B$14)))))</f>
        <v/>
      </c>
      <c r="W193" s="85" t="str">
        <f aca="false">IF(OR(ISBLANK($C193), SUMPRODUCT(--(P193:T193&lt;&gt;""))=0), "", IF(V193&lt;&gt;Constants!$B$14, V193, IF(AND(NOT(ISBLANK(J193)),P193,Q193,R193&lt;&gt;Constants!$B$2), Constants!$B$7, IF(AND(P193,OR(NOT(Q193),R193=Constants!$B$2)), Constants!$B$8, "Error"))))</f>
        <v/>
      </c>
      <c r="X193" s="87" t="str">
        <f aca="false">IF(OR(W193=Constants!$B$7,W193=Constants!$B$8), MAX(0, MIN(Constants!$B$6, S193))+IF(AND(R193=Constants!$B$4, NOT(U193)), Constants!$B$5, 0), "")</f>
        <v/>
      </c>
      <c r="Y193" s="85" t="str">
        <f aca="false">IF(ISBLANK($C193),"",IF(AND(ISNUMBER(X193),N193&gt;0),X193/N193, "") )</f>
        <v/>
      </c>
      <c r="Z193" s="85" t="str">
        <f aca="false">IF(AND(NOT(ISBLANK($C193)), W193=Constants!$B$7), Y193, "")</f>
        <v/>
      </c>
      <c r="AA193" s="85" t="str">
        <f aca="false">IF(ISNUMBER(Z193), RANK(Z193,Z$8:Z$507), "")</f>
        <v/>
      </c>
      <c r="AB193" s="85" t="str">
        <f aca="false">IF(AND(NOT(ISBLANK($C193)), W193=Constants!$B$8), Y193, "")</f>
        <v/>
      </c>
      <c r="AC193" s="85" t="str">
        <f aca="false">IF(ISNUMBER(AB193), RANK(AB193,AB$8:AB$507), "")</f>
        <v/>
      </c>
      <c r="AD193" s="85" t="str">
        <f aca="false">IF(ISBLANK($C193),"",IF(V193&lt;&gt;Constants!$B$14, V193, IF(W193=Constants!$B$7, AA193, IF(W193=Constants!$B$8, COUNT($AA$8:$AA$507) + AC193, ""))))</f>
        <v/>
      </c>
      <c r="AE193" s="85" t="str">
        <f aca="false">N193</f>
        <v/>
      </c>
      <c r="AF193" s="85" t="str">
        <f aca="false">IF(ISNUMBER(AE193), RANK(AE193,AE$8:AE$507,1), "")</f>
        <v/>
      </c>
      <c r="AG193" s="88" t="str">
        <f aca="false">IF(ISBLANK(C193), "", ABS(M193-S193))</f>
        <v/>
      </c>
      <c r="AH193" s="85" t="str">
        <f aca="false">IF(ISNUMBER(AG193), RANK(AG193,AG$8:AG$507,1), "")</f>
        <v/>
      </c>
      <c r="AI193" s="85" t="str">
        <f aca="false">IF(ISBLANK(C193),"",IF(V193&lt;&gt;Constants!$B$14, V193, RANK(AD193, AD$8:AD$507, 1)+ SUMPRODUCT(--(AD$8:AD$507=AD193),--(AF193&gt;AF$8:AF$507)) + SUMPRODUCT(--(AD$8:AD$507=AD193),--(AF193=AF$8:AF$507),--(AH193&gt;AH$8:AH$507))))</f>
        <v/>
      </c>
      <c r="AJ193" s="85" t="str">
        <f aca="false">IF(ISBLANK(C193),"",IF(V193&lt;&gt;Constants!$B$14, V193, AD193-AI193))</f>
        <v/>
      </c>
      <c r="AK193" s="89"/>
      <c r="AL193" s="90" t="str">
        <f aca="false">IF(ISBLANK($C193),"",IF($V193&lt;&gt;Constants!$B$14,$V193,X193))</f>
        <v/>
      </c>
      <c r="AM193" s="90" t="str">
        <f aca="false">IF(ISBLANK($C193),"",IF($V193&lt;&gt;Constants!$B$14,$V193,N193))</f>
        <v/>
      </c>
      <c r="AN193" s="91" t="str">
        <f aca="false">IF(ISBLANK(C193),"",IF(V193&lt;&gt;Constants!$B$14, V193, IF(W193=Constants!$B$7,Z193,IF(W193=Constants!$B$8,AB193,""))))</f>
        <v/>
      </c>
      <c r="AO193" s="92" t="str">
        <f aca="false">IF(ISBLANK(C193),"",W193)</f>
        <v/>
      </c>
      <c r="AP193" s="92" t="str">
        <f aca="false">IF(ISBLANK(C193),"",AJ193)</f>
        <v/>
      </c>
      <c r="AQ193" s="92" t="str">
        <f aca="false">IF(ISBLANK(C193),"",AI193)</f>
        <v/>
      </c>
      <c r="AR193" s="93" t="str">
        <f aca="false">IF(ISBLANK(C193),
  "",
IF(AQ193=Constants!$B$11,COUNTA($C$8:$C$507)+2,IF(AQ193=Constants!$B$12,COUNTA($C$8:$C$507)+1,IF(AQ193=Constants!$B$13,COUNTA($C$8:$C$507),AQ193))))</f>
        <v/>
      </c>
      <c r="AS193" s="3"/>
      <c r="AT193" s="94" t="n">
        <f aca="false">IF(OR(ISNUMBER(AQ193),AQ193="DQ",AQ193="P",AQ193="NS"),
    1,
    0
)</f>
        <v>0</v>
      </c>
      <c r="AU193" s="94" t="n">
        <v>186</v>
      </c>
      <c r="AV193" s="94" t="str">
        <f aca="false">IF(ISBLANK($C193),
    "",
   IF(ISNUMBER(AR193),AR193+ROW($B193)/1000,"")
)</f>
        <v/>
      </c>
      <c r="AW193" s="94" t="str">
        <f aca="false">IF(ISNUMBER(AV193), RANK(AV193,AV$8:AV$507,1), "")</f>
        <v/>
      </c>
      <c r="AX193" s="94" t="str">
        <f aca="false">IF(ISBLANK($C193),
    "",
    $B193
)</f>
        <v/>
      </c>
      <c r="AY193" s="94" t="str">
        <f aca="false">IF(ISBLANK($C193),
    "",
    $C193
)</f>
        <v/>
      </c>
      <c r="AZ193" s="94" t="str">
        <f aca="false">IF(ISBLANK($C193),
    "",
    $D193
)</f>
        <v/>
      </c>
      <c r="BA193" s="94" t="str">
        <f aca="false">AO193</f>
        <v/>
      </c>
      <c r="BB193" s="95" t="str">
        <f aca="false">AN193</f>
        <v/>
      </c>
      <c r="BC193" s="94" t="str">
        <f aca="false">IF(ISBLANK($C193),
    "",
    AQ193
)</f>
        <v/>
      </c>
      <c r="BD193" s="96" t="str">
        <f aca="false">IF(AU193&gt;AT$7,
    "",
    VLOOKUP(AU193,AW$8:BC$507,7,FALSE())
)</f>
        <v/>
      </c>
      <c r="BE193" s="97" t="str">
        <f aca="false">IF(AU193&gt;AT$7,
    "",
    VLOOKUP(AU193,AW$8:BC$507,2,FALSE())
)</f>
        <v/>
      </c>
      <c r="BF193" s="97" t="str">
        <f aca="false">IF(AU193&gt;AT$7,
    "",
    VLOOKUP(AU193,AW$8:BC$507,3,FALSE())
)</f>
        <v/>
      </c>
      <c r="BG193" s="97" t="str">
        <f aca="false">IF(AU193&gt;AT$7,
    "",
    VLOOKUP(AU193,AW$8:BC$507,4,FALSE())
)</f>
        <v/>
      </c>
      <c r="BH193" s="97" t="str">
        <f aca="false">IF(AU193&gt;AT$7,
    "",
    VLOOKUP(AU193,AW$8:BC$507,5,FALSE())
)</f>
        <v/>
      </c>
      <c r="BI193" s="98" t="str">
        <f aca="false">IF(AU193&gt;AT$7,
    "",
    VLOOKUP(AU193,AW$8:BC$507,6,FALSE())
)</f>
        <v/>
      </c>
      <c r="BJ193" s="46"/>
    </row>
    <row r="194" customFormat="false" ht="15.75" hidden="false" customHeight="false" outlineLevel="0" collapsed="false">
      <c r="A194" s="3"/>
      <c r="B194" s="108"/>
      <c r="C194" s="70"/>
      <c r="D194" s="49"/>
      <c r="E194" s="109"/>
      <c r="F194" s="72"/>
      <c r="G194" s="109"/>
      <c r="H194" s="74"/>
      <c r="I194" s="104"/>
      <c r="J194" s="74"/>
      <c r="K194" s="74"/>
      <c r="L194" s="55"/>
      <c r="M194" s="55" t="str">
        <f aca="false">IF(ISBLANK($C194),"",IF(ISBLANK(E194),0,E194))</f>
        <v/>
      </c>
      <c r="N194" s="55" t="str">
        <f aca="false">IF(ISBLANK($C194),"",IF(ISBLANK(F194),0,F194))</f>
        <v/>
      </c>
      <c r="O194" s="55" t="e">
        <f aca="false">IF(AND(NOT(ISBLANK($C194)),NOT($T194),COUNTA($E194:$K194)&gt;0),ISBLANK($F194),FALSE())</f>
        <v>#VALUE!</v>
      </c>
      <c r="P194" s="55" t="str">
        <f aca="false">IF(ISBLANK($C194),"",IF(G194=Constants!$B$9, TRUE(), IF(G194=Constants!$B$10, FALSE(), TRUE())))</f>
        <v/>
      </c>
      <c r="Q194" s="55" t="str">
        <f aca="false">IF(ISBLANK($C194),"",IF(H194=Constants!$B$9, TRUE(), IF(H194=Constants!$B$10, FALSE(), TRUE())))</f>
        <v/>
      </c>
      <c r="R194" s="55" t="str">
        <f aca="false">IF(ISBLANK($C194),"",IF(ISBLANK(I194),Constants!$B$3,I194))</f>
        <v/>
      </c>
      <c r="S194" s="55" t="str">
        <f aca="false">IF(ISBLANK($C194),"",IF(ISBLANK(J194),0,MIN(J194,Constants!$B$6)))</f>
        <v/>
      </c>
      <c r="T194" s="55" t="str">
        <f aca="false">IF(ISBLANK($C194),"",IF(K194=Constants!$B$9, TRUE(), IF(K194=Constants!$B$10, FALSE(),  FALSE())))</f>
        <v/>
      </c>
      <c r="U194" s="55" t="str">
        <f aca="false">IF(ISBLANK($C194),"",AND(R194=Constants!$B$4, S194&lt;Constants!$B$6))</f>
        <v/>
      </c>
      <c r="V194" s="55" t="str">
        <f aca="false">IF(ISBLANK(C194), "", IF(T194, Constants!$B$11, IF(COUNTA(E194:K194)=0, Constants!$B$12, IF(NOT(AND(P194,S194&lt;&gt;0)), Constants!$B$13, IF(O194, Constants!$B$15, Constants!$B$14)))))</f>
        <v/>
      </c>
      <c r="W194" s="55" t="str">
        <f aca="false">IF(OR(ISBLANK($C194), SUMPRODUCT(--(P194:T194&lt;&gt;""))=0), "", IF(V194&lt;&gt;Constants!$B$14, V194, IF(AND(NOT(ISBLANK(J194)),P194,Q194,R194&lt;&gt;Constants!$B$2), Constants!$B$7, IF(AND(P194,OR(NOT(Q194),R194=Constants!$B$2)), Constants!$B$8, "Error"))))</f>
        <v/>
      </c>
      <c r="X194" s="56" t="str">
        <f aca="false">IF(OR(W194=Constants!$B$7,W194=Constants!$B$8), MAX(0, MIN(Constants!$B$6, S194))+IF(AND(R194=Constants!$B$4, NOT(U194)), Constants!$B$5, 0), "")</f>
        <v/>
      </c>
      <c r="Y194" s="55" t="str">
        <f aca="false">IF(ISBLANK($C194),"",IF(AND(ISNUMBER(X194),N194&gt;0),X194/N194, "") )</f>
        <v/>
      </c>
      <c r="Z194" s="55" t="str">
        <f aca="false">IF(AND(NOT(ISBLANK($C194)), W194=Constants!$B$7), Y194, "")</f>
        <v/>
      </c>
      <c r="AA194" s="55" t="str">
        <f aca="false">IF(ISNUMBER(Z194), RANK(Z194,Z$8:Z$507), "")</f>
        <v/>
      </c>
      <c r="AB194" s="55" t="str">
        <f aca="false">IF(AND(NOT(ISBLANK($C194)), W194=Constants!$B$8), Y194, "")</f>
        <v/>
      </c>
      <c r="AC194" s="55" t="str">
        <f aca="false">IF(ISNUMBER(AB194), RANK(AB194,AB$8:AB$507), "")</f>
        <v/>
      </c>
      <c r="AD194" s="55" t="str">
        <f aca="false">IF(ISBLANK($C194),"",IF(V194&lt;&gt;Constants!$B$14, V194, IF(W194=Constants!$B$7, AA194, IF(W194=Constants!$B$8, COUNT($AA$8:$AA$507) + AC194, ""))))</f>
        <v/>
      </c>
      <c r="AE194" s="55" t="str">
        <f aca="false">N194</f>
        <v/>
      </c>
      <c r="AF194" s="55" t="str">
        <f aca="false">IF(ISNUMBER(AE194), RANK(AE194,AE$8:AE$507,1), "")</f>
        <v/>
      </c>
      <c r="AG194" s="57" t="str">
        <f aca="false">IF(ISBLANK(C194), "", ABS(M194-S194))</f>
        <v/>
      </c>
      <c r="AH194" s="55" t="str">
        <f aca="false">IF(ISNUMBER(AG194), RANK(AG194,AG$8:AG$507,1), "")</f>
        <v/>
      </c>
      <c r="AI194" s="55" t="str">
        <f aca="false">IF(ISBLANK(C194),"",IF(V194&lt;&gt;Constants!$B$14, V194, RANK(AD194, AD$8:AD$507, 1)+ SUMPRODUCT(--(AD$8:AD$507=AD194),--(AF194&gt;AF$8:AF$507)) + SUMPRODUCT(--(AD$8:AD$507=AD194),--(AF194=AF$8:AF$507),--(AH194&gt;AH$8:AH$507))))</f>
        <v/>
      </c>
      <c r="AJ194" s="55" t="str">
        <f aca="false">IF(ISBLANK(C194),"",IF(V194&lt;&gt;Constants!$B$14, V194, AD194-AI194))</f>
        <v/>
      </c>
      <c r="AK194" s="59"/>
      <c r="AL194" s="60" t="str">
        <f aca="false">IF(ISBLANK($C194),"",IF($V194&lt;&gt;Constants!$B$14,$V194,X194))</f>
        <v/>
      </c>
      <c r="AM194" s="60" t="str">
        <f aca="false">IF(ISBLANK($C194),"",IF($V194&lt;&gt;Constants!$B$14,$V194,N194))</f>
        <v/>
      </c>
      <c r="AN194" s="62" t="str">
        <f aca="false">IF(ISBLANK(C194),"",IF(V194&lt;&gt;Constants!$B$14, V194, IF(W194=Constants!$B$7,Z194,IF(W194=Constants!$B$8,AB194,""))))</f>
        <v/>
      </c>
      <c r="AO194" s="63" t="str">
        <f aca="false">IF(ISBLANK(C194),"",W194)</f>
        <v/>
      </c>
      <c r="AP194" s="63" t="str">
        <f aca="false">IF(ISBLANK(C194),"",AJ194)</f>
        <v/>
      </c>
      <c r="AQ194" s="63" t="str">
        <f aca="false">IF(ISBLANK(C194),"",AI194)</f>
        <v/>
      </c>
      <c r="AR194" s="64" t="str">
        <f aca="false">IF(ISBLANK(C194),
  "",
IF(AQ194=Constants!$B$11,COUNTA($C$8:$C$507)+2,IF(AQ194=Constants!$B$12,COUNTA($C$8:$C$507)+1,IF(AQ194=Constants!$B$13,COUNTA($C$8:$C$507),AQ194))))</f>
        <v/>
      </c>
      <c r="AS194" s="3"/>
      <c r="AT194" s="65" t="n">
        <f aca="false">IF(OR(ISNUMBER(AQ194),AQ194="DQ",AQ194="P",AQ194="NS"),
    1,
    0
)</f>
        <v>0</v>
      </c>
      <c r="AU194" s="65" t="n">
        <v>187</v>
      </c>
      <c r="AV194" s="65" t="str">
        <f aca="false">IF(ISBLANK($C194),
    "",
   IF(ISNUMBER(AR194),AR194+ROW($B194)/1000,"")
)</f>
        <v/>
      </c>
      <c r="AW194" s="65" t="str">
        <f aca="false">IF(ISNUMBER(AV194), RANK(AV194,AV$8:AV$507,1), "")</f>
        <v/>
      </c>
      <c r="AX194" s="65" t="str">
        <f aca="false">IF(ISBLANK($C194),
    "",
    $B194
)</f>
        <v/>
      </c>
      <c r="AY194" s="65" t="str">
        <f aca="false">IF(ISBLANK($C194),
    "",
    $C194
)</f>
        <v/>
      </c>
      <c r="AZ194" s="65" t="str">
        <f aca="false">IF(ISBLANK($C194),
    "",
    $D194
)</f>
        <v/>
      </c>
      <c r="BA194" s="65" t="str">
        <f aca="false">AO194</f>
        <v/>
      </c>
      <c r="BB194" s="66" t="str">
        <f aca="false">AN194</f>
        <v/>
      </c>
      <c r="BC194" s="65" t="str">
        <f aca="false">IF(ISBLANK($C194),
    "",
    AQ194
)</f>
        <v/>
      </c>
      <c r="BD194" s="67" t="str">
        <f aca="false">IF(AU194&gt;AT$7,
    "",
    VLOOKUP(AU194,AW$8:BC$507,7,FALSE())
)</f>
        <v/>
      </c>
      <c r="BE194" s="68" t="str">
        <f aca="false">IF(AU194&gt;AT$7,
    "",
    VLOOKUP(AU194,AW$8:BC$507,2,FALSE())
)</f>
        <v/>
      </c>
      <c r="BF194" s="68" t="str">
        <f aca="false">IF(AU194&gt;AT$7,
    "",
    VLOOKUP(AU194,AW$8:BC$507,3,FALSE())
)</f>
        <v/>
      </c>
      <c r="BG194" s="68" t="str">
        <f aca="false">IF(AU194&gt;AT$7,
    "",
    VLOOKUP(AU194,AW$8:BC$507,4,FALSE())
)</f>
        <v/>
      </c>
      <c r="BH194" s="68" t="str">
        <f aca="false">IF(AU194&gt;AT$7,
    "",
    VLOOKUP(AU194,AW$8:BC$507,5,FALSE())
)</f>
        <v/>
      </c>
      <c r="BI194" s="69" t="str">
        <f aca="false">IF(AU194&gt;AT$7,
    "",
    VLOOKUP(AU194,AW$8:BC$507,6,FALSE())
)</f>
        <v/>
      </c>
      <c r="BJ194" s="46"/>
    </row>
    <row r="195" customFormat="false" ht="15.75" hidden="false" customHeight="false" outlineLevel="0" collapsed="false">
      <c r="A195" s="3"/>
      <c r="B195" s="108"/>
      <c r="C195" s="70"/>
      <c r="D195" s="49"/>
      <c r="E195" s="109"/>
      <c r="F195" s="72"/>
      <c r="G195" s="109"/>
      <c r="H195" s="74"/>
      <c r="I195" s="104"/>
      <c r="J195" s="74"/>
      <c r="K195" s="74"/>
      <c r="L195" s="55"/>
      <c r="M195" s="55" t="str">
        <f aca="false">IF(ISBLANK($C195),"",IF(ISBLANK(E195),0,E195))</f>
        <v/>
      </c>
      <c r="N195" s="55" t="str">
        <f aca="false">IF(ISBLANK($C195),"",IF(ISBLANK(F195),0,F195))</f>
        <v/>
      </c>
      <c r="O195" s="55" t="e">
        <f aca="false">IF(AND(NOT(ISBLANK($C195)),NOT($T195),COUNTA($E195:$K195)&gt;0),ISBLANK($F195),FALSE())</f>
        <v>#VALUE!</v>
      </c>
      <c r="P195" s="55" t="str">
        <f aca="false">IF(ISBLANK($C195),"",IF(G195=Constants!$B$9, TRUE(), IF(G195=Constants!$B$10, FALSE(), TRUE())))</f>
        <v/>
      </c>
      <c r="Q195" s="55" t="str">
        <f aca="false">IF(ISBLANK($C195),"",IF(H195=Constants!$B$9, TRUE(), IF(H195=Constants!$B$10, FALSE(), TRUE())))</f>
        <v/>
      </c>
      <c r="R195" s="55" t="str">
        <f aca="false">IF(ISBLANK($C195),"",IF(ISBLANK(I195),Constants!$B$3,I195))</f>
        <v/>
      </c>
      <c r="S195" s="55" t="str">
        <f aca="false">IF(ISBLANK($C195),"",IF(ISBLANK(J195),0,MIN(J195,Constants!$B$6)))</f>
        <v/>
      </c>
      <c r="T195" s="55" t="str">
        <f aca="false">IF(ISBLANK($C195),"",IF(K195=Constants!$B$9, TRUE(), IF(K195=Constants!$B$10, FALSE(),  FALSE())))</f>
        <v/>
      </c>
      <c r="U195" s="55" t="str">
        <f aca="false">IF(ISBLANK($C195),"",AND(R195=Constants!$B$4, S195&lt;Constants!$B$6))</f>
        <v/>
      </c>
      <c r="V195" s="55" t="str">
        <f aca="false">IF(ISBLANK(C195), "", IF(T195, Constants!$B$11, IF(COUNTA(E195:K195)=0, Constants!$B$12, IF(NOT(AND(P195,S195&lt;&gt;0)), Constants!$B$13, IF(O195, Constants!$B$15, Constants!$B$14)))))</f>
        <v/>
      </c>
      <c r="W195" s="55" t="str">
        <f aca="false">IF(OR(ISBLANK($C195), SUMPRODUCT(--(P195:T195&lt;&gt;""))=0), "", IF(V195&lt;&gt;Constants!$B$14, V195, IF(AND(NOT(ISBLANK(J195)),P195,Q195,R195&lt;&gt;Constants!$B$2), Constants!$B$7, IF(AND(P195,OR(NOT(Q195),R195=Constants!$B$2)), Constants!$B$8, "Error"))))</f>
        <v/>
      </c>
      <c r="X195" s="56" t="str">
        <f aca="false">IF(OR(W195=Constants!$B$7,W195=Constants!$B$8), MAX(0, MIN(Constants!$B$6, S195))+IF(AND(R195=Constants!$B$4, NOT(U195)), Constants!$B$5, 0), "")</f>
        <v/>
      </c>
      <c r="Y195" s="55" t="str">
        <f aca="false">IF(ISBLANK($C195),"",IF(AND(ISNUMBER(X195),N195&gt;0),X195/N195, "") )</f>
        <v/>
      </c>
      <c r="Z195" s="55" t="str">
        <f aca="false">IF(AND(NOT(ISBLANK($C195)), W195=Constants!$B$7), Y195, "")</f>
        <v/>
      </c>
      <c r="AA195" s="55" t="str">
        <f aca="false">IF(ISNUMBER(Z195), RANK(Z195,Z$8:Z$507), "")</f>
        <v/>
      </c>
      <c r="AB195" s="55" t="str">
        <f aca="false">IF(AND(NOT(ISBLANK($C195)), W195=Constants!$B$8), Y195, "")</f>
        <v/>
      </c>
      <c r="AC195" s="55" t="str">
        <f aca="false">IF(ISNUMBER(AB195), RANK(AB195,AB$8:AB$507), "")</f>
        <v/>
      </c>
      <c r="AD195" s="55" t="str">
        <f aca="false">IF(ISBLANK($C195),"",IF(V195&lt;&gt;Constants!$B$14, V195, IF(W195=Constants!$B$7, AA195, IF(W195=Constants!$B$8, COUNT($AA$8:$AA$507) + AC195, ""))))</f>
        <v/>
      </c>
      <c r="AE195" s="55" t="str">
        <f aca="false">N195</f>
        <v/>
      </c>
      <c r="AF195" s="55" t="str">
        <f aca="false">IF(ISNUMBER(AE195), RANK(AE195,AE$8:AE$507,1), "")</f>
        <v/>
      </c>
      <c r="AG195" s="57" t="str">
        <f aca="false">IF(ISBLANK(C195), "", ABS(M195-S195))</f>
        <v/>
      </c>
      <c r="AH195" s="55" t="str">
        <f aca="false">IF(ISNUMBER(AG195), RANK(AG195,AG$8:AG$507,1), "")</f>
        <v/>
      </c>
      <c r="AI195" s="55" t="str">
        <f aca="false">IF(ISBLANK(C195),"",IF(V195&lt;&gt;Constants!$B$14, V195, RANK(AD195, AD$8:AD$507, 1)+ SUMPRODUCT(--(AD$8:AD$507=AD195),--(AF195&gt;AF$8:AF$507)) + SUMPRODUCT(--(AD$8:AD$507=AD195),--(AF195=AF$8:AF$507),--(AH195&gt;AH$8:AH$507))))</f>
        <v/>
      </c>
      <c r="AJ195" s="55" t="str">
        <f aca="false">IF(ISBLANK(C195),"",IF(V195&lt;&gt;Constants!$B$14, V195, AD195-AI195))</f>
        <v/>
      </c>
      <c r="AK195" s="59"/>
      <c r="AL195" s="60" t="str">
        <f aca="false">IF(ISBLANK($C195),"",IF($V195&lt;&gt;Constants!$B$14,$V195,X195))</f>
        <v/>
      </c>
      <c r="AM195" s="60" t="str">
        <f aca="false">IF(ISBLANK($C195),"",IF($V195&lt;&gt;Constants!$B$14,$V195,N195))</f>
        <v/>
      </c>
      <c r="AN195" s="62" t="str">
        <f aca="false">IF(ISBLANK(C195),"",IF(V195&lt;&gt;Constants!$B$14, V195, IF(W195=Constants!$B$7,Z195,IF(W195=Constants!$B$8,AB195,""))))</f>
        <v/>
      </c>
      <c r="AO195" s="63" t="str">
        <f aca="false">IF(ISBLANK(C195),"",W195)</f>
        <v/>
      </c>
      <c r="AP195" s="63" t="str">
        <f aca="false">IF(ISBLANK(C195),"",AJ195)</f>
        <v/>
      </c>
      <c r="AQ195" s="63" t="str">
        <f aca="false">IF(ISBLANK(C195),"",AI195)</f>
        <v/>
      </c>
      <c r="AR195" s="64" t="str">
        <f aca="false">IF(ISBLANK(C195),
  "",
IF(AQ195=Constants!$B$11,COUNTA($C$8:$C$507)+2,IF(AQ195=Constants!$B$12,COUNTA($C$8:$C$507)+1,IF(AQ195=Constants!$B$13,COUNTA($C$8:$C$507),AQ195))))</f>
        <v/>
      </c>
      <c r="AS195" s="3"/>
      <c r="AT195" s="65" t="n">
        <f aca="false">IF(OR(ISNUMBER(AQ195),AQ195="DQ",AQ195="P",AQ195="NS"),
    1,
    0
)</f>
        <v>0</v>
      </c>
      <c r="AU195" s="65" t="n">
        <v>188</v>
      </c>
      <c r="AV195" s="65" t="str">
        <f aca="false">IF(ISBLANK($C195),
    "",
   IF(ISNUMBER(AR195),AR195+ROW($B195)/1000,"")
)</f>
        <v/>
      </c>
      <c r="AW195" s="65" t="str">
        <f aca="false">IF(ISNUMBER(AV195), RANK(AV195,AV$8:AV$507,1), "")</f>
        <v/>
      </c>
      <c r="AX195" s="65" t="str">
        <f aca="false">IF(ISBLANK($C195),
    "",
    $B195
)</f>
        <v/>
      </c>
      <c r="AY195" s="65" t="str">
        <f aca="false">IF(ISBLANK($C195),
    "",
    $C195
)</f>
        <v/>
      </c>
      <c r="AZ195" s="65" t="str">
        <f aca="false">IF(ISBLANK($C195),
    "",
    $D195
)</f>
        <v/>
      </c>
      <c r="BA195" s="65" t="str">
        <f aca="false">AO195</f>
        <v/>
      </c>
      <c r="BB195" s="66" t="str">
        <f aca="false">AN195</f>
        <v/>
      </c>
      <c r="BC195" s="65" t="str">
        <f aca="false">IF(ISBLANK($C195),
    "",
    AQ195
)</f>
        <v/>
      </c>
      <c r="BD195" s="67" t="str">
        <f aca="false">IF(AU195&gt;AT$7,
    "",
    VLOOKUP(AU195,AW$8:BC$507,7,FALSE())
)</f>
        <v/>
      </c>
      <c r="BE195" s="68" t="str">
        <f aca="false">IF(AU195&gt;AT$7,
    "",
    VLOOKUP(AU195,AW$8:BC$507,2,FALSE())
)</f>
        <v/>
      </c>
      <c r="BF195" s="68" t="str">
        <f aca="false">IF(AU195&gt;AT$7,
    "",
    VLOOKUP(AU195,AW$8:BC$507,3,FALSE())
)</f>
        <v/>
      </c>
      <c r="BG195" s="68" t="str">
        <f aca="false">IF(AU195&gt;AT$7,
    "",
    VLOOKUP(AU195,AW$8:BC$507,4,FALSE())
)</f>
        <v/>
      </c>
      <c r="BH195" s="68" t="str">
        <f aca="false">IF(AU195&gt;AT$7,
    "",
    VLOOKUP(AU195,AW$8:BC$507,5,FALSE())
)</f>
        <v/>
      </c>
      <c r="BI195" s="69" t="str">
        <f aca="false">IF(AU195&gt;AT$7,
    "",
    VLOOKUP(AU195,AW$8:BC$507,6,FALSE())
)</f>
        <v/>
      </c>
      <c r="BJ195" s="46"/>
    </row>
    <row r="196" customFormat="false" ht="15.75" hidden="false" customHeight="false" outlineLevel="0" collapsed="false">
      <c r="A196" s="3"/>
      <c r="B196" s="108"/>
      <c r="C196" s="70"/>
      <c r="D196" s="49"/>
      <c r="E196" s="109"/>
      <c r="F196" s="72"/>
      <c r="G196" s="109"/>
      <c r="H196" s="74"/>
      <c r="I196" s="104"/>
      <c r="J196" s="74"/>
      <c r="K196" s="74"/>
      <c r="L196" s="55"/>
      <c r="M196" s="55" t="str">
        <f aca="false">IF(ISBLANK($C196),"",IF(ISBLANK(E196),0,E196))</f>
        <v/>
      </c>
      <c r="N196" s="55" t="str">
        <f aca="false">IF(ISBLANK($C196),"",IF(ISBLANK(F196),0,F196))</f>
        <v/>
      </c>
      <c r="O196" s="55" t="e">
        <f aca="false">IF(AND(NOT(ISBLANK($C196)),NOT($T196),COUNTA($E196:$K196)&gt;0),ISBLANK($F196),FALSE())</f>
        <v>#VALUE!</v>
      </c>
      <c r="P196" s="55" t="str">
        <f aca="false">IF(ISBLANK($C196),"",IF(G196=Constants!$B$9, TRUE(), IF(G196=Constants!$B$10, FALSE(), TRUE())))</f>
        <v/>
      </c>
      <c r="Q196" s="55" t="str">
        <f aca="false">IF(ISBLANK($C196),"",IF(H196=Constants!$B$9, TRUE(), IF(H196=Constants!$B$10, FALSE(), TRUE())))</f>
        <v/>
      </c>
      <c r="R196" s="55" t="str">
        <f aca="false">IF(ISBLANK($C196),"",IF(ISBLANK(I196),Constants!$B$3,I196))</f>
        <v/>
      </c>
      <c r="S196" s="55" t="str">
        <f aca="false">IF(ISBLANK($C196),"",IF(ISBLANK(J196),0,MIN(J196,Constants!$B$6)))</f>
        <v/>
      </c>
      <c r="T196" s="55" t="str">
        <f aca="false">IF(ISBLANK($C196),"",IF(K196=Constants!$B$9, TRUE(), IF(K196=Constants!$B$10, FALSE(),  FALSE())))</f>
        <v/>
      </c>
      <c r="U196" s="55" t="str">
        <f aca="false">IF(ISBLANK($C196),"",AND(R196=Constants!$B$4, S196&lt;Constants!$B$6))</f>
        <v/>
      </c>
      <c r="V196" s="55" t="str">
        <f aca="false">IF(ISBLANK(C196), "", IF(T196, Constants!$B$11, IF(COUNTA(E196:K196)=0, Constants!$B$12, IF(NOT(AND(P196,S196&lt;&gt;0)), Constants!$B$13, IF(O196, Constants!$B$15, Constants!$B$14)))))</f>
        <v/>
      </c>
      <c r="W196" s="55" t="str">
        <f aca="false">IF(OR(ISBLANK($C196), SUMPRODUCT(--(P196:T196&lt;&gt;""))=0), "", IF(V196&lt;&gt;Constants!$B$14, V196, IF(AND(NOT(ISBLANK(J196)),P196,Q196,R196&lt;&gt;Constants!$B$2), Constants!$B$7, IF(AND(P196,OR(NOT(Q196),R196=Constants!$B$2)), Constants!$B$8, "Error"))))</f>
        <v/>
      </c>
      <c r="X196" s="56" t="str">
        <f aca="false">IF(OR(W196=Constants!$B$7,W196=Constants!$B$8), MAX(0, MIN(Constants!$B$6, S196))+IF(AND(R196=Constants!$B$4, NOT(U196)), Constants!$B$5, 0), "")</f>
        <v/>
      </c>
      <c r="Y196" s="55" t="str">
        <f aca="false">IF(ISBLANK($C196),"",IF(AND(ISNUMBER(X196),N196&gt;0),X196/N196, "") )</f>
        <v/>
      </c>
      <c r="Z196" s="55" t="str">
        <f aca="false">IF(AND(NOT(ISBLANK($C196)), W196=Constants!$B$7), Y196, "")</f>
        <v/>
      </c>
      <c r="AA196" s="55" t="str">
        <f aca="false">IF(ISNUMBER(Z196), RANK(Z196,Z$8:Z$507), "")</f>
        <v/>
      </c>
      <c r="AB196" s="55" t="str">
        <f aca="false">IF(AND(NOT(ISBLANK($C196)), W196=Constants!$B$8), Y196, "")</f>
        <v/>
      </c>
      <c r="AC196" s="55" t="str">
        <f aca="false">IF(ISNUMBER(AB196), RANK(AB196,AB$8:AB$507), "")</f>
        <v/>
      </c>
      <c r="AD196" s="55" t="str">
        <f aca="false">IF(ISBLANK($C196),"",IF(V196&lt;&gt;Constants!$B$14, V196, IF(W196=Constants!$B$7, AA196, IF(W196=Constants!$B$8, COUNT($AA$8:$AA$507) + AC196, ""))))</f>
        <v/>
      </c>
      <c r="AE196" s="55" t="str">
        <f aca="false">N196</f>
        <v/>
      </c>
      <c r="AF196" s="55" t="str">
        <f aca="false">IF(ISNUMBER(AE196), RANK(AE196,AE$8:AE$507,1), "")</f>
        <v/>
      </c>
      <c r="AG196" s="57" t="str">
        <f aca="false">IF(ISBLANK(C196), "", ABS(M196-S196))</f>
        <v/>
      </c>
      <c r="AH196" s="55" t="str">
        <f aca="false">IF(ISNUMBER(AG196), RANK(AG196,AG$8:AG$507,1), "")</f>
        <v/>
      </c>
      <c r="AI196" s="55" t="str">
        <f aca="false">IF(ISBLANK(C196),"",IF(V196&lt;&gt;Constants!$B$14, V196, RANK(AD196, AD$8:AD$507, 1)+ SUMPRODUCT(--(AD$8:AD$507=AD196),--(AF196&gt;AF$8:AF$507)) + SUMPRODUCT(--(AD$8:AD$507=AD196),--(AF196=AF$8:AF$507),--(AH196&gt;AH$8:AH$507))))</f>
        <v/>
      </c>
      <c r="AJ196" s="55" t="str">
        <f aca="false">IF(ISBLANK(C196),"",IF(V196&lt;&gt;Constants!$B$14, V196, AD196-AI196))</f>
        <v/>
      </c>
      <c r="AK196" s="59"/>
      <c r="AL196" s="60" t="str">
        <f aca="false">IF(ISBLANK($C196),"",IF($V196&lt;&gt;Constants!$B$14,$V196,X196))</f>
        <v/>
      </c>
      <c r="AM196" s="60" t="str">
        <f aca="false">IF(ISBLANK($C196),"",IF($V196&lt;&gt;Constants!$B$14,$V196,N196))</f>
        <v/>
      </c>
      <c r="AN196" s="62" t="str">
        <f aca="false">IF(ISBLANK(C196),"",IF(V196&lt;&gt;Constants!$B$14, V196, IF(W196=Constants!$B$7,Z196,IF(W196=Constants!$B$8,AB196,""))))</f>
        <v/>
      </c>
      <c r="AO196" s="63" t="str">
        <f aca="false">IF(ISBLANK(C196),"",W196)</f>
        <v/>
      </c>
      <c r="AP196" s="63" t="str">
        <f aca="false">IF(ISBLANK(C196),"",AJ196)</f>
        <v/>
      </c>
      <c r="AQ196" s="63" t="str">
        <f aca="false">IF(ISBLANK(C196),"",AI196)</f>
        <v/>
      </c>
      <c r="AR196" s="64" t="str">
        <f aca="false">IF(ISBLANK(C196),
  "",
IF(AQ196=Constants!$B$11,COUNTA($C$8:$C$507)+2,IF(AQ196=Constants!$B$12,COUNTA($C$8:$C$507)+1,IF(AQ196=Constants!$B$13,COUNTA($C$8:$C$507),AQ196))))</f>
        <v/>
      </c>
      <c r="AS196" s="3"/>
      <c r="AT196" s="65" t="n">
        <f aca="false">IF(OR(ISNUMBER(AQ196),AQ196="DQ",AQ196="P",AQ196="NS"),
    1,
    0
)</f>
        <v>0</v>
      </c>
      <c r="AU196" s="65" t="n">
        <v>189</v>
      </c>
      <c r="AV196" s="65" t="str">
        <f aca="false">IF(ISBLANK($C196),
    "",
   IF(ISNUMBER(AR196),AR196+ROW($B196)/1000,"")
)</f>
        <v/>
      </c>
      <c r="AW196" s="65" t="str">
        <f aca="false">IF(ISNUMBER(AV196), RANK(AV196,AV$8:AV$507,1), "")</f>
        <v/>
      </c>
      <c r="AX196" s="65" t="str">
        <f aca="false">IF(ISBLANK($C196),
    "",
    $B196
)</f>
        <v/>
      </c>
      <c r="AY196" s="65" t="str">
        <f aca="false">IF(ISBLANK($C196),
    "",
    $C196
)</f>
        <v/>
      </c>
      <c r="AZ196" s="65" t="str">
        <f aca="false">IF(ISBLANK($C196),
    "",
    $D196
)</f>
        <v/>
      </c>
      <c r="BA196" s="65" t="str">
        <f aca="false">AO196</f>
        <v/>
      </c>
      <c r="BB196" s="66" t="str">
        <f aca="false">AN196</f>
        <v/>
      </c>
      <c r="BC196" s="65" t="str">
        <f aca="false">IF(ISBLANK($C196),
    "",
    AQ196
)</f>
        <v/>
      </c>
      <c r="BD196" s="67" t="str">
        <f aca="false">IF(AU196&gt;AT$7,
    "",
    VLOOKUP(AU196,AW$8:BC$507,7,FALSE())
)</f>
        <v/>
      </c>
      <c r="BE196" s="68" t="str">
        <f aca="false">IF(AU196&gt;AT$7,
    "",
    VLOOKUP(AU196,AW$8:BC$507,2,FALSE())
)</f>
        <v/>
      </c>
      <c r="BF196" s="68" t="str">
        <f aca="false">IF(AU196&gt;AT$7,
    "",
    VLOOKUP(AU196,AW$8:BC$507,3,FALSE())
)</f>
        <v/>
      </c>
      <c r="BG196" s="68" t="str">
        <f aca="false">IF(AU196&gt;AT$7,
    "",
    VLOOKUP(AU196,AW$8:BC$507,4,FALSE())
)</f>
        <v/>
      </c>
      <c r="BH196" s="68" t="str">
        <f aca="false">IF(AU196&gt;AT$7,
    "",
    VLOOKUP(AU196,AW$8:BC$507,5,FALSE())
)</f>
        <v/>
      </c>
      <c r="BI196" s="69" t="str">
        <f aca="false">IF(AU196&gt;AT$7,
    "",
    VLOOKUP(AU196,AW$8:BC$507,6,FALSE())
)</f>
        <v/>
      </c>
      <c r="BJ196" s="46"/>
    </row>
    <row r="197" customFormat="false" ht="15.75" hidden="false" customHeight="false" outlineLevel="0" collapsed="false">
      <c r="A197" s="3"/>
      <c r="B197" s="105"/>
      <c r="C197" s="106"/>
      <c r="D197" s="99"/>
      <c r="E197" s="110"/>
      <c r="F197" s="107"/>
      <c r="G197" s="110"/>
      <c r="H197" s="103"/>
      <c r="I197" s="102"/>
      <c r="J197" s="103"/>
      <c r="K197" s="103"/>
      <c r="L197" s="85"/>
      <c r="M197" s="85" t="str">
        <f aca="false">IF(ISBLANK($C197),"",IF(ISBLANK(E197),0,E197))</f>
        <v/>
      </c>
      <c r="N197" s="85" t="str">
        <f aca="false">IF(ISBLANK($C197),"",IF(ISBLANK(F197),0,F197))</f>
        <v/>
      </c>
      <c r="O197" s="86" t="e">
        <f aca="false">IF(AND(NOT(ISBLANK($C197)),NOT($T197),COUNTA($E197:$K197)&gt;0),ISBLANK($F197),FALSE())</f>
        <v>#VALUE!</v>
      </c>
      <c r="P197" s="85" t="str">
        <f aca="false">IF(ISBLANK($C197),"",IF(G197=Constants!$B$9, TRUE(), IF(G197=Constants!$B$10, FALSE(), TRUE())))</f>
        <v/>
      </c>
      <c r="Q197" s="85" t="str">
        <f aca="false">IF(ISBLANK($C197),"",IF(H197=Constants!$B$9, TRUE(), IF(H197=Constants!$B$10, FALSE(), TRUE())))</f>
        <v/>
      </c>
      <c r="R197" s="85" t="str">
        <f aca="false">IF(ISBLANK($C197),"",IF(ISBLANK(I197),Constants!$B$3,I197))</f>
        <v/>
      </c>
      <c r="S197" s="85" t="str">
        <f aca="false">IF(ISBLANK($C197),"",IF(ISBLANK(J197),0,MIN(J197,Constants!$B$6)))</f>
        <v/>
      </c>
      <c r="T197" s="85" t="str">
        <f aca="false">IF(ISBLANK($C197),"",IF(K197=Constants!$B$9, TRUE(), IF(K197=Constants!$B$10, FALSE(),  FALSE())))</f>
        <v/>
      </c>
      <c r="U197" s="85" t="str">
        <f aca="false">IF(ISBLANK($C197),"",AND(R197=Constants!$B$4, S197&lt;Constants!$B$6))</f>
        <v/>
      </c>
      <c r="V197" s="85" t="str">
        <f aca="false">IF(ISBLANK(C197), "", IF(T197, Constants!$B$11, IF(COUNTA(E197:K197)=0, Constants!$B$12, IF(NOT(AND(P197,S197&lt;&gt;0)), Constants!$B$13, IF(O197, Constants!$B$15, Constants!$B$14)))))</f>
        <v/>
      </c>
      <c r="W197" s="85" t="str">
        <f aca="false">IF(OR(ISBLANK($C197), SUMPRODUCT(--(P197:T197&lt;&gt;""))=0), "", IF(V197&lt;&gt;Constants!$B$14, V197, IF(AND(NOT(ISBLANK(J197)),P197,Q197,R197&lt;&gt;Constants!$B$2), Constants!$B$7, IF(AND(P197,OR(NOT(Q197),R197=Constants!$B$2)), Constants!$B$8, "Error"))))</f>
        <v/>
      </c>
      <c r="X197" s="87" t="str">
        <f aca="false">IF(OR(W197=Constants!$B$7,W197=Constants!$B$8), MAX(0, MIN(Constants!$B$6, S197))+IF(AND(R197=Constants!$B$4, NOT(U197)), Constants!$B$5, 0), "")</f>
        <v/>
      </c>
      <c r="Y197" s="85" t="str">
        <f aca="false">IF(ISBLANK($C197),"",IF(AND(ISNUMBER(X197),N197&gt;0),X197/N197, "") )</f>
        <v/>
      </c>
      <c r="Z197" s="85" t="str">
        <f aca="false">IF(AND(NOT(ISBLANK($C197)), W197=Constants!$B$7), Y197, "")</f>
        <v/>
      </c>
      <c r="AA197" s="85" t="str">
        <f aca="false">IF(ISNUMBER(Z197), RANK(Z197,Z$8:Z$507), "")</f>
        <v/>
      </c>
      <c r="AB197" s="85" t="str">
        <f aca="false">IF(AND(NOT(ISBLANK($C197)), W197=Constants!$B$8), Y197, "")</f>
        <v/>
      </c>
      <c r="AC197" s="85" t="str">
        <f aca="false">IF(ISNUMBER(AB197), RANK(AB197,AB$8:AB$507), "")</f>
        <v/>
      </c>
      <c r="AD197" s="85" t="str">
        <f aca="false">IF(ISBLANK($C197),"",IF(V197&lt;&gt;Constants!$B$14, V197, IF(W197=Constants!$B$7, AA197, IF(W197=Constants!$B$8, COUNT($AA$8:$AA$507) + AC197, ""))))</f>
        <v/>
      </c>
      <c r="AE197" s="85" t="str">
        <f aca="false">N197</f>
        <v/>
      </c>
      <c r="AF197" s="85" t="str">
        <f aca="false">IF(ISNUMBER(AE197), RANK(AE197,AE$8:AE$507,1), "")</f>
        <v/>
      </c>
      <c r="AG197" s="88" t="str">
        <f aca="false">IF(ISBLANK(C197), "", ABS(M197-S197))</f>
        <v/>
      </c>
      <c r="AH197" s="85" t="str">
        <f aca="false">IF(ISNUMBER(AG197), RANK(AG197,AG$8:AG$507,1), "")</f>
        <v/>
      </c>
      <c r="AI197" s="85" t="str">
        <f aca="false">IF(ISBLANK(C197),"",IF(V197&lt;&gt;Constants!$B$14, V197, RANK(AD197, AD$8:AD$507, 1)+ SUMPRODUCT(--(AD$8:AD$507=AD197),--(AF197&gt;AF$8:AF$507)) + SUMPRODUCT(--(AD$8:AD$507=AD197),--(AF197=AF$8:AF$507),--(AH197&gt;AH$8:AH$507))))</f>
        <v/>
      </c>
      <c r="AJ197" s="85" t="str">
        <f aca="false">IF(ISBLANK(C197),"",IF(V197&lt;&gt;Constants!$B$14, V197, AD197-AI197))</f>
        <v/>
      </c>
      <c r="AK197" s="89"/>
      <c r="AL197" s="90" t="str">
        <f aca="false">IF(ISBLANK($C197),"",IF($V197&lt;&gt;Constants!$B$14,$V197,X197))</f>
        <v/>
      </c>
      <c r="AM197" s="90" t="str">
        <f aca="false">IF(ISBLANK($C197),"",IF($V197&lt;&gt;Constants!$B$14,$V197,N197))</f>
        <v/>
      </c>
      <c r="AN197" s="91" t="str">
        <f aca="false">IF(ISBLANK(C197),"",IF(V197&lt;&gt;Constants!$B$14, V197, IF(W197=Constants!$B$7,Z197,IF(W197=Constants!$B$8,AB197,""))))</f>
        <v/>
      </c>
      <c r="AO197" s="92" t="str">
        <f aca="false">IF(ISBLANK(C197),"",W197)</f>
        <v/>
      </c>
      <c r="AP197" s="92" t="str">
        <f aca="false">IF(ISBLANK(C197),"",AJ197)</f>
        <v/>
      </c>
      <c r="AQ197" s="92" t="str">
        <f aca="false">IF(ISBLANK(C197),"",AI197)</f>
        <v/>
      </c>
      <c r="AR197" s="93" t="str">
        <f aca="false">IF(ISBLANK(C197),
  "",
IF(AQ197=Constants!$B$11,COUNTA($C$8:$C$507)+2,IF(AQ197=Constants!$B$12,COUNTA($C$8:$C$507)+1,IF(AQ197=Constants!$B$13,COUNTA($C$8:$C$507),AQ197))))</f>
        <v/>
      </c>
      <c r="AS197" s="3"/>
      <c r="AT197" s="94" t="n">
        <f aca="false">IF(OR(ISNUMBER(AQ197),AQ197="DQ",AQ197="P",AQ197="NS"),
    1,
    0
)</f>
        <v>0</v>
      </c>
      <c r="AU197" s="94" t="n">
        <v>190</v>
      </c>
      <c r="AV197" s="94" t="str">
        <f aca="false">IF(ISBLANK($C197),
    "",
   IF(ISNUMBER(AR197),AR197+ROW($B197)/1000,"")
)</f>
        <v/>
      </c>
      <c r="AW197" s="94" t="str">
        <f aca="false">IF(ISNUMBER(AV197), RANK(AV197,AV$8:AV$507,1), "")</f>
        <v/>
      </c>
      <c r="AX197" s="94" t="str">
        <f aca="false">IF(ISBLANK($C197),
    "",
    $B197
)</f>
        <v/>
      </c>
      <c r="AY197" s="94" t="str">
        <f aca="false">IF(ISBLANK($C197),
    "",
    $C197
)</f>
        <v/>
      </c>
      <c r="AZ197" s="94" t="str">
        <f aca="false">IF(ISBLANK($C197),
    "",
    $D197
)</f>
        <v/>
      </c>
      <c r="BA197" s="94" t="str">
        <f aca="false">AO197</f>
        <v/>
      </c>
      <c r="BB197" s="95" t="str">
        <f aca="false">AN197</f>
        <v/>
      </c>
      <c r="BC197" s="94" t="str">
        <f aca="false">IF(ISBLANK($C197),
    "",
    AQ197
)</f>
        <v/>
      </c>
      <c r="BD197" s="96" t="str">
        <f aca="false">IF(AU197&gt;AT$7,
    "",
    VLOOKUP(AU197,AW$8:BC$507,7,FALSE())
)</f>
        <v/>
      </c>
      <c r="BE197" s="97" t="str">
        <f aca="false">IF(AU197&gt;AT$7,
    "",
    VLOOKUP(AU197,AW$8:BC$507,2,FALSE())
)</f>
        <v/>
      </c>
      <c r="BF197" s="97" t="str">
        <f aca="false">IF(AU197&gt;AT$7,
    "",
    VLOOKUP(AU197,AW$8:BC$507,3,FALSE())
)</f>
        <v/>
      </c>
      <c r="BG197" s="97" t="str">
        <f aca="false">IF(AU197&gt;AT$7,
    "",
    VLOOKUP(AU197,AW$8:BC$507,4,FALSE())
)</f>
        <v/>
      </c>
      <c r="BH197" s="97" t="str">
        <f aca="false">IF(AU197&gt;AT$7,
    "",
    VLOOKUP(AU197,AW$8:BC$507,5,FALSE())
)</f>
        <v/>
      </c>
      <c r="BI197" s="98" t="str">
        <f aca="false">IF(AU197&gt;AT$7,
    "",
    VLOOKUP(AU197,AW$8:BC$507,6,FALSE())
)</f>
        <v/>
      </c>
      <c r="BJ197" s="46"/>
    </row>
    <row r="198" customFormat="false" ht="15.75" hidden="false" customHeight="false" outlineLevel="0" collapsed="false">
      <c r="A198" s="3"/>
      <c r="B198" s="105"/>
      <c r="C198" s="106"/>
      <c r="D198" s="99"/>
      <c r="E198" s="110"/>
      <c r="F198" s="107"/>
      <c r="G198" s="110"/>
      <c r="H198" s="103"/>
      <c r="I198" s="102"/>
      <c r="J198" s="103"/>
      <c r="K198" s="103"/>
      <c r="L198" s="85"/>
      <c r="M198" s="85" t="str">
        <f aca="false">IF(ISBLANK($C198),"",IF(ISBLANK(E198),0,E198))</f>
        <v/>
      </c>
      <c r="N198" s="85" t="str">
        <f aca="false">IF(ISBLANK($C198),"",IF(ISBLANK(F198),0,F198))</f>
        <v/>
      </c>
      <c r="O198" s="86" t="e">
        <f aca="false">IF(AND(NOT(ISBLANK($C198)),NOT($T198),COUNTA($E198:$K198)&gt;0),ISBLANK($F198),FALSE())</f>
        <v>#VALUE!</v>
      </c>
      <c r="P198" s="85" t="str">
        <f aca="false">IF(ISBLANK($C198),"",IF(G198=Constants!$B$9, TRUE(), IF(G198=Constants!$B$10, FALSE(), TRUE())))</f>
        <v/>
      </c>
      <c r="Q198" s="85" t="str">
        <f aca="false">IF(ISBLANK($C198),"",IF(H198=Constants!$B$9, TRUE(), IF(H198=Constants!$B$10, FALSE(), TRUE())))</f>
        <v/>
      </c>
      <c r="R198" s="85" t="str">
        <f aca="false">IF(ISBLANK($C198),"",IF(ISBLANK(I198),Constants!$B$3,I198))</f>
        <v/>
      </c>
      <c r="S198" s="85" t="str">
        <f aca="false">IF(ISBLANK($C198),"",IF(ISBLANK(J198),0,MIN(J198,Constants!$B$6)))</f>
        <v/>
      </c>
      <c r="T198" s="85" t="str">
        <f aca="false">IF(ISBLANK($C198),"",IF(K198=Constants!$B$9, TRUE(), IF(K198=Constants!$B$10, FALSE(),  FALSE())))</f>
        <v/>
      </c>
      <c r="U198" s="85" t="str">
        <f aca="false">IF(ISBLANK($C198),"",AND(R198=Constants!$B$4, S198&lt;Constants!$B$6))</f>
        <v/>
      </c>
      <c r="V198" s="85" t="str">
        <f aca="false">IF(ISBLANK(C198), "", IF(T198, Constants!$B$11, IF(COUNTA(E198:K198)=0, Constants!$B$12, IF(NOT(AND(P198,S198&lt;&gt;0)), Constants!$B$13, IF(O198, Constants!$B$15, Constants!$B$14)))))</f>
        <v/>
      </c>
      <c r="W198" s="85" t="str">
        <f aca="false">IF(OR(ISBLANK($C198), SUMPRODUCT(--(P198:T198&lt;&gt;""))=0), "", IF(V198&lt;&gt;Constants!$B$14, V198, IF(AND(NOT(ISBLANK(J198)),P198,Q198,R198&lt;&gt;Constants!$B$2), Constants!$B$7, IF(AND(P198,OR(NOT(Q198),R198=Constants!$B$2)), Constants!$B$8, "Error"))))</f>
        <v/>
      </c>
      <c r="X198" s="87" t="str">
        <f aca="false">IF(OR(W198=Constants!$B$7,W198=Constants!$B$8), MAX(0, MIN(Constants!$B$6, S198))+IF(AND(R198=Constants!$B$4, NOT(U198)), Constants!$B$5, 0), "")</f>
        <v/>
      </c>
      <c r="Y198" s="85" t="str">
        <f aca="false">IF(ISBLANK($C198),"",IF(AND(ISNUMBER(X198),N198&gt;0),X198/N198, "") )</f>
        <v/>
      </c>
      <c r="Z198" s="85" t="str">
        <f aca="false">IF(AND(NOT(ISBLANK($C198)), W198=Constants!$B$7), Y198, "")</f>
        <v/>
      </c>
      <c r="AA198" s="85" t="str">
        <f aca="false">IF(ISNUMBER(Z198), RANK(Z198,Z$8:Z$507), "")</f>
        <v/>
      </c>
      <c r="AB198" s="85" t="str">
        <f aca="false">IF(AND(NOT(ISBLANK($C198)), W198=Constants!$B$8), Y198, "")</f>
        <v/>
      </c>
      <c r="AC198" s="85" t="str">
        <f aca="false">IF(ISNUMBER(AB198), RANK(AB198,AB$8:AB$507), "")</f>
        <v/>
      </c>
      <c r="AD198" s="85" t="str">
        <f aca="false">IF(ISBLANK($C198),"",IF(V198&lt;&gt;Constants!$B$14, V198, IF(W198=Constants!$B$7, AA198, IF(W198=Constants!$B$8, COUNT($AA$8:$AA$507) + AC198, ""))))</f>
        <v/>
      </c>
      <c r="AE198" s="85" t="str">
        <f aca="false">N198</f>
        <v/>
      </c>
      <c r="AF198" s="85" t="str">
        <f aca="false">IF(ISNUMBER(AE198), RANK(AE198,AE$8:AE$507,1), "")</f>
        <v/>
      </c>
      <c r="AG198" s="88" t="str">
        <f aca="false">IF(ISBLANK(C198), "", ABS(M198-S198))</f>
        <v/>
      </c>
      <c r="AH198" s="85" t="str">
        <f aca="false">IF(ISNUMBER(AG198), RANK(AG198,AG$8:AG$507,1), "")</f>
        <v/>
      </c>
      <c r="AI198" s="85" t="str">
        <f aca="false">IF(ISBLANK(C198),"",IF(V198&lt;&gt;Constants!$B$14, V198, RANK(AD198, AD$8:AD$507, 1)+ SUMPRODUCT(--(AD$8:AD$507=AD198),--(AF198&gt;AF$8:AF$507)) + SUMPRODUCT(--(AD$8:AD$507=AD198),--(AF198=AF$8:AF$507),--(AH198&gt;AH$8:AH$507))))</f>
        <v/>
      </c>
      <c r="AJ198" s="85" t="str">
        <f aca="false">IF(ISBLANK(C198),"",IF(V198&lt;&gt;Constants!$B$14, V198, AD198-AI198))</f>
        <v/>
      </c>
      <c r="AK198" s="89"/>
      <c r="AL198" s="90" t="str">
        <f aca="false">IF(ISBLANK($C198),"",IF($V198&lt;&gt;Constants!$B$14,$V198,X198))</f>
        <v/>
      </c>
      <c r="AM198" s="90" t="str">
        <f aca="false">IF(ISBLANK($C198),"",IF($V198&lt;&gt;Constants!$B$14,$V198,N198))</f>
        <v/>
      </c>
      <c r="AN198" s="91" t="str">
        <f aca="false">IF(ISBLANK(C198),"",IF(V198&lt;&gt;Constants!$B$14, V198, IF(W198=Constants!$B$7,Z198,IF(W198=Constants!$B$8,AB198,""))))</f>
        <v/>
      </c>
      <c r="AO198" s="92" t="str">
        <f aca="false">IF(ISBLANK(C198),"",W198)</f>
        <v/>
      </c>
      <c r="AP198" s="92" t="str">
        <f aca="false">IF(ISBLANK(C198),"",AJ198)</f>
        <v/>
      </c>
      <c r="AQ198" s="92" t="str">
        <f aca="false">IF(ISBLANK(C198),"",AI198)</f>
        <v/>
      </c>
      <c r="AR198" s="93" t="str">
        <f aca="false">IF(ISBLANK(C198),
  "",
IF(AQ198=Constants!$B$11,COUNTA($C$8:$C$507)+2,IF(AQ198=Constants!$B$12,COUNTA($C$8:$C$507)+1,IF(AQ198=Constants!$B$13,COUNTA($C$8:$C$507),AQ198))))</f>
        <v/>
      </c>
      <c r="AS198" s="3"/>
      <c r="AT198" s="94" t="n">
        <f aca="false">IF(OR(ISNUMBER(AQ198),AQ198="DQ",AQ198="P",AQ198="NS"),
    1,
    0
)</f>
        <v>0</v>
      </c>
      <c r="AU198" s="94" t="n">
        <v>191</v>
      </c>
      <c r="AV198" s="94" t="str">
        <f aca="false">IF(ISBLANK($C198),
    "",
   IF(ISNUMBER(AR198),AR198+ROW($B198)/1000,"")
)</f>
        <v/>
      </c>
      <c r="AW198" s="94" t="str">
        <f aca="false">IF(ISNUMBER(AV198), RANK(AV198,AV$8:AV$507,1), "")</f>
        <v/>
      </c>
      <c r="AX198" s="94" t="str">
        <f aca="false">IF(ISBLANK($C198),
    "",
    $B198
)</f>
        <v/>
      </c>
      <c r="AY198" s="94" t="str">
        <f aca="false">IF(ISBLANK($C198),
    "",
    $C198
)</f>
        <v/>
      </c>
      <c r="AZ198" s="94" t="str">
        <f aca="false">IF(ISBLANK($C198),
    "",
    $D198
)</f>
        <v/>
      </c>
      <c r="BA198" s="94" t="str">
        <f aca="false">AO198</f>
        <v/>
      </c>
      <c r="BB198" s="95" t="str">
        <f aca="false">AN198</f>
        <v/>
      </c>
      <c r="BC198" s="94" t="str">
        <f aca="false">IF(ISBLANK($C198),
    "",
    AQ198
)</f>
        <v/>
      </c>
      <c r="BD198" s="96" t="str">
        <f aca="false">IF(AU198&gt;AT$7,
    "",
    VLOOKUP(AU198,AW$8:BC$507,7,FALSE())
)</f>
        <v/>
      </c>
      <c r="BE198" s="97" t="str">
        <f aca="false">IF(AU198&gt;AT$7,
    "",
    VLOOKUP(AU198,AW$8:BC$507,2,FALSE())
)</f>
        <v/>
      </c>
      <c r="BF198" s="97" t="str">
        <f aca="false">IF(AU198&gt;AT$7,
    "",
    VLOOKUP(AU198,AW$8:BC$507,3,FALSE())
)</f>
        <v/>
      </c>
      <c r="BG198" s="97" t="str">
        <f aca="false">IF(AU198&gt;AT$7,
    "",
    VLOOKUP(AU198,AW$8:BC$507,4,FALSE())
)</f>
        <v/>
      </c>
      <c r="BH198" s="97" t="str">
        <f aca="false">IF(AU198&gt;AT$7,
    "",
    VLOOKUP(AU198,AW$8:BC$507,5,FALSE())
)</f>
        <v/>
      </c>
      <c r="BI198" s="98" t="str">
        <f aca="false">IF(AU198&gt;AT$7,
    "",
    VLOOKUP(AU198,AW$8:BC$507,6,FALSE())
)</f>
        <v/>
      </c>
      <c r="BJ198" s="46"/>
    </row>
    <row r="199" customFormat="false" ht="15.75" hidden="false" customHeight="false" outlineLevel="0" collapsed="false">
      <c r="A199" s="3"/>
      <c r="B199" s="105"/>
      <c r="C199" s="106"/>
      <c r="D199" s="99"/>
      <c r="E199" s="110"/>
      <c r="F199" s="107"/>
      <c r="G199" s="110"/>
      <c r="H199" s="103"/>
      <c r="I199" s="102"/>
      <c r="J199" s="103"/>
      <c r="K199" s="103"/>
      <c r="L199" s="85"/>
      <c r="M199" s="85" t="str">
        <f aca="false">IF(ISBLANK($C199),"",IF(ISBLANK(E199),0,E199))</f>
        <v/>
      </c>
      <c r="N199" s="85" t="str">
        <f aca="false">IF(ISBLANK($C199),"",IF(ISBLANK(F199),0,F199))</f>
        <v/>
      </c>
      <c r="O199" s="86" t="e">
        <f aca="false">IF(AND(NOT(ISBLANK($C199)),NOT($T199),COUNTA($E199:$K199)&gt;0),ISBLANK($F199),FALSE())</f>
        <v>#VALUE!</v>
      </c>
      <c r="P199" s="85" t="str">
        <f aca="false">IF(ISBLANK($C199),"",IF(G199=Constants!$B$9, TRUE(), IF(G199=Constants!$B$10, FALSE(), TRUE())))</f>
        <v/>
      </c>
      <c r="Q199" s="85" t="str">
        <f aca="false">IF(ISBLANK($C199),"",IF(H199=Constants!$B$9, TRUE(), IF(H199=Constants!$B$10, FALSE(), TRUE())))</f>
        <v/>
      </c>
      <c r="R199" s="85" t="str">
        <f aca="false">IF(ISBLANK($C199),"",IF(ISBLANK(I199),Constants!$B$3,I199))</f>
        <v/>
      </c>
      <c r="S199" s="85" t="str">
        <f aca="false">IF(ISBLANK($C199),"",IF(ISBLANK(J199),0,MIN(J199,Constants!$B$6)))</f>
        <v/>
      </c>
      <c r="T199" s="85" t="str">
        <f aca="false">IF(ISBLANK($C199),"",IF(K199=Constants!$B$9, TRUE(), IF(K199=Constants!$B$10, FALSE(),  FALSE())))</f>
        <v/>
      </c>
      <c r="U199" s="85" t="str">
        <f aca="false">IF(ISBLANK($C199),"",AND(R199=Constants!$B$4, S199&lt;Constants!$B$6))</f>
        <v/>
      </c>
      <c r="V199" s="85" t="str">
        <f aca="false">IF(ISBLANK(C199), "", IF(T199, Constants!$B$11, IF(COUNTA(E199:K199)=0, Constants!$B$12, IF(NOT(AND(P199,S199&lt;&gt;0)), Constants!$B$13, IF(O199, Constants!$B$15, Constants!$B$14)))))</f>
        <v/>
      </c>
      <c r="W199" s="85" t="str">
        <f aca="false">IF(OR(ISBLANK($C199), SUMPRODUCT(--(P199:T199&lt;&gt;""))=0), "", IF(V199&lt;&gt;Constants!$B$14, V199, IF(AND(NOT(ISBLANK(J199)),P199,Q199,R199&lt;&gt;Constants!$B$2), Constants!$B$7, IF(AND(P199,OR(NOT(Q199),R199=Constants!$B$2)), Constants!$B$8, "Error"))))</f>
        <v/>
      </c>
      <c r="X199" s="87" t="str">
        <f aca="false">IF(OR(W199=Constants!$B$7,W199=Constants!$B$8), MAX(0, MIN(Constants!$B$6, S199))+IF(AND(R199=Constants!$B$4, NOT(U199)), Constants!$B$5, 0), "")</f>
        <v/>
      </c>
      <c r="Y199" s="85" t="str">
        <f aca="false">IF(ISBLANK($C199),"",IF(AND(ISNUMBER(X199),N199&gt;0),X199/N199, "") )</f>
        <v/>
      </c>
      <c r="Z199" s="85" t="str">
        <f aca="false">IF(AND(NOT(ISBLANK($C199)), W199=Constants!$B$7), Y199, "")</f>
        <v/>
      </c>
      <c r="AA199" s="85" t="str">
        <f aca="false">IF(ISNUMBER(Z199), RANK(Z199,Z$8:Z$507), "")</f>
        <v/>
      </c>
      <c r="AB199" s="85" t="str">
        <f aca="false">IF(AND(NOT(ISBLANK($C199)), W199=Constants!$B$8), Y199, "")</f>
        <v/>
      </c>
      <c r="AC199" s="85" t="str">
        <f aca="false">IF(ISNUMBER(AB199), RANK(AB199,AB$8:AB$507), "")</f>
        <v/>
      </c>
      <c r="AD199" s="85" t="str">
        <f aca="false">IF(ISBLANK($C199),"",IF(V199&lt;&gt;Constants!$B$14, V199, IF(W199=Constants!$B$7, AA199, IF(W199=Constants!$B$8, COUNT($AA$8:$AA$507) + AC199, ""))))</f>
        <v/>
      </c>
      <c r="AE199" s="85" t="str">
        <f aca="false">N199</f>
        <v/>
      </c>
      <c r="AF199" s="85" t="str">
        <f aca="false">IF(ISNUMBER(AE199), RANK(AE199,AE$8:AE$507,1), "")</f>
        <v/>
      </c>
      <c r="AG199" s="88" t="str">
        <f aca="false">IF(ISBLANK(C199), "", ABS(M199-S199))</f>
        <v/>
      </c>
      <c r="AH199" s="85" t="str">
        <f aca="false">IF(ISNUMBER(AG199), RANK(AG199,AG$8:AG$507,1), "")</f>
        <v/>
      </c>
      <c r="AI199" s="85" t="str">
        <f aca="false">IF(ISBLANK(C199),"",IF(V199&lt;&gt;Constants!$B$14, V199, RANK(AD199, AD$8:AD$507, 1)+ SUMPRODUCT(--(AD$8:AD$507=AD199),--(AF199&gt;AF$8:AF$507)) + SUMPRODUCT(--(AD$8:AD$507=AD199),--(AF199=AF$8:AF$507),--(AH199&gt;AH$8:AH$507))))</f>
        <v/>
      </c>
      <c r="AJ199" s="85" t="str">
        <f aca="false">IF(ISBLANK(C199),"",IF(V199&lt;&gt;Constants!$B$14, V199, AD199-AI199))</f>
        <v/>
      </c>
      <c r="AK199" s="89"/>
      <c r="AL199" s="90" t="str">
        <f aca="false">IF(ISBLANK($C199),"",IF($V199&lt;&gt;Constants!$B$14,$V199,X199))</f>
        <v/>
      </c>
      <c r="AM199" s="90" t="str">
        <f aca="false">IF(ISBLANK($C199),"",IF($V199&lt;&gt;Constants!$B$14,$V199,N199))</f>
        <v/>
      </c>
      <c r="AN199" s="91" t="str">
        <f aca="false">IF(ISBLANK(C199),"",IF(V199&lt;&gt;Constants!$B$14, V199, IF(W199=Constants!$B$7,Z199,IF(W199=Constants!$B$8,AB199,""))))</f>
        <v/>
      </c>
      <c r="AO199" s="92" t="str">
        <f aca="false">IF(ISBLANK(C199),"",W199)</f>
        <v/>
      </c>
      <c r="AP199" s="92" t="str">
        <f aca="false">IF(ISBLANK(C199),"",AJ199)</f>
        <v/>
      </c>
      <c r="AQ199" s="92" t="str">
        <f aca="false">IF(ISBLANK(C199),"",AI199)</f>
        <v/>
      </c>
      <c r="AR199" s="93" t="str">
        <f aca="false">IF(ISBLANK(C199),
  "",
IF(AQ199=Constants!$B$11,COUNTA($C$8:$C$507)+2,IF(AQ199=Constants!$B$12,COUNTA($C$8:$C$507)+1,IF(AQ199=Constants!$B$13,COUNTA($C$8:$C$507),AQ199))))</f>
        <v/>
      </c>
      <c r="AS199" s="3"/>
      <c r="AT199" s="94" t="n">
        <f aca="false">IF(OR(ISNUMBER(AQ199),AQ199="DQ",AQ199="P",AQ199="NS"),
    1,
    0
)</f>
        <v>0</v>
      </c>
      <c r="AU199" s="94" t="n">
        <v>192</v>
      </c>
      <c r="AV199" s="94" t="str">
        <f aca="false">IF(ISBLANK($C199),
    "",
   IF(ISNUMBER(AR199),AR199+ROW($B199)/1000,"")
)</f>
        <v/>
      </c>
      <c r="AW199" s="94" t="str">
        <f aca="false">IF(ISNUMBER(AV199), RANK(AV199,AV$8:AV$507,1), "")</f>
        <v/>
      </c>
      <c r="AX199" s="94" t="str">
        <f aca="false">IF(ISBLANK($C199),
    "",
    $B199
)</f>
        <v/>
      </c>
      <c r="AY199" s="94" t="str">
        <f aca="false">IF(ISBLANK($C199),
    "",
    $C199
)</f>
        <v/>
      </c>
      <c r="AZ199" s="94" t="str">
        <f aca="false">IF(ISBLANK($C199),
    "",
    $D199
)</f>
        <v/>
      </c>
      <c r="BA199" s="94" t="str">
        <f aca="false">AO199</f>
        <v/>
      </c>
      <c r="BB199" s="95" t="str">
        <f aca="false">AN199</f>
        <v/>
      </c>
      <c r="BC199" s="94" t="str">
        <f aca="false">IF(ISBLANK($C199),
    "",
    AQ199
)</f>
        <v/>
      </c>
      <c r="BD199" s="96" t="str">
        <f aca="false">IF(AU199&gt;AT$7,
    "",
    VLOOKUP(AU199,AW$8:BC$507,7,FALSE())
)</f>
        <v/>
      </c>
      <c r="BE199" s="97" t="str">
        <f aca="false">IF(AU199&gt;AT$7,
    "",
    VLOOKUP(AU199,AW$8:BC$507,2,FALSE())
)</f>
        <v/>
      </c>
      <c r="BF199" s="97" t="str">
        <f aca="false">IF(AU199&gt;AT$7,
    "",
    VLOOKUP(AU199,AW$8:BC$507,3,FALSE())
)</f>
        <v/>
      </c>
      <c r="BG199" s="97" t="str">
        <f aca="false">IF(AU199&gt;AT$7,
    "",
    VLOOKUP(AU199,AW$8:BC$507,4,FALSE())
)</f>
        <v/>
      </c>
      <c r="BH199" s="97" t="str">
        <f aca="false">IF(AU199&gt;AT$7,
    "",
    VLOOKUP(AU199,AW$8:BC$507,5,FALSE())
)</f>
        <v/>
      </c>
      <c r="BI199" s="98" t="str">
        <f aca="false">IF(AU199&gt;AT$7,
    "",
    VLOOKUP(AU199,AW$8:BC$507,6,FALSE())
)</f>
        <v/>
      </c>
      <c r="BJ199" s="46"/>
    </row>
    <row r="200" customFormat="false" ht="15.75" hidden="false" customHeight="false" outlineLevel="0" collapsed="false">
      <c r="A200" s="3"/>
      <c r="B200" s="108"/>
      <c r="C200" s="70"/>
      <c r="D200" s="49"/>
      <c r="E200" s="109"/>
      <c r="F200" s="72"/>
      <c r="G200" s="109"/>
      <c r="H200" s="74"/>
      <c r="I200" s="104"/>
      <c r="J200" s="74"/>
      <c r="K200" s="74"/>
      <c r="L200" s="55"/>
      <c r="M200" s="55" t="str">
        <f aca="false">IF(ISBLANK($C200),"",IF(ISBLANK(E200),0,E200))</f>
        <v/>
      </c>
      <c r="N200" s="55" t="str">
        <f aca="false">IF(ISBLANK($C200),"",IF(ISBLANK(F200),0,F200))</f>
        <v/>
      </c>
      <c r="O200" s="55" t="e">
        <f aca="false">IF(AND(NOT(ISBLANK($C200)),NOT($T200),COUNTA($E200:$K200)&gt;0),ISBLANK($F200),FALSE())</f>
        <v>#VALUE!</v>
      </c>
      <c r="P200" s="55" t="str">
        <f aca="false">IF(ISBLANK($C200),"",IF(G200=Constants!$B$9, TRUE(), IF(G200=Constants!$B$10, FALSE(), TRUE())))</f>
        <v/>
      </c>
      <c r="Q200" s="55" t="str">
        <f aca="false">IF(ISBLANK($C200),"",IF(H200=Constants!$B$9, TRUE(), IF(H200=Constants!$B$10, FALSE(), TRUE())))</f>
        <v/>
      </c>
      <c r="R200" s="55" t="str">
        <f aca="false">IF(ISBLANK($C200),"",IF(ISBLANK(I200),Constants!$B$3,I200))</f>
        <v/>
      </c>
      <c r="S200" s="55" t="str">
        <f aca="false">IF(ISBLANK($C200),"",IF(ISBLANK(J200),0,MIN(J200,Constants!$B$6)))</f>
        <v/>
      </c>
      <c r="T200" s="55" t="str">
        <f aca="false">IF(ISBLANK($C200),"",IF(K200=Constants!$B$9, TRUE(), IF(K200=Constants!$B$10, FALSE(),  FALSE())))</f>
        <v/>
      </c>
      <c r="U200" s="55" t="str">
        <f aca="false">IF(ISBLANK($C200),"",AND(R200=Constants!$B$4, S200&lt;Constants!$B$6))</f>
        <v/>
      </c>
      <c r="V200" s="55" t="str">
        <f aca="false">IF(ISBLANK(C200), "", IF(T200, Constants!$B$11, IF(COUNTA(E200:K200)=0, Constants!$B$12, IF(NOT(AND(P200,S200&lt;&gt;0)), Constants!$B$13, IF(O200, Constants!$B$15, Constants!$B$14)))))</f>
        <v/>
      </c>
      <c r="W200" s="55" t="str">
        <f aca="false">IF(OR(ISBLANK($C200), SUMPRODUCT(--(P200:T200&lt;&gt;""))=0), "", IF(V200&lt;&gt;Constants!$B$14, V200, IF(AND(NOT(ISBLANK(J200)),P200,Q200,R200&lt;&gt;Constants!$B$2), Constants!$B$7, IF(AND(P200,OR(NOT(Q200),R200=Constants!$B$2)), Constants!$B$8, "Error"))))</f>
        <v/>
      </c>
      <c r="X200" s="56" t="str">
        <f aca="false">IF(OR(W200=Constants!$B$7,W200=Constants!$B$8), MAX(0, MIN(Constants!$B$6, S200))+IF(AND(R200=Constants!$B$4, NOT(U200)), Constants!$B$5, 0), "")</f>
        <v/>
      </c>
      <c r="Y200" s="55" t="str">
        <f aca="false">IF(ISBLANK($C200),"",IF(AND(ISNUMBER(X200),N200&gt;0),X200/N200, "") )</f>
        <v/>
      </c>
      <c r="Z200" s="55" t="str">
        <f aca="false">IF(AND(NOT(ISBLANK($C200)), W200=Constants!$B$7), Y200, "")</f>
        <v/>
      </c>
      <c r="AA200" s="55" t="str">
        <f aca="false">IF(ISNUMBER(Z200), RANK(Z200,Z$8:Z$507), "")</f>
        <v/>
      </c>
      <c r="AB200" s="55" t="str">
        <f aca="false">IF(AND(NOT(ISBLANK($C200)), W200=Constants!$B$8), Y200, "")</f>
        <v/>
      </c>
      <c r="AC200" s="55" t="str">
        <f aca="false">IF(ISNUMBER(AB200), RANK(AB200,AB$8:AB$507), "")</f>
        <v/>
      </c>
      <c r="AD200" s="55" t="str">
        <f aca="false">IF(ISBLANK($C200),"",IF(V200&lt;&gt;Constants!$B$14, V200, IF(W200=Constants!$B$7, AA200, IF(W200=Constants!$B$8, COUNT($AA$8:$AA$507) + AC200, ""))))</f>
        <v/>
      </c>
      <c r="AE200" s="55" t="str">
        <f aca="false">N200</f>
        <v/>
      </c>
      <c r="AF200" s="55" t="str">
        <f aca="false">IF(ISNUMBER(AE200), RANK(AE200,AE$8:AE$507,1), "")</f>
        <v/>
      </c>
      <c r="AG200" s="57" t="str">
        <f aca="false">IF(ISBLANK(C200), "", ABS(M200-S200))</f>
        <v/>
      </c>
      <c r="AH200" s="55" t="str">
        <f aca="false">IF(ISNUMBER(AG200), RANK(AG200,AG$8:AG$507,1), "")</f>
        <v/>
      </c>
      <c r="AI200" s="55" t="str">
        <f aca="false">IF(ISBLANK(C200),"",IF(V200&lt;&gt;Constants!$B$14, V200, RANK(AD200, AD$8:AD$507, 1)+ SUMPRODUCT(--(AD$8:AD$507=AD200),--(AF200&gt;AF$8:AF$507)) + SUMPRODUCT(--(AD$8:AD$507=AD200),--(AF200=AF$8:AF$507),--(AH200&gt;AH$8:AH$507))))</f>
        <v/>
      </c>
      <c r="AJ200" s="55" t="str">
        <f aca="false">IF(ISBLANK(C200),"",IF(V200&lt;&gt;Constants!$B$14, V200, AD200-AI200))</f>
        <v/>
      </c>
      <c r="AK200" s="59"/>
      <c r="AL200" s="60" t="str">
        <f aca="false">IF(ISBLANK($C200),"",IF($V200&lt;&gt;Constants!$B$14,$V200,X200))</f>
        <v/>
      </c>
      <c r="AM200" s="60" t="str">
        <f aca="false">IF(ISBLANK($C200),"",IF($V200&lt;&gt;Constants!$B$14,$V200,N200))</f>
        <v/>
      </c>
      <c r="AN200" s="62" t="str">
        <f aca="false">IF(ISBLANK(C200),"",IF(V200&lt;&gt;Constants!$B$14, V200, IF(W200=Constants!$B$7,Z200,IF(W200=Constants!$B$8,AB200,""))))</f>
        <v/>
      </c>
      <c r="AO200" s="63" t="str">
        <f aca="false">IF(ISBLANK(C200),"",W200)</f>
        <v/>
      </c>
      <c r="AP200" s="63" t="str">
        <f aca="false">IF(ISBLANK(C200),"",AJ200)</f>
        <v/>
      </c>
      <c r="AQ200" s="63" t="str">
        <f aca="false">IF(ISBLANK(C200),"",AI200)</f>
        <v/>
      </c>
      <c r="AR200" s="64" t="str">
        <f aca="false">IF(ISBLANK(C200),
  "",
IF(AQ200=Constants!$B$11,COUNTA($C$8:$C$507)+2,IF(AQ200=Constants!$B$12,COUNTA($C$8:$C$507)+1,IF(AQ200=Constants!$B$13,COUNTA($C$8:$C$507),AQ200))))</f>
        <v/>
      </c>
      <c r="AS200" s="3"/>
      <c r="AT200" s="65" t="n">
        <f aca="false">IF(OR(ISNUMBER(AQ200),AQ200="DQ",AQ200="P",AQ200="NS"),
    1,
    0
)</f>
        <v>0</v>
      </c>
      <c r="AU200" s="65" t="n">
        <v>193</v>
      </c>
      <c r="AV200" s="65" t="str">
        <f aca="false">IF(ISBLANK($C200),
    "",
   IF(ISNUMBER(AR200),AR200+ROW($B200)/1000,"")
)</f>
        <v/>
      </c>
      <c r="AW200" s="65" t="str">
        <f aca="false">IF(ISNUMBER(AV200), RANK(AV200,AV$8:AV$507,1), "")</f>
        <v/>
      </c>
      <c r="AX200" s="65" t="str">
        <f aca="false">IF(ISBLANK($C200),
    "",
    $B200
)</f>
        <v/>
      </c>
      <c r="AY200" s="65" t="str">
        <f aca="false">IF(ISBLANK($C200),
    "",
    $C200
)</f>
        <v/>
      </c>
      <c r="AZ200" s="65" t="str">
        <f aca="false">IF(ISBLANK($C200),
    "",
    $D200
)</f>
        <v/>
      </c>
      <c r="BA200" s="65" t="str">
        <f aca="false">AO200</f>
        <v/>
      </c>
      <c r="BB200" s="66" t="str">
        <f aca="false">AN200</f>
        <v/>
      </c>
      <c r="BC200" s="65" t="str">
        <f aca="false">IF(ISBLANK($C200),
    "",
    AQ200
)</f>
        <v/>
      </c>
      <c r="BD200" s="67" t="str">
        <f aca="false">IF(AU200&gt;AT$7,
    "",
    VLOOKUP(AU200,AW$8:BC$507,7,FALSE())
)</f>
        <v/>
      </c>
      <c r="BE200" s="68" t="str">
        <f aca="false">IF(AU200&gt;AT$7,
    "",
    VLOOKUP(AU200,AW$8:BC$507,2,FALSE())
)</f>
        <v/>
      </c>
      <c r="BF200" s="68" t="str">
        <f aca="false">IF(AU200&gt;AT$7,
    "",
    VLOOKUP(AU200,AW$8:BC$507,3,FALSE())
)</f>
        <v/>
      </c>
      <c r="BG200" s="68" t="str">
        <f aca="false">IF(AU200&gt;AT$7,
    "",
    VLOOKUP(AU200,AW$8:BC$507,4,FALSE())
)</f>
        <v/>
      </c>
      <c r="BH200" s="68" t="str">
        <f aca="false">IF(AU200&gt;AT$7,
    "",
    VLOOKUP(AU200,AW$8:BC$507,5,FALSE())
)</f>
        <v/>
      </c>
      <c r="BI200" s="69" t="str">
        <f aca="false">IF(AU200&gt;AT$7,
    "",
    VLOOKUP(AU200,AW$8:BC$507,6,FALSE())
)</f>
        <v/>
      </c>
      <c r="BJ200" s="46"/>
    </row>
    <row r="201" customFormat="false" ht="15.75" hidden="false" customHeight="false" outlineLevel="0" collapsed="false">
      <c r="A201" s="3"/>
      <c r="B201" s="108"/>
      <c r="C201" s="70"/>
      <c r="D201" s="49"/>
      <c r="E201" s="109"/>
      <c r="F201" s="72"/>
      <c r="G201" s="109"/>
      <c r="H201" s="74"/>
      <c r="I201" s="104"/>
      <c r="J201" s="74"/>
      <c r="K201" s="74"/>
      <c r="L201" s="55"/>
      <c r="M201" s="55" t="str">
        <f aca="false">IF(ISBLANK($C201),"",IF(ISBLANK(E201),0,E201))</f>
        <v/>
      </c>
      <c r="N201" s="55" t="str">
        <f aca="false">IF(ISBLANK($C201),"",IF(ISBLANK(F201),0,F201))</f>
        <v/>
      </c>
      <c r="O201" s="55" t="e">
        <f aca="false">IF(AND(NOT(ISBLANK($C201)),NOT($T201),COUNTA($E201:$K201)&gt;0),ISBLANK($F201),FALSE())</f>
        <v>#VALUE!</v>
      </c>
      <c r="P201" s="55" t="str">
        <f aca="false">IF(ISBLANK($C201),"",IF(G201=Constants!$B$9, TRUE(), IF(G201=Constants!$B$10, FALSE(), TRUE())))</f>
        <v/>
      </c>
      <c r="Q201" s="55" t="str">
        <f aca="false">IF(ISBLANK($C201),"",IF(H201=Constants!$B$9, TRUE(), IF(H201=Constants!$B$10, FALSE(), TRUE())))</f>
        <v/>
      </c>
      <c r="R201" s="55" t="str">
        <f aca="false">IF(ISBLANK($C201),"",IF(ISBLANK(I201),Constants!$B$3,I201))</f>
        <v/>
      </c>
      <c r="S201" s="55" t="str">
        <f aca="false">IF(ISBLANK($C201),"",IF(ISBLANK(J201),0,MIN(J201,Constants!$B$6)))</f>
        <v/>
      </c>
      <c r="T201" s="55" t="str">
        <f aca="false">IF(ISBLANK($C201),"",IF(K201=Constants!$B$9, TRUE(), IF(K201=Constants!$B$10, FALSE(),  FALSE())))</f>
        <v/>
      </c>
      <c r="U201" s="55" t="str">
        <f aca="false">IF(ISBLANK($C201),"",AND(R201=Constants!$B$4, S201&lt;Constants!$B$6))</f>
        <v/>
      </c>
      <c r="V201" s="55" t="str">
        <f aca="false">IF(ISBLANK(C201), "", IF(T201, Constants!$B$11, IF(COUNTA(E201:K201)=0, Constants!$B$12, IF(NOT(AND(P201,S201&lt;&gt;0)), Constants!$B$13, IF(O201, Constants!$B$15, Constants!$B$14)))))</f>
        <v/>
      </c>
      <c r="W201" s="55" t="str">
        <f aca="false">IF(OR(ISBLANK($C201), SUMPRODUCT(--(P201:T201&lt;&gt;""))=0), "", IF(V201&lt;&gt;Constants!$B$14, V201, IF(AND(NOT(ISBLANK(J201)),P201,Q201,R201&lt;&gt;Constants!$B$2), Constants!$B$7, IF(AND(P201,OR(NOT(Q201),R201=Constants!$B$2)), Constants!$B$8, "Error"))))</f>
        <v/>
      </c>
      <c r="X201" s="56" t="str">
        <f aca="false">IF(OR(W201=Constants!$B$7,W201=Constants!$B$8), MAX(0, MIN(Constants!$B$6, S201))+IF(AND(R201=Constants!$B$4, NOT(U201)), Constants!$B$5, 0), "")</f>
        <v/>
      </c>
      <c r="Y201" s="55" t="str">
        <f aca="false">IF(ISBLANK($C201),"",IF(AND(ISNUMBER(X201),N201&gt;0),X201/N201, "") )</f>
        <v/>
      </c>
      <c r="Z201" s="55" t="str">
        <f aca="false">IF(AND(NOT(ISBLANK($C201)), W201=Constants!$B$7), Y201, "")</f>
        <v/>
      </c>
      <c r="AA201" s="55" t="str">
        <f aca="false">IF(ISNUMBER(Z201), RANK(Z201,Z$8:Z$507), "")</f>
        <v/>
      </c>
      <c r="AB201" s="55" t="str">
        <f aca="false">IF(AND(NOT(ISBLANK($C201)), W201=Constants!$B$8), Y201, "")</f>
        <v/>
      </c>
      <c r="AC201" s="55" t="str">
        <f aca="false">IF(ISNUMBER(AB201), RANK(AB201,AB$8:AB$507), "")</f>
        <v/>
      </c>
      <c r="AD201" s="55" t="str">
        <f aca="false">IF(ISBLANK($C201),"",IF(V201&lt;&gt;Constants!$B$14, V201, IF(W201=Constants!$B$7, AA201, IF(W201=Constants!$B$8, COUNT($AA$8:$AA$507) + AC201, ""))))</f>
        <v/>
      </c>
      <c r="AE201" s="55" t="str">
        <f aca="false">N201</f>
        <v/>
      </c>
      <c r="AF201" s="55" t="str">
        <f aca="false">IF(ISNUMBER(AE201), RANK(AE201,AE$8:AE$507,1), "")</f>
        <v/>
      </c>
      <c r="AG201" s="57" t="str">
        <f aca="false">IF(ISBLANK(C201), "", ABS(M201-S201))</f>
        <v/>
      </c>
      <c r="AH201" s="55" t="str">
        <f aca="false">IF(ISNUMBER(AG201), RANK(AG201,AG$8:AG$507,1), "")</f>
        <v/>
      </c>
      <c r="AI201" s="55" t="str">
        <f aca="false">IF(ISBLANK(C201),"",IF(V201&lt;&gt;Constants!$B$14, V201, RANK(AD201, AD$8:AD$507, 1)+ SUMPRODUCT(--(AD$8:AD$507=AD201),--(AF201&gt;AF$8:AF$507)) + SUMPRODUCT(--(AD$8:AD$507=AD201),--(AF201=AF$8:AF$507),--(AH201&gt;AH$8:AH$507))))</f>
        <v/>
      </c>
      <c r="AJ201" s="55" t="str">
        <f aca="false">IF(ISBLANK(C201),"",IF(V201&lt;&gt;Constants!$B$14, V201, AD201-AI201))</f>
        <v/>
      </c>
      <c r="AK201" s="59"/>
      <c r="AL201" s="60" t="str">
        <f aca="false">IF(ISBLANK($C201),"",IF($V201&lt;&gt;Constants!$B$14,$V201,X201))</f>
        <v/>
      </c>
      <c r="AM201" s="60" t="str">
        <f aca="false">IF(ISBLANK($C201),"",IF($V201&lt;&gt;Constants!$B$14,$V201,N201))</f>
        <v/>
      </c>
      <c r="AN201" s="62" t="str">
        <f aca="false">IF(ISBLANK(C201),"",IF(V201&lt;&gt;Constants!$B$14, V201, IF(W201=Constants!$B$7,Z201,IF(W201=Constants!$B$8,AB201,""))))</f>
        <v/>
      </c>
      <c r="AO201" s="63" t="str">
        <f aca="false">IF(ISBLANK(C201),"",W201)</f>
        <v/>
      </c>
      <c r="AP201" s="63" t="str">
        <f aca="false">IF(ISBLANK(C201),"",AJ201)</f>
        <v/>
      </c>
      <c r="AQ201" s="63" t="str">
        <f aca="false">IF(ISBLANK(C201),"",AI201)</f>
        <v/>
      </c>
      <c r="AR201" s="64" t="str">
        <f aca="false">IF(ISBLANK(C201),
  "",
IF(AQ201=Constants!$B$11,COUNTA($C$8:$C$507)+2,IF(AQ201=Constants!$B$12,COUNTA($C$8:$C$507)+1,IF(AQ201=Constants!$B$13,COUNTA($C$8:$C$507),AQ201))))</f>
        <v/>
      </c>
      <c r="AS201" s="3"/>
      <c r="AT201" s="65" t="n">
        <f aca="false">IF(OR(ISNUMBER(AQ201),AQ201="DQ",AQ201="P",AQ201="NS"),
    1,
    0
)</f>
        <v>0</v>
      </c>
      <c r="AU201" s="65" t="n">
        <v>194</v>
      </c>
      <c r="AV201" s="65" t="str">
        <f aca="false">IF(ISBLANK($C201),
    "",
   IF(ISNUMBER(AR201),AR201+ROW($B201)/1000,"")
)</f>
        <v/>
      </c>
      <c r="AW201" s="65" t="str">
        <f aca="false">IF(ISNUMBER(AV201), RANK(AV201,AV$8:AV$507,1), "")</f>
        <v/>
      </c>
      <c r="AX201" s="65" t="str">
        <f aca="false">IF(ISBLANK($C201),
    "",
    $B201
)</f>
        <v/>
      </c>
      <c r="AY201" s="65" t="str">
        <f aca="false">IF(ISBLANK($C201),
    "",
    $C201
)</f>
        <v/>
      </c>
      <c r="AZ201" s="65" t="str">
        <f aca="false">IF(ISBLANK($C201),
    "",
    $D201
)</f>
        <v/>
      </c>
      <c r="BA201" s="65" t="str">
        <f aca="false">AO201</f>
        <v/>
      </c>
      <c r="BB201" s="66" t="str">
        <f aca="false">AN201</f>
        <v/>
      </c>
      <c r="BC201" s="65" t="str">
        <f aca="false">IF(ISBLANK($C201),
    "",
    AQ201
)</f>
        <v/>
      </c>
      <c r="BD201" s="67" t="str">
        <f aca="false">IF(AU201&gt;AT$7,
    "",
    VLOOKUP(AU201,AW$8:BC$507,7,FALSE())
)</f>
        <v/>
      </c>
      <c r="BE201" s="68" t="str">
        <f aca="false">IF(AU201&gt;AT$7,
    "",
    VLOOKUP(AU201,AW$8:BC$507,2,FALSE())
)</f>
        <v/>
      </c>
      <c r="BF201" s="68" t="str">
        <f aca="false">IF(AU201&gt;AT$7,
    "",
    VLOOKUP(AU201,AW$8:BC$507,3,FALSE())
)</f>
        <v/>
      </c>
      <c r="BG201" s="68" t="str">
        <f aca="false">IF(AU201&gt;AT$7,
    "",
    VLOOKUP(AU201,AW$8:BC$507,4,FALSE())
)</f>
        <v/>
      </c>
      <c r="BH201" s="68" t="str">
        <f aca="false">IF(AU201&gt;AT$7,
    "",
    VLOOKUP(AU201,AW$8:BC$507,5,FALSE())
)</f>
        <v/>
      </c>
      <c r="BI201" s="69" t="str">
        <f aca="false">IF(AU201&gt;AT$7,
    "",
    VLOOKUP(AU201,AW$8:BC$507,6,FALSE())
)</f>
        <v/>
      </c>
      <c r="BJ201" s="46"/>
    </row>
    <row r="202" customFormat="false" ht="15.75" hidden="false" customHeight="false" outlineLevel="0" collapsed="false">
      <c r="A202" s="3"/>
      <c r="B202" s="108"/>
      <c r="C202" s="70"/>
      <c r="D202" s="49"/>
      <c r="E202" s="109"/>
      <c r="F202" s="72"/>
      <c r="G202" s="109"/>
      <c r="H202" s="74"/>
      <c r="I202" s="104"/>
      <c r="J202" s="74"/>
      <c r="K202" s="74"/>
      <c r="L202" s="55"/>
      <c r="M202" s="55" t="str">
        <f aca="false">IF(ISBLANK($C202),"",IF(ISBLANK(E202),0,E202))</f>
        <v/>
      </c>
      <c r="N202" s="55" t="str">
        <f aca="false">IF(ISBLANK($C202),"",IF(ISBLANK(F202),0,F202))</f>
        <v/>
      </c>
      <c r="O202" s="55" t="e">
        <f aca="false">IF(AND(NOT(ISBLANK($C202)),NOT($T202),COUNTA($E202:$K202)&gt;0),ISBLANK($F202),FALSE())</f>
        <v>#VALUE!</v>
      </c>
      <c r="P202" s="55" t="str">
        <f aca="false">IF(ISBLANK($C202),"",IF(G202=Constants!$B$9, TRUE(), IF(G202=Constants!$B$10, FALSE(), TRUE())))</f>
        <v/>
      </c>
      <c r="Q202" s="55" t="str">
        <f aca="false">IF(ISBLANK($C202),"",IF(H202=Constants!$B$9, TRUE(), IF(H202=Constants!$B$10, FALSE(), TRUE())))</f>
        <v/>
      </c>
      <c r="R202" s="55" t="str">
        <f aca="false">IF(ISBLANK($C202),"",IF(ISBLANK(I202),Constants!$B$3,I202))</f>
        <v/>
      </c>
      <c r="S202" s="55" t="str">
        <f aca="false">IF(ISBLANK($C202),"",IF(ISBLANK(J202),0,MIN(J202,Constants!$B$6)))</f>
        <v/>
      </c>
      <c r="T202" s="55" t="str">
        <f aca="false">IF(ISBLANK($C202),"",IF(K202=Constants!$B$9, TRUE(), IF(K202=Constants!$B$10, FALSE(),  FALSE())))</f>
        <v/>
      </c>
      <c r="U202" s="55" t="str">
        <f aca="false">IF(ISBLANK($C202),"",AND(R202=Constants!$B$4, S202&lt;Constants!$B$6))</f>
        <v/>
      </c>
      <c r="V202" s="55" t="str">
        <f aca="false">IF(ISBLANK(C202), "", IF(T202, Constants!$B$11, IF(COUNTA(E202:K202)=0, Constants!$B$12, IF(NOT(AND(P202,S202&lt;&gt;0)), Constants!$B$13, IF(O202, Constants!$B$15, Constants!$B$14)))))</f>
        <v/>
      </c>
      <c r="W202" s="55" t="str">
        <f aca="false">IF(OR(ISBLANK($C202), SUMPRODUCT(--(P202:T202&lt;&gt;""))=0), "", IF(V202&lt;&gt;Constants!$B$14, V202, IF(AND(NOT(ISBLANK(J202)),P202,Q202,R202&lt;&gt;Constants!$B$2), Constants!$B$7, IF(AND(P202,OR(NOT(Q202),R202=Constants!$B$2)), Constants!$B$8, "Error"))))</f>
        <v/>
      </c>
      <c r="X202" s="56" t="str">
        <f aca="false">IF(OR(W202=Constants!$B$7,W202=Constants!$B$8), MAX(0, MIN(Constants!$B$6, S202))+IF(AND(R202=Constants!$B$4, NOT(U202)), Constants!$B$5, 0), "")</f>
        <v/>
      </c>
      <c r="Y202" s="55" t="str">
        <f aca="false">IF(ISBLANK($C202),"",IF(AND(ISNUMBER(X202),N202&gt;0),X202/N202, "") )</f>
        <v/>
      </c>
      <c r="Z202" s="55" t="str">
        <f aca="false">IF(AND(NOT(ISBLANK($C202)), W202=Constants!$B$7), Y202, "")</f>
        <v/>
      </c>
      <c r="AA202" s="55" t="str">
        <f aca="false">IF(ISNUMBER(Z202), RANK(Z202,Z$8:Z$507), "")</f>
        <v/>
      </c>
      <c r="AB202" s="55" t="str">
        <f aca="false">IF(AND(NOT(ISBLANK($C202)), W202=Constants!$B$8), Y202, "")</f>
        <v/>
      </c>
      <c r="AC202" s="55" t="str">
        <f aca="false">IF(ISNUMBER(AB202), RANK(AB202,AB$8:AB$507), "")</f>
        <v/>
      </c>
      <c r="AD202" s="55" t="str">
        <f aca="false">IF(ISBLANK($C202),"",IF(V202&lt;&gt;Constants!$B$14, V202, IF(W202=Constants!$B$7, AA202, IF(W202=Constants!$B$8, COUNT($AA$8:$AA$507) + AC202, ""))))</f>
        <v/>
      </c>
      <c r="AE202" s="55" t="str">
        <f aca="false">N202</f>
        <v/>
      </c>
      <c r="AF202" s="55" t="str">
        <f aca="false">IF(ISNUMBER(AE202), RANK(AE202,AE$8:AE$507,1), "")</f>
        <v/>
      </c>
      <c r="AG202" s="57" t="str">
        <f aca="false">IF(ISBLANK(C202), "", ABS(M202-S202))</f>
        <v/>
      </c>
      <c r="AH202" s="55" t="str">
        <f aca="false">IF(ISNUMBER(AG202), RANK(AG202,AG$8:AG$507,1), "")</f>
        <v/>
      </c>
      <c r="AI202" s="55" t="str">
        <f aca="false">IF(ISBLANK(C202),"",IF(V202&lt;&gt;Constants!$B$14, V202, RANK(AD202, AD$8:AD$507, 1)+ SUMPRODUCT(--(AD$8:AD$507=AD202),--(AF202&gt;AF$8:AF$507)) + SUMPRODUCT(--(AD$8:AD$507=AD202),--(AF202=AF$8:AF$507),--(AH202&gt;AH$8:AH$507))))</f>
        <v/>
      </c>
      <c r="AJ202" s="55" t="str">
        <f aca="false">IF(ISBLANK(C202),"",IF(V202&lt;&gt;Constants!$B$14, V202, AD202-AI202))</f>
        <v/>
      </c>
      <c r="AK202" s="59"/>
      <c r="AL202" s="60" t="str">
        <f aca="false">IF(ISBLANK($C202),"",IF($V202&lt;&gt;Constants!$B$14,$V202,X202))</f>
        <v/>
      </c>
      <c r="AM202" s="60" t="str">
        <f aca="false">IF(ISBLANK($C202),"",IF($V202&lt;&gt;Constants!$B$14,$V202,N202))</f>
        <v/>
      </c>
      <c r="AN202" s="62" t="str">
        <f aca="false">IF(ISBLANK(C202),"",IF(V202&lt;&gt;Constants!$B$14, V202, IF(W202=Constants!$B$7,Z202,IF(W202=Constants!$B$8,AB202,""))))</f>
        <v/>
      </c>
      <c r="AO202" s="63" t="str">
        <f aca="false">IF(ISBLANK(C202),"",W202)</f>
        <v/>
      </c>
      <c r="AP202" s="63" t="str">
        <f aca="false">IF(ISBLANK(C202),"",AJ202)</f>
        <v/>
      </c>
      <c r="AQ202" s="63" t="str">
        <f aca="false">IF(ISBLANK(C202),"",AI202)</f>
        <v/>
      </c>
      <c r="AR202" s="64" t="str">
        <f aca="false">IF(ISBLANK(C202),
  "",
IF(AQ202=Constants!$B$11,COUNTA($C$8:$C$507)+2,IF(AQ202=Constants!$B$12,COUNTA($C$8:$C$507)+1,IF(AQ202=Constants!$B$13,COUNTA($C$8:$C$507),AQ202))))</f>
        <v/>
      </c>
      <c r="AS202" s="3"/>
      <c r="AT202" s="65" t="n">
        <f aca="false">IF(OR(ISNUMBER(AQ202),AQ202="DQ",AQ202="P",AQ202="NS"),
    1,
    0
)</f>
        <v>0</v>
      </c>
      <c r="AU202" s="65" t="n">
        <v>195</v>
      </c>
      <c r="AV202" s="65" t="str">
        <f aca="false">IF(ISBLANK($C202),
    "",
   IF(ISNUMBER(AR202),AR202+ROW($B202)/1000,"")
)</f>
        <v/>
      </c>
      <c r="AW202" s="65" t="str">
        <f aca="false">IF(ISNUMBER(AV202), RANK(AV202,AV$8:AV$507,1), "")</f>
        <v/>
      </c>
      <c r="AX202" s="65" t="str">
        <f aca="false">IF(ISBLANK($C202),
    "",
    $B202
)</f>
        <v/>
      </c>
      <c r="AY202" s="65" t="str">
        <f aca="false">IF(ISBLANK($C202),
    "",
    $C202
)</f>
        <v/>
      </c>
      <c r="AZ202" s="65" t="str">
        <f aca="false">IF(ISBLANK($C202),
    "",
    $D202
)</f>
        <v/>
      </c>
      <c r="BA202" s="65" t="str">
        <f aca="false">AO202</f>
        <v/>
      </c>
      <c r="BB202" s="66" t="str">
        <f aca="false">AN202</f>
        <v/>
      </c>
      <c r="BC202" s="65" t="str">
        <f aca="false">IF(ISBLANK($C202),
    "",
    AQ202
)</f>
        <v/>
      </c>
      <c r="BD202" s="67" t="str">
        <f aca="false">IF(AU202&gt;AT$7,
    "",
    VLOOKUP(AU202,AW$8:BC$507,7,FALSE())
)</f>
        <v/>
      </c>
      <c r="BE202" s="68" t="str">
        <f aca="false">IF(AU202&gt;AT$7,
    "",
    VLOOKUP(AU202,AW$8:BC$507,2,FALSE())
)</f>
        <v/>
      </c>
      <c r="BF202" s="68" t="str">
        <f aca="false">IF(AU202&gt;AT$7,
    "",
    VLOOKUP(AU202,AW$8:BC$507,3,FALSE())
)</f>
        <v/>
      </c>
      <c r="BG202" s="68" t="str">
        <f aca="false">IF(AU202&gt;AT$7,
    "",
    VLOOKUP(AU202,AW$8:BC$507,4,FALSE())
)</f>
        <v/>
      </c>
      <c r="BH202" s="68" t="str">
        <f aca="false">IF(AU202&gt;AT$7,
    "",
    VLOOKUP(AU202,AW$8:BC$507,5,FALSE())
)</f>
        <v/>
      </c>
      <c r="BI202" s="69" t="str">
        <f aca="false">IF(AU202&gt;AT$7,
    "",
    VLOOKUP(AU202,AW$8:BC$507,6,FALSE())
)</f>
        <v/>
      </c>
      <c r="BJ202" s="46"/>
    </row>
    <row r="203" customFormat="false" ht="15.75" hidden="false" customHeight="false" outlineLevel="0" collapsed="false">
      <c r="A203" s="3"/>
      <c r="B203" s="105"/>
      <c r="C203" s="106"/>
      <c r="D203" s="99"/>
      <c r="E203" s="110"/>
      <c r="F203" s="107"/>
      <c r="G203" s="110"/>
      <c r="H203" s="103"/>
      <c r="I203" s="102"/>
      <c r="J203" s="103"/>
      <c r="K203" s="103"/>
      <c r="L203" s="85"/>
      <c r="M203" s="85" t="str">
        <f aca="false">IF(ISBLANK($C203),"",IF(ISBLANK(E203),0,E203))</f>
        <v/>
      </c>
      <c r="N203" s="85" t="str">
        <f aca="false">IF(ISBLANK($C203),"",IF(ISBLANK(F203),0,F203))</f>
        <v/>
      </c>
      <c r="O203" s="86" t="e">
        <f aca="false">IF(AND(NOT(ISBLANK($C203)),NOT($T203),COUNTA($E203:$K203)&gt;0),ISBLANK($F203),FALSE())</f>
        <v>#VALUE!</v>
      </c>
      <c r="P203" s="85" t="str">
        <f aca="false">IF(ISBLANK($C203),"",IF(G203=Constants!$B$9, TRUE(), IF(G203=Constants!$B$10, FALSE(), TRUE())))</f>
        <v/>
      </c>
      <c r="Q203" s="85" t="str">
        <f aca="false">IF(ISBLANK($C203),"",IF(H203=Constants!$B$9, TRUE(), IF(H203=Constants!$B$10, FALSE(), TRUE())))</f>
        <v/>
      </c>
      <c r="R203" s="85" t="str">
        <f aca="false">IF(ISBLANK($C203),"",IF(ISBLANK(I203),Constants!$B$3,I203))</f>
        <v/>
      </c>
      <c r="S203" s="85" t="str">
        <f aca="false">IF(ISBLANK($C203),"",IF(ISBLANK(J203),0,MIN(J203,Constants!$B$6)))</f>
        <v/>
      </c>
      <c r="T203" s="85" t="str">
        <f aca="false">IF(ISBLANK($C203),"",IF(K203=Constants!$B$9, TRUE(), IF(K203=Constants!$B$10, FALSE(),  FALSE())))</f>
        <v/>
      </c>
      <c r="U203" s="85" t="str">
        <f aca="false">IF(ISBLANK($C203),"",AND(R203=Constants!$B$4, S203&lt;Constants!$B$6))</f>
        <v/>
      </c>
      <c r="V203" s="85" t="str">
        <f aca="false">IF(ISBLANK(C203), "", IF(T203, Constants!$B$11, IF(COUNTA(E203:K203)=0, Constants!$B$12, IF(NOT(AND(P203,S203&lt;&gt;0)), Constants!$B$13, IF(O203, Constants!$B$15, Constants!$B$14)))))</f>
        <v/>
      </c>
      <c r="W203" s="85" t="str">
        <f aca="false">IF(OR(ISBLANK($C203), SUMPRODUCT(--(P203:T203&lt;&gt;""))=0), "", IF(V203&lt;&gt;Constants!$B$14, V203, IF(AND(NOT(ISBLANK(J203)),P203,Q203,R203&lt;&gt;Constants!$B$2), Constants!$B$7, IF(AND(P203,OR(NOT(Q203),R203=Constants!$B$2)), Constants!$B$8, "Error"))))</f>
        <v/>
      </c>
      <c r="X203" s="87" t="str">
        <f aca="false">IF(OR(W203=Constants!$B$7,W203=Constants!$B$8), MAX(0, MIN(Constants!$B$6, S203))+IF(AND(R203=Constants!$B$4, NOT(U203)), Constants!$B$5, 0), "")</f>
        <v/>
      </c>
      <c r="Y203" s="85" t="str">
        <f aca="false">IF(ISBLANK($C203),"",IF(AND(ISNUMBER(X203),N203&gt;0),X203/N203, "") )</f>
        <v/>
      </c>
      <c r="Z203" s="85" t="str">
        <f aca="false">IF(AND(NOT(ISBLANK($C203)), W203=Constants!$B$7), Y203, "")</f>
        <v/>
      </c>
      <c r="AA203" s="85" t="str">
        <f aca="false">IF(ISNUMBER(Z203), RANK(Z203,Z$8:Z$507), "")</f>
        <v/>
      </c>
      <c r="AB203" s="85" t="str">
        <f aca="false">IF(AND(NOT(ISBLANK($C203)), W203=Constants!$B$8), Y203, "")</f>
        <v/>
      </c>
      <c r="AC203" s="85" t="str">
        <f aca="false">IF(ISNUMBER(AB203), RANK(AB203,AB$8:AB$507), "")</f>
        <v/>
      </c>
      <c r="AD203" s="85" t="str">
        <f aca="false">IF(ISBLANK($C203),"",IF(V203&lt;&gt;Constants!$B$14, V203, IF(W203=Constants!$B$7, AA203, IF(W203=Constants!$B$8, COUNT($AA$8:$AA$507) + AC203, ""))))</f>
        <v/>
      </c>
      <c r="AE203" s="85" t="str">
        <f aca="false">N203</f>
        <v/>
      </c>
      <c r="AF203" s="85" t="str">
        <f aca="false">IF(ISNUMBER(AE203), RANK(AE203,AE$8:AE$507,1), "")</f>
        <v/>
      </c>
      <c r="AG203" s="88" t="str">
        <f aca="false">IF(ISBLANK(C203), "", ABS(M203-S203))</f>
        <v/>
      </c>
      <c r="AH203" s="85" t="str">
        <f aca="false">IF(ISNUMBER(AG203), RANK(AG203,AG$8:AG$507,1), "")</f>
        <v/>
      </c>
      <c r="AI203" s="85" t="str">
        <f aca="false">IF(ISBLANK(C203),"",IF(V203&lt;&gt;Constants!$B$14, V203, RANK(AD203, AD$8:AD$507, 1)+ SUMPRODUCT(--(AD$8:AD$507=AD203),--(AF203&gt;AF$8:AF$507)) + SUMPRODUCT(--(AD$8:AD$507=AD203),--(AF203=AF$8:AF$507),--(AH203&gt;AH$8:AH$507))))</f>
        <v/>
      </c>
      <c r="AJ203" s="85" t="str">
        <f aca="false">IF(ISBLANK(C203),"",IF(V203&lt;&gt;Constants!$B$14, V203, AD203-AI203))</f>
        <v/>
      </c>
      <c r="AK203" s="89"/>
      <c r="AL203" s="90" t="str">
        <f aca="false">IF(ISBLANK($C203),"",IF($V203&lt;&gt;Constants!$B$14,$V203,X203))</f>
        <v/>
      </c>
      <c r="AM203" s="90" t="str">
        <f aca="false">IF(ISBLANK($C203),"",IF($V203&lt;&gt;Constants!$B$14,$V203,N203))</f>
        <v/>
      </c>
      <c r="AN203" s="91" t="str">
        <f aca="false">IF(ISBLANK(C203),"",IF(V203&lt;&gt;Constants!$B$14, V203, IF(W203=Constants!$B$7,Z203,IF(W203=Constants!$B$8,AB203,""))))</f>
        <v/>
      </c>
      <c r="AO203" s="92" t="str">
        <f aca="false">IF(ISBLANK(C203),"",W203)</f>
        <v/>
      </c>
      <c r="AP203" s="92" t="str">
        <f aca="false">IF(ISBLANK(C203),"",AJ203)</f>
        <v/>
      </c>
      <c r="AQ203" s="92" t="str">
        <f aca="false">IF(ISBLANK(C203),"",AI203)</f>
        <v/>
      </c>
      <c r="AR203" s="93" t="str">
        <f aca="false">IF(ISBLANK(C203),
  "",
IF(AQ203=Constants!$B$11,COUNTA($C$8:$C$507)+2,IF(AQ203=Constants!$B$12,COUNTA($C$8:$C$507)+1,IF(AQ203=Constants!$B$13,COUNTA($C$8:$C$507),AQ203))))</f>
        <v/>
      </c>
      <c r="AS203" s="3"/>
      <c r="AT203" s="94" t="n">
        <f aca="false">IF(OR(ISNUMBER(AQ203),AQ203="DQ",AQ203="P",AQ203="NS"),
    1,
    0
)</f>
        <v>0</v>
      </c>
      <c r="AU203" s="94" t="n">
        <v>196</v>
      </c>
      <c r="AV203" s="94" t="str">
        <f aca="false">IF(ISBLANK($C203),
    "",
   IF(ISNUMBER(AR203),AR203+ROW($B203)/1000,"")
)</f>
        <v/>
      </c>
      <c r="AW203" s="94" t="str">
        <f aca="false">IF(ISNUMBER(AV203), RANK(AV203,AV$8:AV$507,1), "")</f>
        <v/>
      </c>
      <c r="AX203" s="94" t="str">
        <f aca="false">IF(ISBLANK($C203),
    "",
    $B203
)</f>
        <v/>
      </c>
      <c r="AY203" s="94" t="str">
        <f aca="false">IF(ISBLANK($C203),
    "",
    $C203
)</f>
        <v/>
      </c>
      <c r="AZ203" s="94" t="str">
        <f aca="false">IF(ISBLANK($C203),
    "",
    $D203
)</f>
        <v/>
      </c>
      <c r="BA203" s="94" t="str">
        <f aca="false">AO203</f>
        <v/>
      </c>
      <c r="BB203" s="95" t="str">
        <f aca="false">AN203</f>
        <v/>
      </c>
      <c r="BC203" s="94" t="str">
        <f aca="false">IF(ISBLANK($C203),
    "",
    AQ203
)</f>
        <v/>
      </c>
      <c r="BD203" s="96" t="str">
        <f aca="false">IF(AU203&gt;AT$7,
    "",
    VLOOKUP(AU203,AW$8:BC$507,7,FALSE())
)</f>
        <v/>
      </c>
      <c r="BE203" s="97" t="str">
        <f aca="false">IF(AU203&gt;AT$7,
    "",
    VLOOKUP(AU203,AW$8:BC$507,2,FALSE())
)</f>
        <v/>
      </c>
      <c r="BF203" s="97" t="str">
        <f aca="false">IF(AU203&gt;AT$7,
    "",
    VLOOKUP(AU203,AW$8:BC$507,3,FALSE())
)</f>
        <v/>
      </c>
      <c r="BG203" s="97" t="str">
        <f aca="false">IF(AU203&gt;AT$7,
    "",
    VLOOKUP(AU203,AW$8:BC$507,4,FALSE())
)</f>
        <v/>
      </c>
      <c r="BH203" s="97" t="str">
        <f aca="false">IF(AU203&gt;AT$7,
    "",
    VLOOKUP(AU203,AW$8:BC$507,5,FALSE())
)</f>
        <v/>
      </c>
      <c r="BI203" s="98" t="str">
        <f aca="false">IF(AU203&gt;AT$7,
    "",
    VLOOKUP(AU203,AW$8:BC$507,6,FALSE())
)</f>
        <v/>
      </c>
      <c r="BJ203" s="46"/>
    </row>
    <row r="204" customFormat="false" ht="15.75" hidden="false" customHeight="false" outlineLevel="0" collapsed="false">
      <c r="A204" s="3"/>
      <c r="B204" s="105"/>
      <c r="C204" s="106"/>
      <c r="D204" s="99"/>
      <c r="E204" s="110"/>
      <c r="F204" s="107"/>
      <c r="G204" s="110"/>
      <c r="H204" s="103"/>
      <c r="I204" s="102"/>
      <c r="J204" s="103"/>
      <c r="K204" s="103"/>
      <c r="L204" s="85"/>
      <c r="M204" s="85" t="str">
        <f aca="false">IF(ISBLANK($C204),"",IF(ISBLANK(E204),0,E204))</f>
        <v/>
      </c>
      <c r="N204" s="85" t="str">
        <f aca="false">IF(ISBLANK($C204),"",IF(ISBLANK(F204),0,F204))</f>
        <v/>
      </c>
      <c r="O204" s="86" t="e">
        <f aca="false">IF(AND(NOT(ISBLANK($C204)),NOT($T204),COUNTA($E204:$K204)&gt;0),ISBLANK($F204),FALSE())</f>
        <v>#VALUE!</v>
      </c>
      <c r="P204" s="85" t="str">
        <f aca="false">IF(ISBLANK($C204),"",IF(G204=Constants!$B$9, TRUE(), IF(G204=Constants!$B$10, FALSE(), TRUE())))</f>
        <v/>
      </c>
      <c r="Q204" s="85" t="str">
        <f aca="false">IF(ISBLANK($C204),"",IF(H204=Constants!$B$9, TRUE(), IF(H204=Constants!$B$10, FALSE(), TRUE())))</f>
        <v/>
      </c>
      <c r="R204" s="85" t="str">
        <f aca="false">IF(ISBLANK($C204),"",IF(ISBLANK(I204),Constants!$B$3,I204))</f>
        <v/>
      </c>
      <c r="S204" s="85" t="str">
        <f aca="false">IF(ISBLANK($C204),"",IF(ISBLANK(J204),0,MIN(J204,Constants!$B$6)))</f>
        <v/>
      </c>
      <c r="T204" s="85" t="str">
        <f aca="false">IF(ISBLANK($C204),"",IF(K204=Constants!$B$9, TRUE(), IF(K204=Constants!$B$10, FALSE(),  FALSE())))</f>
        <v/>
      </c>
      <c r="U204" s="85" t="str">
        <f aca="false">IF(ISBLANK($C204),"",AND(R204=Constants!$B$4, S204&lt;Constants!$B$6))</f>
        <v/>
      </c>
      <c r="V204" s="85" t="str">
        <f aca="false">IF(ISBLANK(C204), "", IF(T204, Constants!$B$11, IF(COUNTA(E204:K204)=0, Constants!$B$12, IF(NOT(AND(P204,S204&lt;&gt;0)), Constants!$B$13, IF(O204, Constants!$B$15, Constants!$B$14)))))</f>
        <v/>
      </c>
      <c r="W204" s="85" t="str">
        <f aca="false">IF(OR(ISBLANK($C204), SUMPRODUCT(--(P204:T204&lt;&gt;""))=0), "", IF(V204&lt;&gt;Constants!$B$14, V204, IF(AND(NOT(ISBLANK(J204)),P204,Q204,R204&lt;&gt;Constants!$B$2), Constants!$B$7, IF(AND(P204,OR(NOT(Q204),R204=Constants!$B$2)), Constants!$B$8, "Error"))))</f>
        <v/>
      </c>
      <c r="X204" s="87" t="str">
        <f aca="false">IF(OR(W204=Constants!$B$7,W204=Constants!$B$8), MAX(0, MIN(Constants!$B$6, S204))+IF(AND(R204=Constants!$B$4, NOT(U204)), Constants!$B$5, 0), "")</f>
        <v/>
      </c>
      <c r="Y204" s="85" t="str">
        <f aca="false">IF(ISBLANK($C204),"",IF(AND(ISNUMBER(X204),N204&gt;0),X204/N204, "") )</f>
        <v/>
      </c>
      <c r="Z204" s="85" t="str">
        <f aca="false">IF(AND(NOT(ISBLANK($C204)), W204=Constants!$B$7), Y204, "")</f>
        <v/>
      </c>
      <c r="AA204" s="85" t="str">
        <f aca="false">IF(ISNUMBER(Z204), RANK(Z204,Z$8:Z$507), "")</f>
        <v/>
      </c>
      <c r="AB204" s="85" t="str">
        <f aca="false">IF(AND(NOT(ISBLANK($C204)), W204=Constants!$B$8), Y204, "")</f>
        <v/>
      </c>
      <c r="AC204" s="85" t="str">
        <f aca="false">IF(ISNUMBER(AB204), RANK(AB204,AB$8:AB$507), "")</f>
        <v/>
      </c>
      <c r="AD204" s="85" t="str">
        <f aca="false">IF(ISBLANK($C204),"",IF(V204&lt;&gt;Constants!$B$14, V204, IF(W204=Constants!$B$7, AA204, IF(W204=Constants!$B$8, COUNT($AA$8:$AA$507) + AC204, ""))))</f>
        <v/>
      </c>
      <c r="AE204" s="85" t="str">
        <f aca="false">N204</f>
        <v/>
      </c>
      <c r="AF204" s="85" t="str">
        <f aca="false">IF(ISNUMBER(AE204), RANK(AE204,AE$8:AE$507,1), "")</f>
        <v/>
      </c>
      <c r="AG204" s="88" t="str">
        <f aca="false">IF(ISBLANK(C204), "", ABS(M204-S204))</f>
        <v/>
      </c>
      <c r="AH204" s="85" t="str">
        <f aca="false">IF(ISNUMBER(AG204), RANK(AG204,AG$8:AG$507,1), "")</f>
        <v/>
      </c>
      <c r="AI204" s="85" t="str">
        <f aca="false">IF(ISBLANK(C204),"",IF(V204&lt;&gt;Constants!$B$14, V204, RANK(AD204, AD$8:AD$507, 1)+ SUMPRODUCT(--(AD$8:AD$507=AD204),--(AF204&gt;AF$8:AF$507)) + SUMPRODUCT(--(AD$8:AD$507=AD204),--(AF204=AF$8:AF$507),--(AH204&gt;AH$8:AH$507))))</f>
        <v/>
      </c>
      <c r="AJ204" s="85" t="str">
        <f aca="false">IF(ISBLANK(C204),"",IF(V204&lt;&gt;Constants!$B$14, V204, AD204-AI204))</f>
        <v/>
      </c>
      <c r="AK204" s="89"/>
      <c r="AL204" s="90" t="str">
        <f aca="false">IF(ISBLANK($C204),"",IF($V204&lt;&gt;Constants!$B$14,$V204,X204))</f>
        <v/>
      </c>
      <c r="AM204" s="90" t="str">
        <f aca="false">IF(ISBLANK($C204),"",IF($V204&lt;&gt;Constants!$B$14,$V204,N204))</f>
        <v/>
      </c>
      <c r="AN204" s="91" t="str">
        <f aca="false">IF(ISBLANK(C204),"",IF(V204&lt;&gt;Constants!$B$14, V204, IF(W204=Constants!$B$7,Z204,IF(W204=Constants!$B$8,AB204,""))))</f>
        <v/>
      </c>
      <c r="AO204" s="92" t="str">
        <f aca="false">IF(ISBLANK(C204),"",W204)</f>
        <v/>
      </c>
      <c r="AP204" s="92" t="str">
        <f aca="false">IF(ISBLANK(C204),"",AJ204)</f>
        <v/>
      </c>
      <c r="AQ204" s="92" t="str">
        <f aca="false">IF(ISBLANK(C204),"",AI204)</f>
        <v/>
      </c>
      <c r="AR204" s="93" t="str">
        <f aca="false">IF(ISBLANK(C204),
  "",
IF(AQ204=Constants!$B$11,COUNTA($C$8:$C$507)+2,IF(AQ204=Constants!$B$12,COUNTA($C$8:$C$507)+1,IF(AQ204=Constants!$B$13,COUNTA($C$8:$C$507),AQ204))))</f>
        <v/>
      </c>
      <c r="AS204" s="3"/>
      <c r="AT204" s="94" t="n">
        <f aca="false">IF(OR(ISNUMBER(AQ204),AQ204="DQ",AQ204="P",AQ204="NS"),
    1,
    0
)</f>
        <v>0</v>
      </c>
      <c r="AU204" s="94" t="n">
        <v>197</v>
      </c>
      <c r="AV204" s="94" t="str">
        <f aca="false">IF(ISBLANK($C204),
    "",
   IF(ISNUMBER(AR204),AR204+ROW($B204)/1000,"")
)</f>
        <v/>
      </c>
      <c r="AW204" s="94" t="str">
        <f aca="false">IF(ISNUMBER(AV204), RANK(AV204,AV$8:AV$507,1), "")</f>
        <v/>
      </c>
      <c r="AX204" s="94" t="str">
        <f aca="false">IF(ISBLANK($C204),
    "",
    $B204
)</f>
        <v/>
      </c>
      <c r="AY204" s="94" t="str">
        <f aca="false">IF(ISBLANK($C204),
    "",
    $C204
)</f>
        <v/>
      </c>
      <c r="AZ204" s="94" t="str">
        <f aca="false">IF(ISBLANK($C204),
    "",
    $D204
)</f>
        <v/>
      </c>
      <c r="BA204" s="94" t="str">
        <f aca="false">AO204</f>
        <v/>
      </c>
      <c r="BB204" s="95" t="str">
        <f aca="false">AN204</f>
        <v/>
      </c>
      <c r="BC204" s="94" t="str">
        <f aca="false">IF(ISBLANK($C204),
    "",
    AQ204
)</f>
        <v/>
      </c>
      <c r="BD204" s="96" t="str">
        <f aca="false">IF(AU204&gt;AT$7,
    "",
    VLOOKUP(AU204,AW$8:BC$507,7,FALSE())
)</f>
        <v/>
      </c>
      <c r="BE204" s="97" t="str">
        <f aca="false">IF(AU204&gt;AT$7,
    "",
    VLOOKUP(AU204,AW$8:BC$507,2,FALSE())
)</f>
        <v/>
      </c>
      <c r="BF204" s="97" t="str">
        <f aca="false">IF(AU204&gt;AT$7,
    "",
    VLOOKUP(AU204,AW$8:BC$507,3,FALSE())
)</f>
        <v/>
      </c>
      <c r="BG204" s="97" t="str">
        <f aca="false">IF(AU204&gt;AT$7,
    "",
    VLOOKUP(AU204,AW$8:BC$507,4,FALSE())
)</f>
        <v/>
      </c>
      <c r="BH204" s="97" t="str">
        <f aca="false">IF(AU204&gt;AT$7,
    "",
    VLOOKUP(AU204,AW$8:BC$507,5,FALSE())
)</f>
        <v/>
      </c>
      <c r="BI204" s="98" t="str">
        <f aca="false">IF(AU204&gt;AT$7,
    "",
    VLOOKUP(AU204,AW$8:BC$507,6,FALSE())
)</f>
        <v/>
      </c>
      <c r="BJ204" s="46"/>
    </row>
    <row r="205" customFormat="false" ht="15.75" hidden="false" customHeight="false" outlineLevel="0" collapsed="false">
      <c r="A205" s="3"/>
      <c r="B205" s="105"/>
      <c r="C205" s="106"/>
      <c r="D205" s="99"/>
      <c r="E205" s="110"/>
      <c r="F205" s="107"/>
      <c r="G205" s="110"/>
      <c r="H205" s="103"/>
      <c r="I205" s="102"/>
      <c r="J205" s="103"/>
      <c r="K205" s="103"/>
      <c r="L205" s="85"/>
      <c r="M205" s="85" t="str">
        <f aca="false">IF(ISBLANK($C205),"",IF(ISBLANK(E205),0,E205))</f>
        <v/>
      </c>
      <c r="N205" s="85" t="str">
        <f aca="false">IF(ISBLANK($C205),"",IF(ISBLANK(F205),0,F205))</f>
        <v/>
      </c>
      <c r="O205" s="86" t="e">
        <f aca="false">IF(AND(NOT(ISBLANK($C205)),NOT($T205),COUNTA($E205:$K205)&gt;0),ISBLANK($F205),FALSE())</f>
        <v>#VALUE!</v>
      </c>
      <c r="P205" s="85" t="str">
        <f aca="false">IF(ISBLANK($C205),"",IF(G205=Constants!$B$9, TRUE(), IF(G205=Constants!$B$10, FALSE(), TRUE())))</f>
        <v/>
      </c>
      <c r="Q205" s="85" t="str">
        <f aca="false">IF(ISBLANK($C205),"",IF(H205=Constants!$B$9, TRUE(), IF(H205=Constants!$B$10, FALSE(), TRUE())))</f>
        <v/>
      </c>
      <c r="R205" s="85" t="str">
        <f aca="false">IF(ISBLANK($C205),"",IF(ISBLANK(I205),Constants!$B$3,I205))</f>
        <v/>
      </c>
      <c r="S205" s="85" t="str">
        <f aca="false">IF(ISBLANK($C205),"",IF(ISBLANK(J205),0,MIN(J205,Constants!$B$6)))</f>
        <v/>
      </c>
      <c r="T205" s="85" t="str">
        <f aca="false">IF(ISBLANK($C205),"",IF(K205=Constants!$B$9, TRUE(), IF(K205=Constants!$B$10, FALSE(),  FALSE())))</f>
        <v/>
      </c>
      <c r="U205" s="85" t="str">
        <f aca="false">IF(ISBLANK($C205),"",AND(R205=Constants!$B$4, S205&lt;Constants!$B$6))</f>
        <v/>
      </c>
      <c r="V205" s="85" t="str">
        <f aca="false">IF(ISBLANK(C205), "", IF(T205, Constants!$B$11, IF(COUNTA(E205:K205)=0, Constants!$B$12, IF(NOT(AND(P205,S205&lt;&gt;0)), Constants!$B$13, IF(O205, Constants!$B$15, Constants!$B$14)))))</f>
        <v/>
      </c>
      <c r="W205" s="85" t="str">
        <f aca="false">IF(OR(ISBLANK($C205), SUMPRODUCT(--(P205:T205&lt;&gt;""))=0), "", IF(V205&lt;&gt;Constants!$B$14, V205, IF(AND(NOT(ISBLANK(J205)),P205,Q205,R205&lt;&gt;Constants!$B$2), Constants!$B$7, IF(AND(P205,OR(NOT(Q205),R205=Constants!$B$2)), Constants!$B$8, "Error"))))</f>
        <v/>
      </c>
      <c r="X205" s="87" t="str">
        <f aca="false">IF(OR(W205=Constants!$B$7,W205=Constants!$B$8), MAX(0, MIN(Constants!$B$6, S205))+IF(AND(R205=Constants!$B$4, NOT(U205)), Constants!$B$5, 0), "")</f>
        <v/>
      </c>
      <c r="Y205" s="85" t="str">
        <f aca="false">IF(ISBLANK($C205),"",IF(AND(ISNUMBER(X205),N205&gt;0),X205/N205, "") )</f>
        <v/>
      </c>
      <c r="Z205" s="85" t="str">
        <f aca="false">IF(AND(NOT(ISBLANK($C205)), W205=Constants!$B$7), Y205, "")</f>
        <v/>
      </c>
      <c r="AA205" s="85" t="str">
        <f aca="false">IF(ISNUMBER(Z205), RANK(Z205,Z$8:Z$507), "")</f>
        <v/>
      </c>
      <c r="AB205" s="85" t="str">
        <f aca="false">IF(AND(NOT(ISBLANK($C205)), W205=Constants!$B$8), Y205, "")</f>
        <v/>
      </c>
      <c r="AC205" s="85" t="str">
        <f aca="false">IF(ISNUMBER(AB205), RANK(AB205,AB$8:AB$507), "")</f>
        <v/>
      </c>
      <c r="AD205" s="85" t="str">
        <f aca="false">IF(ISBLANK($C205),"",IF(V205&lt;&gt;Constants!$B$14, V205, IF(W205=Constants!$B$7, AA205, IF(W205=Constants!$B$8, COUNT($AA$8:$AA$507) + AC205, ""))))</f>
        <v/>
      </c>
      <c r="AE205" s="85" t="str">
        <f aca="false">N205</f>
        <v/>
      </c>
      <c r="AF205" s="85" t="str">
        <f aca="false">IF(ISNUMBER(AE205), RANK(AE205,AE$8:AE$507,1), "")</f>
        <v/>
      </c>
      <c r="AG205" s="88" t="str">
        <f aca="false">IF(ISBLANK(C205), "", ABS(M205-S205))</f>
        <v/>
      </c>
      <c r="AH205" s="85" t="str">
        <f aca="false">IF(ISNUMBER(AG205), RANK(AG205,AG$8:AG$507,1), "")</f>
        <v/>
      </c>
      <c r="AI205" s="85" t="str">
        <f aca="false">IF(ISBLANK(C205),"",IF(V205&lt;&gt;Constants!$B$14, V205, RANK(AD205, AD$8:AD$507, 1)+ SUMPRODUCT(--(AD$8:AD$507=AD205),--(AF205&gt;AF$8:AF$507)) + SUMPRODUCT(--(AD$8:AD$507=AD205),--(AF205=AF$8:AF$507),--(AH205&gt;AH$8:AH$507))))</f>
        <v/>
      </c>
      <c r="AJ205" s="85" t="str">
        <f aca="false">IF(ISBLANK(C205),"",IF(V205&lt;&gt;Constants!$B$14, V205, AD205-AI205))</f>
        <v/>
      </c>
      <c r="AK205" s="89"/>
      <c r="AL205" s="90" t="str">
        <f aca="false">IF(ISBLANK($C205),"",IF($V205&lt;&gt;Constants!$B$14,$V205,X205))</f>
        <v/>
      </c>
      <c r="AM205" s="90" t="str">
        <f aca="false">IF(ISBLANK($C205),"",IF($V205&lt;&gt;Constants!$B$14,$V205,N205))</f>
        <v/>
      </c>
      <c r="AN205" s="91" t="str">
        <f aca="false">IF(ISBLANK(C205),"",IF(V205&lt;&gt;Constants!$B$14, V205, IF(W205=Constants!$B$7,Z205,IF(W205=Constants!$B$8,AB205,""))))</f>
        <v/>
      </c>
      <c r="AO205" s="92" t="str">
        <f aca="false">IF(ISBLANK(C205),"",W205)</f>
        <v/>
      </c>
      <c r="AP205" s="92" t="str">
        <f aca="false">IF(ISBLANK(C205),"",AJ205)</f>
        <v/>
      </c>
      <c r="AQ205" s="92" t="str">
        <f aca="false">IF(ISBLANK(C205),"",AI205)</f>
        <v/>
      </c>
      <c r="AR205" s="93" t="str">
        <f aca="false">IF(ISBLANK(C205),
  "",
IF(AQ205=Constants!$B$11,COUNTA($C$8:$C$507)+2,IF(AQ205=Constants!$B$12,COUNTA($C$8:$C$507)+1,IF(AQ205=Constants!$B$13,COUNTA($C$8:$C$507),AQ205))))</f>
        <v/>
      </c>
      <c r="AS205" s="3"/>
      <c r="AT205" s="94" t="n">
        <f aca="false">IF(OR(ISNUMBER(AQ205),AQ205="DQ",AQ205="P",AQ205="NS"),
    1,
    0
)</f>
        <v>0</v>
      </c>
      <c r="AU205" s="94" t="n">
        <v>198</v>
      </c>
      <c r="AV205" s="94" t="str">
        <f aca="false">IF(ISBLANK($C205),
    "",
   IF(ISNUMBER(AR205),AR205+ROW($B205)/1000,"")
)</f>
        <v/>
      </c>
      <c r="AW205" s="94" t="str">
        <f aca="false">IF(ISNUMBER(AV205), RANK(AV205,AV$8:AV$507,1), "")</f>
        <v/>
      </c>
      <c r="AX205" s="94" t="str">
        <f aca="false">IF(ISBLANK($C205),
    "",
    $B205
)</f>
        <v/>
      </c>
      <c r="AY205" s="94" t="str">
        <f aca="false">IF(ISBLANK($C205),
    "",
    $C205
)</f>
        <v/>
      </c>
      <c r="AZ205" s="94" t="str">
        <f aca="false">IF(ISBLANK($C205),
    "",
    $D205
)</f>
        <v/>
      </c>
      <c r="BA205" s="94" t="str">
        <f aca="false">AO205</f>
        <v/>
      </c>
      <c r="BB205" s="95" t="str">
        <f aca="false">AN205</f>
        <v/>
      </c>
      <c r="BC205" s="94" t="str">
        <f aca="false">IF(ISBLANK($C205),
    "",
    AQ205
)</f>
        <v/>
      </c>
      <c r="BD205" s="96" t="str">
        <f aca="false">IF(AU205&gt;AT$7,
    "",
    VLOOKUP(AU205,AW$8:BC$507,7,FALSE())
)</f>
        <v/>
      </c>
      <c r="BE205" s="97" t="str">
        <f aca="false">IF(AU205&gt;AT$7,
    "",
    VLOOKUP(AU205,AW$8:BC$507,2,FALSE())
)</f>
        <v/>
      </c>
      <c r="BF205" s="97" t="str">
        <f aca="false">IF(AU205&gt;AT$7,
    "",
    VLOOKUP(AU205,AW$8:BC$507,3,FALSE())
)</f>
        <v/>
      </c>
      <c r="BG205" s="97" t="str">
        <f aca="false">IF(AU205&gt;AT$7,
    "",
    VLOOKUP(AU205,AW$8:BC$507,4,FALSE())
)</f>
        <v/>
      </c>
      <c r="BH205" s="97" t="str">
        <f aca="false">IF(AU205&gt;AT$7,
    "",
    VLOOKUP(AU205,AW$8:BC$507,5,FALSE())
)</f>
        <v/>
      </c>
      <c r="BI205" s="98" t="str">
        <f aca="false">IF(AU205&gt;AT$7,
    "",
    VLOOKUP(AU205,AW$8:BC$507,6,FALSE())
)</f>
        <v/>
      </c>
      <c r="BJ205" s="46"/>
    </row>
    <row r="206" customFormat="false" ht="15.75" hidden="false" customHeight="false" outlineLevel="0" collapsed="false">
      <c r="A206" s="3"/>
      <c r="B206" s="108"/>
      <c r="C206" s="70"/>
      <c r="D206" s="49"/>
      <c r="E206" s="109"/>
      <c r="F206" s="72"/>
      <c r="G206" s="109"/>
      <c r="H206" s="74"/>
      <c r="I206" s="104"/>
      <c r="J206" s="74"/>
      <c r="K206" s="74"/>
      <c r="L206" s="55"/>
      <c r="M206" s="55" t="str">
        <f aca="false">IF(ISBLANK($C206),"",IF(ISBLANK(E206),0,E206))</f>
        <v/>
      </c>
      <c r="N206" s="55" t="str">
        <f aca="false">IF(ISBLANK($C206),"",IF(ISBLANK(F206),0,F206))</f>
        <v/>
      </c>
      <c r="O206" s="55" t="e">
        <f aca="false">IF(AND(NOT(ISBLANK($C206)),NOT($T206),COUNTA($E206:$K206)&gt;0),ISBLANK($F206),FALSE())</f>
        <v>#VALUE!</v>
      </c>
      <c r="P206" s="55" t="str">
        <f aca="false">IF(ISBLANK($C206),"",IF(G206=Constants!$B$9, TRUE(), IF(G206=Constants!$B$10, FALSE(), TRUE())))</f>
        <v/>
      </c>
      <c r="Q206" s="55" t="str">
        <f aca="false">IF(ISBLANK($C206),"",IF(H206=Constants!$B$9, TRUE(), IF(H206=Constants!$B$10, FALSE(), TRUE())))</f>
        <v/>
      </c>
      <c r="R206" s="55" t="str">
        <f aca="false">IF(ISBLANK($C206),"",IF(ISBLANK(I206),Constants!$B$3,I206))</f>
        <v/>
      </c>
      <c r="S206" s="55" t="str">
        <f aca="false">IF(ISBLANK($C206),"",IF(ISBLANK(J206),0,MIN(J206,Constants!$B$6)))</f>
        <v/>
      </c>
      <c r="T206" s="55" t="str">
        <f aca="false">IF(ISBLANK($C206),"",IF(K206=Constants!$B$9, TRUE(), IF(K206=Constants!$B$10, FALSE(),  FALSE())))</f>
        <v/>
      </c>
      <c r="U206" s="55" t="str">
        <f aca="false">IF(ISBLANK($C206),"",AND(R206=Constants!$B$4, S206&lt;Constants!$B$6))</f>
        <v/>
      </c>
      <c r="V206" s="55" t="str">
        <f aca="false">IF(ISBLANK(C206), "", IF(T206, Constants!$B$11, IF(COUNTA(E206:K206)=0, Constants!$B$12, IF(NOT(AND(P206,S206&lt;&gt;0)), Constants!$B$13, IF(O206, Constants!$B$15, Constants!$B$14)))))</f>
        <v/>
      </c>
      <c r="W206" s="55" t="str">
        <f aca="false">IF(OR(ISBLANK($C206), SUMPRODUCT(--(P206:T206&lt;&gt;""))=0), "", IF(V206&lt;&gt;Constants!$B$14, V206, IF(AND(NOT(ISBLANK(J206)),P206,Q206,R206&lt;&gt;Constants!$B$2), Constants!$B$7, IF(AND(P206,OR(NOT(Q206),R206=Constants!$B$2)), Constants!$B$8, "Error"))))</f>
        <v/>
      </c>
      <c r="X206" s="56" t="str">
        <f aca="false">IF(OR(W206=Constants!$B$7,W206=Constants!$B$8), MAX(0, MIN(Constants!$B$6, S206))+IF(AND(R206=Constants!$B$4, NOT(U206)), Constants!$B$5, 0), "")</f>
        <v/>
      </c>
      <c r="Y206" s="55" t="str">
        <f aca="false">IF(ISBLANK($C206),"",IF(AND(ISNUMBER(X206),N206&gt;0),X206/N206, "") )</f>
        <v/>
      </c>
      <c r="Z206" s="55" t="str">
        <f aca="false">IF(AND(NOT(ISBLANK($C206)), W206=Constants!$B$7), Y206, "")</f>
        <v/>
      </c>
      <c r="AA206" s="55" t="str">
        <f aca="false">IF(ISNUMBER(Z206), RANK(Z206,Z$8:Z$507), "")</f>
        <v/>
      </c>
      <c r="AB206" s="55" t="str">
        <f aca="false">IF(AND(NOT(ISBLANK($C206)), W206=Constants!$B$8), Y206, "")</f>
        <v/>
      </c>
      <c r="AC206" s="55" t="str">
        <f aca="false">IF(ISNUMBER(AB206), RANK(AB206,AB$8:AB$507), "")</f>
        <v/>
      </c>
      <c r="AD206" s="55" t="str">
        <f aca="false">IF(ISBLANK($C206),"",IF(V206&lt;&gt;Constants!$B$14, V206, IF(W206=Constants!$B$7, AA206, IF(W206=Constants!$B$8, COUNT($AA$8:$AA$507) + AC206, ""))))</f>
        <v/>
      </c>
      <c r="AE206" s="55" t="str">
        <f aca="false">N206</f>
        <v/>
      </c>
      <c r="AF206" s="55" t="str">
        <f aca="false">IF(ISNUMBER(AE206), RANK(AE206,AE$8:AE$507,1), "")</f>
        <v/>
      </c>
      <c r="AG206" s="57" t="str">
        <f aca="false">IF(ISBLANK(C206), "", ABS(M206-S206))</f>
        <v/>
      </c>
      <c r="AH206" s="55" t="str">
        <f aca="false">IF(ISNUMBER(AG206), RANK(AG206,AG$8:AG$507,1), "")</f>
        <v/>
      </c>
      <c r="AI206" s="55" t="str">
        <f aca="false">IF(ISBLANK(C206),"",IF(V206&lt;&gt;Constants!$B$14, V206, RANK(AD206, AD$8:AD$507, 1)+ SUMPRODUCT(--(AD$8:AD$507=AD206),--(AF206&gt;AF$8:AF$507)) + SUMPRODUCT(--(AD$8:AD$507=AD206),--(AF206=AF$8:AF$507),--(AH206&gt;AH$8:AH$507))))</f>
        <v/>
      </c>
      <c r="AJ206" s="55" t="str">
        <f aca="false">IF(ISBLANK(C206),"",IF(V206&lt;&gt;Constants!$B$14, V206, AD206-AI206))</f>
        <v/>
      </c>
      <c r="AK206" s="59"/>
      <c r="AL206" s="60" t="str">
        <f aca="false">IF(ISBLANK($C206),"",IF($V206&lt;&gt;Constants!$B$14,$V206,X206))</f>
        <v/>
      </c>
      <c r="AM206" s="60" t="str">
        <f aca="false">IF(ISBLANK($C206),"",IF($V206&lt;&gt;Constants!$B$14,$V206,N206))</f>
        <v/>
      </c>
      <c r="AN206" s="62" t="str">
        <f aca="false">IF(ISBLANK(C206),"",IF(V206&lt;&gt;Constants!$B$14, V206, IF(W206=Constants!$B$7,Z206,IF(W206=Constants!$B$8,AB206,""))))</f>
        <v/>
      </c>
      <c r="AO206" s="63" t="str">
        <f aca="false">IF(ISBLANK(C206),"",W206)</f>
        <v/>
      </c>
      <c r="AP206" s="63" t="str">
        <f aca="false">IF(ISBLANK(C206),"",AJ206)</f>
        <v/>
      </c>
      <c r="AQ206" s="63" t="str">
        <f aca="false">IF(ISBLANK(C206),"",AI206)</f>
        <v/>
      </c>
      <c r="AR206" s="64" t="str">
        <f aca="false">IF(ISBLANK(C206),
  "",
IF(AQ206=Constants!$B$11,COUNTA($C$8:$C$507)+2,IF(AQ206=Constants!$B$12,COUNTA($C$8:$C$507)+1,IF(AQ206=Constants!$B$13,COUNTA($C$8:$C$507),AQ206))))</f>
        <v/>
      </c>
      <c r="AS206" s="3"/>
      <c r="AT206" s="65" t="n">
        <f aca="false">IF(OR(ISNUMBER(AQ206),AQ206="DQ",AQ206="P",AQ206="NS"),
    1,
    0
)</f>
        <v>0</v>
      </c>
      <c r="AU206" s="65" t="n">
        <v>199</v>
      </c>
      <c r="AV206" s="65" t="str">
        <f aca="false">IF(ISBLANK($C206),
    "",
   IF(ISNUMBER(AR206),AR206+ROW($B206)/1000,"")
)</f>
        <v/>
      </c>
      <c r="AW206" s="65" t="str">
        <f aca="false">IF(ISNUMBER(AV206), RANK(AV206,AV$8:AV$507,1), "")</f>
        <v/>
      </c>
      <c r="AX206" s="65" t="str">
        <f aca="false">IF(ISBLANK($C206),
    "",
    $B206
)</f>
        <v/>
      </c>
      <c r="AY206" s="65" t="str">
        <f aca="false">IF(ISBLANK($C206),
    "",
    $C206
)</f>
        <v/>
      </c>
      <c r="AZ206" s="65" t="str">
        <f aca="false">IF(ISBLANK($C206),
    "",
    $D206
)</f>
        <v/>
      </c>
      <c r="BA206" s="65" t="str">
        <f aca="false">AO206</f>
        <v/>
      </c>
      <c r="BB206" s="66" t="str">
        <f aca="false">AN206</f>
        <v/>
      </c>
      <c r="BC206" s="65" t="str">
        <f aca="false">IF(ISBLANK($C206),
    "",
    AQ206
)</f>
        <v/>
      </c>
      <c r="BD206" s="67" t="str">
        <f aca="false">IF(AU206&gt;AT$7,
    "",
    VLOOKUP(AU206,AW$8:BC$507,7,FALSE())
)</f>
        <v/>
      </c>
      <c r="BE206" s="68" t="str">
        <f aca="false">IF(AU206&gt;AT$7,
    "",
    VLOOKUP(AU206,AW$8:BC$507,2,FALSE())
)</f>
        <v/>
      </c>
      <c r="BF206" s="68" t="str">
        <f aca="false">IF(AU206&gt;AT$7,
    "",
    VLOOKUP(AU206,AW$8:BC$507,3,FALSE())
)</f>
        <v/>
      </c>
      <c r="BG206" s="68" t="str">
        <f aca="false">IF(AU206&gt;AT$7,
    "",
    VLOOKUP(AU206,AW$8:BC$507,4,FALSE())
)</f>
        <v/>
      </c>
      <c r="BH206" s="68" t="str">
        <f aca="false">IF(AU206&gt;AT$7,
    "",
    VLOOKUP(AU206,AW$8:BC$507,5,FALSE())
)</f>
        <v/>
      </c>
      <c r="BI206" s="69" t="str">
        <f aca="false">IF(AU206&gt;AT$7,
    "",
    VLOOKUP(AU206,AW$8:BC$507,6,FALSE())
)</f>
        <v/>
      </c>
      <c r="BJ206" s="46"/>
    </row>
    <row r="207" customFormat="false" ht="15.75" hidden="false" customHeight="false" outlineLevel="0" collapsed="false">
      <c r="A207" s="3"/>
      <c r="B207" s="108"/>
      <c r="C207" s="70"/>
      <c r="D207" s="49"/>
      <c r="E207" s="109"/>
      <c r="F207" s="72"/>
      <c r="G207" s="109"/>
      <c r="H207" s="74"/>
      <c r="I207" s="104"/>
      <c r="J207" s="74"/>
      <c r="K207" s="74"/>
      <c r="L207" s="55"/>
      <c r="M207" s="55" t="str">
        <f aca="false">IF(ISBLANK($C207),"",IF(ISBLANK(E207),0,E207))</f>
        <v/>
      </c>
      <c r="N207" s="55" t="str">
        <f aca="false">IF(ISBLANK($C207),"",IF(ISBLANK(F207),0,F207))</f>
        <v/>
      </c>
      <c r="O207" s="55" t="e">
        <f aca="false">IF(AND(NOT(ISBLANK($C207)),NOT($T207),COUNTA($E207:$K207)&gt;0),ISBLANK($F207),FALSE())</f>
        <v>#VALUE!</v>
      </c>
      <c r="P207" s="55" t="str">
        <f aca="false">IF(ISBLANK($C207),"",IF(G207=Constants!$B$9, TRUE(), IF(G207=Constants!$B$10, FALSE(), TRUE())))</f>
        <v/>
      </c>
      <c r="Q207" s="55" t="str">
        <f aca="false">IF(ISBLANK($C207),"",IF(H207=Constants!$B$9, TRUE(), IF(H207=Constants!$B$10, FALSE(), TRUE())))</f>
        <v/>
      </c>
      <c r="R207" s="55" t="str">
        <f aca="false">IF(ISBLANK($C207),"",IF(ISBLANK(I207),Constants!$B$3,I207))</f>
        <v/>
      </c>
      <c r="S207" s="55" t="str">
        <f aca="false">IF(ISBLANK($C207),"",IF(ISBLANK(J207),0,MIN(J207,Constants!$B$6)))</f>
        <v/>
      </c>
      <c r="T207" s="55" t="str">
        <f aca="false">IF(ISBLANK($C207),"",IF(K207=Constants!$B$9, TRUE(), IF(K207=Constants!$B$10, FALSE(),  FALSE())))</f>
        <v/>
      </c>
      <c r="U207" s="55" t="str">
        <f aca="false">IF(ISBLANK($C207),"",AND(R207=Constants!$B$4, S207&lt;Constants!$B$6))</f>
        <v/>
      </c>
      <c r="V207" s="55" t="str">
        <f aca="false">IF(ISBLANK(C207), "", IF(T207, Constants!$B$11, IF(COUNTA(E207:K207)=0, Constants!$B$12, IF(NOT(AND(P207,S207&lt;&gt;0)), Constants!$B$13, IF(O207, Constants!$B$15, Constants!$B$14)))))</f>
        <v/>
      </c>
      <c r="W207" s="55" t="str">
        <f aca="false">IF(OR(ISBLANK($C207), SUMPRODUCT(--(P207:T207&lt;&gt;""))=0), "", IF(V207&lt;&gt;Constants!$B$14, V207, IF(AND(NOT(ISBLANK(J207)),P207,Q207,R207&lt;&gt;Constants!$B$2), Constants!$B$7, IF(AND(P207,OR(NOT(Q207),R207=Constants!$B$2)), Constants!$B$8, "Error"))))</f>
        <v/>
      </c>
      <c r="X207" s="56" t="str">
        <f aca="false">IF(OR(W207=Constants!$B$7,W207=Constants!$B$8), MAX(0, MIN(Constants!$B$6, S207))+IF(AND(R207=Constants!$B$4, NOT(U207)), Constants!$B$5, 0), "")</f>
        <v/>
      </c>
      <c r="Y207" s="55" t="str">
        <f aca="false">IF(ISBLANK($C207),"",IF(AND(ISNUMBER(X207),N207&gt;0),X207/N207, "") )</f>
        <v/>
      </c>
      <c r="Z207" s="55" t="str">
        <f aca="false">IF(AND(NOT(ISBLANK($C207)), W207=Constants!$B$7), Y207, "")</f>
        <v/>
      </c>
      <c r="AA207" s="55" t="str">
        <f aca="false">IF(ISNUMBER(Z207), RANK(Z207,Z$8:Z$507), "")</f>
        <v/>
      </c>
      <c r="AB207" s="55" t="str">
        <f aca="false">IF(AND(NOT(ISBLANK($C207)), W207=Constants!$B$8), Y207, "")</f>
        <v/>
      </c>
      <c r="AC207" s="55" t="str">
        <f aca="false">IF(ISNUMBER(AB207), RANK(AB207,AB$8:AB$507), "")</f>
        <v/>
      </c>
      <c r="AD207" s="55" t="str">
        <f aca="false">IF(ISBLANK($C207),"",IF(V207&lt;&gt;Constants!$B$14, V207, IF(W207=Constants!$B$7, AA207, IF(W207=Constants!$B$8, COUNT($AA$8:$AA$507) + AC207, ""))))</f>
        <v/>
      </c>
      <c r="AE207" s="55" t="str">
        <f aca="false">N207</f>
        <v/>
      </c>
      <c r="AF207" s="55" t="str">
        <f aca="false">IF(ISNUMBER(AE207), RANK(AE207,AE$8:AE$507,1), "")</f>
        <v/>
      </c>
      <c r="AG207" s="57" t="str">
        <f aca="false">IF(ISBLANK(C207), "", ABS(M207-S207))</f>
        <v/>
      </c>
      <c r="AH207" s="55" t="str">
        <f aca="false">IF(ISNUMBER(AG207), RANK(AG207,AG$8:AG$507,1), "")</f>
        <v/>
      </c>
      <c r="AI207" s="55" t="str">
        <f aca="false">IF(ISBLANK(C207),"",IF(V207&lt;&gt;Constants!$B$14, V207, RANK(AD207, AD$8:AD$507, 1)+ SUMPRODUCT(--(AD$8:AD$507=AD207),--(AF207&gt;AF$8:AF$507)) + SUMPRODUCT(--(AD$8:AD$507=AD207),--(AF207=AF$8:AF$507),--(AH207&gt;AH$8:AH$507))))</f>
        <v/>
      </c>
      <c r="AJ207" s="55" t="str">
        <f aca="false">IF(ISBLANK(C207),"",IF(V207&lt;&gt;Constants!$B$14, V207, AD207-AI207))</f>
        <v/>
      </c>
      <c r="AK207" s="59"/>
      <c r="AL207" s="60" t="str">
        <f aca="false">IF(ISBLANK($C207),"",IF($V207&lt;&gt;Constants!$B$14,$V207,X207))</f>
        <v/>
      </c>
      <c r="AM207" s="60" t="str">
        <f aca="false">IF(ISBLANK($C207),"",IF($V207&lt;&gt;Constants!$B$14,$V207,N207))</f>
        <v/>
      </c>
      <c r="AN207" s="62" t="str">
        <f aca="false">IF(ISBLANK(C207),"",IF(V207&lt;&gt;Constants!$B$14, V207, IF(W207=Constants!$B$7,Z207,IF(W207=Constants!$B$8,AB207,""))))</f>
        <v/>
      </c>
      <c r="AO207" s="63" t="str">
        <f aca="false">IF(ISBLANK(C207),"",W207)</f>
        <v/>
      </c>
      <c r="AP207" s="63" t="str">
        <f aca="false">IF(ISBLANK(C207),"",AJ207)</f>
        <v/>
      </c>
      <c r="AQ207" s="63" t="str">
        <f aca="false">IF(ISBLANK(C207),"",AI207)</f>
        <v/>
      </c>
      <c r="AR207" s="64" t="str">
        <f aca="false">IF(ISBLANK(C207),
  "",
IF(AQ207=Constants!$B$11,COUNTA($C$8:$C$507)+2,IF(AQ207=Constants!$B$12,COUNTA($C$8:$C$507)+1,IF(AQ207=Constants!$B$13,COUNTA($C$8:$C$507),AQ207))))</f>
        <v/>
      </c>
      <c r="AS207" s="3"/>
      <c r="AT207" s="65" t="n">
        <f aca="false">IF(OR(ISNUMBER(AQ207),AQ207="DQ",AQ207="P",AQ207="NS"),
    1,
    0
)</f>
        <v>0</v>
      </c>
      <c r="AU207" s="65" t="n">
        <v>200</v>
      </c>
      <c r="AV207" s="65" t="str">
        <f aca="false">IF(ISBLANK($C207),
    "",
   IF(ISNUMBER(AR207),AR207+ROW($B207)/1000,"")
)</f>
        <v/>
      </c>
      <c r="AW207" s="65" t="str">
        <f aca="false">IF(ISNUMBER(AV207), RANK(AV207,AV$8:AV$507,1), "")</f>
        <v/>
      </c>
      <c r="AX207" s="65" t="str">
        <f aca="false">IF(ISBLANK($C207),
    "",
    $B207
)</f>
        <v/>
      </c>
      <c r="AY207" s="65" t="str">
        <f aca="false">IF(ISBLANK($C207),
    "",
    $C207
)</f>
        <v/>
      </c>
      <c r="AZ207" s="65" t="str">
        <f aca="false">IF(ISBLANK($C207),
    "",
    $D207
)</f>
        <v/>
      </c>
      <c r="BA207" s="65" t="str">
        <f aca="false">AO207</f>
        <v/>
      </c>
      <c r="BB207" s="66" t="str">
        <f aca="false">AN207</f>
        <v/>
      </c>
      <c r="BC207" s="65" t="str">
        <f aca="false">IF(ISBLANK($C207),
    "",
    AQ207
)</f>
        <v/>
      </c>
      <c r="BD207" s="67" t="str">
        <f aca="false">IF(AU207&gt;AT$7,
    "",
    VLOOKUP(AU207,AW$8:BC$507,7,FALSE())
)</f>
        <v/>
      </c>
      <c r="BE207" s="68" t="str">
        <f aca="false">IF(AU207&gt;AT$7,
    "",
    VLOOKUP(AU207,AW$8:BC$507,2,FALSE())
)</f>
        <v/>
      </c>
      <c r="BF207" s="68" t="str">
        <f aca="false">IF(AU207&gt;AT$7,
    "",
    VLOOKUP(AU207,AW$8:BC$507,3,FALSE())
)</f>
        <v/>
      </c>
      <c r="BG207" s="68" t="str">
        <f aca="false">IF(AU207&gt;AT$7,
    "",
    VLOOKUP(AU207,AW$8:BC$507,4,FALSE())
)</f>
        <v/>
      </c>
      <c r="BH207" s="68" t="str">
        <f aca="false">IF(AU207&gt;AT$7,
    "",
    VLOOKUP(AU207,AW$8:BC$507,5,FALSE())
)</f>
        <v/>
      </c>
      <c r="BI207" s="69" t="str">
        <f aca="false">IF(AU207&gt;AT$7,
    "",
    VLOOKUP(AU207,AW$8:BC$507,6,FALSE())
)</f>
        <v/>
      </c>
      <c r="BJ207" s="46"/>
    </row>
    <row r="208" customFormat="false" ht="15.75" hidden="false" customHeight="false" outlineLevel="0" collapsed="false">
      <c r="A208" s="3"/>
      <c r="B208" s="108"/>
      <c r="C208" s="70"/>
      <c r="D208" s="49"/>
      <c r="E208" s="109"/>
      <c r="F208" s="72"/>
      <c r="G208" s="109"/>
      <c r="H208" s="74"/>
      <c r="I208" s="104"/>
      <c r="J208" s="74"/>
      <c r="K208" s="74"/>
      <c r="L208" s="55"/>
      <c r="M208" s="55" t="str">
        <f aca="false">IF(ISBLANK($C208),"",IF(ISBLANK(E208),0,E208))</f>
        <v/>
      </c>
      <c r="N208" s="55" t="str">
        <f aca="false">IF(ISBLANK($C208),"",IF(ISBLANK(F208),0,F208))</f>
        <v/>
      </c>
      <c r="O208" s="55" t="e">
        <f aca="false">IF(AND(NOT(ISBLANK($C208)),NOT($T208),COUNTA($E208:$K208)&gt;0),ISBLANK($F208),FALSE())</f>
        <v>#VALUE!</v>
      </c>
      <c r="P208" s="55" t="str">
        <f aca="false">IF(ISBLANK($C208),"",IF(G208=Constants!$B$9, TRUE(), IF(G208=Constants!$B$10, FALSE(), TRUE())))</f>
        <v/>
      </c>
      <c r="Q208" s="55" t="str">
        <f aca="false">IF(ISBLANK($C208),"",IF(H208=Constants!$B$9, TRUE(), IF(H208=Constants!$B$10, FALSE(), TRUE())))</f>
        <v/>
      </c>
      <c r="R208" s="55" t="str">
        <f aca="false">IF(ISBLANK($C208),"",IF(ISBLANK(I208),Constants!$B$3,I208))</f>
        <v/>
      </c>
      <c r="S208" s="55" t="str">
        <f aca="false">IF(ISBLANK($C208),"",IF(ISBLANK(J208),0,MIN(J208,Constants!$B$6)))</f>
        <v/>
      </c>
      <c r="T208" s="55" t="str">
        <f aca="false">IF(ISBLANK($C208),"",IF(K208=Constants!$B$9, TRUE(), IF(K208=Constants!$B$10, FALSE(),  FALSE())))</f>
        <v/>
      </c>
      <c r="U208" s="55" t="str">
        <f aca="false">IF(ISBLANK($C208),"",AND(R208=Constants!$B$4, S208&lt;Constants!$B$6))</f>
        <v/>
      </c>
      <c r="V208" s="55" t="str">
        <f aca="false">IF(ISBLANK(C208), "", IF(T208, Constants!$B$11, IF(COUNTA(E208:K208)=0, Constants!$B$12, IF(NOT(AND(P208,S208&lt;&gt;0)), Constants!$B$13, IF(O208, Constants!$B$15, Constants!$B$14)))))</f>
        <v/>
      </c>
      <c r="W208" s="55" t="str">
        <f aca="false">IF(OR(ISBLANK($C208), SUMPRODUCT(--(P208:T208&lt;&gt;""))=0), "", IF(V208&lt;&gt;Constants!$B$14, V208, IF(AND(NOT(ISBLANK(J208)),P208,Q208,R208&lt;&gt;Constants!$B$2), Constants!$B$7, IF(AND(P208,OR(NOT(Q208),R208=Constants!$B$2)), Constants!$B$8, "Error"))))</f>
        <v/>
      </c>
      <c r="X208" s="56" t="str">
        <f aca="false">IF(OR(W208=Constants!$B$7,W208=Constants!$B$8), MAX(0, MIN(Constants!$B$6, S208))+IF(AND(R208=Constants!$B$4, NOT(U208)), Constants!$B$5, 0), "")</f>
        <v/>
      </c>
      <c r="Y208" s="55" t="str">
        <f aca="false">IF(ISBLANK($C208),"",IF(AND(ISNUMBER(X208),N208&gt;0),X208/N208, "") )</f>
        <v/>
      </c>
      <c r="Z208" s="55" t="str">
        <f aca="false">IF(AND(NOT(ISBLANK($C208)), W208=Constants!$B$7), Y208, "")</f>
        <v/>
      </c>
      <c r="AA208" s="55" t="str">
        <f aca="false">IF(ISNUMBER(Z208), RANK(Z208,Z$8:Z$507), "")</f>
        <v/>
      </c>
      <c r="AB208" s="55" t="str">
        <f aca="false">IF(AND(NOT(ISBLANK($C208)), W208=Constants!$B$8), Y208, "")</f>
        <v/>
      </c>
      <c r="AC208" s="55" t="str">
        <f aca="false">IF(ISNUMBER(AB208), RANK(AB208,AB$8:AB$507), "")</f>
        <v/>
      </c>
      <c r="AD208" s="55" t="str">
        <f aca="false">IF(ISBLANK($C208),"",IF(V208&lt;&gt;Constants!$B$14, V208, IF(W208=Constants!$B$7, AA208, IF(W208=Constants!$B$8, COUNT($AA$8:$AA$507) + AC208, ""))))</f>
        <v/>
      </c>
      <c r="AE208" s="55" t="str">
        <f aca="false">N208</f>
        <v/>
      </c>
      <c r="AF208" s="55" t="str">
        <f aca="false">IF(ISNUMBER(AE208), RANK(AE208,AE$8:AE$507,1), "")</f>
        <v/>
      </c>
      <c r="AG208" s="57" t="str">
        <f aca="false">IF(ISBLANK(C208), "", ABS(M208-S208))</f>
        <v/>
      </c>
      <c r="AH208" s="55" t="str">
        <f aca="false">IF(ISNUMBER(AG208), RANK(AG208,AG$8:AG$507,1), "")</f>
        <v/>
      </c>
      <c r="AI208" s="55" t="str">
        <f aca="false">IF(ISBLANK(C208),"",IF(V208&lt;&gt;Constants!$B$14, V208, RANK(AD208, AD$8:AD$507, 1)+ SUMPRODUCT(--(AD$8:AD$507=AD208),--(AF208&gt;AF$8:AF$507)) + SUMPRODUCT(--(AD$8:AD$507=AD208),--(AF208=AF$8:AF$507),--(AH208&gt;AH$8:AH$507))))</f>
        <v/>
      </c>
      <c r="AJ208" s="55" t="str">
        <f aca="false">IF(ISBLANK(C208),"",IF(V208&lt;&gt;Constants!$B$14, V208, AD208-AI208))</f>
        <v/>
      </c>
      <c r="AK208" s="59"/>
      <c r="AL208" s="60" t="str">
        <f aca="false">IF(ISBLANK($C208),"",IF($V208&lt;&gt;Constants!$B$14,$V208,X208))</f>
        <v/>
      </c>
      <c r="AM208" s="60" t="str">
        <f aca="false">IF(ISBLANK($C208),"",IF($V208&lt;&gt;Constants!$B$14,$V208,N208))</f>
        <v/>
      </c>
      <c r="AN208" s="62" t="str">
        <f aca="false">IF(ISBLANK(C208),"",IF(V208&lt;&gt;Constants!$B$14, V208, IF(W208=Constants!$B$7,Z208,IF(W208=Constants!$B$8,AB208,""))))</f>
        <v/>
      </c>
      <c r="AO208" s="63" t="str">
        <f aca="false">IF(ISBLANK(C208),"",W208)</f>
        <v/>
      </c>
      <c r="AP208" s="63" t="str">
        <f aca="false">IF(ISBLANK(C208),"",AJ208)</f>
        <v/>
      </c>
      <c r="AQ208" s="63" t="str">
        <f aca="false">IF(ISBLANK(C208),"",AI208)</f>
        <v/>
      </c>
      <c r="AR208" s="64" t="str">
        <f aca="false">IF(ISBLANK(C208),
  "",
IF(AQ208=Constants!$B$11,COUNTA($C$8:$C$507)+2,IF(AQ208=Constants!$B$12,COUNTA($C$8:$C$507)+1,IF(AQ208=Constants!$B$13,COUNTA($C$8:$C$507),AQ208))))</f>
        <v/>
      </c>
      <c r="AS208" s="3"/>
      <c r="AT208" s="65" t="n">
        <f aca="false">IF(OR(ISNUMBER(AQ208),AQ208="DQ",AQ208="P",AQ208="NS"),
    1,
    0
)</f>
        <v>0</v>
      </c>
      <c r="AU208" s="65" t="n">
        <v>201</v>
      </c>
      <c r="AV208" s="65" t="str">
        <f aca="false">IF(ISBLANK($C208),
    "",
   IF(ISNUMBER(AR208),AR208+ROW($B208)/1000,"")
)</f>
        <v/>
      </c>
      <c r="AW208" s="65" t="str">
        <f aca="false">IF(ISNUMBER(AV208), RANK(AV208,AV$8:AV$507,1), "")</f>
        <v/>
      </c>
      <c r="AX208" s="65" t="str">
        <f aca="false">IF(ISBLANK($C208),
    "",
    $B208
)</f>
        <v/>
      </c>
      <c r="AY208" s="65" t="str">
        <f aca="false">IF(ISBLANK($C208),
    "",
    $C208
)</f>
        <v/>
      </c>
      <c r="AZ208" s="65" t="str">
        <f aca="false">IF(ISBLANK($C208),
    "",
    $D208
)</f>
        <v/>
      </c>
      <c r="BA208" s="65" t="str">
        <f aca="false">AO208</f>
        <v/>
      </c>
      <c r="BB208" s="66" t="str">
        <f aca="false">AN208</f>
        <v/>
      </c>
      <c r="BC208" s="65" t="str">
        <f aca="false">IF(ISBLANK($C208),
    "",
    AQ208
)</f>
        <v/>
      </c>
      <c r="BD208" s="67" t="str">
        <f aca="false">IF(AU208&gt;AT$7,
    "",
    VLOOKUP(AU208,AW$8:BC$507,7,FALSE())
)</f>
        <v/>
      </c>
      <c r="BE208" s="68" t="str">
        <f aca="false">IF(AU208&gt;AT$7,
    "",
    VLOOKUP(AU208,AW$8:BC$507,2,FALSE())
)</f>
        <v/>
      </c>
      <c r="BF208" s="68" t="str">
        <f aca="false">IF(AU208&gt;AT$7,
    "",
    VLOOKUP(AU208,AW$8:BC$507,3,FALSE())
)</f>
        <v/>
      </c>
      <c r="BG208" s="68" t="str">
        <f aca="false">IF(AU208&gt;AT$7,
    "",
    VLOOKUP(AU208,AW$8:BC$507,4,FALSE())
)</f>
        <v/>
      </c>
      <c r="BH208" s="68" t="str">
        <f aca="false">IF(AU208&gt;AT$7,
    "",
    VLOOKUP(AU208,AW$8:BC$507,5,FALSE())
)</f>
        <v/>
      </c>
      <c r="BI208" s="69" t="str">
        <f aca="false">IF(AU208&gt;AT$7,
    "",
    VLOOKUP(AU208,AW$8:BC$507,6,FALSE())
)</f>
        <v/>
      </c>
      <c r="BJ208" s="46"/>
    </row>
    <row r="209" customFormat="false" ht="15.75" hidden="false" customHeight="false" outlineLevel="0" collapsed="false">
      <c r="A209" s="3"/>
      <c r="B209" s="105"/>
      <c r="C209" s="106"/>
      <c r="D209" s="99"/>
      <c r="E209" s="110"/>
      <c r="F209" s="107"/>
      <c r="G209" s="110"/>
      <c r="H209" s="103"/>
      <c r="I209" s="102"/>
      <c r="J209" s="103"/>
      <c r="K209" s="103"/>
      <c r="L209" s="85"/>
      <c r="M209" s="85" t="str">
        <f aca="false">IF(ISBLANK($C209),"",IF(ISBLANK(E209),0,E209))</f>
        <v/>
      </c>
      <c r="N209" s="85" t="str">
        <f aca="false">IF(ISBLANK($C209),"",IF(ISBLANK(F209),0,F209))</f>
        <v/>
      </c>
      <c r="O209" s="86" t="e">
        <f aca="false">IF(AND(NOT(ISBLANK($C209)),NOT($T209),COUNTA($E209:$K209)&gt;0),ISBLANK($F209),FALSE())</f>
        <v>#VALUE!</v>
      </c>
      <c r="P209" s="85" t="str">
        <f aca="false">IF(ISBLANK($C209),"",IF(G209=Constants!$B$9, TRUE(), IF(G209=Constants!$B$10, FALSE(), TRUE())))</f>
        <v/>
      </c>
      <c r="Q209" s="85" t="str">
        <f aca="false">IF(ISBLANK($C209),"",IF(H209=Constants!$B$9, TRUE(), IF(H209=Constants!$B$10, FALSE(), TRUE())))</f>
        <v/>
      </c>
      <c r="R209" s="85" t="str">
        <f aca="false">IF(ISBLANK($C209),"",IF(ISBLANK(I209),Constants!$B$3,I209))</f>
        <v/>
      </c>
      <c r="S209" s="85" t="str">
        <f aca="false">IF(ISBLANK($C209),"",IF(ISBLANK(J209),0,MIN(J209,Constants!$B$6)))</f>
        <v/>
      </c>
      <c r="T209" s="85" t="str">
        <f aca="false">IF(ISBLANK($C209),"",IF(K209=Constants!$B$9, TRUE(), IF(K209=Constants!$B$10, FALSE(),  FALSE())))</f>
        <v/>
      </c>
      <c r="U209" s="85" t="str">
        <f aca="false">IF(ISBLANK($C209),"",AND(R209=Constants!$B$4, S209&lt;Constants!$B$6))</f>
        <v/>
      </c>
      <c r="V209" s="85" t="str">
        <f aca="false">IF(ISBLANK(C209), "", IF(T209, Constants!$B$11, IF(COUNTA(E209:K209)=0, Constants!$B$12, IF(NOT(AND(P209,S209&lt;&gt;0)), Constants!$B$13, IF(O209, Constants!$B$15, Constants!$B$14)))))</f>
        <v/>
      </c>
      <c r="W209" s="85" t="str">
        <f aca="false">IF(OR(ISBLANK($C209), SUMPRODUCT(--(P209:T209&lt;&gt;""))=0), "", IF(V209&lt;&gt;Constants!$B$14, V209, IF(AND(NOT(ISBLANK(J209)),P209,Q209,R209&lt;&gt;Constants!$B$2), Constants!$B$7, IF(AND(P209,OR(NOT(Q209),R209=Constants!$B$2)), Constants!$B$8, "Error"))))</f>
        <v/>
      </c>
      <c r="X209" s="87" t="str">
        <f aca="false">IF(OR(W209=Constants!$B$7,W209=Constants!$B$8), MAX(0, MIN(Constants!$B$6, S209))+IF(AND(R209=Constants!$B$4, NOT(U209)), Constants!$B$5, 0), "")</f>
        <v/>
      </c>
      <c r="Y209" s="85" t="str">
        <f aca="false">IF(ISBLANK($C209),"",IF(AND(ISNUMBER(X209),N209&gt;0),X209/N209, "") )</f>
        <v/>
      </c>
      <c r="Z209" s="85" t="str">
        <f aca="false">IF(AND(NOT(ISBLANK($C209)), W209=Constants!$B$7), Y209, "")</f>
        <v/>
      </c>
      <c r="AA209" s="85" t="str">
        <f aca="false">IF(ISNUMBER(Z209), RANK(Z209,Z$8:Z$507), "")</f>
        <v/>
      </c>
      <c r="AB209" s="85" t="str">
        <f aca="false">IF(AND(NOT(ISBLANK($C209)), W209=Constants!$B$8), Y209, "")</f>
        <v/>
      </c>
      <c r="AC209" s="85" t="str">
        <f aca="false">IF(ISNUMBER(AB209), RANK(AB209,AB$8:AB$507), "")</f>
        <v/>
      </c>
      <c r="AD209" s="85" t="str">
        <f aca="false">IF(ISBLANK($C209),"",IF(V209&lt;&gt;Constants!$B$14, V209, IF(W209=Constants!$B$7, AA209, IF(W209=Constants!$B$8, COUNT($AA$8:$AA$507) + AC209, ""))))</f>
        <v/>
      </c>
      <c r="AE209" s="85" t="str">
        <f aca="false">N209</f>
        <v/>
      </c>
      <c r="AF209" s="85" t="str">
        <f aca="false">IF(ISNUMBER(AE209), RANK(AE209,AE$8:AE$507,1), "")</f>
        <v/>
      </c>
      <c r="AG209" s="88" t="str">
        <f aca="false">IF(ISBLANK(C209), "", ABS(M209-S209))</f>
        <v/>
      </c>
      <c r="AH209" s="85" t="str">
        <f aca="false">IF(ISNUMBER(AG209), RANK(AG209,AG$8:AG$507,1), "")</f>
        <v/>
      </c>
      <c r="AI209" s="85" t="str">
        <f aca="false">IF(ISBLANK(C209),"",IF(V209&lt;&gt;Constants!$B$14, V209, RANK(AD209, AD$8:AD$507, 1)+ SUMPRODUCT(--(AD$8:AD$507=AD209),--(AF209&gt;AF$8:AF$507)) + SUMPRODUCT(--(AD$8:AD$507=AD209),--(AF209=AF$8:AF$507),--(AH209&gt;AH$8:AH$507))))</f>
        <v/>
      </c>
      <c r="AJ209" s="85" t="str">
        <f aca="false">IF(ISBLANK(C209),"",IF(V209&lt;&gt;Constants!$B$14, V209, AD209-AI209))</f>
        <v/>
      </c>
      <c r="AK209" s="89"/>
      <c r="AL209" s="90" t="str">
        <f aca="false">IF(ISBLANK($C209),"",IF($V209&lt;&gt;Constants!$B$14,$V209,X209))</f>
        <v/>
      </c>
      <c r="AM209" s="90" t="str">
        <f aca="false">IF(ISBLANK($C209),"",IF($V209&lt;&gt;Constants!$B$14,$V209,N209))</f>
        <v/>
      </c>
      <c r="AN209" s="91" t="str">
        <f aca="false">IF(ISBLANK(C209),"",IF(V209&lt;&gt;Constants!$B$14, V209, IF(W209=Constants!$B$7,Z209,IF(W209=Constants!$B$8,AB209,""))))</f>
        <v/>
      </c>
      <c r="AO209" s="92" t="str">
        <f aca="false">IF(ISBLANK(C209),"",W209)</f>
        <v/>
      </c>
      <c r="AP209" s="92" t="str">
        <f aca="false">IF(ISBLANK(C209),"",AJ209)</f>
        <v/>
      </c>
      <c r="AQ209" s="92" t="str">
        <f aca="false">IF(ISBLANK(C209),"",AI209)</f>
        <v/>
      </c>
      <c r="AR209" s="93" t="str">
        <f aca="false">IF(ISBLANK(C209),
  "",
IF(AQ209=Constants!$B$11,COUNTA($C$8:$C$507)+2,IF(AQ209=Constants!$B$12,COUNTA($C$8:$C$507)+1,IF(AQ209=Constants!$B$13,COUNTA($C$8:$C$507),AQ209))))</f>
        <v/>
      </c>
      <c r="AS209" s="3"/>
      <c r="AT209" s="94" t="n">
        <f aca="false">IF(OR(ISNUMBER(AQ209),AQ209="DQ",AQ209="P",AQ209="NS"),
    1,
    0
)</f>
        <v>0</v>
      </c>
      <c r="AU209" s="94" t="n">
        <v>202</v>
      </c>
      <c r="AV209" s="94" t="str">
        <f aca="false">IF(ISBLANK($C209),
    "",
   IF(ISNUMBER(AR209),AR209+ROW($B209)/1000,"")
)</f>
        <v/>
      </c>
      <c r="AW209" s="94" t="str">
        <f aca="false">IF(ISNUMBER(AV209), RANK(AV209,AV$8:AV$507,1), "")</f>
        <v/>
      </c>
      <c r="AX209" s="94" t="str">
        <f aca="false">IF(ISBLANK($C209),
    "",
    $B209
)</f>
        <v/>
      </c>
      <c r="AY209" s="94" t="str">
        <f aca="false">IF(ISBLANK($C209),
    "",
    $C209
)</f>
        <v/>
      </c>
      <c r="AZ209" s="94" t="str">
        <f aca="false">IF(ISBLANK($C209),
    "",
    $D209
)</f>
        <v/>
      </c>
      <c r="BA209" s="94" t="str">
        <f aca="false">AO209</f>
        <v/>
      </c>
      <c r="BB209" s="95" t="str">
        <f aca="false">AN209</f>
        <v/>
      </c>
      <c r="BC209" s="94" t="str">
        <f aca="false">IF(ISBLANK($C209),
    "",
    AQ209
)</f>
        <v/>
      </c>
      <c r="BD209" s="96" t="str">
        <f aca="false">IF(AU209&gt;AT$7,
    "",
    VLOOKUP(AU209,AW$8:BC$507,7,FALSE())
)</f>
        <v/>
      </c>
      <c r="BE209" s="97" t="str">
        <f aca="false">IF(AU209&gt;AT$7,
    "",
    VLOOKUP(AU209,AW$8:BC$507,2,FALSE())
)</f>
        <v/>
      </c>
      <c r="BF209" s="97" t="str">
        <f aca="false">IF(AU209&gt;AT$7,
    "",
    VLOOKUP(AU209,AW$8:BC$507,3,FALSE())
)</f>
        <v/>
      </c>
      <c r="BG209" s="97" t="str">
        <f aca="false">IF(AU209&gt;AT$7,
    "",
    VLOOKUP(AU209,AW$8:BC$507,4,FALSE())
)</f>
        <v/>
      </c>
      <c r="BH209" s="97" t="str">
        <f aca="false">IF(AU209&gt;AT$7,
    "",
    VLOOKUP(AU209,AW$8:BC$507,5,FALSE())
)</f>
        <v/>
      </c>
      <c r="BI209" s="98" t="str">
        <f aca="false">IF(AU209&gt;AT$7,
    "",
    VLOOKUP(AU209,AW$8:BC$507,6,FALSE())
)</f>
        <v/>
      </c>
      <c r="BJ209" s="46"/>
    </row>
    <row r="210" customFormat="false" ht="15.75" hidden="false" customHeight="false" outlineLevel="0" collapsed="false">
      <c r="A210" s="3"/>
      <c r="B210" s="105"/>
      <c r="C210" s="106"/>
      <c r="D210" s="99"/>
      <c r="E210" s="110"/>
      <c r="F210" s="107"/>
      <c r="G210" s="110"/>
      <c r="H210" s="103"/>
      <c r="I210" s="102"/>
      <c r="J210" s="103"/>
      <c r="K210" s="103"/>
      <c r="L210" s="85"/>
      <c r="M210" s="85" t="str">
        <f aca="false">IF(ISBLANK($C210),"",IF(ISBLANK(E210),0,E210))</f>
        <v/>
      </c>
      <c r="N210" s="85" t="str">
        <f aca="false">IF(ISBLANK($C210),"",IF(ISBLANK(F210),0,F210))</f>
        <v/>
      </c>
      <c r="O210" s="86" t="e">
        <f aca="false">IF(AND(NOT(ISBLANK($C210)),NOT($T210),COUNTA($E210:$K210)&gt;0),ISBLANK($F210),FALSE())</f>
        <v>#VALUE!</v>
      </c>
      <c r="P210" s="85" t="str">
        <f aca="false">IF(ISBLANK($C210),"",IF(G210=Constants!$B$9, TRUE(), IF(G210=Constants!$B$10, FALSE(), TRUE())))</f>
        <v/>
      </c>
      <c r="Q210" s="85" t="str">
        <f aca="false">IF(ISBLANK($C210),"",IF(H210=Constants!$B$9, TRUE(), IF(H210=Constants!$B$10, FALSE(), TRUE())))</f>
        <v/>
      </c>
      <c r="R210" s="85" t="str">
        <f aca="false">IF(ISBLANK($C210),"",IF(ISBLANK(I210),Constants!$B$3,I210))</f>
        <v/>
      </c>
      <c r="S210" s="85" t="str">
        <f aca="false">IF(ISBLANK($C210),"",IF(ISBLANK(J210),0,MIN(J210,Constants!$B$6)))</f>
        <v/>
      </c>
      <c r="T210" s="85" t="str">
        <f aca="false">IF(ISBLANK($C210),"",IF(K210=Constants!$B$9, TRUE(), IF(K210=Constants!$B$10, FALSE(),  FALSE())))</f>
        <v/>
      </c>
      <c r="U210" s="85" t="str">
        <f aca="false">IF(ISBLANK($C210),"",AND(R210=Constants!$B$4, S210&lt;Constants!$B$6))</f>
        <v/>
      </c>
      <c r="V210" s="85" t="str">
        <f aca="false">IF(ISBLANK(C210), "", IF(T210, Constants!$B$11, IF(COUNTA(E210:K210)=0, Constants!$B$12, IF(NOT(AND(P210,S210&lt;&gt;0)), Constants!$B$13, IF(O210, Constants!$B$15, Constants!$B$14)))))</f>
        <v/>
      </c>
      <c r="W210" s="85" t="str">
        <f aca="false">IF(OR(ISBLANK($C210), SUMPRODUCT(--(P210:T210&lt;&gt;""))=0), "", IF(V210&lt;&gt;Constants!$B$14, V210, IF(AND(NOT(ISBLANK(J210)),P210,Q210,R210&lt;&gt;Constants!$B$2), Constants!$B$7, IF(AND(P210,OR(NOT(Q210),R210=Constants!$B$2)), Constants!$B$8, "Error"))))</f>
        <v/>
      </c>
      <c r="X210" s="87" t="str">
        <f aca="false">IF(OR(W210=Constants!$B$7,W210=Constants!$B$8), MAX(0, MIN(Constants!$B$6, S210))+IF(AND(R210=Constants!$B$4, NOT(U210)), Constants!$B$5, 0), "")</f>
        <v/>
      </c>
      <c r="Y210" s="85" t="str">
        <f aca="false">IF(ISBLANK($C210),"",IF(AND(ISNUMBER(X210),N210&gt;0),X210/N210, "") )</f>
        <v/>
      </c>
      <c r="Z210" s="85" t="str">
        <f aca="false">IF(AND(NOT(ISBLANK($C210)), W210=Constants!$B$7), Y210, "")</f>
        <v/>
      </c>
      <c r="AA210" s="85" t="str">
        <f aca="false">IF(ISNUMBER(Z210), RANK(Z210,Z$8:Z$507), "")</f>
        <v/>
      </c>
      <c r="AB210" s="85" t="str">
        <f aca="false">IF(AND(NOT(ISBLANK($C210)), W210=Constants!$B$8), Y210, "")</f>
        <v/>
      </c>
      <c r="AC210" s="85" t="str">
        <f aca="false">IF(ISNUMBER(AB210), RANK(AB210,AB$8:AB$507), "")</f>
        <v/>
      </c>
      <c r="AD210" s="85" t="str">
        <f aca="false">IF(ISBLANK($C210),"",IF(V210&lt;&gt;Constants!$B$14, V210, IF(W210=Constants!$B$7, AA210, IF(W210=Constants!$B$8, COUNT($AA$8:$AA$507) + AC210, ""))))</f>
        <v/>
      </c>
      <c r="AE210" s="85" t="str">
        <f aca="false">N210</f>
        <v/>
      </c>
      <c r="AF210" s="85" t="str">
        <f aca="false">IF(ISNUMBER(AE210), RANK(AE210,AE$8:AE$507,1), "")</f>
        <v/>
      </c>
      <c r="AG210" s="88" t="str">
        <f aca="false">IF(ISBLANK(C210), "", ABS(M210-S210))</f>
        <v/>
      </c>
      <c r="AH210" s="85" t="str">
        <f aca="false">IF(ISNUMBER(AG210), RANK(AG210,AG$8:AG$507,1), "")</f>
        <v/>
      </c>
      <c r="AI210" s="85" t="str">
        <f aca="false">IF(ISBLANK(C210),"",IF(V210&lt;&gt;Constants!$B$14, V210, RANK(AD210, AD$8:AD$507, 1)+ SUMPRODUCT(--(AD$8:AD$507=AD210),--(AF210&gt;AF$8:AF$507)) + SUMPRODUCT(--(AD$8:AD$507=AD210),--(AF210=AF$8:AF$507),--(AH210&gt;AH$8:AH$507))))</f>
        <v/>
      </c>
      <c r="AJ210" s="85" t="str">
        <f aca="false">IF(ISBLANK(C210),"",IF(V210&lt;&gt;Constants!$B$14, V210, AD210-AI210))</f>
        <v/>
      </c>
      <c r="AK210" s="89"/>
      <c r="AL210" s="90" t="str">
        <f aca="false">IF(ISBLANK($C210),"",IF($V210&lt;&gt;Constants!$B$14,$V210,X210))</f>
        <v/>
      </c>
      <c r="AM210" s="90" t="str">
        <f aca="false">IF(ISBLANK($C210),"",IF($V210&lt;&gt;Constants!$B$14,$V210,N210))</f>
        <v/>
      </c>
      <c r="AN210" s="91" t="str">
        <f aca="false">IF(ISBLANK(C210),"",IF(V210&lt;&gt;Constants!$B$14, V210, IF(W210=Constants!$B$7,Z210,IF(W210=Constants!$B$8,AB210,""))))</f>
        <v/>
      </c>
      <c r="AO210" s="92" t="str">
        <f aca="false">IF(ISBLANK(C210),"",W210)</f>
        <v/>
      </c>
      <c r="AP210" s="92" t="str">
        <f aca="false">IF(ISBLANK(C210),"",AJ210)</f>
        <v/>
      </c>
      <c r="AQ210" s="92" t="str">
        <f aca="false">IF(ISBLANK(C210),"",AI210)</f>
        <v/>
      </c>
      <c r="AR210" s="93" t="str">
        <f aca="false">IF(ISBLANK(C210),
  "",
IF(AQ210=Constants!$B$11,COUNTA($C$8:$C$507)+2,IF(AQ210=Constants!$B$12,COUNTA($C$8:$C$507)+1,IF(AQ210=Constants!$B$13,COUNTA($C$8:$C$507),AQ210))))</f>
        <v/>
      </c>
      <c r="AS210" s="3"/>
      <c r="AT210" s="94" t="n">
        <f aca="false">IF(OR(ISNUMBER(AQ210),AQ210="DQ",AQ210="P",AQ210="NS"),
    1,
    0
)</f>
        <v>0</v>
      </c>
      <c r="AU210" s="94" t="n">
        <v>203</v>
      </c>
      <c r="AV210" s="94" t="str">
        <f aca="false">IF(ISBLANK($C210),
    "",
   IF(ISNUMBER(AR210),AR210+ROW($B210)/1000,"")
)</f>
        <v/>
      </c>
      <c r="AW210" s="94" t="str">
        <f aca="false">IF(ISNUMBER(AV210), RANK(AV210,AV$8:AV$507,1), "")</f>
        <v/>
      </c>
      <c r="AX210" s="94" t="str">
        <f aca="false">IF(ISBLANK($C210),
    "",
    $B210
)</f>
        <v/>
      </c>
      <c r="AY210" s="94" t="str">
        <f aca="false">IF(ISBLANK($C210),
    "",
    $C210
)</f>
        <v/>
      </c>
      <c r="AZ210" s="94" t="str">
        <f aca="false">IF(ISBLANK($C210),
    "",
    $D210
)</f>
        <v/>
      </c>
      <c r="BA210" s="94" t="str">
        <f aca="false">AO210</f>
        <v/>
      </c>
      <c r="BB210" s="95" t="str">
        <f aca="false">AN210</f>
        <v/>
      </c>
      <c r="BC210" s="94" t="str">
        <f aca="false">IF(ISBLANK($C210),
    "",
    AQ210
)</f>
        <v/>
      </c>
      <c r="BD210" s="96" t="str">
        <f aca="false">IF(AU210&gt;AT$7,
    "",
    VLOOKUP(AU210,AW$8:BC$507,7,FALSE())
)</f>
        <v/>
      </c>
      <c r="BE210" s="97" t="str">
        <f aca="false">IF(AU210&gt;AT$7,
    "",
    VLOOKUP(AU210,AW$8:BC$507,2,FALSE())
)</f>
        <v/>
      </c>
      <c r="BF210" s="97" t="str">
        <f aca="false">IF(AU210&gt;AT$7,
    "",
    VLOOKUP(AU210,AW$8:BC$507,3,FALSE())
)</f>
        <v/>
      </c>
      <c r="BG210" s="97" t="str">
        <f aca="false">IF(AU210&gt;AT$7,
    "",
    VLOOKUP(AU210,AW$8:BC$507,4,FALSE())
)</f>
        <v/>
      </c>
      <c r="BH210" s="97" t="str">
        <f aca="false">IF(AU210&gt;AT$7,
    "",
    VLOOKUP(AU210,AW$8:BC$507,5,FALSE())
)</f>
        <v/>
      </c>
      <c r="BI210" s="98" t="str">
        <f aca="false">IF(AU210&gt;AT$7,
    "",
    VLOOKUP(AU210,AW$8:BC$507,6,FALSE())
)</f>
        <v/>
      </c>
      <c r="BJ210" s="46"/>
    </row>
    <row r="211" customFormat="false" ht="15.75" hidden="false" customHeight="false" outlineLevel="0" collapsed="false">
      <c r="A211" s="3"/>
      <c r="B211" s="105"/>
      <c r="C211" s="106"/>
      <c r="D211" s="99"/>
      <c r="E211" s="110"/>
      <c r="F211" s="107"/>
      <c r="G211" s="110"/>
      <c r="H211" s="103"/>
      <c r="I211" s="102"/>
      <c r="J211" s="103"/>
      <c r="K211" s="103"/>
      <c r="L211" s="85"/>
      <c r="M211" s="85" t="str">
        <f aca="false">IF(ISBLANK($C211),"",IF(ISBLANK(E211),0,E211))</f>
        <v/>
      </c>
      <c r="N211" s="85" t="str">
        <f aca="false">IF(ISBLANK($C211),"",IF(ISBLANK(F211),0,F211))</f>
        <v/>
      </c>
      <c r="O211" s="86" t="e">
        <f aca="false">IF(AND(NOT(ISBLANK($C211)),NOT($T211),COUNTA($E211:$K211)&gt;0),ISBLANK($F211),FALSE())</f>
        <v>#VALUE!</v>
      </c>
      <c r="P211" s="85" t="str">
        <f aca="false">IF(ISBLANK($C211),"",IF(G211=Constants!$B$9, TRUE(), IF(G211=Constants!$B$10, FALSE(), TRUE())))</f>
        <v/>
      </c>
      <c r="Q211" s="85" t="str">
        <f aca="false">IF(ISBLANK($C211),"",IF(H211=Constants!$B$9, TRUE(), IF(H211=Constants!$B$10, FALSE(), TRUE())))</f>
        <v/>
      </c>
      <c r="R211" s="85" t="str">
        <f aca="false">IF(ISBLANK($C211),"",IF(ISBLANK(I211),Constants!$B$3,I211))</f>
        <v/>
      </c>
      <c r="S211" s="85" t="str">
        <f aca="false">IF(ISBLANK($C211),"",IF(ISBLANK(J211),0,MIN(J211,Constants!$B$6)))</f>
        <v/>
      </c>
      <c r="T211" s="85" t="str">
        <f aca="false">IF(ISBLANK($C211),"",IF(K211=Constants!$B$9, TRUE(), IF(K211=Constants!$B$10, FALSE(),  FALSE())))</f>
        <v/>
      </c>
      <c r="U211" s="85" t="str">
        <f aca="false">IF(ISBLANK($C211),"",AND(R211=Constants!$B$4, S211&lt;Constants!$B$6))</f>
        <v/>
      </c>
      <c r="V211" s="85" t="str">
        <f aca="false">IF(ISBLANK(C211), "", IF(T211, Constants!$B$11, IF(COUNTA(E211:K211)=0, Constants!$B$12, IF(NOT(AND(P211,S211&lt;&gt;0)), Constants!$B$13, IF(O211, Constants!$B$15, Constants!$B$14)))))</f>
        <v/>
      </c>
      <c r="W211" s="85" t="str">
        <f aca="false">IF(OR(ISBLANK($C211), SUMPRODUCT(--(P211:T211&lt;&gt;""))=0), "", IF(V211&lt;&gt;Constants!$B$14, V211, IF(AND(NOT(ISBLANK(J211)),P211,Q211,R211&lt;&gt;Constants!$B$2), Constants!$B$7, IF(AND(P211,OR(NOT(Q211),R211=Constants!$B$2)), Constants!$B$8, "Error"))))</f>
        <v/>
      </c>
      <c r="X211" s="87" t="str">
        <f aca="false">IF(OR(W211=Constants!$B$7,W211=Constants!$B$8), MAX(0, MIN(Constants!$B$6, S211))+IF(AND(R211=Constants!$B$4, NOT(U211)), Constants!$B$5, 0), "")</f>
        <v/>
      </c>
      <c r="Y211" s="85" t="str">
        <f aca="false">IF(ISBLANK($C211),"",IF(AND(ISNUMBER(X211),N211&gt;0),X211/N211, "") )</f>
        <v/>
      </c>
      <c r="Z211" s="85" t="str">
        <f aca="false">IF(AND(NOT(ISBLANK($C211)), W211=Constants!$B$7), Y211, "")</f>
        <v/>
      </c>
      <c r="AA211" s="85" t="str">
        <f aca="false">IF(ISNUMBER(Z211), RANK(Z211,Z$8:Z$507), "")</f>
        <v/>
      </c>
      <c r="AB211" s="85" t="str">
        <f aca="false">IF(AND(NOT(ISBLANK($C211)), W211=Constants!$B$8), Y211, "")</f>
        <v/>
      </c>
      <c r="AC211" s="85" t="str">
        <f aca="false">IF(ISNUMBER(AB211), RANK(AB211,AB$8:AB$507), "")</f>
        <v/>
      </c>
      <c r="AD211" s="85" t="str">
        <f aca="false">IF(ISBLANK($C211),"",IF(V211&lt;&gt;Constants!$B$14, V211, IF(W211=Constants!$B$7, AA211, IF(W211=Constants!$B$8, COUNT($AA$8:$AA$507) + AC211, ""))))</f>
        <v/>
      </c>
      <c r="AE211" s="85" t="str">
        <f aca="false">N211</f>
        <v/>
      </c>
      <c r="AF211" s="85" t="str">
        <f aca="false">IF(ISNUMBER(AE211), RANK(AE211,AE$8:AE$507,1), "")</f>
        <v/>
      </c>
      <c r="AG211" s="88" t="str">
        <f aca="false">IF(ISBLANK(C211), "", ABS(M211-S211))</f>
        <v/>
      </c>
      <c r="AH211" s="85" t="str">
        <f aca="false">IF(ISNUMBER(AG211), RANK(AG211,AG$8:AG$507,1), "")</f>
        <v/>
      </c>
      <c r="AI211" s="85" t="str">
        <f aca="false">IF(ISBLANK(C211),"",IF(V211&lt;&gt;Constants!$B$14, V211, RANK(AD211, AD$8:AD$507, 1)+ SUMPRODUCT(--(AD$8:AD$507=AD211),--(AF211&gt;AF$8:AF$507)) + SUMPRODUCT(--(AD$8:AD$507=AD211),--(AF211=AF$8:AF$507),--(AH211&gt;AH$8:AH$507))))</f>
        <v/>
      </c>
      <c r="AJ211" s="85" t="str">
        <f aca="false">IF(ISBLANK(C211),"",IF(V211&lt;&gt;Constants!$B$14, V211, AD211-AI211))</f>
        <v/>
      </c>
      <c r="AK211" s="89"/>
      <c r="AL211" s="90" t="str">
        <f aca="false">IF(ISBLANK($C211),"",IF($V211&lt;&gt;Constants!$B$14,$V211,X211))</f>
        <v/>
      </c>
      <c r="AM211" s="90" t="str">
        <f aca="false">IF(ISBLANK($C211),"",IF($V211&lt;&gt;Constants!$B$14,$V211,N211))</f>
        <v/>
      </c>
      <c r="AN211" s="91" t="str">
        <f aca="false">IF(ISBLANK(C211),"",IF(V211&lt;&gt;Constants!$B$14, V211, IF(W211=Constants!$B$7,Z211,IF(W211=Constants!$B$8,AB211,""))))</f>
        <v/>
      </c>
      <c r="AO211" s="92" t="str">
        <f aca="false">IF(ISBLANK(C211),"",W211)</f>
        <v/>
      </c>
      <c r="AP211" s="92" t="str">
        <f aca="false">IF(ISBLANK(C211),"",AJ211)</f>
        <v/>
      </c>
      <c r="AQ211" s="92" t="str">
        <f aca="false">IF(ISBLANK(C211),"",AI211)</f>
        <v/>
      </c>
      <c r="AR211" s="93" t="str">
        <f aca="false">IF(ISBLANK(C211),
  "",
IF(AQ211=Constants!$B$11,COUNTA($C$8:$C$507)+2,IF(AQ211=Constants!$B$12,COUNTA($C$8:$C$507)+1,IF(AQ211=Constants!$B$13,COUNTA($C$8:$C$507),AQ211))))</f>
        <v/>
      </c>
      <c r="AS211" s="3"/>
      <c r="AT211" s="94" t="n">
        <f aca="false">IF(OR(ISNUMBER(AQ211),AQ211="DQ",AQ211="P",AQ211="NS"),
    1,
    0
)</f>
        <v>0</v>
      </c>
      <c r="AU211" s="94" t="n">
        <v>204</v>
      </c>
      <c r="AV211" s="94" t="str">
        <f aca="false">IF(ISBLANK($C211),
    "",
   IF(ISNUMBER(AR211),AR211+ROW($B211)/1000,"")
)</f>
        <v/>
      </c>
      <c r="AW211" s="94" t="str">
        <f aca="false">IF(ISNUMBER(AV211), RANK(AV211,AV$8:AV$507,1), "")</f>
        <v/>
      </c>
      <c r="AX211" s="94" t="str">
        <f aca="false">IF(ISBLANK($C211),
    "",
    $B211
)</f>
        <v/>
      </c>
      <c r="AY211" s="94" t="str">
        <f aca="false">IF(ISBLANK($C211),
    "",
    $C211
)</f>
        <v/>
      </c>
      <c r="AZ211" s="94" t="str">
        <f aca="false">IF(ISBLANK($C211),
    "",
    $D211
)</f>
        <v/>
      </c>
      <c r="BA211" s="94" t="str">
        <f aca="false">AO211</f>
        <v/>
      </c>
      <c r="BB211" s="95" t="str">
        <f aca="false">AN211</f>
        <v/>
      </c>
      <c r="BC211" s="94" t="str">
        <f aca="false">IF(ISBLANK($C211),
    "",
    AQ211
)</f>
        <v/>
      </c>
      <c r="BD211" s="96" t="str">
        <f aca="false">IF(AU211&gt;AT$7,
    "",
    VLOOKUP(AU211,AW$8:BC$507,7,FALSE())
)</f>
        <v/>
      </c>
      <c r="BE211" s="97" t="str">
        <f aca="false">IF(AU211&gt;AT$7,
    "",
    VLOOKUP(AU211,AW$8:BC$507,2,FALSE())
)</f>
        <v/>
      </c>
      <c r="BF211" s="97" t="str">
        <f aca="false">IF(AU211&gt;AT$7,
    "",
    VLOOKUP(AU211,AW$8:BC$507,3,FALSE())
)</f>
        <v/>
      </c>
      <c r="BG211" s="97" t="str">
        <f aca="false">IF(AU211&gt;AT$7,
    "",
    VLOOKUP(AU211,AW$8:BC$507,4,FALSE())
)</f>
        <v/>
      </c>
      <c r="BH211" s="97" t="str">
        <f aca="false">IF(AU211&gt;AT$7,
    "",
    VLOOKUP(AU211,AW$8:BC$507,5,FALSE())
)</f>
        <v/>
      </c>
      <c r="BI211" s="98" t="str">
        <f aca="false">IF(AU211&gt;AT$7,
    "",
    VLOOKUP(AU211,AW$8:BC$507,6,FALSE())
)</f>
        <v/>
      </c>
      <c r="BJ211" s="46"/>
    </row>
    <row r="212" customFormat="false" ht="15.75" hidden="false" customHeight="false" outlineLevel="0" collapsed="false">
      <c r="A212" s="3"/>
      <c r="B212" s="108"/>
      <c r="C212" s="70"/>
      <c r="D212" s="49"/>
      <c r="E212" s="109"/>
      <c r="F212" s="72"/>
      <c r="G212" s="109"/>
      <c r="H212" s="74"/>
      <c r="I212" s="104"/>
      <c r="J212" s="74"/>
      <c r="K212" s="74"/>
      <c r="L212" s="55"/>
      <c r="M212" s="55" t="str">
        <f aca="false">IF(ISBLANK($C212),"",IF(ISBLANK(E212),0,E212))</f>
        <v/>
      </c>
      <c r="N212" s="55" t="str">
        <f aca="false">IF(ISBLANK($C212),"",IF(ISBLANK(F212),0,F212))</f>
        <v/>
      </c>
      <c r="O212" s="55" t="e">
        <f aca="false">IF(AND(NOT(ISBLANK($C212)),NOT($T212),COUNTA($E212:$K212)&gt;0),ISBLANK($F212),FALSE())</f>
        <v>#VALUE!</v>
      </c>
      <c r="P212" s="55" t="str">
        <f aca="false">IF(ISBLANK($C212),"",IF(G212=Constants!$B$9, TRUE(), IF(G212=Constants!$B$10, FALSE(), TRUE())))</f>
        <v/>
      </c>
      <c r="Q212" s="55" t="str">
        <f aca="false">IF(ISBLANK($C212),"",IF(H212=Constants!$B$9, TRUE(), IF(H212=Constants!$B$10, FALSE(), TRUE())))</f>
        <v/>
      </c>
      <c r="R212" s="55" t="str">
        <f aca="false">IF(ISBLANK($C212),"",IF(ISBLANK(I212),Constants!$B$3,I212))</f>
        <v/>
      </c>
      <c r="S212" s="55" t="str">
        <f aca="false">IF(ISBLANK($C212),"",IF(ISBLANK(J212),0,MIN(J212,Constants!$B$6)))</f>
        <v/>
      </c>
      <c r="T212" s="55" t="str">
        <f aca="false">IF(ISBLANK($C212),"",IF(K212=Constants!$B$9, TRUE(), IF(K212=Constants!$B$10, FALSE(),  FALSE())))</f>
        <v/>
      </c>
      <c r="U212" s="55" t="str">
        <f aca="false">IF(ISBLANK($C212),"",AND(R212=Constants!$B$4, S212&lt;Constants!$B$6))</f>
        <v/>
      </c>
      <c r="V212" s="55" t="str">
        <f aca="false">IF(ISBLANK(C212), "", IF(T212, Constants!$B$11, IF(COUNTA(E212:K212)=0, Constants!$B$12, IF(NOT(AND(P212,S212&lt;&gt;0)), Constants!$B$13, IF(O212, Constants!$B$15, Constants!$B$14)))))</f>
        <v/>
      </c>
      <c r="W212" s="55" t="str">
        <f aca="false">IF(OR(ISBLANK($C212), SUMPRODUCT(--(P212:T212&lt;&gt;""))=0), "", IF(V212&lt;&gt;Constants!$B$14, V212, IF(AND(NOT(ISBLANK(J212)),P212,Q212,R212&lt;&gt;Constants!$B$2), Constants!$B$7, IF(AND(P212,OR(NOT(Q212),R212=Constants!$B$2)), Constants!$B$8, "Error"))))</f>
        <v/>
      </c>
      <c r="X212" s="56" t="str">
        <f aca="false">IF(OR(W212=Constants!$B$7,W212=Constants!$B$8), MAX(0, MIN(Constants!$B$6, S212))+IF(AND(R212=Constants!$B$4, NOT(U212)), Constants!$B$5, 0), "")</f>
        <v/>
      </c>
      <c r="Y212" s="55" t="str">
        <f aca="false">IF(ISBLANK($C212),"",IF(AND(ISNUMBER(X212),N212&gt;0),X212/N212, "") )</f>
        <v/>
      </c>
      <c r="Z212" s="55" t="str">
        <f aca="false">IF(AND(NOT(ISBLANK($C212)), W212=Constants!$B$7), Y212, "")</f>
        <v/>
      </c>
      <c r="AA212" s="55" t="str">
        <f aca="false">IF(ISNUMBER(Z212), RANK(Z212,Z$8:Z$507), "")</f>
        <v/>
      </c>
      <c r="AB212" s="55" t="str">
        <f aca="false">IF(AND(NOT(ISBLANK($C212)), W212=Constants!$B$8), Y212, "")</f>
        <v/>
      </c>
      <c r="AC212" s="55" t="str">
        <f aca="false">IF(ISNUMBER(AB212), RANK(AB212,AB$8:AB$507), "")</f>
        <v/>
      </c>
      <c r="AD212" s="55" t="str">
        <f aca="false">IF(ISBLANK($C212),"",IF(V212&lt;&gt;Constants!$B$14, V212, IF(W212=Constants!$B$7, AA212, IF(W212=Constants!$B$8, COUNT($AA$8:$AA$507) + AC212, ""))))</f>
        <v/>
      </c>
      <c r="AE212" s="55" t="str">
        <f aca="false">N212</f>
        <v/>
      </c>
      <c r="AF212" s="55" t="str">
        <f aca="false">IF(ISNUMBER(AE212), RANK(AE212,AE$8:AE$507,1), "")</f>
        <v/>
      </c>
      <c r="AG212" s="57" t="str">
        <f aca="false">IF(ISBLANK(C212), "", ABS(M212-S212))</f>
        <v/>
      </c>
      <c r="AH212" s="55" t="str">
        <f aca="false">IF(ISNUMBER(AG212), RANK(AG212,AG$8:AG$507,1), "")</f>
        <v/>
      </c>
      <c r="AI212" s="55" t="str">
        <f aca="false">IF(ISBLANK(C212),"",IF(V212&lt;&gt;Constants!$B$14, V212, RANK(AD212, AD$8:AD$507, 1)+ SUMPRODUCT(--(AD$8:AD$507=AD212),--(AF212&gt;AF$8:AF$507)) + SUMPRODUCT(--(AD$8:AD$507=AD212),--(AF212=AF$8:AF$507),--(AH212&gt;AH$8:AH$507))))</f>
        <v/>
      </c>
      <c r="AJ212" s="55" t="str">
        <f aca="false">IF(ISBLANK(C212),"",IF(V212&lt;&gt;Constants!$B$14, V212, AD212-AI212))</f>
        <v/>
      </c>
      <c r="AK212" s="59"/>
      <c r="AL212" s="60" t="str">
        <f aca="false">IF(ISBLANK($C212),"",IF($V212&lt;&gt;Constants!$B$14,$V212,X212))</f>
        <v/>
      </c>
      <c r="AM212" s="60" t="str">
        <f aca="false">IF(ISBLANK($C212),"",IF($V212&lt;&gt;Constants!$B$14,$V212,N212))</f>
        <v/>
      </c>
      <c r="AN212" s="62" t="str">
        <f aca="false">IF(ISBLANK(C212),"",IF(V212&lt;&gt;Constants!$B$14, V212, IF(W212=Constants!$B$7,Z212,IF(W212=Constants!$B$8,AB212,""))))</f>
        <v/>
      </c>
      <c r="AO212" s="63" t="str">
        <f aca="false">IF(ISBLANK(C212),"",W212)</f>
        <v/>
      </c>
      <c r="AP212" s="63" t="str">
        <f aca="false">IF(ISBLANK(C212),"",AJ212)</f>
        <v/>
      </c>
      <c r="AQ212" s="63" t="str">
        <f aca="false">IF(ISBLANK(C212),"",AI212)</f>
        <v/>
      </c>
      <c r="AR212" s="64" t="str">
        <f aca="false">IF(ISBLANK(C212),
  "",
IF(AQ212=Constants!$B$11,COUNTA($C$8:$C$507)+2,IF(AQ212=Constants!$B$12,COUNTA($C$8:$C$507)+1,IF(AQ212=Constants!$B$13,COUNTA($C$8:$C$507),AQ212))))</f>
        <v/>
      </c>
      <c r="AS212" s="3"/>
      <c r="AT212" s="65" t="n">
        <f aca="false">IF(OR(ISNUMBER(AQ212),AQ212="DQ",AQ212="P",AQ212="NS"),
    1,
    0
)</f>
        <v>0</v>
      </c>
      <c r="AU212" s="65" t="n">
        <v>205</v>
      </c>
      <c r="AV212" s="65" t="str">
        <f aca="false">IF(ISBLANK($C212),
    "",
   IF(ISNUMBER(AR212),AR212+ROW($B212)/1000,"")
)</f>
        <v/>
      </c>
      <c r="AW212" s="65" t="str">
        <f aca="false">IF(ISNUMBER(AV212), RANK(AV212,AV$8:AV$507,1), "")</f>
        <v/>
      </c>
      <c r="AX212" s="65" t="str">
        <f aca="false">IF(ISBLANK($C212),
    "",
    $B212
)</f>
        <v/>
      </c>
      <c r="AY212" s="65" t="str">
        <f aca="false">IF(ISBLANK($C212),
    "",
    $C212
)</f>
        <v/>
      </c>
      <c r="AZ212" s="65" t="str">
        <f aca="false">IF(ISBLANK($C212),
    "",
    $D212
)</f>
        <v/>
      </c>
      <c r="BA212" s="65" t="str">
        <f aca="false">AO212</f>
        <v/>
      </c>
      <c r="BB212" s="66" t="str">
        <f aca="false">AN212</f>
        <v/>
      </c>
      <c r="BC212" s="65" t="str">
        <f aca="false">IF(ISBLANK($C212),
    "",
    AQ212
)</f>
        <v/>
      </c>
      <c r="BD212" s="67" t="str">
        <f aca="false">IF(AU212&gt;AT$7,
    "",
    VLOOKUP(AU212,AW$8:BC$507,7,FALSE())
)</f>
        <v/>
      </c>
      <c r="BE212" s="68" t="str">
        <f aca="false">IF(AU212&gt;AT$7,
    "",
    VLOOKUP(AU212,AW$8:BC$507,2,FALSE())
)</f>
        <v/>
      </c>
      <c r="BF212" s="68" t="str">
        <f aca="false">IF(AU212&gt;AT$7,
    "",
    VLOOKUP(AU212,AW$8:BC$507,3,FALSE())
)</f>
        <v/>
      </c>
      <c r="BG212" s="68" t="str">
        <f aca="false">IF(AU212&gt;AT$7,
    "",
    VLOOKUP(AU212,AW$8:BC$507,4,FALSE())
)</f>
        <v/>
      </c>
      <c r="BH212" s="68" t="str">
        <f aca="false">IF(AU212&gt;AT$7,
    "",
    VLOOKUP(AU212,AW$8:BC$507,5,FALSE())
)</f>
        <v/>
      </c>
      <c r="BI212" s="69" t="str">
        <f aca="false">IF(AU212&gt;AT$7,
    "",
    VLOOKUP(AU212,AW$8:BC$507,6,FALSE())
)</f>
        <v/>
      </c>
      <c r="BJ212" s="46"/>
    </row>
    <row r="213" customFormat="false" ht="15.75" hidden="false" customHeight="false" outlineLevel="0" collapsed="false">
      <c r="A213" s="3"/>
      <c r="B213" s="108"/>
      <c r="C213" s="70"/>
      <c r="D213" s="49"/>
      <c r="E213" s="109"/>
      <c r="F213" s="72"/>
      <c r="G213" s="109"/>
      <c r="H213" s="74"/>
      <c r="I213" s="104"/>
      <c r="J213" s="74"/>
      <c r="K213" s="74"/>
      <c r="L213" s="55"/>
      <c r="M213" s="55" t="str">
        <f aca="false">IF(ISBLANK($C213),"",IF(ISBLANK(E213),0,E213))</f>
        <v/>
      </c>
      <c r="N213" s="55" t="str">
        <f aca="false">IF(ISBLANK($C213),"",IF(ISBLANK(F213),0,F213))</f>
        <v/>
      </c>
      <c r="O213" s="55" t="e">
        <f aca="false">IF(AND(NOT(ISBLANK($C213)),NOT($T213),COUNTA($E213:$K213)&gt;0),ISBLANK($F213),FALSE())</f>
        <v>#VALUE!</v>
      </c>
      <c r="P213" s="55" t="str">
        <f aca="false">IF(ISBLANK($C213),"",IF(G213=Constants!$B$9, TRUE(), IF(G213=Constants!$B$10, FALSE(), TRUE())))</f>
        <v/>
      </c>
      <c r="Q213" s="55" t="str">
        <f aca="false">IF(ISBLANK($C213),"",IF(H213=Constants!$B$9, TRUE(), IF(H213=Constants!$B$10, FALSE(), TRUE())))</f>
        <v/>
      </c>
      <c r="R213" s="55" t="str">
        <f aca="false">IF(ISBLANK($C213),"",IF(ISBLANK(I213),Constants!$B$3,I213))</f>
        <v/>
      </c>
      <c r="S213" s="55" t="str">
        <f aca="false">IF(ISBLANK($C213),"",IF(ISBLANK(J213),0,MIN(J213,Constants!$B$6)))</f>
        <v/>
      </c>
      <c r="T213" s="55" t="str">
        <f aca="false">IF(ISBLANK($C213),"",IF(K213=Constants!$B$9, TRUE(), IF(K213=Constants!$B$10, FALSE(),  FALSE())))</f>
        <v/>
      </c>
      <c r="U213" s="55" t="str">
        <f aca="false">IF(ISBLANK($C213),"",AND(R213=Constants!$B$4, S213&lt;Constants!$B$6))</f>
        <v/>
      </c>
      <c r="V213" s="55" t="str">
        <f aca="false">IF(ISBLANK(C213), "", IF(T213, Constants!$B$11, IF(COUNTA(E213:K213)=0, Constants!$B$12, IF(NOT(AND(P213,S213&lt;&gt;0)), Constants!$B$13, IF(O213, Constants!$B$15, Constants!$B$14)))))</f>
        <v/>
      </c>
      <c r="W213" s="55" t="str">
        <f aca="false">IF(OR(ISBLANK($C213), SUMPRODUCT(--(P213:T213&lt;&gt;""))=0), "", IF(V213&lt;&gt;Constants!$B$14, V213, IF(AND(NOT(ISBLANK(J213)),P213,Q213,R213&lt;&gt;Constants!$B$2), Constants!$B$7, IF(AND(P213,OR(NOT(Q213),R213=Constants!$B$2)), Constants!$B$8, "Error"))))</f>
        <v/>
      </c>
      <c r="X213" s="56" t="str">
        <f aca="false">IF(OR(W213=Constants!$B$7,W213=Constants!$B$8), MAX(0, MIN(Constants!$B$6, S213))+IF(AND(R213=Constants!$B$4, NOT(U213)), Constants!$B$5, 0), "")</f>
        <v/>
      </c>
      <c r="Y213" s="55" t="str">
        <f aca="false">IF(ISBLANK($C213),"",IF(AND(ISNUMBER(X213),N213&gt;0),X213/N213, "") )</f>
        <v/>
      </c>
      <c r="Z213" s="55" t="str">
        <f aca="false">IF(AND(NOT(ISBLANK($C213)), W213=Constants!$B$7), Y213, "")</f>
        <v/>
      </c>
      <c r="AA213" s="55" t="str">
        <f aca="false">IF(ISNUMBER(Z213), RANK(Z213,Z$8:Z$507), "")</f>
        <v/>
      </c>
      <c r="AB213" s="55" t="str">
        <f aca="false">IF(AND(NOT(ISBLANK($C213)), W213=Constants!$B$8), Y213, "")</f>
        <v/>
      </c>
      <c r="AC213" s="55" t="str">
        <f aca="false">IF(ISNUMBER(AB213), RANK(AB213,AB$8:AB$507), "")</f>
        <v/>
      </c>
      <c r="AD213" s="55" t="str">
        <f aca="false">IF(ISBLANK($C213),"",IF(V213&lt;&gt;Constants!$B$14, V213, IF(W213=Constants!$B$7, AA213, IF(W213=Constants!$B$8, COUNT($AA$8:$AA$507) + AC213, ""))))</f>
        <v/>
      </c>
      <c r="AE213" s="55" t="str">
        <f aca="false">N213</f>
        <v/>
      </c>
      <c r="AF213" s="55" t="str">
        <f aca="false">IF(ISNUMBER(AE213), RANK(AE213,AE$8:AE$507,1), "")</f>
        <v/>
      </c>
      <c r="AG213" s="57" t="str">
        <f aca="false">IF(ISBLANK(C213), "", ABS(M213-S213))</f>
        <v/>
      </c>
      <c r="AH213" s="55" t="str">
        <f aca="false">IF(ISNUMBER(AG213), RANK(AG213,AG$8:AG$507,1), "")</f>
        <v/>
      </c>
      <c r="AI213" s="55" t="str">
        <f aca="false">IF(ISBLANK(C213),"",IF(V213&lt;&gt;Constants!$B$14, V213, RANK(AD213, AD$8:AD$507, 1)+ SUMPRODUCT(--(AD$8:AD$507=AD213),--(AF213&gt;AF$8:AF$507)) + SUMPRODUCT(--(AD$8:AD$507=AD213),--(AF213=AF$8:AF$507),--(AH213&gt;AH$8:AH$507))))</f>
        <v/>
      </c>
      <c r="AJ213" s="55" t="str">
        <f aca="false">IF(ISBLANK(C213),"",IF(V213&lt;&gt;Constants!$B$14, V213, AD213-AI213))</f>
        <v/>
      </c>
      <c r="AK213" s="59"/>
      <c r="AL213" s="60" t="str">
        <f aca="false">IF(ISBLANK($C213),"",IF($V213&lt;&gt;Constants!$B$14,$V213,X213))</f>
        <v/>
      </c>
      <c r="AM213" s="60" t="str">
        <f aca="false">IF(ISBLANK($C213),"",IF($V213&lt;&gt;Constants!$B$14,$V213,N213))</f>
        <v/>
      </c>
      <c r="AN213" s="62" t="str">
        <f aca="false">IF(ISBLANK(C213),"",IF(V213&lt;&gt;Constants!$B$14, V213, IF(W213=Constants!$B$7,Z213,IF(W213=Constants!$B$8,AB213,""))))</f>
        <v/>
      </c>
      <c r="AO213" s="63" t="str">
        <f aca="false">IF(ISBLANK(C213),"",W213)</f>
        <v/>
      </c>
      <c r="AP213" s="63" t="str">
        <f aca="false">IF(ISBLANK(C213),"",AJ213)</f>
        <v/>
      </c>
      <c r="AQ213" s="63" t="str">
        <f aca="false">IF(ISBLANK(C213),"",AI213)</f>
        <v/>
      </c>
      <c r="AR213" s="64" t="str">
        <f aca="false">IF(ISBLANK(C213),
  "",
IF(AQ213=Constants!$B$11,COUNTA($C$8:$C$507)+2,IF(AQ213=Constants!$B$12,COUNTA($C$8:$C$507)+1,IF(AQ213=Constants!$B$13,COUNTA($C$8:$C$507),AQ213))))</f>
        <v/>
      </c>
      <c r="AS213" s="3"/>
      <c r="AT213" s="65" t="n">
        <f aca="false">IF(OR(ISNUMBER(AQ213),AQ213="DQ",AQ213="P",AQ213="NS"),
    1,
    0
)</f>
        <v>0</v>
      </c>
      <c r="AU213" s="65" t="n">
        <v>206</v>
      </c>
      <c r="AV213" s="65" t="str">
        <f aca="false">IF(ISBLANK($C213),
    "",
   IF(ISNUMBER(AR213),AR213+ROW($B213)/1000,"")
)</f>
        <v/>
      </c>
      <c r="AW213" s="65" t="str">
        <f aca="false">IF(ISNUMBER(AV213), RANK(AV213,AV$8:AV$507,1), "")</f>
        <v/>
      </c>
      <c r="AX213" s="65" t="str">
        <f aca="false">IF(ISBLANK($C213),
    "",
    $B213
)</f>
        <v/>
      </c>
      <c r="AY213" s="65" t="str">
        <f aca="false">IF(ISBLANK($C213),
    "",
    $C213
)</f>
        <v/>
      </c>
      <c r="AZ213" s="65" t="str">
        <f aca="false">IF(ISBLANK($C213),
    "",
    $D213
)</f>
        <v/>
      </c>
      <c r="BA213" s="65" t="str">
        <f aca="false">AO213</f>
        <v/>
      </c>
      <c r="BB213" s="66" t="str">
        <f aca="false">AN213</f>
        <v/>
      </c>
      <c r="BC213" s="65" t="str">
        <f aca="false">IF(ISBLANK($C213),
    "",
    AQ213
)</f>
        <v/>
      </c>
      <c r="BD213" s="67" t="str">
        <f aca="false">IF(AU213&gt;AT$7,
    "",
    VLOOKUP(AU213,AW$8:BC$507,7,FALSE())
)</f>
        <v/>
      </c>
      <c r="BE213" s="68" t="str">
        <f aca="false">IF(AU213&gt;AT$7,
    "",
    VLOOKUP(AU213,AW$8:BC$507,2,FALSE())
)</f>
        <v/>
      </c>
      <c r="BF213" s="68" t="str">
        <f aca="false">IF(AU213&gt;AT$7,
    "",
    VLOOKUP(AU213,AW$8:BC$507,3,FALSE())
)</f>
        <v/>
      </c>
      <c r="BG213" s="68" t="str">
        <f aca="false">IF(AU213&gt;AT$7,
    "",
    VLOOKUP(AU213,AW$8:BC$507,4,FALSE())
)</f>
        <v/>
      </c>
      <c r="BH213" s="68" t="str">
        <f aca="false">IF(AU213&gt;AT$7,
    "",
    VLOOKUP(AU213,AW$8:BC$507,5,FALSE())
)</f>
        <v/>
      </c>
      <c r="BI213" s="69" t="str">
        <f aca="false">IF(AU213&gt;AT$7,
    "",
    VLOOKUP(AU213,AW$8:BC$507,6,FALSE())
)</f>
        <v/>
      </c>
      <c r="BJ213" s="46"/>
    </row>
    <row r="214" customFormat="false" ht="15.75" hidden="false" customHeight="false" outlineLevel="0" collapsed="false">
      <c r="A214" s="3"/>
      <c r="B214" s="108"/>
      <c r="C214" s="70"/>
      <c r="D214" s="49"/>
      <c r="E214" s="109"/>
      <c r="F214" s="72"/>
      <c r="G214" s="109"/>
      <c r="H214" s="74"/>
      <c r="I214" s="104"/>
      <c r="J214" s="74"/>
      <c r="K214" s="74"/>
      <c r="L214" s="55"/>
      <c r="M214" s="55" t="str">
        <f aca="false">IF(ISBLANK($C214),"",IF(ISBLANK(E214),0,E214))</f>
        <v/>
      </c>
      <c r="N214" s="55" t="str">
        <f aca="false">IF(ISBLANK($C214),"",IF(ISBLANK(F214),0,F214))</f>
        <v/>
      </c>
      <c r="O214" s="55" t="e">
        <f aca="false">IF(AND(NOT(ISBLANK($C214)),NOT($T214),COUNTA($E214:$K214)&gt;0),ISBLANK($F214),FALSE())</f>
        <v>#VALUE!</v>
      </c>
      <c r="P214" s="55" t="str">
        <f aca="false">IF(ISBLANK($C214),"",IF(G214=Constants!$B$9, TRUE(), IF(G214=Constants!$B$10, FALSE(), TRUE())))</f>
        <v/>
      </c>
      <c r="Q214" s="55" t="str">
        <f aca="false">IF(ISBLANK($C214),"",IF(H214=Constants!$B$9, TRUE(), IF(H214=Constants!$B$10, FALSE(), TRUE())))</f>
        <v/>
      </c>
      <c r="R214" s="55" t="str">
        <f aca="false">IF(ISBLANK($C214),"",IF(ISBLANK(I214),Constants!$B$3,I214))</f>
        <v/>
      </c>
      <c r="S214" s="55" t="str">
        <f aca="false">IF(ISBLANK($C214),"",IF(ISBLANK(J214),0,MIN(J214,Constants!$B$6)))</f>
        <v/>
      </c>
      <c r="T214" s="55" t="str">
        <f aca="false">IF(ISBLANK($C214),"",IF(K214=Constants!$B$9, TRUE(), IF(K214=Constants!$B$10, FALSE(),  FALSE())))</f>
        <v/>
      </c>
      <c r="U214" s="55" t="str">
        <f aca="false">IF(ISBLANK($C214),"",AND(R214=Constants!$B$4, S214&lt;Constants!$B$6))</f>
        <v/>
      </c>
      <c r="V214" s="55" t="str">
        <f aca="false">IF(ISBLANK(C214), "", IF(T214, Constants!$B$11, IF(COUNTA(E214:K214)=0, Constants!$B$12, IF(NOT(AND(P214,S214&lt;&gt;0)), Constants!$B$13, IF(O214, Constants!$B$15, Constants!$B$14)))))</f>
        <v/>
      </c>
      <c r="W214" s="55" t="str">
        <f aca="false">IF(OR(ISBLANK($C214), SUMPRODUCT(--(P214:T214&lt;&gt;""))=0), "", IF(V214&lt;&gt;Constants!$B$14, V214, IF(AND(NOT(ISBLANK(J214)),P214,Q214,R214&lt;&gt;Constants!$B$2), Constants!$B$7, IF(AND(P214,OR(NOT(Q214),R214=Constants!$B$2)), Constants!$B$8, "Error"))))</f>
        <v/>
      </c>
      <c r="X214" s="56" t="str">
        <f aca="false">IF(OR(W214=Constants!$B$7,W214=Constants!$B$8), MAX(0, MIN(Constants!$B$6, S214))+IF(AND(R214=Constants!$B$4, NOT(U214)), Constants!$B$5, 0), "")</f>
        <v/>
      </c>
      <c r="Y214" s="55" t="str">
        <f aca="false">IF(ISBLANK($C214),"",IF(AND(ISNUMBER(X214),N214&gt;0),X214/N214, "") )</f>
        <v/>
      </c>
      <c r="Z214" s="55" t="str">
        <f aca="false">IF(AND(NOT(ISBLANK($C214)), W214=Constants!$B$7), Y214, "")</f>
        <v/>
      </c>
      <c r="AA214" s="55" t="str">
        <f aca="false">IF(ISNUMBER(Z214), RANK(Z214,Z$8:Z$507), "")</f>
        <v/>
      </c>
      <c r="AB214" s="55" t="str">
        <f aca="false">IF(AND(NOT(ISBLANK($C214)), W214=Constants!$B$8), Y214, "")</f>
        <v/>
      </c>
      <c r="AC214" s="55" t="str">
        <f aca="false">IF(ISNUMBER(AB214), RANK(AB214,AB$8:AB$507), "")</f>
        <v/>
      </c>
      <c r="AD214" s="55" t="str">
        <f aca="false">IF(ISBLANK($C214),"",IF(V214&lt;&gt;Constants!$B$14, V214, IF(W214=Constants!$B$7, AA214, IF(W214=Constants!$B$8, COUNT($AA$8:$AA$507) + AC214, ""))))</f>
        <v/>
      </c>
      <c r="AE214" s="55" t="str">
        <f aca="false">N214</f>
        <v/>
      </c>
      <c r="AF214" s="55" t="str">
        <f aca="false">IF(ISNUMBER(AE214), RANK(AE214,AE$8:AE$507,1), "")</f>
        <v/>
      </c>
      <c r="AG214" s="57" t="str">
        <f aca="false">IF(ISBLANK(C214), "", ABS(M214-S214))</f>
        <v/>
      </c>
      <c r="AH214" s="55" t="str">
        <f aca="false">IF(ISNUMBER(AG214), RANK(AG214,AG$8:AG$507,1), "")</f>
        <v/>
      </c>
      <c r="AI214" s="55" t="str">
        <f aca="false">IF(ISBLANK(C214),"",IF(V214&lt;&gt;Constants!$B$14, V214, RANK(AD214, AD$8:AD$507, 1)+ SUMPRODUCT(--(AD$8:AD$507=AD214),--(AF214&gt;AF$8:AF$507)) + SUMPRODUCT(--(AD$8:AD$507=AD214),--(AF214=AF$8:AF$507),--(AH214&gt;AH$8:AH$507))))</f>
        <v/>
      </c>
      <c r="AJ214" s="55" t="str">
        <f aca="false">IF(ISBLANK(C214),"",IF(V214&lt;&gt;Constants!$B$14, V214, AD214-AI214))</f>
        <v/>
      </c>
      <c r="AK214" s="59"/>
      <c r="AL214" s="60" t="str">
        <f aca="false">IF(ISBLANK($C214),"",IF($V214&lt;&gt;Constants!$B$14,$V214,X214))</f>
        <v/>
      </c>
      <c r="AM214" s="60" t="str">
        <f aca="false">IF(ISBLANK($C214),"",IF($V214&lt;&gt;Constants!$B$14,$V214,N214))</f>
        <v/>
      </c>
      <c r="AN214" s="62" t="str">
        <f aca="false">IF(ISBLANK(C214),"",IF(V214&lt;&gt;Constants!$B$14, V214, IF(W214=Constants!$B$7,Z214,IF(W214=Constants!$B$8,AB214,""))))</f>
        <v/>
      </c>
      <c r="AO214" s="63" t="str">
        <f aca="false">IF(ISBLANK(C214),"",W214)</f>
        <v/>
      </c>
      <c r="AP214" s="63" t="str">
        <f aca="false">IF(ISBLANK(C214),"",AJ214)</f>
        <v/>
      </c>
      <c r="AQ214" s="63" t="str">
        <f aca="false">IF(ISBLANK(C214),"",AI214)</f>
        <v/>
      </c>
      <c r="AR214" s="64" t="str">
        <f aca="false">IF(ISBLANK(C214),
  "",
IF(AQ214=Constants!$B$11,COUNTA($C$8:$C$507)+2,IF(AQ214=Constants!$B$12,COUNTA($C$8:$C$507)+1,IF(AQ214=Constants!$B$13,COUNTA($C$8:$C$507),AQ214))))</f>
        <v/>
      </c>
      <c r="AS214" s="3"/>
      <c r="AT214" s="65" t="n">
        <f aca="false">IF(OR(ISNUMBER(AQ214),AQ214="DQ",AQ214="P",AQ214="NS"),
    1,
    0
)</f>
        <v>0</v>
      </c>
      <c r="AU214" s="65" t="n">
        <v>207</v>
      </c>
      <c r="AV214" s="65" t="str">
        <f aca="false">IF(ISBLANK($C214),
    "",
   IF(ISNUMBER(AR214),AR214+ROW($B214)/1000,"")
)</f>
        <v/>
      </c>
      <c r="AW214" s="65" t="str">
        <f aca="false">IF(ISNUMBER(AV214), RANK(AV214,AV$8:AV$507,1), "")</f>
        <v/>
      </c>
      <c r="AX214" s="65" t="str">
        <f aca="false">IF(ISBLANK($C214),
    "",
    $B214
)</f>
        <v/>
      </c>
      <c r="AY214" s="65" t="str">
        <f aca="false">IF(ISBLANK($C214),
    "",
    $C214
)</f>
        <v/>
      </c>
      <c r="AZ214" s="65" t="str">
        <f aca="false">IF(ISBLANK($C214),
    "",
    $D214
)</f>
        <v/>
      </c>
      <c r="BA214" s="65" t="str">
        <f aca="false">AO214</f>
        <v/>
      </c>
      <c r="BB214" s="66" t="str">
        <f aca="false">AN214</f>
        <v/>
      </c>
      <c r="BC214" s="65" t="str">
        <f aca="false">IF(ISBLANK($C214),
    "",
    AQ214
)</f>
        <v/>
      </c>
      <c r="BD214" s="67" t="str">
        <f aca="false">IF(AU214&gt;AT$7,
    "",
    VLOOKUP(AU214,AW$8:BC$507,7,FALSE())
)</f>
        <v/>
      </c>
      <c r="BE214" s="68" t="str">
        <f aca="false">IF(AU214&gt;AT$7,
    "",
    VLOOKUP(AU214,AW$8:BC$507,2,FALSE())
)</f>
        <v/>
      </c>
      <c r="BF214" s="68" t="str">
        <f aca="false">IF(AU214&gt;AT$7,
    "",
    VLOOKUP(AU214,AW$8:BC$507,3,FALSE())
)</f>
        <v/>
      </c>
      <c r="BG214" s="68" t="str">
        <f aca="false">IF(AU214&gt;AT$7,
    "",
    VLOOKUP(AU214,AW$8:BC$507,4,FALSE())
)</f>
        <v/>
      </c>
      <c r="BH214" s="68" t="str">
        <f aca="false">IF(AU214&gt;AT$7,
    "",
    VLOOKUP(AU214,AW$8:BC$507,5,FALSE())
)</f>
        <v/>
      </c>
      <c r="BI214" s="69" t="str">
        <f aca="false">IF(AU214&gt;AT$7,
    "",
    VLOOKUP(AU214,AW$8:BC$507,6,FALSE())
)</f>
        <v/>
      </c>
      <c r="BJ214" s="46"/>
    </row>
    <row r="215" customFormat="false" ht="15.75" hidden="false" customHeight="false" outlineLevel="0" collapsed="false">
      <c r="A215" s="3"/>
      <c r="B215" s="105"/>
      <c r="C215" s="106"/>
      <c r="D215" s="99"/>
      <c r="E215" s="110"/>
      <c r="F215" s="107"/>
      <c r="G215" s="110"/>
      <c r="H215" s="103"/>
      <c r="I215" s="102"/>
      <c r="J215" s="103"/>
      <c r="K215" s="103"/>
      <c r="L215" s="85"/>
      <c r="M215" s="85" t="str">
        <f aca="false">IF(ISBLANK($C215),"",IF(ISBLANK(E215),0,E215))</f>
        <v/>
      </c>
      <c r="N215" s="85" t="str">
        <f aca="false">IF(ISBLANK($C215),"",IF(ISBLANK(F215),0,F215))</f>
        <v/>
      </c>
      <c r="O215" s="86" t="e">
        <f aca="false">IF(AND(NOT(ISBLANK($C215)),NOT($T215),COUNTA($E215:$K215)&gt;0),ISBLANK($F215),FALSE())</f>
        <v>#VALUE!</v>
      </c>
      <c r="P215" s="85" t="str">
        <f aca="false">IF(ISBLANK($C215),"",IF(G215=Constants!$B$9, TRUE(), IF(G215=Constants!$B$10, FALSE(), TRUE())))</f>
        <v/>
      </c>
      <c r="Q215" s="85" t="str">
        <f aca="false">IF(ISBLANK($C215),"",IF(H215=Constants!$B$9, TRUE(), IF(H215=Constants!$B$10, FALSE(), TRUE())))</f>
        <v/>
      </c>
      <c r="R215" s="85" t="str">
        <f aca="false">IF(ISBLANK($C215),"",IF(ISBLANK(I215),Constants!$B$3,I215))</f>
        <v/>
      </c>
      <c r="S215" s="85" t="str">
        <f aca="false">IF(ISBLANK($C215),"",IF(ISBLANK(J215),0,MIN(J215,Constants!$B$6)))</f>
        <v/>
      </c>
      <c r="T215" s="85" t="str">
        <f aca="false">IF(ISBLANK($C215),"",IF(K215=Constants!$B$9, TRUE(), IF(K215=Constants!$B$10, FALSE(),  FALSE())))</f>
        <v/>
      </c>
      <c r="U215" s="85" t="str">
        <f aca="false">IF(ISBLANK($C215),"",AND(R215=Constants!$B$4, S215&lt;Constants!$B$6))</f>
        <v/>
      </c>
      <c r="V215" s="85" t="str">
        <f aca="false">IF(ISBLANK(C215), "", IF(T215, Constants!$B$11, IF(COUNTA(E215:K215)=0, Constants!$B$12, IF(NOT(AND(P215,S215&lt;&gt;0)), Constants!$B$13, IF(O215, Constants!$B$15, Constants!$B$14)))))</f>
        <v/>
      </c>
      <c r="W215" s="85" t="str">
        <f aca="false">IF(OR(ISBLANK($C215), SUMPRODUCT(--(P215:T215&lt;&gt;""))=0), "", IF(V215&lt;&gt;Constants!$B$14, V215, IF(AND(NOT(ISBLANK(J215)),P215,Q215,R215&lt;&gt;Constants!$B$2), Constants!$B$7, IF(AND(P215,OR(NOT(Q215),R215=Constants!$B$2)), Constants!$B$8, "Error"))))</f>
        <v/>
      </c>
      <c r="X215" s="87" t="str">
        <f aca="false">IF(OR(W215=Constants!$B$7,W215=Constants!$B$8), MAX(0, MIN(Constants!$B$6, S215))+IF(AND(R215=Constants!$B$4, NOT(U215)), Constants!$B$5, 0), "")</f>
        <v/>
      </c>
      <c r="Y215" s="85" t="str">
        <f aca="false">IF(ISBLANK($C215),"",IF(AND(ISNUMBER(X215),N215&gt;0),X215/N215, "") )</f>
        <v/>
      </c>
      <c r="Z215" s="85" t="str">
        <f aca="false">IF(AND(NOT(ISBLANK($C215)), W215=Constants!$B$7), Y215, "")</f>
        <v/>
      </c>
      <c r="AA215" s="85" t="str">
        <f aca="false">IF(ISNUMBER(Z215), RANK(Z215,Z$8:Z$507), "")</f>
        <v/>
      </c>
      <c r="AB215" s="85" t="str">
        <f aca="false">IF(AND(NOT(ISBLANK($C215)), W215=Constants!$B$8), Y215, "")</f>
        <v/>
      </c>
      <c r="AC215" s="85" t="str">
        <f aca="false">IF(ISNUMBER(AB215), RANK(AB215,AB$8:AB$507), "")</f>
        <v/>
      </c>
      <c r="AD215" s="85" t="str">
        <f aca="false">IF(ISBLANK($C215),"",IF(V215&lt;&gt;Constants!$B$14, V215, IF(W215=Constants!$B$7, AA215, IF(W215=Constants!$B$8, COUNT($AA$8:$AA$507) + AC215, ""))))</f>
        <v/>
      </c>
      <c r="AE215" s="85" t="str">
        <f aca="false">N215</f>
        <v/>
      </c>
      <c r="AF215" s="85" t="str">
        <f aca="false">IF(ISNUMBER(AE215), RANK(AE215,AE$8:AE$507,1), "")</f>
        <v/>
      </c>
      <c r="AG215" s="88" t="str">
        <f aca="false">IF(ISBLANK(C215), "", ABS(M215-S215))</f>
        <v/>
      </c>
      <c r="AH215" s="85" t="str">
        <f aca="false">IF(ISNUMBER(AG215), RANK(AG215,AG$8:AG$507,1), "")</f>
        <v/>
      </c>
      <c r="AI215" s="85" t="str">
        <f aca="false">IF(ISBLANK(C215),"",IF(V215&lt;&gt;Constants!$B$14, V215, RANK(AD215, AD$8:AD$507, 1)+ SUMPRODUCT(--(AD$8:AD$507=AD215),--(AF215&gt;AF$8:AF$507)) + SUMPRODUCT(--(AD$8:AD$507=AD215),--(AF215=AF$8:AF$507),--(AH215&gt;AH$8:AH$507))))</f>
        <v/>
      </c>
      <c r="AJ215" s="85" t="str">
        <f aca="false">IF(ISBLANK(C215),"",IF(V215&lt;&gt;Constants!$B$14, V215, AD215-AI215))</f>
        <v/>
      </c>
      <c r="AK215" s="89"/>
      <c r="AL215" s="90" t="str">
        <f aca="false">IF(ISBLANK($C215),"",IF($V215&lt;&gt;Constants!$B$14,$V215,X215))</f>
        <v/>
      </c>
      <c r="AM215" s="90" t="str">
        <f aca="false">IF(ISBLANK($C215),"",IF($V215&lt;&gt;Constants!$B$14,$V215,N215))</f>
        <v/>
      </c>
      <c r="AN215" s="91" t="str">
        <f aca="false">IF(ISBLANK(C215),"",IF(V215&lt;&gt;Constants!$B$14, V215, IF(W215=Constants!$B$7,Z215,IF(W215=Constants!$B$8,AB215,""))))</f>
        <v/>
      </c>
      <c r="AO215" s="92" t="str">
        <f aca="false">IF(ISBLANK(C215),"",W215)</f>
        <v/>
      </c>
      <c r="AP215" s="92" t="str">
        <f aca="false">IF(ISBLANK(C215),"",AJ215)</f>
        <v/>
      </c>
      <c r="AQ215" s="92" t="str">
        <f aca="false">IF(ISBLANK(C215),"",AI215)</f>
        <v/>
      </c>
      <c r="AR215" s="93" t="str">
        <f aca="false">IF(ISBLANK(C215),
  "",
IF(AQ215=Constants!$B$11,COUNTA($C$8:$C$507)+2,IF(AQ215=Constants!$B$12,COUNTA($C$8:$C$507)+1,IF(AQ215=Constants!$B$13,COUNTA($C$8:$C$507),AQ215))))</f>
        <v/>
      </c>
      <c r="AS215" s="3"/>
      <c r="AT215" s="94" t="n">
        <f aca="false">IF(OR(ISNUMBER(AQ215),AQ215="DQ",AQ215="P",AQ215="NS"),
    1,
    0
)</f>
        <v>0</v>
      </c>
      <c r="AU215" s="94" t="n">
        <v>208</v>
      </c>
      <c r="AV215" s="94" t="str">
        <f aca="false">IF(ISBLANK($C215),
    "",
   IF(ISNUMBER(AR215),AR215+ROW($B215)/1000,"")
)</f>
        <v/>
      </c>
      <c r="AW215" s="94" t="str">
        <f aca="false">IF(ISNUMBER(AV215), RANK(AV215,AV$8:AV$507,1), "")</f>
        <v/>
      </c>
      <c r="AX215" s="94" t="str">
        <f aca="false">IF(ISBLANK($C215),
    "",
    $B215
)</f>
        <v/>
      </c>
      <c r="AY215" s="94" t="str">
        <f aca="false">IF(ISBLANK($C215),
    "",
    $C215
)</f>
        <v/>
      </c>
      <c r="AZ215" s="94" t="str">
        <f aca="false">IF(ISBLANK($C215),
    "",
    $D215
)</f>
        <v/>
      </c>
      <c r="BA215" s="94" t="str">
        <f aca="false">AO215</f>
        <v/>
      </c>
      <c r="BB215" s="95" t="str">
        <f aca="false">AN215</f>
        <v/>
      </c>
      <c r="BC215" s="94" t="str">
        <f aca="false">IF(ISBLANK($C215),
    "",
    AQ215
)</f>
        <v/>
      </c>
      <c r="BD215" s="96" t="str">
        <f aca="false">IF(AU215&gt;AT$7,
    "",
    VLOOKUP(AU215,AW$8:BC$507,7,FALSE())
)</f>
        <v/>
      </c>
      <c r="BE215" s="97" t="str">
        <f aca="false">IF(AU215&gt;AT$7,
    "",
    VLOOKUP(AU215,AW$8:BC$507,2,FALSE())
)</f>
        <v/>
      </c>
      <c r="BF215" s="97" t="str">
        <f aca="false">IF(AU215&gt;AT$7,
    "",
    VLOOKUP(AU215,AW$8:BC$507,3,FALSE())
)</f>
        <v/>
      </c>
      <c r="BG215" s="97" t="str">
        <f aca="false">IF(AU215&gt;AT$7,
    "",
    VLOOKUP(AU215,AW$8:BC$507,4,FALSE())
)</f>
        <v/>
      </c>
      <c r="BH215" s="97" t="str">
        <f aca="false">IF(AU215&gt;AT$7,
    "",
    VLOOKUP(AU215,AW$8:BC$507,5,FALSE())
)</f>
        <v/>
      </c>
      <c r="BI215" s="98" t="str">
        <f aca="false">IF(AU215&gt;AT$7,
    "",
    VLOOKUP(AU215,AW$8:BC$507,6,FALSE())
)</f>
        <v/>
      </c>
      <c r="BJ215" s="46"/>
    </row>
    <row r="216" customFormat="false" ht="15.75" hidden="false" customHeight="false" outlineLevel="0" collapsed="false">
      <c r="A216" s="3"/>
      <c r="B216" s="105"/>
      <c r="C216" s="106"/>
      <c r="D216" s="99"/>
      <c r="E216" s="110"/>
      <c r="F216" s="107"/>
      <c r="G216" s="110"/>
      <c r="H216" s="103"/>
      <c r="I216" s="102"/>
      <c r="J216" s="103"/>
      <c r="K216" s="103"/>
      <c r="L216" s="85"/>
      <c r="M216" s="85" t="str">
        <f aca="false">IF(ISBLANK($C216),"",IF(ISBLANK(E216),0,E216))</f>
        <v/>
      </c>
      <c r="N216" s="85" t="str">
        <f aca="false">IF(ISBLANK($C216),"",IF(ISBLANK(F216),0,F216))</f>
        <v/>
      </c>
      <c r="O216" s="86" t="e">
        <f aca="false">IF(AND(NOT(ISBLANK($C216)),NOT($T216),COUNTA($E216:$K216)&gt;0),ISBLANK($F216),FALSE())</f>
        <v>#VALUE!</v>
      </c>
      <c r="P216" s="85" t="str">
        <f aca="false">IF(ISBLANK($C216),"",IF(G216=Constants!$B$9, TRUE(), IF(G216=Constants!$B$10, FALSE(), TRUE())))</f>
        <v/>
      </c>
      <c r="Q216" s="85" t="str">
        <f aca="false">IF(ISBLANK($C216),"",IF(H216=Constants!$B$9, TRUE(), IF(H216=Constants!$B$10, FALSE(), TRUE())))</f>
        <v/>
      </c>
      <c r="R216" s="85" t="str">
        <f aca="false">IF(ISBLANK($C216),"",IF(ISBLANK(I216),Constants!$B$3,I216))</f>
        <v/>
      </c>
      <c r="S216" s="85" t="str">
        <f aca="false">IF(ISBLANK($C216),"",IF(ISBLANK(J216),0,MIN(J216,Constants!$B$6)))</f>
        <v/>
      </c>
      <c r="T216" s="85" t="str">
        <f aca="false">IF(ISBLANK($C216),"",IF(K216=Constants!$B$9, TRUE(), IF(K216=Constants!$B$10, FALSE(),  FALSE())))</f>
        <v/>
      </c>
      <c r="U216" s="85" t="str">
        <f aca="false">IF(ISBLANK($C216),"",AND(R216=Constants!$B$4, S216&lt;Constants!$B$6))</f>
        <v/>
      </c>
      <c r="V216" s="85" t="str">
        <f aca="false">IF(ISBLANK(C216), "", IF(T216, Constants!$B$11, IF(COUNTA(E216:K216)=0, Constants!$B$12, IF(NOT(AND(P216,S216&lt;&gt;0)), Constants!$B$13, IF(O216, Constants!$B$15, Constants!$B$14)))))</f>
        <v/>
      </c>
      <c r="W216" s="85" t="str">
        <f aca="false">IF(OR(ISBLANK($C216), SUMPRODUCT(--(P216:T216&lt;&gt;""))=0), "", IF(V216&lt;&gt;Constants!$B$14, V216, IF(AND(NOT(ISBLANK(J216)),P216,Q216,R216&lt;&gt;Constants!$B$2), Constants!$B$7, IF(AND(P216,OR(NOT(Q216),R216=Constants!$B$2)), Constants!$B$8, "Error"))))</f>
        <v/>
      </c>
      <c r="X216" s="87" t="str">
        <f aca="false">IF(OR(W216=Constants!$B$7,W216=Constants!$B$8), MAX(0, MIN(Constants!$B$6, S216))+IF(AND(R216=Constants!$B$4, NOT(U216)), Constants!$B$5, 0), "")</f>
        <v/>
      </c>
      <c r="Y216" s="85" t="str">
        <f aca="false">IF(ISBLANK($C216),"",IF(AND(ISNUMBER(X216),N216&gt;0),X216/N216, "") )</f>
        <v/>
      </c>
      <c r="Z216" s="85" t="str">
        <f aca="false">IF(AND(NOT(ISBLANK($C216)), W216=Constants!$B$7), Y216, "")</f>
        <v/>
      </c>
      <c r="AA216" s="85" t="str">
        <f aca="false">IF(ISNUMBER(Z216), RANK(Z216,Z$8:Z$507), "")</f>
        <v/>
      </c>
      <c r="AB216" s="85" t="str">
        <f aca="false">IF(AND(NOT(ISBLANK($C216)), W216=Constants!$B$8), Y216, "")</f>
        <v/>
      </c>
      <c r="AC216" s="85" t="str">
        <f aca="false">IF(ISNUMBER(AB216), RANK(AB216,AB$8:AB$507), "")</f>
        <v/>
      </c>
      <c r="AD216" s="85" t="str">
        <f aca="false">IF(ISBLANK($C216),"",IF(V216&lt;&gt;Constants!$B$14, V216, IF(W216=Constants!$B$7, AA216, IF(W216=Constants!$B$8, COUNT($AA$8:$AA$507) + AC216, ""))))</f>
        <v/>
      </c>
      <c r="AE216" s="85" t="str">
        <f aca="false">N216</f>
        <v/>
      </c>
      <c r="AF216" s="85" t="str">
        <f aca="false">IF(ISNUMBER(AE216), RANK(AE216,AE$8:AE$507,1), "")</f>
        <v/>
      </c>
      <c r="AG216" s="88" t="str">
        <f aca="false">IF(ISBLANK(C216), "", ABS(M216-S216))</f>
        <v/>
      </c>
      <c r="AH216" s="85" t="str">
        <f aca="false">IF(ISNUMBER(AG216), RANK(AG216,AG$8:AG$507,1), "")</f>
        <v/>
      </c>
      <c r="AI216" s="85" t="str">
        <f aca="false">IF(ISBLANK(C216),"",IF(V216&lt;&gt;Constants!$B$14, V216, RANK(AD216, AD$8:AD$507, 1)+ SUMPRODUCT(--(AD$8:AD$507=AD216),--(AF216&gt;AF$8:AF$507)) + SUMPRODUCT(--(AD$8:AD$507=AD216),--(AF216=AF$8:AF$507),--(AH216&gt;AH$8:AH$507))))</f>
        <v/>
      </c>
      <c r="AJ216" s="85" t="str">
        <f aca="false">IF(ISBLANK(C216),"",IF(V216&lt;&gt;Constants!$B$14, V216, AD216-AI216))</f>
        <v/>
      </c>
      <c r="AK216" s="89"/>
      <c r="AL216" s="90" t="str">
        <f aca="false">IF(ISBLANK($C216),"",IF($V216&lt;&gt;Constants!$B$14,$V216,X216))</f>
        <v/>
      </c>
      <c r="AM216" s="90" t="str">
        <f aca="false">IF(ISBLANK($C216),"",IF($V216&lt;&gt;Constants!$B$14,$V216,N216))</f>
        <v/>
      </c>
      <c r="AN216" s="91" t="str">
        <f aca="false">IF(ISBLANK(C216),"",IF(V216&lt;&gt;Constants!$B$14, V216, IF(W216=Constants!$B$7,Z216,IF(W216=Constants!$B$8,AB216,""))))</f>
        <v/>
      </c>
      <c r="AO216" s="92" t="str">
        <f aca="false">IF(ISBLANK(C216),"",W216)</f>
        <v/>
      </c>
      <c r="AP216" s="92" t="str">
        <f aca="false">IF(ISBLANK(C216),"",AJ216)</f>
        <v/>
      </c>
      <c r="AQ216" s="92" t="str">
        <f aca="false">IF(ISBLANK(C216),"",AI216)</f>
        <v/>
      </c>
      <c r="AR216" s="93" t="str">
        <f aca="false">IF(ISBLANK(C216),
  "",
IF(AQ216=Constants!$B$11,COUNTA($C$8:$C$507)+2,IF(AQ216=Constants!$B$12,COUNTA($C$8:$C$507)+1,IF(AQ216=Constants!$B$13,COUNTA($C$8:$C$507),AQ216))))</f>
        <v/>
      </c>
      <c r="AS216" s="3"/>
      <c r="AT216" s="94" t="n">
        <f aca="false">IF(OR(ISNUMBER(AQ216),AQ216="DQ",AQ216="P",AQ216="NS"),
    1,
    0
)</f>
        <v>0</v>
      </c>
      <c r="AU216" s="94" t="n">
        <v>209</v>
      </c>
      <c r="AV216" s="94" t="str">
        <f aca="false">IF(ISBLANK($C216),
    "",
   IF(ISNUMBER(AR216),AR216+ROW($B216)/1000,"")
)</f>
        <v/>
      </c>
      <c r="AW216" s="94" t="str">
        <f aca="false">IF(ISNUMBER(AV216), RANK(AV216,AV$8:AV$507,1), "")</f>
        <v/>
      </c>
      <c r="AX216" s="94" t="str">
        <f aca="false">IF(ISBLANK($C216),
    "",
    $B216
)</f>
        <v/>
      </c>
      <c r="AY216" s="94" t="str">
        <f aca="false">IF(ISBLANK($C216),
    "",
    $C216
)</f>
        <v/>
      </c>
      <c r="AZ216" s="94" t="str">
        <f aca="false">IF(ISBLANK($C216),
    "",
    $D216
)</f>
        <v/>
      </c>
      <c r="BA216" s="94" t="str">
        <f aca="false">AO216</f>
        <v/>
      </c>
      <c r="BB216" s="95" t="str">
        <f aca="false">AN216</f>
        <v/>
      </c>
      <c r="BC216" s="94" t="str">
        <f aca="false">IF(ISBLANK($C216),
    "",
    AQ216
)</f>
        <v/>
      </c>
      <c r="BD216" s="96" t="str">
        <f aca="false">IF(AU216&gt;AT$7,
    "",
    VLOOKUP(AU216,AW$8:BC$507,7,FALSE())
)</f>
        <v/>
      </c>
      <c r="BE216" s="97" t="str">
        <f aca="false">IF(AU216&gt;AT$7,
    "",
    VLOOKUP(AU216,AW$8:BC$507,2,FALSE())
)</f>
        <v/>
      </c>
      <c r="BF216" s="97" t="str">
        <f aca="false">IF(AU216&gt;AT$7,
    "",
    VLOOKUP(AU216,AW$8:BC$507,3,FALSE())
)</f>
        <v/>
      </c>
      <c r="BG216" s="97" t="str">
        <f aca="false">IF(AU216&gt;AT$7,
    "",
    VLOOKUP(AU216,AW$8:BC$507,4,FALSE())
)</f>
        <v/>
      </c>
      <c r="BH216" s="97" t="str">
        <f aca="false">IF(AU216&gt;AT$7,
    "",
    VLOOKUP(AU216,AW$8:BC$507,5,FALSE())
)</f>
        <v/>
      </c>
      <c r="BI216" s="98" t="str">
        <f aca="false">IF(AU216&gt;AT$7,
    "",
    VLOOKUP(AU216,AW$8:BC$507,6,FALSE())
)</f>
        <v/>
      </c>
      <c r="BJ216" s="46"/>
    </row>
    <row r="217" customFormat="false" ht="15.75" hidden="false" customHeight="false" outlineLevel="0" collapsed="false">
      <c r="A217" s="3"/>
      <c r="B217" s="105"/>
      <c r="C217" s="106"/>
      <c r="D217" s="99"/>
      <c r="E217" s="110"/>
      <c r="F217" s="107"/>
      <c r="G217" s="110"/>
      <c r="H217" s="103"/>
      <c r="I217" s="102"/>
      <c r="J217" s="103"/>
      <c r="K217" s="103"/>
      <c r="L217" s="85"/>
      <c r="M217" s="85" t="str">
        <f aca="false">IF(ISBLANK($C217),"",IF(ISBLANK(E217),0,E217))</f>
        <v/>
      </c>
      <c r="N217" s="85" t="str">
        <f aca="false">IF(ISBLANK($C217),"",IF(ISBLANK(F217),0,F217))</f>
        <v/>
      </c>
      <c r="O217" s="86" t="e">
        <f aca="false">IF(AND(NOT(ISBLANK($C217)),NOT($T217),COUNTA($E217:$K217)&gt;0),ISBLANK($F217),FALSE())</f>
        <v>#VALUE!</v>
      </c>
      <c r="P217" s="85" t="str">
        <f aca="false">IF(ISBLANK($C217),"",IF(G217=Constants!$B$9, TRUE(), IF(G217=Constants!$B$10, FALSE(), TRUE())))</f>
        <v/>
      </c>
      <c r="Q217" s="85" t="str">
        <f aca="false">IF(ISBLANK($C217),"",IF(H217=Constants!$B$9, TRUE(), IF(H217=Constants!$B$10, FALSE(), TRUE())))</f>
        <v/>
      </c>
      <c r="R217" s="85" t="str">
        <f aca="false">IF(ISBLANK($C217),"",IF(ISBLANK(I217),Constants!$B$3,I217))</f>
        <v/>
      </c>
      <c r="S217" s="85" t="str">
        <f aca="false">IF(ISBLANK($C217),"",IF(ISBLANK(J217),0,MIN(J217,Constants!$B$6)))</f>
        <v/>
      </c>
      <c r="T217" s="85" t="str">
        <f aca="false">IF(ISBLANK($C217),"",IF(K217=Constants!$B$9, TRUE(), IF(K217=Constants!$B$10, FALSE(),  FALSE())))</f>
        <v/>
      </c>
      <c r="U217" s="85" t="str">
        <f aca="false">IF(ISBLANK($C217),"",AND(R217=Constants!$B$4, S217&lt;Constants!$B$6))</f>
        <v/>
      </c>
      <c r="V217" s="85" t="str">
        <f aca="false">IF(ISBLANK(C217), "", IF(T217, Constants!$B$11, IF(COUNTA(E217:K217)=0, Constants!$B$12, IF(NOT(AND(P217,S217&lt;&gt;0)), Constants!$B$13, IF(O217, Constants!$B$15, Constants!$B$14)))))</f>
        <v/>
      </c>
      <c r="W217" s="85" t="str">
        <f aca="false">IF(OR(ISBLANK($C217), SUMPRODUCT(--(P217:T217&lt;&gt;""))=0), "", IF(V217&lt;&gt;Constants!$B$14, V217, IF(AND(NOT(ISBLANK(J217)),P217,Q217,R217&lt;&gt;Constants!$B$2), Constants!$B$7, IF(AND(P217,OR(NOT(Q217),R217=Constants!$B$2)), Constants!$B$8, "Error"))))</f>
        <v/>
      </c>
      <c r="X217" s="87" t="str">
        <f aca="false">IF(OR(W217=Constants!$B$7,W217=Constants!$B$8), MAX(0, MIN(Constants!$B$6, S217))+IF(AND(R217=Constants!$B$4, NOT(U217)), Constants!$B$5, 0), "")</f>
        <v/>
      </c>
      <c r="Y217" s="85" t="str">
        <f aca="false">IF(ISBLANK($C217),"",IF(AND(ISNUMBER(X217),N217&gt;0),X217/N217, "") )</f>
        <v/>
      </c>
      <c r="Z217" s="85" t="str">
        <f aca="false">IF(AND(NOT(ISBLANK($C217)), W217=Constants!$B$7), Y217, "")</f>
        <v/>
      </c>
      <c r="AA217" s="85" t="str">
        <f aca="false">IF(ISNUMBER(Z217), RANK(Z217,Z$8:Z$507), "")</f>
        <v/>
      </c>
      <c r="AB217" s="85" t="str">
        <f aca="false">IF(AND(NOT(ISBLANK($C217)), W217=Constants!$B$8), Y217, "")</f>
        <v/>
      </c>
      <c r="AC217" s="85" t="str">
        <f aca="false">IF(ISNUMBER(AB217), RANK(AB217,AB$8:AB$507), "")</f>
        <v/>
      </c>
      <c r="AD217" s="85" t="str">
        <f aca="false">IF(ISBLANK($C217),"",IF(V217&lt;&gt;Constants!$B$14, V217, IF(W217=Constants!$B$7, AA217, IF(W217=Constants!$B$8, COUNT($AA$8:$AA$507) + AC217, ""))))</f>
        <v/>
      </c>
      <c r="AE217" s="85" t="str">
        <f aca="false">N217</f>
        <v/>
      </c>
      <c r="AF217" s="85" t="str">
        <f aca="false">IF(ISNUMBER(AE217), RANK(AE217,AE$8:AE$507,1), "")</f>
        <v/>
      </c>
      <c r="AG217" s="88" t="str">
        <f aca="false">IF(ISBLANK(C217), "", ABS(M217-S217))</f>
        <v/>
      </c>
      <c r="AH217" s="85" t="str">
        <f aca="false">IF(ISNUMBER(AG217), RANK(AG217,AG$8:AG$507,1), "")</f>
        <v/>
      </c>
      <c r="AI217" s="85" t="str">
        <f aca="false">IF(ISBLANK(C217),"",IF(V217&lt;&gt;Constants!$B$14, V217, RANK(AD217, AD$8:AD$507, 1)+ SUMPRODUCT(--(AD$8:AD$507=AD217),--(AF217&gt;AF$8:AF$507)) + SUMPRODUCT(--(AD$8:AD$507=AD217),--(AF217=AF$8:AF$507),--(AH217&gt;AH$8:AH$507))))</f>
        <v/>
      </c>
      <c r="AJ217" s="85" t="str">
        <f aca="false">IF(ISBLANK(C217),"",IF(V217&lt;&gt;Constants!$B$14, V217, AD217-AI217))</f>
        <v/>
      </c>
      <c r="AK217" s="89"/>
      <c r="AL217" s="90" t="str">
        <f aca="false">IF(ISBLANK($C217),"",IF($V217&lt;&gt;Constants!$B$14,$V217,X217))</f>
        <v/>
      </c>
      <c r="AM217" s="90" t="str">
        <f aca="false">IF(ISBLANK($C217),"",IF($V217&lt;&gt;Constants!$B$14,$V217,N217))</f>
        <v/>
      </c>
      <c r="AN217" s="91" t="str">
        <f aca="false">IF(ISBLANK(C217),"",IF(V217&lt;&gt;Constants!$B$14, V217, IF(W217=Constants!$B$7,Z217,IF(W217=Constants!$B$8,AB217,""))))</f>
        <v/>
      </c>
      <c r="AO217" s="92" t="str">
        <f aca="false">IF(ISBLANK(C217),"",W217)</f>
        <v/>
      </c>
      <c r="AP217" s="92" t="str">
        <f aca="false">IF(ISBLANK(C217),"",AJ217)</f>
        <v/>
      </c>
      <c r="AQ217" s="92" t="str">
        <f aca="false">IF(ISBLANK(C217),"",AI217)</f>
        <v/>
      </c>
      <c r="AR217" s="93" t="str">
        <f aca="false">IF(ISBLANK(C217),
  "",
IF(AQ217=Constants!$B$11,COUNTA($C$8:$C$507)+2,IF(AQ217=Constants!$B$12,COUNTA($C$8:$C$507)+1,IF(AQ217=Constants!$B$13,COUNTA($C$8:$C$507),AQ217))))</f>
        <v/>
      </c>
      <c r="AS217" s="3"/>
      <c r="AT217" s="94" t="n">
        <f aca="false">IF(OR(ISNUMBER(AQ217),AQ217="DQ",AQ217="P",AQ217="NS"),
    1,
    0
)</f>
        <v>0</v>
      </c>
      <c r="AU217" s="94" t="n">
        <v>210</v>
      </c>
      <c r="AV217" s="94" t="str">
        <f aca="false">IF(ISBLANK($C217),
    "",
   IF(ISNUMBER(AR217),AR217+ROW($B217)/1000,"")
)</f>
        <v/>
      </c>
      <c r="AW217" s="94" t="str">
        <f aca="false">IF(ISNUMBER(AV217), RANK(AV217,AV$8:AV$507,1), "")</f>
        <v/>
      </c>
      <c r="AX217" s="94" t="str">
        <f aca="false">IF(ISBLANK($C217),
    "",
    $B217
)</f>
        <v/>
      </c>
      <c r="AY217" s="94" t="str">
        <f aca="false">IF(ISBLANK($C217),
    "",
    $C217
)</f>
        <v/>
      </c>
      <c r="AZ217" s="94" t="str">
        <f aca="false">IF(ISBLANK($C217),
    "",
    $D217
)</f>
        <v/>
      </c>
      <c r="BA217" s="94" t="str">
        <f aca="false">AO217</f>
        <v/>
      </c>
      <c r="BB217" s="95" t="str">
        <f aca="false">AN217</f>
        <v/>
      </c>
      <c r="BC217" s="94" t="str">
        <f aca="false">IF(ISBLANK($C217),
    "",
    AQ217
)</f>
        <v/>
      </c>
      <c r="BD217" s="96" t="str">
        <f aca="false">IF(AU217&gt;AT$7,
    "",
    VLOOKUP(AU217,AW$8:BC$507,7,FALSE())
)</f>
        <v/>
      </c>
      <c r="BE217" s="97" t="str">
        <f aca="false">IF(AU217&gt;AT$7,
    "",
    VLOOKUP(AU217,AW$8:BC$507,2,FALSE())
)</f>
        <v/>
      </c>
      <c r="BF217" s="97" t="str">
        <f aca="false">IF(AU217&gt;AT$7,
    "",
    VLOOKUP(AU217,AW$8:BC$507,3,FALSE())
)</f>
        <v/>
      </c>
      <c r="BG217" s="97" t="str">
        <f aca="false">IF(AU217&gt;AT$7,
    "",
    VLOOKUP(AU217,AW$8:BC$507,4,FALSE())
)</f>
        <v/>
      </c>
      <c r="BH217" s="97" t="str">
        <f aca="false">IF(AU217&gt;AT$7,
    "",
    VLOOKUP(AU217,AW$8:BC$507,5,FALSE())
)</f>
        <v/>
      </c>
      <c r="BI217" s="98" t="str">
        <f aca="false">IF(AU217&gt;AT$7,
    "",
    VLOOKUP(AU217,AW$8:BC$507,6,FALSE())
)</f>
        <v/>
      </c>
      <c r="BJ217" s="46"/>
    </row>
    <row r="218" customFormat="false" ht="15.75" hidden="false" customHeight="false" outlineLevel="0" collapsed="false">
      <c r="A218" s="3"/>
      <c r="B218" s="108"/>
      <c r="C218" s="70"/>
      <c r="D218" s="49"/>
      <c r="E218" s="109"/>
      <c r="F218" s="72"/>
      <c r="G218" s="109"/>
      <c r="H218" s="74"/>
      <c r="I218" s="104"/>
      <c r="J218" s="74"/>
      <c r="K218" s="74"/>
      <c r="L218" s="55"/>
      <c r="M218" s="55" t="str">
        <f aca="false">IF(ISBLANK($C218),"",IF(ISBLANK(E218),0,E218))</f>
        <v/>
      </c>
      <c r="N218" s="55" t="str">
        <f aca="false">IF(ISBLANK($C218),"",IF(ISBLANK(F218),0,F218))</f>
        <v/>
      </c>
      <c r="O218" s="55" t="e">
        <f aca="false">IF(AND(NOT(ISBLANK($C218)),NOT($T218),COUNTA($E218:$K218)&gt;0),ISBLANK($F218),FALSE())</f>
        <v>#VALUE!</v>
      </c>
      <c r="P218" s="55" t="str">
        <f aca="false">IF(ISBLANK($C218),"",IF(G218=Constants!$B$9, TRUE(), IF(G218=Constants!$B$10, FALSE(), TRUE())))</f>
        <v/>
      </c>
      <c r="Q218" s="55" t="str">
        <f aca="false">IF(ISBLANK($C218),"",IF(H218=Constants!$B$9, TRUE(), IF(H218=Constants!$B$10, FALSE(), TRUE())))</f>
        <v/>
      </c>
      <c r="R218" s="55" t="str">
        <f aca="false">IF(ISBLANK($C218),"",IF(ISBLANK(I218),Constants!$B$3,I218))</f>
        <v/>
      </c>
      <c r="S218" s="55" t="str">
        <f aca="false">IF(ISBLANK($C218),"",IF(ISBLANK(J218),0,MIN(J218,Constants!$B$6)))</f>
        <v/>
      </c>
      <c r="T218" s="55" t="str">
        <f aca="false">IF(ISBLANK($C218),"",IF(K218=Constants!$B$9, TRUE(), IF(K218=Constants!$B$10, FALSE(),  FALSE())))</f>
        <v/>
      </c>
      <c r="U218" s="55" t="str">
        <f aca="false">IF(ISBLANK($C218),"",AND(R218=Constants!$B$4, S218&lt;Constants!$B$6))</f>
        <v/>
      </c>
      <c r="V218" s="55" t="str">
        <f aca="false">IF(ISBLANK(C218), "", IF(T218, Constants!$B$11, IF(COUNTA(E218:K218)=0, Constants!$B$12, IF(NOT(AND(P218,S218&lt;&gt;0)), Constants!$B$13, IF(O218, Constants!$B$15, Constants!$B$14)))))</f>
        <v/>
      </c>
      <c r="W218" s="55" t="str">
        <f aca="false">IF(OR(ISBLANK($C218), SUMPRODUCT(--(P218:T218&lt;&gt;""))=0), "", IF(V218&lt;&gt;Constants!$B$14, V218, IF(AND(NOT(ISBLANK(J218)),P218,Q218,R218&lt;&gt;Constants!$B$2), Constants!$B$7, IF(AND(P218,OR(NOT(Q218),R218=Constants!$B$2)), Constants!$B$8, "Error"))))</f>
        <v/>
      </c>
      <c r="X218" s="56" t="str">
        <f aca="false">IF(OR(W218=Constants!$B$7,W218=Constants!$B$8), MAX(0, MIN(Constants!$B$6, S218))+IF(AND(R218=Constants!$B$4, NOT(U218)), Constants!$B$5, 0), "")</f>
        <v/>
      </c>
      <c r="Y218" s="55" t="str">
        <f aca="false">IF(ISBLANK($C218),"",IF(AND(ISNUMBER(X218),N218&gt;0),X218/N218, "") )</f>
        <v/>
      </c>
      <c r="Z218" s="55" t="str">
        <f aca="false">IF(AND(NOT(ISBLANK($C218)), W218=Constants!$B$7), Y218, "")</f>
        <v/>
      </c>
      <c r="AA218" s="55" t="str">
        <f aca="false">IF(ISNUMBER(Z218), RANK(Z218,Z$8:Z$507), "")</f>
        <v/>
      </c>
      <c r="AB218" s="55" t="str">
        <f aca="false">IF(AND(NOT(ISBLANK($C218)), W218=Constants!$B$8), Y218, "")</f>
        <v/>
      </c>
      <c r="AC218" s="55" t="str">
        <f aca="false">IF(ISNUMBER(AB218), RANK(AB218,AB$8:AB$507), "")</f>
        <v/>
      </c>
      <c r="AD218" s="55" t="str">
        <f aca="false">IF(ISBLANK($C218),"",IF(V218&lt;&gt;Constants!$B$14, V218, IF(W218=Constants!$B$7, AA218, IF(W218=Constants!$B$8, COUNT($AA$8:$AA$507) + AC218, ""))))</f>
        <v/>
      </c>
      <c r="AE218" s="55" t="str">
        <f aca="false">N218</f>
        <v/>
      </c>
      <c r="AF218" s="55" t="str">
        <f aca="false">IF(ISNUMBER(AE218), RANK(AE218,AE$8:AE$507,1), "")</f>
        <v/>
      </c>
      <c r="AG218" s="57" t="str">
        <f aca="false">IF(ISBLANK(C218), "", ABS(M218-S218))</f>
        <v/>
      </c>
      <c r="AH218" s="55" t="str">
        <f aca="false">IF(ISNUMBER(AG218), RANK(AG218,AG$8:AG$507,1), "")</f>
        <v/>
      </c>
      <c r="AI218" s="55" t="str">
        <f aca="false">IF(ISBLANK(C218),"",IF(V218&lt;&gt;Constants!$B$14, V218, RANK(AD218, AD$8:AD$507, 1)+ SUMPRODUCT(--(AD$8:AD$507=AD218),--(AF218&gt;AF$8:AF$507)) + SUMPRODUCT(--(AD$8:AD$507=AD218),--(AF218=AF$8:AF$507),--(AH218&gt;AH$8:AH$507))))</f>
        <v/>
      </c>
      <c r="AJ218" s="55" t="str">
        <f aca="false">IF(ISBLANK(C218),"",IF(V218&lt;&gt;Constants!$B$14, V218, AD218-AI218))</f>
        <v/>
      </c>
      <c r="AK218" s="59"/>
      <c r="AL218" s="60" t="str">
        <f aca="false">IF(ISBLANK($C218),"",IF($V218&lt;&gt;Constants!$B$14,$V218,X218))</f>
        <v/>
      </c>
      <c r="AM218" s="60" t="str">
        <f aca="false">IF(ISBLANK($C218),"",IF($V218&lt;&gt;Constants!$B$14,$V218,N218))</f>
        <v/>
      </c>
      <c r="AN218" s="62" t="str">
        <f aca="false">IF(ISBLANK(C218),"",IF(V218&lt;&gt;Constants!$B$14, V218, IF(W218=Constants!$B$7,Z218,IF(W218=Constants!$B$8,AB218,""))))</f>
        <v/>
      </c>
      <c r="AO218" s="63" t="str">
        <f aca="false">IF(ISBLANK(C218),"",W218)</f>
        <v/>
      </c>
      <c r="AP218" s="63" t="str">
        <f aca="false">IF(ISBLANK(C218),"",AJ218)</f>
        <v/>
      </c>
      <c r="AQ218" s="63" t="str">
        <f aca="false">IF(ISBLANK(C218),"",AI218)</f>
        <v/>
      </c>
      <c r="AR218" s="64" t="str">
        <f aca="false">IF(ISBLANK(C218),
  "",
IF(AQ218=Constants!$B$11,COUNTA($C$8:$C$507)+2,IF(AQ218=Constants!$B$12,COUNTA($C$8:$C$507)+1,IF(AQ218=Constants!$B$13,COUNTA($C$8:$C$507),AQ218))))</f>
        <v/>
      </c>
      <c r="AS218" s="3"/>
      <c r="AT218" s="65" t="n">
        <f aca="false">IF(OR(ISNUMBER(AQ218),AQ218="DQ",AQ218="P",AQ218="NS"),
    1,
    0
)</f>
        <v>0</v>
      </c>
      <c r="AU218" s="65" t="n">
        <v>211</v>
      </c>
      <c r="AV218" s="65" t="str">
        <f aca="false">IF(ISBLANK($C218),
    "",
   IF(ISNUMBER(AR218),AR218+ROW($B218)/1000,"")
)</f>
        <v/>
      </c>
      <c r="AW218" s="65" t="str">
        <f aca="false">IF(ISNUMBER(AV218), RANK(AV218,AV$8:AV$507,1), "")</f>
        <v/>
      </c>
      <c r="AX218" s="65" t="str">
        <f aca="false">IF(ISBLANK($C218),
    "",
    $B218
)</f>
        <v/>
      </c>
      <c r="AY218" s="65" t="str">
        <f aca="false">IF(ISBLANK($C218),
    "",
    $C218
)</f>
        <v/>
      </c>
      <c r="AZ218" s="65" t="str">
        <f aca="false">IF(ISBLANK($C218),
    "",
    $D218
)</f>
        <v/>
      </c>
      <c r="BA218" s="65" t="str">
        <f aca="false">AO218</f>
        <v/>
      </c>
      <c r="BB218" s="66" t="str">
        <f aca="false">AN218</f>
        <v/>
      </c>
      <c r="BC218" s="65" t="str">
        <f aca="false">IF(ISBLANK($C218),
    "",
    AQ218
)</f>
        <v/>
      </c>
      <c r="BD218" s="67" t="str">
        <f aca="false">IF(AU218&gt;AT$7,
    "",
    VLOOKUP(AU218,AW$8:BC$507,7,FALSE())
)</f>
        <v/>
      </c>
      <c r="BE218" s="68" t="str">
        <f aca="false">IF(AU218&gt;AT$7,
    "",
    VLOOKUP(AU218,AW$8:BC$507,2,FALSE())
)</f>
        <v/>
      </c>
      <c r="BF218" s="68" t="str">
        <f aca="false">IF(AU218&gt;AT$7,
    "",
    VLOOKUP(AU218,AW$8:BC$507,3,FALSE())
)</f>
        <v/>
      </c>
      <c r="BG218" s="68" t="str">
        <f aca="false">IF(AU218&gt;AT$7,
    "",
    VLOOKUP(AU218,AW$8:BC$507,4,FALSE())
)</f>
        <v/>
      </c>
      <c r="BH218" s="68" t="str">
        <f aca="false">IF(AU218&gt;AT$7,
    "",
    VLOOKUP(AU218,AW$8:BC$507,5,FALSE())
)</f>
        <v/>
      </c>
      <c r="BI218" s="69" t="str">
        <f aca="false">IF(AU218&gt;AT$7,
    "",
    VLOOKUP(AU218,AW$8:BC$507,6,FALSE())
)</f>
        <v/>
      </c>
      <c r="BJ218" s="46"/>
    </row>
    <row r="219" customFormat="false" ht="15.75" hidden="false" customHeight="false" outlineLevel="0" collapsed="false">
      <c r="A219" s="3"/>
      <c r="B219" s="108"/>
      <c r="C219" s="70"/>
      <c r="D219" s="49"/>
      <c r="E219" s="109"/>
      <c r="F219" s="72"/>
      <c r="G219" s="109"/>
      <c r="H219" s="74"/>
      <c r="I219" s="104"/>
      <c r="J219" s="74"/>
      <c r="K219" s="74"/>
      <c r="L219" s="55"/>
      <c r="M219" s="55" t="str">
        <f aca="false">IF(ISBLANK($C219),"",IF(ISBLANK(E219),0,E219))</f>
        <v/>
      </c>
      <c r="N219" s="55" t="str">
        <f aca="false">IF(ISBLANK($C219),"",IF(ISBLANK(F219),0,F219))</f>
        <v/>
      </c>
      <c r="O219" s="55" t="e">
        <f aca="false">IF(AND(NOT(ISBLANK($C219)),NOT($T219),COUNTA($E219:$K219)&gt;0),ISBLANK($F219),FALSE())</f>
        <v>#VALUE!</v>
      </c>
      <c r="P219" s="55" t="str">
        <f aca="false">IF(ISBLANK($C219),"",IF(G219=Constants!$B$9, TRUE(), IF(G219=Constants!$B$10, FALSE(), TRUE())))</f>
        <v/>
      </c>
      <c r="Q219" s="55" t="str">
        <f aca="false">IF(ISBLANK($C219),"",IF(H219=Constants!$B$9, TRUE(), IF(H219=Constants!$B$10, FALSE(), TRUE())))</f>
        <v/>
      </c>
      <c r="R219" s="55" t="str">
        <f aca="false">IF(ISBLANK($C219),"",IF(ISBLANK(I219),Constants!$B$3,I219))</f>
        <v/>
      </c>
      <c r="S219" s="55" t="str">
        <f aca="false">IF(ISBLANK($C219),"",IF(ISBLANK(J219),0,MIN(J219,Constants!$B$6)))</f>
        <v/>
      </c>
      <c r="T219" s="55" t="str">
        <f aca="false">IF(ISBLANK($C219),"",IF(K219=Constants!$B$9, TRUE(), IF(K219=Constants!$B$10, FALSE(),  FALSE())))</f>
        <v/>
      </c>
      <c r="U219" s="55" t="str">
        <f aca="false">IF(ISBLANK($C219),"",AND(R219=Constants!$B$4, S219&lt;Constants!$B$6))</f>
        <v/>
      </c>
      <c r="V219" s="55" t="str">
        <f aca="false">IF(ISBLANK(C219), "", IF(T219, Constants!$B$11, IF(COUNTA(E219:K219)=0, Constants!$B$12, IF(NOT(AND(P219,S219&lt;&gt;0)), Constants!$B$13, IF(O219, Constants!$B$15, Constants!$B$14)))))</f>
        <v/>
      </c>
      <c r="W219" s="55" t="str">
        <f aca="false">IF(OR(ISBLANK($C219), SUMPRODUCT(--(P219:T219&lt;&gt;""))=0), "", IF(V219&lt;&gt;Constants!$B$14, V219, IF(AND(NOT(ISBLANK(J219)),P219,Q219,R219&lt;&gt;Constants!$B$2), Constants!$B$7, IF(AND(P219,OR(NOT(Q219),R219=Constants!$B$2)), Constants!$B$8, "Error"))))</f>
        <v/>
      </c>
      <c r="X219" s="56" t="str">
        <f aca="false">IF(OR(W219=Constants!$B$7,W219=Constants!$B$8), MAX(0, MIN(Constants!$B$6, S219))+IF(AND(R219=Constants!$B$4, NOT(U219)), Constants!$B$5, 0), "")</f>
        <v/>
      </c>
      <c r="Y219" s="55" t="str">
        <f aca="false">IF(ISBLANK($C219),"",IF(AND(ISNUMBER(X219),N219&gt;0),X219/N219, "") )</f>
        <v/>
      </c>
      <c r="Z219" s="55" t="str">
        <f aca="false">IF(AND(NOT(ISBLANK($C219)), W219=Constants!$B$7), Y219, "")</f>
        <v/>
      </c>
      <c r="AA219" s="55" t="str">
        <f aca="false">IF(ISNUMBER(Z219), RANK(Z219,Z$8:Z$507), "")</f>
        <v/>
      </c>
      <c r="AB219" s="55" t="str">
        <f aca="false">IF(AND(NOT(ISBLANK($C219)), W219=Constants!$B$8), Y219, "")</f>
        <v/>
      </c>
      <c r="AC219" s="55" t="str">
        <f aca="false">IF(ISNUMBER(AB219), RANK(AB219,AB$8:AB$507), "")</f>
        <v/>
      </c>
      <c r="AD219" s="55" t="str">
        <f aca="false">IF(ISBLANK($C219),"",IF(V219&lt;&gt;Constants!$B$14, V219, IF(W219=Constants!$B$7, AA219, IF(W219=Constants!$B$8, COUNT($AA$8:$AA$507) + AC219, ""))))</f>
        <v/>
      </c>
      <c r="AE219" s="55" t="str">
        <f aca="false">N219</f>
        <v/>
      </c>
      <c r="AF219" s="55" t="str">
        <f aca="false">IF(ISNUMBER(AE219), RANK(AE219,AE$8:AE$507,1), "")</f>
        <v/>
      </c>
      <c r="AG219" s="57" t="str">
        <f aca="false">IF(ISBLANK(C219), "", ABS(M219-S219))</f>
        <v/>
      </c>
      <c r="AH219" s="55" t="str">
        <f aca="false">IF(ISNUMBER(AG219), RANK(AG219,AG$8:AG$507,1), "")</f>
        <v/>
      </c>
      <c r="AI219" s="55" t="str">
        <f aca="false">IF(ISBLANK(C219),"",IF(V219&lt;&gt;Constants!$B$14, V219, RANK(AD219, AD$8:AD$507, 1)+ SUMPRODUCT(--(AD$8:AD$507=AD219),--(AF219&gt;AF$8:AF$507)) + SUMPRODUCT(--(AD$8:AD$507=AD219),--(AF219=AF$8:AF$507),--(AH219&gt;AH$8:AH$507))))</f>
        <v/>
      </c>
      <c r="AJ219" s="55" t="str">
        <f aca="false">IF(ISBLANK(C219),"",IF(V219&lt;&gt;Constants!$B$14, V219, AD219-AI219))</f>
        <v/>
      </c>
      <c r="AK219" s="59"/>
      <c r="AL219" s="60" t="str">
        <f aca="false">IF(ISBLANK($C219),"",IF($V219&lt;&gt;Constants!$B$14,$V219,X219))</f>
        <v/>
      </c>
      <c r="AM219" s="60" t="str">
        <f aca="false">IF(ISBLANK($C219),"",IF($V219&lt;&gt;Constants!$B$14,$V219,N219))</f>
        <v/>
      </c>
      <c r="AN219" s="62" t="str">
        <f aca="false">IF(ISBLANK(C219),"",IF(V219&lt;&gt;Constants!$B$14, V219, IF(W219=Constants!$B$7,Z219,IF(W219=Constants!$B$8,AB219,""))))</f>
        <v/>
      </c>
      <c r="AO219" s="63" t="str">
        <f aca="false">IF(ISBLANK(C219),"",W219)</f>
        <v/>
      </c>
      <c r="AP219" s="63" t="str">
        <f aca="false">IF(ISBLANK(C219),"",AJ219)</f>
        <v/>
      </c>
      <c r="AQ219" s="63" t="str">
        <f aca="false">IF(ISBLANK(C219),"",AI219)</f>
        <v/>
      </c>
      <c r="AR219" s="64" t="str">
        <f aca="false">IF(ISBLANK(C219),
  "",
IF(AQ219=Constants!$B$11,COUNTA($C$8:$C$507)+2,IF(AQ219=Constants!$B$12,COUNTA($C$8:$C$507)+1,IF(AQ219=Constants!$B$13,COUNTA($C$8:$C$507),AQ219))))</f>
        <v/>
      </c>
      <c r="AS219" s="3"/>
      <c r="AT219" s="65" t="n">
        <f aca="false">IF(OR(ISNUMBER(AQ219),AQ219="DQ",AQ219="P",AQ219="NS"),
    1,
    0
)</f>
        <v>0</v>
      </c>
      <c r="AU219" s="65" t="n">
        <v>212</v>
      </c>
      <c r="AV219" s="65" t="str">
        <f aca="false">IF(ISBLANK($C219),
    "",
   IF(ISNUMBER(AR219),AR219+ROW($B219)/1000,"")
)</f>
        <v/>
      </c>
      <c r="AW219" s="65" t="str">
        <f aca="false">IF(ISNUMBER(AV219), RANK(AV219,AV$8:AV$507,1), "")</f>
        <v/>
      </c>
      <c r="AX219" s="65" t="str">
        <f aca="false">IF(ISBLANK($C219),
    "",
    $B219
)</f>
        <v/>
      </c>
      <c r="AY219" s="65" t="str">
        <f aca="false">IF(ISBLANK($C219),
    "",
    $C219
)</f>
        <v/>
      </c>
      <c r="AZ219" s="65" t="str">
        <f aca="false">IF(ISBLANK($C219),
    "",
    $D219
)</f>
        <v/>
      </c>
      <c r="BA219" s="65" t="str">
        <f aca="false">AO219</f>
        <v/>
      </c>
      <c r="BB219" s="66" t="str">
        <f aca="false">AN219</f>
        <v/>
      </c>
      <c r="BC219" s="65" t="str">
        <f aca="false">IF(ISBLANK($C219),
    "",
    AQ219
)</f>
        <v/>
      </c>
      <c r="BD219" s="67" t="str">
        <f aca="false">IF(AU219&gt;AT$7,
    "",
    VLOOKUP(AU219,AW$8:BC$507,7,FALSE())
)</f>
        <v/>
      </c>
      <c r="BE219" s="68" t="str">
        <f aca="false">IF(AU219&gt;AT$7,
    "",
    VLOOKUP(AU219,AW$8:BC$507,2,FALSE())
)</f>
        <v/>
      </c>
      <c r="BF219" s="68" t="str">
        <f aca="false">IF(AU219&gt;AT$7,
    "",
    VLOOKUP(AU219,AW$8:BC$507,3,FALSE())
)</f>
        <v/>
      </c>
      <c r="BG219" s="68" t="str">
        <f aca="false">IF(AU219&gt;AT$7,
    "",
    VLOOKUP(AU219,AW$8:BC$507,4,FALSE())
)</f>
        <v/>
      </c>
      <c r="BH219" s="68" t="str">
        <f aca="false">IF(AU219&gt;AT$7,
    "",
    VLOOKUP(AU219,AW$8:BC$507,5,FALSE())
)</f>
        <v/>
      </c>
      <c r="BI219" s="69" t="str">
        <f aca="false">IF(AU219&gt;AT$7,
    "",
    VLOOKUP(AU219,AW$8:BC$507,6,FALSE())
)</f>
        <v/>
      </c>
      <c r="BJ219" s="46"/>
    </row>
    <row r="220" customFormat="false" ht="15.75" hidden="false" customHeight="false" outlineLevel="0" collapsed="false">
      <c r="A220" s="3"/>
      <c r="B220" s="108"/>
      <c r="C220" s="70"/>
      <c r="D220" s="49"/>
      <c r="E220" s="109"/>
      <c r="F220" s="72"/>
      <c r="G220" s="109"/>
      <c r="H220" s="74"/>
      <c r="I220" s="104"/>
      <c r="J220" s="74"/>
      <c r="K220" s="74"/>
      <c r="L220" s="55"/>
      <c r="M220" s="55" t="str">
        <f aca="false">IF(ISBLANK($C220),"",IF(ISBLANK(E220),0,E220))</f>
        <v/>
      </c>
      <c r="N220" s="55" t="str">
        <f aca="false">IF(ISBLANK($C220),"",IF(ISBLANK(F220),0,F220))</f>
        <v/>
      </c>
      <c r="O220" s="55" t="e">
        <f aca="false">IF(AND(NOT(ISBLANK($C220)),NOT($T220),COUNTA($E220:$K220)&gt;0),ISBLANK($F220),FALSE())</f>
        <v>#VALUE!</v>
      </c>
      <c r="P220" s="55" t="str">
        <f aca="false">IF(ISBLANK($C220),"",IF(G220=Constants!$B$9, TRUE(), IF(G220=Constants!$B$10, FALSE(), TRUE())))</f>
        <v/>
      </c>
      <c r="Q220" s="55" t="str">
        <f aca="false">IF(ISBLANK($C220),"",IF(H220=Constants!$B$9, TRUE(), IF(H220=Constants!$B$10, FALSE(), TRUE())))</f>
        <v/>
      </c>
      <c r="R220" s="55" t="str">
        <f aca="false">IF(ISBLANK($C220),"",IF(ISBLANK(I220),Constants!$B$3,I220))</f>
        <v/>
      </c>
      <c r="S220" s="55" t="str">
        <f aca="false">IF(ISBLANK($C220),"",IF(ISBLANK(J220),0,MIN(J220,Constants!$B$6)))</f>
        <v/>
      </c>
      <c r="T220" s="55" t="str">
        <f aca="false">IF(ISBLANK($C220),"",IF(K220=Constants!$B$9, TRUE(), IF(K220=Constants!$B$10, FALSE(),  FALSE())))</f>
        <v/>
      </c>
      <c r="U220" s="55" t="str">
        <f aca="false">IF(ISBLANK($C220),"",AND(R220=Constants!$B$4, S220&lt;Constants!$B$6))</f>
        <v/>
      </c>
      <c r="V220" s="55" t="str">
        <f aca="false">IF(ISBLANK(C220), "", IF(T220, Constants!$B$11, IF(COUNTA(E220:K220)=0, Constants!$B$12, IF(NOT(AND(P220,S220&lt;&gt;0)), Constants!$B$13, IF(O220, Constants!$B$15, Constants!$B$14)))))</f>
        <v/>
      </c>
      <c r="W220" s="55" t="str">
        <f aca="false">IF(OR(ISBLANK($C220), SUMPRODUCT(--(P220:T220&lt;&gt;""))=0), "", IF(V220&lt;&gt;Constants!$B$14, V220, IF(AND(NOT(ISBLANK(J220)),P220,Q220,R220&lt;&gt;Constants!$B$2), Constants!$B$7, IF(AND(P220,OR(NOT(Q220),R220=Constants!$B$2)), Constants!$B$8, "Error"))))</f>
        <v/>
      </c>
      <c r="X220" s="56" t="str">
        <f aca="false">IF(OR(W220=Constants!$B$7,W220=Constants!$B$8), MAX(0, MIN(Constants!$B$6, S220))+IF(AND(R220=Constants!$B$4, NOT(U220)), Constants!$B$5, 0), "")</f>
        <v/>
      </c>
      <c r="Y220" s="55" t="str">
        <f aca="false">IF(ISBLANK($C220),"",IF(AND(ISNUMBER(X220),N220&gt;0),X220/N220, "") )</f>
        <v/>
      </c>
      <c r="Z220" s="55" t="str">
        <f aca="false">IF(AND(NOT(ISBLANK($C220)), W220=Constants!$B$7), Y220, "")</f>
        <v/>
      </c>
      <c r="AA220" s="55" t="str">
        <f aca="false">IF(ISNUMBER(Z220), RANK(Z220,Z$8:Z$507), "")</f>
        <v/>
      </c>
      <c r="AB220" s="55" t="str">
        <f aca="false">IF(AND(NOT(ISBLANK($C220)), W220=Constants!$B$8), Y220, "")</f>
        <v/>
      </c>
      <c r="AC220" s="55" t="str">
        <f aca="false">IF(ISNUMBER(AB220), RANK(AB220,AB$8:AB$507), "")</f>
        <v/>
      </c>
      <c r="AD220" s="55" t="str">
        <f aca="false">IF(ISBLANK($C220),"",IF(V220&lt;&gt;Constants!$B$14, V220, IF(W220=Constants!$B$7, AA220, IF(W220=Constants!$B$8, COUNT($AA$8:$AA$507) + AC220, ""))))</f>
        <v/>
      </c>
      <c r="AE220" s="55" t="str">
        <f aca="false">N220</f>
        <v/>
      </c>
      <c r="AF220" s="55" t="str">
        <f aca="false">IF(ISNUMBER(AE220), RANK(AE220,AE$8:AE$507,1), "")</f>
        <v/>
      </c>
      <c r="AG220" s="57" t="str">
        <f aca="false">IF(ISBLANK(C220), "", ABS(M220-S220))</f>
        <v/>
      </c>
      <c r="AH220" s="55" t="str">
        <f aca="false">IF(ISNUMBER(AG220), RANK(AG220,AG$8:AG$507,1), "")</f>
        <v/>
      </c>
      <c r="AI220" s="55" t="str">
        <f aca="false">IF(ISBLANK(C220),"",IF(V220&lt;&gt;Constants!$B$14, V220, RANK(AD220, AD$8:AD$507, 1)+ SUMPRODUCT(--(AD$8:AD$507=AD220),--(AF220&gt;AF$8:AF$507)) + SUMPRODUCT(--(AD$8:AD$507=AD220),--(AF220=AF$8:AF$507),--(AH220&gt;AH$8:AH$507))))</f>
        <v/>
      </c>
      <c r="AJ220" s="55" t="str">
        <f aca="false">IF(ISBLANK(C220),"",IF(V220&lt;&gt;Constants!$B$14, V220, AD220-AI220))</f>
        <v/>
      </c>
      <c r="AK220" s="59"/>
      <c r="AL220" s="60" t="str">
        <f aca="false">IF(ISBLANK($C220),"",IF($V220&lt;&gt;Constants!$B$14,$V220,X220))</f>
        <v/>
      </c>
      <c r="AM220" s="60" t="str">
        <f aca="false">IF(ISBLANK($C220),"",IF($V220&lt;&gt;Constants!$B$14,$V220,N220))</f>
        <v/>
      </c>
      <c r="AN220" s="62" t="str">
        <f aca="false">IF(ISBLANK(C220),"",IF(V220&lt;&gt;Constants!$B$14, V220, IF(W220=Constants!$B$7,Z220,IF(W220=Constants!$B$8,AB220,""))))</f>
        <v/>
      </c>
      <c r="AO220" s="63" t="str">
        <f aca="false">IF(ISBLANK(C220),"",W220)</f>
        <v/>
      </c>
      <c r="AP220" s="63" t="str">
        <f aca="false">IF(ISBLANK(C220),"",AJ220)</f>
        <v/>
      </c>
      <c r="AQ220" s="63" t="str">
        <f aca="false">IF(ISBLANK(C220),"",AI220)</f>
        <v/>
      </c>
      <c r="AR220" s="64" t="str">
        <f aca="false">IF(ISBLANK(C220),
  "",
IF(AQ220=Constants!$B$11,COUNTA($C$8:$C$507)+2,IF(AQ220=Constants!$B$12,COUNTA($C$8:$C$507)+1,IF(AQ220=Constants!$B$13,COUNTA($C$8:$C$507),AQ220))))</f>
        <v/>
      </c>
      <c r="AS220" s="3"/>
      <c r="AT220" s="65" t="n">
        <f aca="false">IF(OR(ISNUMBER(AQ220),AQ220="DQ",AQ220="P",AQ220="NS"),
    1,
    0
)</f>
        <v>0</v>
      </c>
      <c r="AU220" s="65" t="n">
        <v>213</v>
      </c>
      <c r="AV220" s="65" t="str">
        <f aca="false">IF(ISBLANK($C220),
    "",
   IF(ISNUMBER(AR220),AR220+ROW($B220)/1000,"")
)</f>
        <v/>
      </c>
      <c r="AW220" s="65" t="str">
        <f aca="false">IF(ISNUMBER(AV220), RANK(AV220,AV$8:AV$507,1), "")</f>
        <v/>
      </c>
      <c r="AX220" s="65" t="str">
        <f aca="false">IF(ISBLANK($C220),
    "",
    $B220
)</f>
        <v/>
      </c>
      <c r="AY220" s="65" t="str">
        <f aca="false">IF(ISBLANK($C220),
    "",
    $C220
)</f>
        <v/>
      </c>
      <c r="AZ220" s="65" t="str">
        <f aca="false">IF(ISBLANK($C220),
    "",
    $D220
)</f>
        <v/>
      </c>
      <c r="BA220" s="65" t="str">
        <f aca="false">AO220</f>
        <v/>
      </c>
      <c r="BB220" s="66" t="str">
        <f aca="false">AN220</f>
        <v/>
      </c>
      <c r="BC220" s="65" t="str">
        <f aca="false">IF(ISBLANK($C220),
    "",
    AQ220
)</f>
        <v/>
      </c>
      <c r="BD220" s="67" t="str">
        <f aca="false">IF(AU220&gt;AT$7,
    "",
    VLOOKUP(AU220,AW$8:BC$507,7,FALSE())
)</f>
        <v/>
      </c>
      <c r="BE220" s="68" t="str">
        <f aca="false">IF(AU220&gt;AT$7,
    "",
    VLOOKUP(AU220,AW$8:BC$507,2,FALSE())
)</f>
        <v/>
      </c>
      <c r="BF220" s="68" t="str">
        <f aca="false">IF(AU220&gt;AT$7,
    "",
    VLOOKUP(AU220,AW$8:BC$507,3,FALSE())
)</f>
        <v/>
      </c>
      <c r="BG220" s="68" t="str">
        <f aca="false">IF(AU220&gt;AT$7,
    "",
    VLOOKUP(AU220,AW$8:BC$507,4,FALSE())
)</f>
        <v/>
      </c>
      <c r="BH220" s="68" t="str">
        <f aca="false">IF(AU220&gt;AT$7,
    "",
    VLOOKUP(AU220,AW$8:BC$507,5,FALSE())
)</f>
        <v/>
      </c>
      <c r="BI220" s="69" t="str">
        <f aca="false">IF(AU220&gt;AT$7,
    "",
    VLOOKUP(AU220,AW$8:BC$507,6,FALSE())
)</f>
        <v/>
      </c>
      <c r="BJ220" s="46"/>
    </row>
    <row r="221" customFormat="false" ht="15.75" hidden="false" customHeight="false" outlineLevel="0" collapsed="false">
      <c r="A221" s="3"/>
      <c r="B221" s="105"/>
      <c r="C221" s="106"/>
      <c r="D221" s="99"/>
      <c r="E221" s="110"/>
      <c r="F221" s="107"/>
      <c r="G221" s="110"/>
      <c r="H221" s="103"/>
      <c r="I221" s="102"/>
      <c r="J221" s="103"/>
      <c r="K221" s="103"/>
      <c r="L221" s="85"/>
      <c r="M221" s="85" t="str">
        <f aca="false">IF(ISBLANK($C221),"",IF(ISBLANK(E221),0,E221))</f>
        <v/>
      </c>
      <c r="N221" s="85" t="str">
        <f aca="false">IF(ISBLANK($C221),"",IF(ISBLANK(F221),0,F221))</f>
        <v/>
      </c>
      <c r="O221" s="86" t="e">
        <f aca="false">IF(AND(NOT(ISBLANK($C221)),NOT($T221),COUNTA($E221:$K221)&gt;0),ISBLANK($F221),FALSE())</f>
        <v>#VALUE!</v>
      </c>
      <c r="P221" s="85" t="str">
        <f aca="false">IF(ISBLANK($C221),"",IF(G221=Constants!$B$9, TRUE(), IF(G221=Constants!$B$10, FALSE(), TRUE())))</f>
        <v/>
      </c>
      <c r="Q221" s="85" t="str">
        <f aca="false">IF(ISBLANK($C221),"",IF(H221=Constants!$B$9, TRUE(), IF(H221=Constants!$B$10, FALSE(), TRUE())))</f>
        <v/>
      </c>
      <c r="R221" s="85" t="str">
        <f aca="false">IF(ISBLANK($C221),"",IF(ISBLANK(I221),Constants!$B$3,I221))</f>
        <v/>
      </c>
      <c r="S221" s="85" t="str">
        <f aca="false">IF(ISBLANK($C221),"",IF(ISBLANK(J221),0,MIN(J221,Constants!$B$6)))</f>
        <v/>
      </c>
      <c r="T221" s="85" t="str">
        <f aca="false">IF(ISBLANK($C221),"",IF(K221=Constants!$B$9, TRUE(), IF(K221=Constants!$B$10, FALSE(),  FALSE())))</f>
        <v/>
      </c>
      <c r="U221" s="85" t="str">
        <f aca="false">IF(ISBLANK($C221),"",AND(R221=Constants!$B$4, S221&lt;Constants!$B$6))</f>
        <v/>
      </c>
      <c r="V221" s="85" t="str">
        <f aca="false">IF(ISBLANK(C221), "", IF(T221, Constants!$B$11, IF(COUNTA(E221:K221)=0, Constants!$B$12, IF(NOT(AND(P221,S221&lt;&gt;0)), Constants!$B$13, IF(O221, Constants!$B$15, Constants!$B$14)))))</f>
        <v/>
      </c>
      <c r="W221" s="85" t="str">
        <f aca="false">IF(OR(ISBLANK($C221), SUMPRODUCT(--(P221:T221&lt;&gt;""))=0), "", IF(V221&lt;&gt;Constants!$B$14, V221, IF(AND(NOT(ISBLANK(J221)),P221,Q221,R221&lt;&gt;Constants!$B$2), Constants!$B$7, IF(AND(P221,OR(NOT(Q221),R221=Constants!$B$2)), Constants!$B$8, "Error"))))</f>
        <v/>
      </c>
      <c r="X221" s="87" t="str">
        <f aca="false">IF(OR(W221=Constants!$B$7,W221=Constants!$B$8), MAX(0, MIN(Constants!$B$6, S221))+IF(AND(R221=Constants!$B$4, NOT(U221)), Constants!$B$5, 0), "")</f>
        <v/>
      </c>
      <c r="Y221" s="85" t="str">
        <f aca="false">IF(ISBLANK($C221),"",IF(AND(ISNUMBER(X221),N221&gt;0),X221/N221, "") )</f>
        <v/>
      </c>
      <c r="Z221" s="85" t="str">
        <f aca="false">IF(AND(NOT(ISBLANK($C221)), W221=Constants!$B$7), Y221, "")</f>
        <v/>
      </c>
      <c r="AA221" s="85" t="str">
        <f aca="false">IF(ISNUMBER(Z221), RANK(Z221,Z$8:Z$507), "")</f>
        <v/>
      </c>
      <c r="AB221" s="85" t="str">
        <f aca="false">IF(AND(NOT(ISBLANK($C221)), W221=Constants!$B$8), Y221, "")</f>
        <v/>
      </c>
      <c r="AC221" s="85" t="str">
        <f aca="false">IF(ISNUMBER(AB221), RANK(AB221,AB$8:AB$507), "")</f>
        <v/>
      </c>
      <c r="AD221" s="85" t="str">
        <f aca="false">IF(ISBLANK($C221),"",IF(V221&lt;&gt;Constants!$B$14, V221, IF(W221=Constants!$B$7, AA221, IF(W221=Constants!$B$8, COUNT($AA$8:$AA$507) + AC221, ""))))</f>
        <v/>
      </c>
      <c r="AE221" s="85" t="str">
        <f aca="false">N221</f>
        <v/>
      </c>
      <c r="AF221" s="85" t="str">
        <f aca="false">IF(ISNUMBER(AE221), RANK(AE221,AE$8:AE$507,1), "")</f>
        <v/>
      </c>
      <c r="AG221" s="88" t="str">
        <f aca="false">IF(ISBLANK(C221), "", ABS(M221-S221))</f>
        <v/>
      </c>
      <c r="AH221" s="85" t="str">
        <f aca="false">IF(ISNUMBER(AG221), RANK(AG221,AG$8:AG$507,1), "")</f>
        <v/>
      </c>
      <c r="AI221" s="85" t="str">
        <f aca="false">IF(ISBLANK(C221),"",IF(V221&lt;&gt;Constants!$B$14, V221, RANK(AD221, AD$8:AD$507, 1)+ SUMPRODUCT(--(AD$8:AD$507=AD221),--(AF221&gt;AF$8:AF$507)) + SUMPRODUCT(--(AD$8:AD$507=AD221),--(AF221=AF$8:AF$507),--(AH221&gt;AH$8:AH$507))))</f>
        <v/>
      </c>
      <c r="AJ221" s="85" t="str">
        <f aca="false">IF(ISBLANK(C221),"",IF(V221&lt;&gt;Constants!$B$14, V221, AD221-AI221))</f>
        <v/>
      </c>
      <c r="AK221" s="89"/>
      <c r="AL221" s="90" t="str">
        <f aca="false">IF(ISBLANK($C221),"",IF($V221&lt;&gt;Constants!$B$14,$V221,X221))</f>
        <v/>
      </c>
      <c r="AM221" s="90" t="str">
        <f aca="false">IF(ISBLANK($C221),"",IF($V221&lt;&gt;Constants!$B$14,$V221,N221))</f>
        <v/>
      </c>
      <c r="AN221" s="91" t="str">
        <f aca="false">IF(ISBLANK(C221),"",IF(V221&lt;&gt;Constants!$B$14, V221, IF(W221=Constants!$B$7,Z221,IF(W221=Constants!$B$8,AB221,""))))</f>
        <v/>
      </c>
      <c r="AO221" s="92" t="str">
        <f aca="false">IF(ISBLANK(C221),"",W221)</f>
        <v/>
      </c>
      <c r="AP221" s="92" t="str">
        <f aca="false">IF(ISBLANK(C221),"",AJ221)</f>
        <v/>
      </c>
      <c r="AQ221" s="92" t="str">
        <f aca="false">IF(ISBLANK(C221),"",AI221)</f>
        <v/>
      </c>
      <c r="AR221" s="93" t="str">
        <f aca="false">IF(ISBLANK(C221),
  "",
IF(AQ221=Constants!$B$11,COUNTA($C$8:$C$507)+2,IF(AQ221=Constants!$B$12,COUNTA($C$8:$C$507)+1,IF(AQ221=Constants!$B$13,COUNTA($C$8:$C$507),AQ221))))</f>
        <v/>
      </c>
      <c r="AS221" s="3"/>
      <c r="AT221" s="94" t="n">
        <f aca="false">IF(OR(ISNUMBER(AQ221),AQ221="DQ",AQ221="P",AQ221="NS"),
    1,
    0
)</f>
        <v>0</v>
      </c>
      <c r="AU221" s="94" t="n">
        <v>214</v>
      </c>
      <c r="AV221" s="94" t="str">
        <f aca="false">IF(ISBLANK($C221),
    "",
   IF(ISNUMBER(AR221),AR221+ROW($B221)/1000,"")
)</f>
        <v/>
      </c>
      <c r="AW221" s="94" t="str">
        <f aca="false">IF(ISNUMBER(AV221), RANK(AV221,AV$8:AV$507,1), "")</f>
        <v/>
      </c>
      <c r="AX221" s="94" t="str">
        <f aca="false">IF(ISBLANK($C221),
    "",
    $B221
)</f>
        <v/>
      </c>
      <c r="AY221" s="94" t="str">
        <f aca="false">IF(ISBLANK($C221),
    "",
    $C221
)</f>
        <v/>
      </c>
      <c r="AZ221" s="94" t="str">
        <f aca="false">IF(ISBLANK($C221),
    "",
    $D221
)</f>
        <v/>
      </c>
      <c r="BA221" s="94" t="str">
        <f aca="false">AO221</f>
        <v/>
      </c>
      <c r="BB221" s="95" t="str">
        <f aca="false">AN221</f>
        <v/>
      </c>
      <c r="BC221" s="94" t="str">
        <f aca="false">IF(ISBLANK($C221),
    "",
    AQ221
)</f>
        <v/>
      </c>
      <c r="BD221" s="96" t="str">
        <f aca="false">IF(AU221&gt;AT$7,
    "",
    VLOOKUP(AU221,AW$8:BC$507,7,FALSE())
)</f>
        <v/>
      </c>
      <c r="BE221" s="97" t="str">
        <f aca="false">IF(AU221&gt;AT$7,
    "",
    VLOOKUP(AU221,AW$8:BC$507,2,FALSE())
)</f>
        <v/>
      </c>
      <c r="BF221" s="97" t="str">
        <f aca="false">IF(AU221&gt;AT$7,
    "",
    VLOOKUP(AU221,AW$8:BC$507,3,FALSE())
)</f>
        <v/>
      </c>
      <c r="BG221" s="97" t="str">
        <f aca="false">IF(AU221&gt;AT$7,
    "",
    VLOOKUP(AU221,AW$8:BC$507,4,FALSE())
)</f>
        <v/>
      </c>
      <c r="BH221" s="97" t="str">
        <f aca="false">IF(AU221&gt;AT$7,
    "",
    VLOOKUP(AU221,AW$8:BC$507,5,FALSE())
)</f>
        <v/>
      </c>
      <c r="BI221" s="98" t="str">
        <f aca="false">IF(AU221&gt;AT$7,
    "",
    VLOOKUP(AU221,AW$8:BC$507,6,FALSE())
)</f>
        <v/>
      </c>
      <c r="BJ221" s="46"/>
    </row>
    <row r="222" customFormat="false" ht="15.75" hidden="false" customHeight="false" outlineLevel="0" collapsed="false">
      <c r="A222" s="3"/>
      <c r="B222" s="105"/>
      <c r="C222" s="106"/>
      <c r="D222" s="99"/>
      <c r="E222" s="110"/>
      <c r="F222" s="107"/>
      <c r="G222" s="110"/>
      <c r="H222" s="103"/>
      <c r="I222" s="102"/>
      <c r="J222" s="103"/>
      <c r="K222" s="103"/>
      <c r="L222" s="85"/>
      <c r="M222" s="85" t="str">
        <f aca="false">IF(ISBLANK($C222),"",IF(ISBLANK(E222),0,E222))</f>
        <v/>
      </c>
      <c r="N222" s="85" t="str">
        <f aca="false">IF(ISBLANK($C222),"",IF(ISBLANK(F222),0,F222))</f>
        <v/>
      </c>
      <c r="O222" s="86" t="e">
        <f aca="false">IF(AND(NOT(ISBLANK($C222)),NOT($T222),COUNTA($E222:$K222)&gt;0),ISBLANK($F222),FALSE())</f>
        <v>#VALUE!</v>
      </c>
      <c r="P222" s="85" t="str">
        <f aca="false">IF(ISBLANK($C222),"",IF(G222=Constants!$B$9, TRUE(), IF(G222=Constants!$B$10, FALSE(), TRUE())))</f>
        <v/>
      </c>
      <c r="Q222" s="85" t="str">
        <f aca="false">IF(ISBLANK($C222),"",IF(H222=Constants!$B$9, TRUE(), IF(H222=Constants!$B$10, FALSE(), TRUE())))</f>
        <v/>
      </c>
      <c r="R222" s="85" t="str">
        <f aca="false">IF(ISBLANK($C222),"",IF(ISBLANK(I222),Constants!$B$3,I222))</f>
        <v/>
      </c>
      <c r="S222" s="85" t="str">
        <f aca="false">IF(ISBLANK($C222),"",IF(ISBLANK(J222),0,MIN(J222,Constants!$B$6)))</f>
        <v/>
      </c>
      <c r="T222" s="85" t="str">
        <f aca="false">IF(ISBLANK($C222),"",IF(K222=Constants!$B$9, TRUE(), IF(K222=Constants!$B$10, FALSE(),  FALSE())))</f>
        <v/>
      </c>
      <c r="U222" s="85" t="str">
        <f aca="false">IF(ISBLANK($C222),"",AND(R222=Constants!$B$4, S222&lt;Constants!$B$6))</f>
        <v/>
      </c>
      <c r="V222" s="85" t="str">
        <f aca="false">IF(ISBLANK(C222), "", IF(T222, Constants!$B$11, IF(COUNTA(E222:K222)=0, Constants!$B$12, IF(NOT(AND(P222,S222&lt;&gt;0)), Constants!$B$13, IF(O222, Constants!$B$15, Constants!$B$14)))))</f>
        <v/>
      </c>
      <c r="W222" s="85" t="str">
        <f aca="false">IF(OR(ISBLANK($C222), SUMPRODUCT(--(P222:T222&lt;&gt;""))=0), "", IF(V222&lt;&gt;Constants!$B$14, V222, IF(AND(NOT(ISBLANK(J222)),P222,Q222,R222&lt;&gt;Constants!$B$2), Constants!$B$7, IF(AND(P222,OR(NOT(Q222),R222=Constants!$B$2)), Constants!$B$8, "Error"))))</f>
        <v/>
      </c>
      <c r="X222" s="87" t="str">
        <f aca="false">IF(OR(W222=Constants!$B$7,W222=Constants!$B$8), MAX(0, MIN(Constants!$B$6, S222))+IF(AND(R222=Constants!$B$4, NOT(U222)), Constants!$B$5, 0), "")</f>
        <v/>
      </c>
      <c r="Y222" s="85" t="str">
        <f aca="false">IF(ISBLANK($C222),"",IF(AND(ISNUMBER(X222),N222&gt;0),X222/N222, "") )</f>
        <v/>
      </c>
      <c r="Z222" s="85" t="str">
        <f aca="false">IF(AND(NOT(ISBLANK($C222)), W222=Constants!$B$7), Y222, "")</f>
        <v/>
      </c>
      <c r="AA222" s="85" t="str">
        <f aca="false">IF(ISNUMBER(Z222), RANK(Z222,Z$8:Z$507), "")</f>
        <v/>
      </c>
      <c r="AB222" s="85" t="str">
        <f aca="false">IF(AND(NOT(ISBLANK($C222)), W222=Constants!$B$8), Y222, "")</f>
        <v/>
      </c>
      <c r="AC222" s="85" t="str">
        <f aca="false">IF(ISNUMBER(AB222), RANK(AB222,AB$8:AB$507), "")</f>
        <v/>
      </c>
      <c r="AD222" s="85" t="str">
        <f aca="false">IF(ISBLANK($C222),"",IF(V222&lt;&gt;Constants!$B$14, V222, IF(W222=Constants!$B$7, AA222, IF(W222=Constants!$B$8, COUNT($AA$8:$AA$507) + AC222, ""))))</f>
        <v/>
      </c>
      <c r="AE222" s="85" t="str">
        <f aca="false">N222</f>
        <v/>
      </c>
      <c r="AF222" s="85" t="str">
        <f aca="false">IF(ISNUMBER(AE222), RANK(AE222,AE$8:AE$507,1), "")</f>
        <v/>
      </c>
      <c r="AG222" s="88" t="str">
        <f aca="false">IF(ISBLANK(C222), "", ABS(M222-S222))</f>
        <v/>
      </c>
      <c r="AH222" s="85" t="str">
        <f aca="false">IF(ISNUMBER(AG222), RANK(AG222,AG$8:AG$507,1), "")</f>
        <v/>
      </c>
      <c r="AI222" s="85" t="str">
        <f aca="false">IF(ISBLANK(C222),"",IF(V222&lt;&gt;Constants!$B$14, V222, RANK(AD222, AD$8:AD$507, 1)+ SUMPRODUCT(--(AD$8:AD$507=AD222),--(AF222&gt;AF$8:AF$507)) + SUMPRODUCT(--(AD$8:AD$507=AD222),--(AF222=AF$8:AF$507),--(AH222&gt;AH$8:AH$507))))</f>
        <v/>
      </c>
      <c r="AJ222" s="85" t="str">
        <f aca="false">IF(ISBLANK(C222),"",IF(V222&lt;&gt;Constants!$B$14, V222, AD222-AI222))</f>
        <v/>
      </c>
      <c r="AK222" s="89"/>
      <c r="AL222" s="90" t="str">
        <f aca="false">IF(ISBLANK($C222),"",IF($V222&lt;&gt;Constants!$B$14,$V222,X222))</f>
        <v/>
      </c>
      <c r="AM222" s="90" t="str">
        <f aca="false">IF(ISBLANK($C222),"",IF($V222&lt;&gt;Constants!$B$14,$V222,N222))</f>
        <v/>
      </c>
      <c r="AN222" s="91" t="str">
        <f aca="false">IF(ISBLANK(C222),"",IF(V222&lt;&gt;Constants!$B$14, V222, IF(W222=Constants!$B$7,Z222,IF(W222=Constants!$B$8,AB222,""))))</f>
        <v/>
      </c>
      <c r="AO222" s="92" t="str">
        <f aca="false">IF(ISBLANK(C222),"",W222)</f>
        <v/>
      </c>
      <c r="AP222" s="92" t="str">
        <f aca="false">IF(ISBLANK(C222),"",AJ222)</f>
        <v/>
      </c>
      <c r="AQ222" s="92" t="str">
        <f aca="false">IF(ISBLANK(C222),"",AI222)</f>
        <v/>
      </c>
      <c r="AR222" s="93" t="str">
        <f aca="false">IF(ISBLANK(C222),
  "",
IF(AQ222=Constants!$B$11,COUNTA($C$8:$C$507)+2,IF(AQ222=Constants!$B$12,COUNTA($C$8:$C$507)+1,IF(AQ222=Constants!$B$13,COUNTA($C$8:$C$507),AQ222))))</f>
        <v/>
      </c>
      <c r="AS222" s="3"/>
      <c r="AT222" s="94" t="n">
        <f aca="false">IF(OR(ISNUMBER(AQ222),AQ222="DQ",AQ222="P",AQ222="NS"),
    1,
    0
)</f>
        <v>0</v>
      </c>
      <c r="AU222" s="94" t="n">
        <v>215</v>
      </c>
      <c r="AV222" s="94" t="str">
        <f aca="false">IF(ISBLANK($C222),
    "",
   IF(ISNUMBER(AR222),AR222+ROW($B222)/1000,"")
)</f>
        <v/>
      </c>
      <c r="AW222" s="94" t="str">
        <f aca="false">IF(ISNUMBER(AV222), RANK(AV222,AV$8:AV$507,1), "")</f>
        <v/>
      </c>
      <c r="AX222" s="94" t="str">
        <f aca="false">IF(ISBLANK($C222),
    "",
    $B222
)</f>
        <v/>
      </c>
      <c r="AY222" s="94" t="str">
        <f aca="false">IF(ISBLANK($C222),
    "",
    $C222
)</f>
        <v/>
      </c>
      <c r="AZ222" s="94" t="str">
        <f aca="false">IF(ISBLANK($C222),
    "",
    $D222
)</f>
        <v/>
      </c>
      <c r="BA222" s="94" t="str">
        <f aca="false">AO222</f>
        <v/>
      </c>
      <c r="BB222" s="95" t="str">
        <f aca="false">AN222</f>
        <v/>
      </c>
      <c r="BC222" s="94" t="str">
        <f aca="false">IF(ISBLANK($C222),
    "",
    AQ222
)</f>
        <v/>
      </c>
      <c r="BD222" s="96" t="str">
        <f aca="false">IF(AU222&gt;AT$7,
    "",
    VLOOKUP(AU222,AW$8:BC$507,7,FALSE())
)</f>
        <v/>
      </c>
      <c r="BE222" s="97" t="str">
        <f aca="false">IF(AU222&gt;AT$7,
    "",
    VLOOKUP(AU222,AW$8:BC$507,2,FALSE())
)</f>
        <v/>
      </c>
      <c r="BF222" s="97" t="str">
        <f aca="false">IF(AU222&gt;AT$7,
    "",
    VLOOKUP(AU222,AW$8:BC$507,3,FALSE())
)</f>
        <v/>
      </c>
      <c r="BG222" s="97" t="str">
        <f aca="false">IF(AU222&gt;AT$7,
    "",
    VLOOKUP(AU222,AW$8:BC$507,4,FALSE())
)</f>
        <v/>
      </c>
      <c r="BH222" s="97" t="str">
        <f aca="false">IF(AU222&gt;AT$7,
    "",
    VLOOKUP(AU222,AW$8:BC$507,5,FALSE())
)</f>
        <v/>
      </c>
      <c r="BI222" s="98" t="str">
        <f aca="false">IF(AU222&gt;AT$7,
    "",
    VLOOKUP(AU222,AW$8:BC$507,6,FALSE())
)</f>
        <v/>
      </c>
      <c r="BJ222" s="46"/>
    </row>
    <row r="223" customFormat="false" ht="15.75" hidden="false" customHeight="false" outlineLevel="0" collapsed="false">
      <c r="A223" s="3"/>
      <c r="B223" s="105"/>
      <c r="C223" s="106"/>
      <c r="D223" s="99"/>
      <c r="E223" s="110"/>
      <c r="F223" s="107"/>
      <c r="G223" s="110"/>
      <c r="H223" s="103"/>
      <c r="I223" s="102"/>
      <c r="J223" s="103"/>
      <c r="K223" s="103"/>
      <c r="L223" s="85"/>
      <c r="M223" s="85" t="str">
        <f aca="false">IF(ISBLANK($C223),"",IF(ISBLANK(E223),0,E223))</f>
        <v/>
      </c>
      <c r="N223" s="85" t="str">
        <f aca="false">IF(ISBLANK($C223),"",IF(ISBLANK(F223),0,F223))</f>
        <v/>
      </c>
      <c r="O223" s="86" t="e">
        <f aca="false">IF(AND(NOT(ISBLANK($C223)),NOT($T223),COUNTA($E223:$K223)&gt;0),ISBLANK($F223),FALSE())</f>
        <v>#VALUE!</v>
      </c>
      <c r="P223" s="85" t="str">
        <f aca="false">IF(ISBLANK($C223),"",IF(G223=Constants!$B$9, TRUE(), IF(G223=Constants!$B$10, FALSE(), TRUE())))</f>
        <v/>
      </c>
      <c r="Q223" s="85" t="str">
        <f aca="false">IF(ISBLANK($C223),"",IF(H223=Constants!$B$9, TRUE(), IF(H223=Constants!$B$10, FALSE(), TRUE())))</f>
        <v/>
      </c>
      <c r="R223" s="85" t="str">
        <f aca="false">IF(ISBLANK($C223),"",IF(ISBLANK(I223),Constants!$B$3,I223))</f>
        <v/>
      </c>
      <c r="S223" s="85" t="str">
        <f aca="false">IF(ISBLANK($C223),"",IF(ISBLANK(J223),0,MIN(J223,Constants!$B$6)))</f>
        <v/>
      </c>
      <c r="T223" s="85" t="str">
        <f aca="false">IF(ISBLANK($C223),"",IF(K223=Constants!$B$9, TRUE(), IF(K223=Constants!$B$10, FALSE(),  FALSE())))</f>
        <v/>
      </c>
      <c r="U223" s="85" t="str">
        <f aca="false">IF(ISBLANK($C223),"",AND(R223=Constants!$B$4, S223&lt;Constants!$B$6))</f>
        <v/>
      </c>
      <c r="V223" s="85" t="str">
        <f aca="false">IF(ISBLANK(C223), "", IF(T223, Constants!$B$11, IF(COUNTA(E223:K223)=0, Constants!$B$12, IF(NOT(AND(P223,S223&lt;&gt;0)), Constants!$B$13, IF(O223, Constants!$B$15, Constants!$B$14)))))</f>
        <v/>
      </c>
      <c r="W223" s="85" t="str">
        <f aca="false">IF(OR(ISBLANK($C223), SUMPRODUCT(--(P223:T223&lt;&gt;""))=0), "", IF(V223&lt;&gt;Constants!$B$14, V223, IF(AND(NOT(ISBLANK(J223)),P223,Q223,R223&lt;&gt;Constants!$B$2), Constants!$B$7, IF(AND(P223,OR(NOT(Q223),R223=Constants!$B$2)), Constants!$B$8, "Error"))))</f>
        <v/>
      </c>
      <c r="X223" s="87" t="str">
        <f aca="false">IF(OR(W223=Constants!$B$7,W223=Constants!$B$8), MAX(0, MIN(Constants!$B$6, S223))+IF(AND(R223=Constants!$B$4, NOT(U223)), Constants!$B$5, 0), "")</f>
        <v/>
      </c>
      <c r="Y223" s="85" t="str">
        <f aca="false">IF(ISBLANK($C223),"",IF(AND(ISNUMBER(X223),N223&gt;0),X223/N223, "") )</f>
        <v/>
      </c>
      <c r="Z223" s="85" t="str">
        <f aca="false">IF(AND(NOT(ISBLANK($C223)), W223=Constants!$B$7), Y223, "")</f>
        <v/>
      </c>
      <c r="AA223" s="85" t="str">
        <f aca="false">IF(ISNUMBER(Z223), RANK(Z223,Z$8:Z$507), "")</f>
        <v/>
      </c>
      <c r="AB223" s="85" t="str">
        <f aca="false">IF(AND(NOT(ISBLANK($C223)), W223=Constants!$B$8), Y223, "")</f>
        <v/>
      </c>
      <c r="AC223" s="85" t="str">
        <f aca="false">IF(ISNUMBER(AB223), RANK(AB223,AB$8:AB$507), "")</f>
        <v/>
      </c>
      <c r="AD223" s="85" t="str">
        <f aca="false">IF(ISBLANK($C223),"",IF(V223&lt;&gt;Constants!$B$14, V223, IF(W223=Constants!$B$7, AA223, IF(W223=Constants!$B$8, COUNT($AA$8:$AA$507) + AC223, ""))))</f>
        <v/>
      </c>
      <c r="AE223" s="85" t="str">
        <f aca="false">N223</f>
        <v/>
      </c>
      <c r="AF223" s="85" t="str">
        <f aca="false">IF(ISNUMBER(AE223), RANK(AE223,AE$8:AE$507,1), "")</f>
        <v/>
      </c>
      <c r="AG223" s="88" t="str">
        <f aca="false">IF(ISBLANK(C223), "", ABS(M223-S223))</f>
        <v/>
      </c>
      <c r="AH223" s="85" t="str">
        <f aca="false">IF(ISNUMBER(AG223), RANK(AG223,AG$8:AG$507,1), "")</f>
        <v/>
      </c>
      <c r="AI223" s="85" t="str">
        <f aca="false">IF(ISBLANK(C223),"",IF(V223&lt;&gt;Constants!$B$14, V223, RANK(AD223, AD$8:AD$507, 1)+ SUMPRODUCT(--(AD$8:AD$507=AD223),--(AF223&gt;AF$8:AF$507)) + SUMPRODUCT(--(AD$8:AD$507=AD223),--(AF223=AF$8:AF$507),--(AH223&gt;AH$8:AH$507))))</f>
        <v/>
      </c>
      <c r="AJ223" s="85" t="str">
        <f aca="false">IF(ISBLANK(C223),"",IF(V223&lt;&gt;Constants!$B$14, V223, AD223-AI223))</f>
        <v/>
      </c>
      <c r="AK223" s="89"/>
      <c r="AL223" s="90" t="str">
        <f aca="false">IF(ISBLANK($C223),"",IF($V223&lt;&gt;Constants!$B$14,$V223,X223))</f>
        <v/>
      </c>
      <c r="AM223" s="90" t="str">
        <f aca="false">IF(ISBLANK($C223),"",IF($V223&lt;&gt;Constants!$B$14,$V223,N223))</f>
        <v/>
      </c>
      <c r="AN223" s="91" t="str">
        <f aca="false">IF(ISBLANK(C223),"",IF(V223&lt;&gt;Constants!$B$14, V223, IF(W223=Constants!$B$7,Z223,IF(W223=Constants!$B$8,AB223,""))))</f>
        <v/>
      </c>
      <c r="AO223" s="92" t="str">
        <f aca="false">IF(ISBLANK(C223),"",W223)</f>
        <v/>
      </c>
      <c r="AP223" s="92" t="str">
        <f aca="false">IF(ISBLANK(C223),"",AJ223)</f>
        <v/>
      </c>
      <c r="AQ223" s="92" t="str">
        <f aca="false">IF(ISBLANK(C223),"",AI223)</f>
        <v/>
      </c>
      <c r="AR223" s="93" t="str">
        <f aca="false">IF(ISBLANK(C223),
  "",
IF(AQ223=Constants!$B$11,COUNTA($C$8:$C$507)+2,IF(AQ223=Constants!$B$12,COUNTA($C$8:$C$507)+1,IF(AQ223=Constants!$B$13,COUNTA($C$8:$C$507),AQ223))))</f>
        <v/>
      </c>
      <c r="AS223" s="3"/>
      <c r="AT223" s="94" t="n">
        <f aca="false">IF(OR(ISNUMBER(AQ223),AQ223="DQ",AQ223="P",AQ223="NS"),
    1,
    0
)</f>
        <v>0</v>
      </c>
      <c r="AU223" s="94" t="n">
        <v>216</v>
      </c>
      <c r="AV223" s="94" t="str">
        <f aca="false">IF(ISBLANK($C223),
    "",
   IF(ISNUMBER(AR223),AR223+ROW($B223)/1000,"")
)</f>
        <v/>
      </c>
      <c r="AW223" s="94" t="str">
        <f aca="false">IF(ISNUMBER(AV223), RANK(AV223,AV$8:AV$507,1), "")</f>
        <v/>
      </c>
      <c r="AX223" s="94" t="str">
        <f aca="false">IF(ISBLANK($C223),
    "",
    $B223
)</f>
        <v/>
      </c>
      <c r="AY223" s="94" t="str">
        <f aca="false">IF(ISBLANK($C223),
    "",
    $C223
)</f>
        <v/>
      </c>
      <c r="AZ223" s="94" t="str">
        <f aca="false">IF(ISBLANK($C223),
    "",
    $D223
)</f>
        <v/>
      </c>
      <c r="BA223" s="94" t="str">
        <f aca="false">AO223</f>
        <v/>
      </c>
      <c r="BB223" s="95" t="str">
        <f aca="false">AN223</f>
        <v/>
      </c>
      <c r="BC223" s="94" t="str">
        <f aca="false">IF(ISBLANK($C223),
    "",
    AQ223
)</f>
        <v/>
      </c>
      <c r="BD223" s="96" t="str">
        <f aca="false">IF(AU223&gt;AT$7,
    "",
    VLOOKUP(AU223,AW$8:BC$507,7,FALSE())
)</f>
        <v/>
      </c>
      <c r="BE223" s="97" t="str">
        <f aca="false">IF(AU223&gt;AT$7,
    "",
    VLOOKUP(AU223,AW$8:BC$507,2,FALSE())
)</f>
        <v/>
      </c>
      <c r="BF223" s="97" t="str">
        <f aca="false">IF(AU223&gt;AT$7,
    "",
    VLOOKUP(AU223,AW$8:BC$507,3,FALSE())
)</f>
        <v/>
      </c>
      <c r="BG223" s="97" t="str">
        <f aca="false">IF(AU223&gt;AT$7,
    "",
    VLOOKUP(AU223,AW$8:BC$507,4,FALSE())
)</f>
        <v/>
      </c>
      <c r="BH223" s="97" t="str">
        <f aca="false">IF(AU223&gt;AT$7,
    "",
    VLOOKUP(AU223,AW$8:BC$507,5,FALSE())
)</f>
        <v/>
      </c>
      <c r="BI223" s="98" t="str">
        <f aca="false">IF(AU223&gt;AT$7,
    "",
    VLOOKUP(AU223,AW$8:BC$507,6,FALSE())
)</f>
        <v/>
      </c>
      <c r="BJ223" s="46"/>
    </row>
    <row r="224" customFormat="false" ht="15.75" hidden="false" customHeight="false" outlineLevel="0" collapsed="false">
      <c r="A224" s="3"/>
      <c r="B224" s="108"/>
      <c r="C224" s="70"/>
      <c r="D224" s="49"/>
      <c r="E224" s="109"/>
      <c r="F224" s="72"/>
      <c r="G224" s="109"/>
      <c r="H224" s="74"/>
      <c r="I224" s="104"/>
      <c r="J224" s="74"/>
      <c r="K224" s="74"/>
      <c r="L224" s="55"/>
      <c r="M224" s="55" t="str">
        <f aca="false">IF(ISBLANK($C224),"",IF(ISBLANK(E224),0,E224))</f>
        <v/>
      </c>
      <c r="N224" s="55" t="str">
        <f aca="false">IF(ISBLANK($C224),"",IF(ISBLANK(F224),0,F224))</f>
        <v/>
      </c>
      <c r="O224" s="55" t="e">
        <f aca="false">IF(AND(NOT(ISBLANK($C224)),NOT($T224),COUNTA($E224:$K224)&gt;0),ISBLANK($F224),FALSE())</f>
        <v>#VALUE!</v>
      </c>
      <c r="P224" s="55" t="str">
        <f aca="false">IF(ISBLANK($C224),"",IF(G224=Constants!$B$9, TRUE(), IF(G224=Constants!$B$10, FALSE(), TRUE())))</f>
        <v/>
      </c>
      <c r="Q224" s="55" t="str">
        <f aca="false">IF(ISBLANK($C224),"",IF(H224=Constants!$B$9, TRUE(), IF(H224=Constants!$B$10, FALSE(), TRUE())))</f>
        <v/>
      </c>
      <c r="R224" s="55" t="str">
        <f aca="false">IF(ISBLANK($C224),"",IF(ISBLANK(I224),Constants!$B$3,I224))</f>
        <v/>
      </c>
      <c r="S224" s="55" t="str">
        <f aca="false">IF(ISBLANK($C224),"",IF(ISBLANK(J224),0,MIN(J224,Constants!$B$6)))</f>
        <v/>
      </c>
      <c r="T224" s="55" t="str">
        <f aca="false">IF(ISBLANK($C224),"",IF(K224=Constants!$B$9, TRUE(), IF(K224=Constants!$B$10, FALSE(),  FALSE())))</f>
        <v/>
      </c>
      <c r="U224" s="55" t="str">
        <f aca="false">IF(ISBLANK($C224),"",AND(R224=Constants!$B$4, S224&lt;Constants!$B$6))</f>
        <v/>
      </c>
      <c r="V224" s="55" t="str">
        <f aca="false">IF(ISBLANK(C224), "", IF(T224, Constants!$B$11, IF(COUNTA(E224:K224)=0, Constants!$B$12, IF(NOT(AND(P224,S224&lt;&gt;0)), Constants!$B$13, IF(O224, Constants!$B$15, Constants!$B$14)))))</f>
        <v/>
      </c>
      <c r="W224" s="55" t="str">
        <f aca="false">IF(OR(ISBLANK($C224), SUMPRODUCT(--(P224:T224&lt;&gt;""))=0), "", IF(V224&lt;&gt;Constants!$B$14, V224, IF(AND(NOT(ISBLANK(J224)),P224,Q224,R224&lt;&gt;Constants!$B$2), Constants!$B$7, IF(AND(P224,OR(NOT(Q224),R224=Constants!$B$2)), Constants!$B$8, "Error"))))</f>
        <v/>
      </c>
      <c r="X224" s="56" t="str">
        <f aca="false">IF(OR(W224=Constants!$B$7,W224=Constants!$B$8), MAX(0, MIN(Constants!$B$6, S224))+IF(AND(R224=Constants!$B$4, NOT(U224)), Constants!$B$5, 0), "")</f>
        <v/>
      </c>
      <c r="Y224" s="55" t="str">
        <f aca="false">IF(ISBLANK($C224),"",IF(AND(ISNUMBER(X224),N224&gt;0),X224/N224, "") )</f>
        <v/>
      </c>
      <c r="Z224" s="55" t="str">
        <f aca="false">IF(AND(NOT(ISBLANK($C224)), W224=Constants!$B$7), Y224, "")</f>
        <v/>
      </c>
      <c r="AA224" s="55" t="str">
        <f aca="false">IF(ISNUMBER(Z224), RANK(Z224,Z$8:Z$507), "")</f>
        <v/>
      </c>
      <c r="AB224" s="55" t="str">
        <f aca="false">IF(AND(NOT(ISBLANK($C224)), W224=Constants!$B$8), Y224, "")</f>
        <v/>
      </c>
      <c r="AC224" s="55" t="str">
        <f aca="false">IF(ISNUMBER(AB224), RANK(AB224,AB$8:AB$507), "")</f>
        <v/>
      </c>
      <c r="AD224" s="55" t="str">
        <f aca="false">IF(ISBLANK($C224),"",IF(V224&lt;&gt;Constants!$B$14, V224, IF(W224=Constants!$B$7, AA224, IF(W224=Constants!$B$8, COUNT($AA$8:$AA$507) + AC224, ""))))</f>
        <v/>
      </c>
      <c r="AE224" s="55" t="str">
        <f aca="false">N224</f>
        <v/>
      </c>
      <c r="AF224" s="55" t="str">
        <f aca="false">IF(ISNUMBER(AE224), RANK(AE224,AE$8:AE$507,1), "")</f>
        <v/>
      </c>
      <c r="AG224" s="57" t="str">
        <f aca="false">IF(ISBLANK(C224), "", ABS(M224-S224))</f>
        <v/>
      </c>
      <c r="AH224" s="55" t="str">
        <f aca="false">IF(ISNUMBER(AG224), RANK(AG224,AG$8:AG$507,1), "")</f>
        <v/>
      </c>
      <c r="AI224" s="55" t="str">
        <f aca="false">IF(ISBLANK(C224),"",IF(V224&lt;&gt;Constants!$B$14, V224, RANK(AD224, AD$8:AD$507, 1)+ SUMPRODUCT(--(AD$8:AD$507=AD224),--(AF224&gt;AF$8:AF$507)) + SUMPRODUCT(--(AD$8:AD$507=AD224),--(AF224=AF$8:AF$507),--(AH224&gt;AH$8:AH$507))))</f>
        <v/>
      </c>
      <c r="AJ224" s="55" t="str">
        <f aca="false">IF(ISBLANK(C224),"",IF(V224&lt;&gt;Constants!$B$14, V224, AD224-AI224))</f>
        <v/>
      </c>
      <c r="AK224" s="59"/>
      <c r="AL224" s="60" t="str">
        <f aca="false">IF(ISBLANK($C224),"",IF($V224&lt;&gt;Constants!$B$14,$V224,X224))</f>
        <v/>
      </c>
      <c r="AM224" s="60" t="str">
        <f aca="false">IF(ISBLANK($C224),"",IF($V224&lt;&gt;Constants!$B$14,$V224,N224))</f>
        <v/>
      </c>
      <c r="AN224" s="62" t="str">
        <f aca="false">IF(ISBLANK(C224),"",IF(V224&lt;&gt;Constants!$B$14, V224, IF(W224=Constants!$B$7,Z224,IF(W224=Constants!$B$8,AB224,""))))</f>
        <v/>
      </c>
      <c r="AO224" s="63" t="str">
        <f aca="false">IF(ISBLANK(C224),"",W224)</f>
        <v/>
      </c>
      <c r="AP224" s="63" t="str">
        <f aca="false">IF(ISBLANK(C224),"",AJ224)</f>
        <v/>
      </c>
      <c r="AQ224" s="63" t="str">
        <f aca="false">IF(ISBLANK(C224),"",AI224)</f>
        <v/>
      </c>
      <c r="AR224" s="64" t="str">
        <f aca="false">IF(ISBLANK(C224),
  "",
IF(AQ224=Constants!$B$11,COUNTA($C$8:$C$507)+2,IF(AQ224=Constants!$B$12,COUNTA($C$8:$C$507)+1,IF(AQ224=Constants!$B$13,COUNTA($C$8:$C$507),AQ224))))</f>
        <v/>
      </c>
      <c r="AS224" s="3"/>
      <c r="AT224" s="65" t="n">
        <f aca="false">IF(OR(ISNUMBER(AQ224),AQ224="DQ",AQ224="P",AQ224="NS"),
    1,
    0
)</f>
        <v>0</v>
      </c>
      <c r="AU224" s="65" t="n">
        <v>217</v>
      </c>
      <c r="AV224" s="65" t="str">
        <f aca="false">IF(ISBLANK($C224),
    "",
   IF(ISNUMBER(AR224),AR224+ROW($B224)/1000,"")
)</f>
        <v/>
      </c>
      <c r="AW224" s="65" t="str">
        <f aca="false">IF(ISNUMBER(AV224), RANK(AV224,AV$8:AV$507,1), "")</f>
        <v/>
      </c>
      <c r="AX224" s="65" t="str">
        <f aca="false">IF(ISBLANK($C224),
    "",
    $B224
)</f>
        <v/>
      </c>
      <c r="AY224" s="65" t="str">
        <f aca="false">IF(ISBLANK($C224),
    "",
    $C224
)</f>
        <v/>
      </c>
      <c r="AZ224" s="65" t="str">
        <f aca="false">IF(ISBLANK($C224),
    "",
    $D224
)</f>
        <v/>
      </c>
      <c r="BA224" s="65" t="str">
        <f aca="false">AO224</f>
        <v/>
      </c>
      <c r="BB224" s="66" t="str">
        <f aca="false">AN224</f>
        <v/>
      </c>
      <c r="BC224" s="65" t="str">
        <f aca="false">IF(ISBLANK($C224),
    "",
    AQ224
)</f>
        <v/>
      </c>
      <c r="BD224" s="67" t="str">
        <f aca="false">IF(AU224&gt;AT$7,
    "",
    VLOOKUP(AU224,AW$8:BC$507,7,FALSE())
)</f>
        <v/>
      </c>
      <c r="BE224" s="68" t="str">
        <f aca="false">IF(AU224&gt;AT$7,
    "",
    VLOOKUP(AU224,AW$8:BC$507,2,FALSE())
)</f>
        <v/>
      </c>
      <c r="BF224" s="68" t="str">
        <f aca="false">IF(AU224&gt;AT$7,
    "",
    VLOOKUP(AU224,AW$8:BC$507,3,FALSE())
)</f>
        <v/>
      </c>
      <c r="BG224" s="68" t="str">
        <f aca="false">IF(AU224&gt;AT$7,
    "",
    VLOOKUP(AU224,AW$8:BC$507,4,FALSE())
)</f>
        <v/>
      </c>
      <c r="BH224" s="68" t="str">
        <f aca="false">IF(AU224&gt;AT$7,
    "",
    VLOOKUP(AU224,AW$8:BC$507,5,FALSE())
)</f>
        <v/>
      </c>
      <c r="BI224" s="69" t="str">
        <f aca="false">IF(AU224&gt;AT$7,
    "",
    VLOOKUP(AU224,AW$8:BC$507,6,FALSE())
)</f>
        <v/>
      </c>
      <c r="BJ224" s="46"/>
    </row>
    <row r="225" customFormat="false" ht="15.75" hidden="false" customHeight="false" outlineLevel="0" collapsed="false">
      <c r="A225" s="3"/>
      <c r="B225" s="108"/>
      <c r="C225" s="70"/>
      <c r="D225" s="49"/>
      <c r="E225" s="109"/>
      <c r="F225" s="72"/>
      <c r="G225" s="109"/>
      <c r="H225" s="74"/>
      <c r="I225" s="104"/>
      <c r="J225" s="74"/>
      <c r="K225" s="74"/>
      <c r="L225" s="55"/>
      <c r="M225" s="55" t="str">
        <f aca="false">IF(ISBLANK($C225),"",IF(ISBLANK(E225),0,E225))</f>
        <v/>
      </c>
      <c r="N225" s="55" t="str">
        <f aca="false">IF(ISBLANK($C225),"",IF(ISBLANK(F225),0,F225))</f>
        <v/>
      </c>
      <c r="O225" s="55" t="e">
        <f aca="false">IF(AND(NOT(ISBLANK($C225)),NOT($T225),COUNTA($E225:$K225)&gt;0),ISBLANK($F225),FALSE())</f>
        <v>#VALUE!</v>
      </c>
      <c r="P225" s="55" t="str">
        <f aca="false">IF(ISBLANK($C225),"",IF(G225=Constants!$B$9, TRUE(), IF(G225=Constants!$B$10, FALSE(), TRUE())))</f>
        <v/>
      </c>
      <c r="Q225" s="55" t="str">
        <f aca="false">IF(ISBLANK($C225),"",IF(H225=Constants!$B$9, TRUE(), IF(H225=Constants!$B$10, FALSE(), TRUE())))</f>
        <v/>
      </c>
      <c r="R225" s="55" t="str">
        <f aca="false">IF(ISBLANK($C225),"",IF(ISBLANK(I225),Constants!$B$3,I225))</f>
        <v/>
      </c>
      <c r="S225" s="55" t="str">
        <f aca="false">IF(ISBLANK($C225),"",IF(ISBLANK(J225),0,MIN(J225,Constants!$B$6)))</f>
        <v/>
      </c>
      <c r="T225" s="55" t="str">
        <f aca="false">IF(ISBLANK($C225),"",IF(K225=Constants!$B$9, TRUE(), IF(K225=Constants!$B$10, FALSE(),  FALSE())))</f>
        <v/>
      </c>
      <c r="U225" s="55" t="str">
        <f aca="false">IF(ISBLANK($C225),"",AND(R225=Constants!$B$4, S225&lt;Constants!$B$6))</f>
        <v/>
      </c>
      <c r="V225" s="55" t="str">
        <f aca="false">IF(ISBLANK(C225), "", IF(T225, Constants!$B$11, IF(COUNTA(E225:K225)=0, Constants!$B$12, IF(NOT(AND(P225,S225&lt;&gt;0)), Constants!$B$13, IF(O225, Constants!$B$15, Constants!$B$14)))))</f>
        <v/>
      </c>
      <c r="W225" s="55" t="str">
        <f aca="false">IF(OR(ISBLANK($C225), SUMPRODUCT(--(P225:T225&lt;&gt;""))=0), "", IF(V225&lt;&gt;Constants!$B$14, V225, IF(AND(NOT(ISBLANK(J225)),P225,Q225,R225&lt;&gt;Constants!$B$2), Constants!$B$7, IF(AND(P225,OR(NOT(Q225),R225=Constants!$B$2)), Constants!$B$8, "Error"))))</f>
        <v/>
      </c>
      <c r="X225" s="56" t="str">
        <f aca="false">IF(OR(W225=Constants!$B$7,W225=Constants!$B$8), MAX(0, MIN(Constants!$B$6, S225))+IF(AND(R225=Constants!$B$4, NOT(U225)), Constants!$B$5, 0), "")</f>
        <v/>
      </c>
      <c r="Y225" s="55" t="str">
        <f aca="false">IF(ISBLANK($C225),"",IF(AND(ISNUMBER(X225),N225&gt;0),X225/N225, "") )</f>
        <v/>
      </c>
      <c r="Z225" s="55" t="str">
        <f aca="false">IF(AND(NOT(ISBLANK($C225)), W225=Constants!$B$7), Y225, "")</f>
        <v/>
      </c>
      <c r="AA225" s="55" t="str">
        <f aca="false">IF(ISNUMBER(Z225), RANK(Z225,Z$8:Z$507), "")</f>
        <v/>
      </c>
      <c r="AB225" s="55" t="str">
        <f aca="false">IF(AND(NOT(ISBLANK($C225)), W225=Constants!$B$8), Y225, "")</f>
        <v/>
      </c>
      <c r="AC225" s="55" t="str">
        <f aca="false">IF(ISNUMBER(AB225), RANK(AB225,AB$8:AB$507), "")</f>
        <v/>
      </c>
      <c r="AD225" s="55" t="str">
        <f aca="false">IF(ISBLANK($C225),"",IF(V225&lt;&gt;Constants!$B$14, V225, IF(W225=Constants!$B$7, AA225, IF(W225=Constants!$B$8, COUNT($AA$8:$AA$507) + AC225, ""))))</f>
        <v/>
      </c>
      <c r="AE225" s="55" t="str">
        <f aca="false">N225</f>
        <v/>
      </c>
      <c r="AF225" s="55" t="str">
        <f aca="false">IF(ISNUMBER(AE225), RANK(AE225,AE$8:AE$507,1), "")</f>
        <v/>
      </c>
      <c r="AG225" s="57" t="str">
        <f aca="false">IF(ISBLANK(C225), "", ABS(M225-S225))</f>
        <v/>
      </c>
      <c r="AH225" s="55" t="str">
        <f aca="false">IF(ISNUMBER(AG225), RANK(AG225,AG$8:AG$507,1), "")</f>
        <v/>
      </c>
      <c r="AI225" s="55" t="str">
        <f aca="false">IF(ISBLANK(C225),"",IF(V225&lt;&gt;Constants!$B$14, V225, RANK(AD225, AD$8:AD$507, 1)+ SUMPRODUCT(--(AD$8:AD$507=AD225),--(AF225&gt;AF$8:AF$507)) + SUMPRODUCT(--(AD$8:AD$507=AD225),--(AF225=AF$8:AF$507),--(AH225&gt;AH$8:AH$507))))</f>
        <v/>
      </c>
      <c r="AJ225" s="55" t="str">
        <f aca="false">IF(ISBLANK(C225),"",IF(V225&lt;&gt;Constants!$B$14, V225, AD225-AI225))</f>
        <v/>
      </c>
      <c r="AK225" s="59"/>
      <c r="AL225" s="60" t="str">
        <f aca="false">IF(ISBLANK($C225),"",IF($V225&lt;&gt;Constants!$B$14,$V225,X225))</f>
        <v/>
      </c>
      <c r="AM225" s="60" t="str">
        <f aca="false">IF(ISBLANK($C225),"",IF($V225&lt;&gt;Constants!$B$14,$V225,N225))</f>
        <v/>
      </c>
      <c r="AN225" s="62" t="str">
        <f aca="false">IF(ISBLANK(C225),"",IF(V225&lt;&gt;Constants!$B$14, V225, IF(W225=Constants!$B$7,Z225,IF(W225=Constants!$B$8,AB225,""))))</f>
        <v/>
      </c>
      <c r="AO225" s="63" t="str">
        <f aca="false">IF(ISBLANK(C225),"",W225)</f>
        <v/>
      </c>
      <c r="AP225" s="63" t="str">
        <f aca="false">IF(ISBLANK(C225),"",AJ225)</f>
        <v/>
      </c>
      <c r="AQ225" s="63" t="str">
        <f aca="false">IF(ISBLANK(C225),"",AI225)</f>
        <v/>
      </c>
      <c r="AR225" s="64" t="str">
        <f aca="false">IF(ISBLANK(C225),
  "",
IF(AQ225=Constants!$B$11,COUNTA($C$8:$C$507)+2,IF(AQ225=Constants!$B$12,COUNTA($C$8:$C$507)+1,IF(AQ225=Constants!$B$13,COUNTA($C$8:$C$507),AQ225))))</f>
        <v/>
      </c>
      <c r="AS225" s="3"/>
      <c r="AT225" s="65" t="n">
        <f aca="false">IF(OR(ISNUMBER(AQ225),AQ225="DQ",AQ225="P",AQ225="NS"),
    1,
    0
)</f>
        <v>0</v>
      </c>
      <c r="AU225" s="65" t="n">
        <v>218</v>
      </c>
      <c r="AV225" s="65" t="str">
        <f aca="false">IF(ISBLANK($C225),
    "",
   IF(ISNUMBER(AR225),AR225+ROW($B225)/1000,"")
)</f>
        <v/>
      </c>
      <c r="AW225" s="65" t="str">
        <f aca="false">IF(ISNUMBER(AV225), RANK(AV225,AV$8:AV$507,1), "")</f>
        <v/>
      </c>
      <c r="AX225" s="65" t="str">
        <f aca="false">IF(ISBLANK($C225),
    "",
    $B225
)</f>
        <v/>
      </c>
      <c r="AY225" s="65" t="str">
        <f aca="false">IF(ISBLANK($C225),
    "",
    $C225
)</f>
        <v/>
      </c>
      <c r="AZ225" s="65" t="str">
        <f aca="false">IF(ISBLANK($C225),
    "",
    $D225
)</f>
        <v/>
      </c>
      <c r="BA225" s="65" t="str">
        <f aca="false">AO225</f>
        <v/>
      </c>
      <c r="BB225" s="66" t="str">
        <f aca="false">AN225</f>
        <v/>
      </c>
      <c r="BC225" s="65" t="str">
        <f aca="false">IF(ISBLANK($C225),
    "",
    AQ225
)</f>
        <v/>
      </c>
      <c r="BD225" s="67" t="str">
        <f aca="false">IF(AU225&gt;AT$7,
    "",
    VLOOKUP(AU225,AW$8:BC$507,7,FALSE())
)</f>
        <v/>
      </c>
      <c r="BE225" s="68" t="str">
        <f aca="false">IF(AU225&gt;AT$7,
    "",
    VLOOKUP(AU225,AW$8:BC$507,2,FALSE())
)</f>
        <v/>
      </c>
      <c r="BF225" s="68" t="str">
        <f aca="false">IF(AU225&gt;AT$7,
    "",
    VLOOKUP(AU225,AW$8:BC$507,3,FALSE())
)</f>
        <v/>
      </c>
      <c r="BG225" s="68" t="str">
        <f aca="false">IF(AU225&gt;AT$7,
    "",
    VLOOKUP(AU225,AW$8:BC$507,4,FALSE())
)</f>
        <v/>
      </c>
      <c r="BH225" s="68" t="str">
        <f aca="false">IF(AU225&gt;AT$7,
    "",
    VLOOKUP(AU225,AW$8:BC$507,5,FALSE())
)</f>
        <v/>
      </c>
      <c r="BI225" s="69" t="str">
        <f aca="false">IF(AU225&gt;AT$7,
    "",
    VLOOKUP(AU225,AW$8:BC$507,6,FALSE())
)</f>
        <v/>
      </c>
      <c r="BJ225" s="46"/>
    </row>
    <row r="226" customFormat="false" ht="15.75" hidden="false" customHeight="false" outlineLevel="0" collapsed="false">
      <c r="A226" s="3"/>
      <c r="B226" s="108"/>
      <c r="C226" s="70"/>
      <c r="D226" s="49"/>
      <c r="E226" s="109"/>
      <c r="F226" s="72"/>
      <c r="G226" s="109"/>
      <c r="H226" s="74"/>
      <c r="I226" s="104"/>
      <c r="J226" s="74"/>
      <c r="K226" s="74"/>
      <c r="L226" s="55"/>
      <c r="M226" s="55" t="str">
        <f aca="false">IF(ISBLANK($C226),"",IF(ISBLANK(E226),0,E226))</f>
        <v/>
      </c>
      <c r="N226" s="55" t="str">
        <f aca="false">IF(ISBLANK($C226),"",IF(ISBLANK(F226),0,F226))</f>
        <v/>
      </c>
      <c r="O226" s="55" t="e">
        <f aca="false">IF(AND(NOT(ISBLANK($C226)),NOT($T226),COUNTA($E226:$K226)&gt;0),ISBLANK($F226),FALSE())</f>
        <v>#VALUE!</v>
      </c>
      <c r="P226" s="55" t="str">
        <f aca="false">IF(ISBLANK($C226),"",IF(G226=Constants!$B$9, TRUE(), IF(G226=Constants!$B$10, FALSE(), TRUE())))</f>
        <v/>
      </c>
      <c r="Q226" s="55" t="str">
        <f aca="false">IF(ISBLANK($C226),"",IF(H226=Constants!$B$9, TRUE(), IF(H226=Constants!$B$10, FALSE(), TRUE())))</f>
        <v/>
      </c>
      <c r="R226" s="55" t="str">
        <f aca="false">IF(ISBLANK($C226),"",IF(ISBLANK(I226),Constants!$B$3,I226))</f>
        <v/>
      </c>
      <c r="S226" s="55" t="str">
        <f aca="false">IF(ISBLANK($C226),"",IF(ISBLANK(J226),0,MIN(J226,Constants!$B$6)))</f>
        <v/>
      </c>
      <c r="T226" s="55" t="str">
        <f aca="false">IF(ISBLANK($C226),"",IF(K226=Constants!$B$9, TRUE(), IF(K226=Constants!$B$10, FALSE(),  FALSE())))</f>
        <v/>
      </c>
      <c r="U226" s="55" t="str">
        <f aca="false">IF(ISBLANK($C226),"",AND(R226=Constants!$B$4, S226&lt;Constants!$B$6))</f>
        <v/>
      </c>
      <c r="V226" s="55" t="str">
        <f aca="false">IF(ISBLANK(C226), "", IF(T226, Constants!$B$11, IF(COUNTA(E226:K226)=0, Constants!$B$12, IF(NOT(AND(P226,S226&lt;&gt;0)), Constants!$B$13, IF(O226, Constants!$B$15, Constants!$B$14)))))</f>
        <v/>
      </c>
      <c r="W226" s="55" t="str">
        <f aca="false">IF(OR(ISBLANK($C226), SUMPRODUCT(--(P226:T226&lt;&gt;""))=0), "", IF(V226&lt;&gt;Constants!$B$14, V226, IF(AND(NOT(ISBLANK(J226)),P226,Q226,R226&lt;&gt;Constants!$B$2), Constants!$B$7, IF(AND(P226,OR(NOT(Q226),R226=Constants!$B$2)), Constants!$B$8, "Error"))))</f>
        <v/>
      </c>
      <c r="X226" s="56" t="str">
        <f aca="false">IF(OR(W226=Constants!$B$7,W226=Constants!$B$8), MAX(0, MIN(Constants!$B$6, S226))+IF(AND(R226=Constants!$B$4, NOT(U226)), Constants!$B$5, 0), "")</f>
        <v/>
      </c>
      <c r="Y226" s="55" t="str">
        <f aca="false">IF(ISBLANK($C226),"",IF(AND(ISNUMBER(X226),N226&gt;0),X226/N226, "") )</f>
        <v/>
      </c>
      <c r="Z226" s="55" t="str">
        <f aca="false">IF(AND(NOT(ISBLANK($C226)), W226=Constants!$B$7), Y226, "")</f>
        <v/>
      </c>
      <c r="AA226" s="55" t="str">
        <f aca="false">IF(ISNUMBER(Z226), RANK(Z226,Z$8:Z$507), "")</f>
        <v/>
      </c>
      <c r="AB226" s="55" t="str">
        <f aca="false">IF(AND(NOT(ISBLANK($C226)), W226=Constants!$B$8), Y226, "")</f>
        <v/>
      </c>
      <c r="AC226" s="55" t="str">
        <f aca="false">IF(ISNUMBER(AB226), RANK(AB226,AB$8:AB$507), "")</f>
        <v/>
      </c>
      <c r="AD226" s="55" t="str">
        <f aca="false">IF(ISBLANK($C226),"",IF(V226&lt;&gt;Constants!$B$14, V226, IF(W226=Constants!$B$7, AA226, IF(W226=Constants!$B$8, COUNT($AA$8:$AA$507) + AC226, ""))))</f>
        <v/>
      </c>
      <c r="AE226" s="55" t="str">
        <f aca="false">N226</f>
        <v/>
      </c>
      <c r="AF226" s="55" t="str">
        <f aca="false">IF(ISNUMBER(AE226), RANK(AE226,AE$8:AE$507,1), "")</f>
        <v/>
      </c>
      <c r="AG226" s="57" t="str">
        <f aca="false">IF(ISBLANK(C226), "", ABS(M226-S226))</f>
        <v/>
      </c>
      <c r="AH226" s="55" t="str">
        <f aca="false">IF(ISNUMBER(AG226), RANK(AG226,AG$8:AG$507,1), "")</f>
        <v/>
      </c>
      <c r="AI226" s="55" t="str">
        <f aca="false">IF(ISBLANK(C226),"",IF(V226&lt;&gt;Constants!$B$14, V226, RANK(AD226, AD$8:AD$507, 1)+ SUMPRODUCT(--(AD$8:AD$507=AD226),--(AF226&gt;AF$8:AF$507)) + SUMPRODUCT(--(AD$8:AD$507=AD226),--(AF226=AF$8:AF$507),--(AH226&gt;AH$8:AH$507))))</f>
        <v/>
      </c>
      <c r="AJ226" s="55" t="str">
        <f aca="false">IF(ISBLANK(C226),"",IF(V226&lt;&gt;Constants!$B$14, V226, AD226-AI226))</f>
        <v/>
      </c>
      <c r="AK226" s="59"/>
      <c r="AL226" s="60" t="str">
        <f aca="false">IF(ISBLANK($C226),"",IF($V226&lt;&gt;Constants!$B$14,$V226,X226))</f>
        <v/>
      </c>
      <c r="AM226" s="60" t="str">
        <f aca="false">IF(ISBLANK($C226),"",IF($V226&lt;&gt;Constants!$B$14,$V226,N226))</f>
        <v/>
      </c>
      <c r="AN226" s="62" t="str">
        <f aca="false">IF(ISBLANK(C226),"",IF(V226&lt;&gt;Constants!$B$14, V226, IF(W226=Constants!$B$7,Z226,IF(W226=Constants!$B$8,AB226,""))))</f>
        <v/>
      </c>
      <c r="AO226" s="63" t="str">
        <f aca="false">IF(ISBLANK(C226),"",W226)</f>
        <v/>
      </c>
      <c r="AP226" s="63" t="str">
        <f aca="false">IF(ISBLANK(C226),"",AJ226)</f>
        <v/>
      </c>
      <c r="AQ226" s="63" t="str">
        <f aca="false">IF(ISBLANK(C226),"",AI226)</f>
        <v/>
      </c>
      <c r="AR226" s="64" t="str">
        <f aca="false">IF(ISBLANK(C226),
  "",
IF(AQ226=Constants!$B$11,COUNTA($C$8:$C$507)+2,IF(AQ226=Constants!$B$12,COUNTA($C$8:$C$507)+1,IF(AQ226=Constants!$B$13,COUNTA($C$8:$C$507),AQ226))))</f>
        <v/>
      </c>
      <c r="AS226" s="3"/>
      <c r="AT226" s="65" t="n">
        <f aca="false">IF(OR(ISNUMBER(AQ226),AQ226="DQ",AQ226="P",AQ226="NS"),
    1,
    0
)</f>
        <v>0</v>
      </c>
      <c r="AU226" s="65" t="n">
        <v>219</v>
      </c>
      <c r="AV226" s="65" t="str">
        <f aca="false">IF(ISBLANK($C226),
    "",
   IF(ISNUMBER(AR226),AR226+ROW($B226)/1000,"")
)</f>
        <v/>
      </c>
      <c r="AW226" s="65" t="str">
        <f aca="false">IF(ISNUMBER(AV226), RANK(AV226,AV$8:AV$507,1), "")</f>
        <v/>
      </c>
      <c r="AX226" s="65" t="str">
        <f aca="false">IF(ISBLANK($C226),
    "",
    $B226
)</f>
        <v/>
      </c>
      <c r="AY226" s="65" t="str">
        <f aca="false">IF(ISBLANK($C226),
    "",
    $C226
)</f>
        <v/>
      </c>
      <c r="AZ226" s="65" t="str">
        <f aca="false">IF(ISBLANK($C226),
    "",
    $D226
)</f>
        <v/>
      </c>
      <c r="BA226" s="65" t="str">
        <f aca="false">AO226</f>
        <v/>
      </c>
      <c r="BB226" s="66" t="str">
        <f aca="false">AN226</f>
        <v/>
      </c>
      <c r="BC226" s="65" t="str">
        <f aca="false">IF(ISBLANK($C226),
    "",
    AQ226
)</f>
        <v/>
      </c>
      <c r="BD226" s="67" t="str">
        <f aca="false">IF(AU226&gt;AT$7,
    "",
    VLOOKUP(AU226,AW$8:BC$507,7,FALSE())
)</f>
        <v/>
      </c>
      <c r="BE226" s="68" t="str">
        <f aca="false">IF(AU226&gt;AT$7,
    "",
    VLOOKUP(AU226,AW$8:BC$507,2,FALSE())
)</f>
        <v/>
      </c>
      <c r="BF226" s="68" t="str">
        <f aca="false">IF(AU226&gt;AT$7,
    "",
    VLOOKUP(AU226,AW$8:BC$507,3,FALSE())
)</f>
        <v/>
      </c>
      <c r="BG226" s="68" t="str">
        <f aca="false">IF(AU226&gt;AT$7,
    "",
    VLOOKUP(AU226,AW$8:BC$507,4,FALSE())
)</f>
        <v/>
      </c>
      <c r="BH226" s="68" t="str">
        <f aca="false">IF(AU226&gt;AT$7,
    "",
    VLOOKUP(AU226,AW$8:BC$507,5,FALSE())
)</f>
        <v/>
      </c>
      <c r="BI226" s="69" t="str">
        <f aca="false">IF(AU226&gt;AT$7,
    "",
    VLOOKUP(AU226,AW$8:BC$507,6,FALSE())
)</f>
        <v/>
      </c>
      <c r="BJ226" s="46"/>
    </row>
    <row r="227" customFormat="false" ht="15.75" hidden="false" customHeight="false" outlineLevel="0" collapsed="false">
      <c r="A227" s="3"/>
      <c r="B227" s="105"/>
      <c r="C227" s="106"/>
      <c r="D227" s="99"/>
      <c r="E227" s="110"/>
      <c r="F227" s="107"/>
      <c r="G227" s="110"/>
      <c r="H227" s="103"/>
      <c r="I227" s="102"/>
      <c r="J227" s="103"/>
      <c r="K227" s="103"/>
      <c r="L227" s="85"/>
      <c r="M227" s="85" t="str">
        <f aca="false">IF(ISBLANK($C227),"",IF(ISBLANK(E227),0,E227))</f>
        <v/>
      </c>
      <c r="N227" s="85" t="str">
        <f aca="false">IF(ISBLANK($C227),"",IF(ISBLANK(F227),0,F227))</f>
        <v/>
      </c>
      <c r="O227" s="86" t="e">
        <f aca="false">IF(AND(NOT(ISBLANK($C227)),NOT($T227),COUNTA($E227:$K227)&gt;0),ISBLANK($F227),FALSE())</f>
        <v>#VALUE!</v>
      </c>
      <c r="P227" s="85" t="str">
        <f aca="false">IF(ISBLANK($C227),"",IF(G227=Constants!$B$9, TRUE(), IF(G227=Constants!$B$10, FALSE(), TRUE())))</f>
        <v/>
      </c>
      <c r="Q227" s="85" t="str">
        <f aca="false">IF(ISBLANK($C227),"",IF(H227=Constants!$B$9, TRUE(), IF(H227=Constants!$B$10, FALSE(), TRUE())))</f>
        <v/>
      </c>
      <c r="R227" s="85" t="str">
        <f aca="false">IF(ISBLANK($C227),"",IF(ISBLANK(I227),Constants!$B$3,I227))</f>
        <v/>
      </c>
      <c r="S227" s="85" t="str">
        <f aca="false">IF(ISBLANK($C227),"",IF(ISBLANK(J227),0,MIN(J227,Constants!$B$6)))</f>
        <v/>
      </c>
      <c r="T227" s="85" t="str">
        <f aca="false">IF(ISBLANK($C227),"",IF(K227=Constants!$B$9, TRUE(), IF(K227=Constants!$B$10, FALSE(),  FALSE())))</f>
        <v/>
      </c>
      <c r="U227" s="85" t="str">
        <f aca="false">IF(ISBLANK($C227),"",AND(R227=Constants!$B$4, S227&lt;Constants!$B$6))</f>
        <v/>
      </c>
      <c r="V227" s="85" t="str">
        <f aca="false">IF(ISBLANK(C227), "", IF(T227, Constants!$B$11, IF(COUNTA(E227:K227)=0, Constants!$B$12, IF(NOT(AND(P227,S227&lt;&gt;0)), Constants!$B$13, IF(O227, Constants!$B$15, Constants!$B$14)))))</f>
        <v/>
      </c>
      <c r="W227" s="85" t="str">
        <f aca="false">IF(OR(ISBLANK($C227), SUMPRODUCT(--(P227:T227&lt;&gt;""))=0), "", IF(V227&lt;&gt;Constants!$B$14, V227, IF(AND(NOT(ISBLANK(J227)),P227,Q227,R227&lt;&gt;Constants!$B$2), Constants!$B$7, IF(AND(P227,OR(NOT(Q227),R227=Constants!$B$2)), Constants!$B$8, "Error"))))</f>
        <v/>
      </c>
      <c r="X227" s="87" t="str">
        <f aca="false">IF(OR(W227=Constants!$B$7,W227=Constants!$B$8), MAX(0, MIN(Constants!$B$6, S227))+IF(AND(R227=Constants!$B$4, NOT(U227)), Constants!$B$5, 0), "")</f>
        <v/>
      </c>
      <c r="Y227" s="85" t="str">
        <f aca="false">IF(ISBLANK($C227),"",IF(AND(ISNUMBER(X227),N227&gt;0),X227/N227, "") )</f>
        <v/>
      </c>
      <c r="Z227" s="85" t="str">
        <f aca="false">IF(AND(NOT(ISBLANK($C227)), W227=Constants!$B$7), Y227, "")</f>
        <v/>
      </c>
      <c r="AA227" s="85" t="str">
        <f aca="false">IF(ISNUMBER(Z227), RANK(Z227,Z$8:Z$507), "")</f>
        <v/>
      </c>
      <c r="AB227" s="85" t="str">
        <f aca="false">IF(AND(NOT(ISBLANK($C227)), W227=Constants!$B$8), Y227, "")</f>
        <v/>
      </c>
      <c r="AC227" s="85" t="str">
        <f aca="false">IF(ISNUMBER(AB227), RANK(AB227,AB$8:AB$507), "")</f>
        <v/>
      </c>
      <c r="AD227" s="85" t="str">
        <f aca="false">IF(ISBLANK($C227),"",IF(V227&lt;&gt;Constants!$B$14, V227, IF(W227=Constants!$B$7, AA227, IF(W227=Constants!$B$8, COUNT($AA$8:$AA$507) + AC227, ""))))</f>
        <v/>
      </c>
      <c r="AE227" s="85" t="str">
        <f aca="false">N227</f>
        <v/>
      </c>
      <c r="AF227" s="85" t="str">
        <f aca="false">IF(ISNUMBER(AE227), RANK(AE227,AE$8:AE$507,1), "")</f>
        <v/>
      </c>
      <c r="AG227" s="88" t="str">
        <f aca="false">IF(ISBLANK(C227), "", ABS(M227-S227))</f>
        <v/>
      </c>
      <c r="AH227" s="85" t="str">
        <f aca="false">IF(ISNUMBER(AG227), RANK(AG227,AG$8:AG$507,1), "")</f>
        <v/>
      </c>
      <c r="AI227" s="85" t="str">
        <f aca="false">IF(ISBLANK(C227),"",IF(V227&lt;&gt;Constants!$B$14, V227, RANK(AD227, AD$8:AD$507, 1)+ SUMPRODUCT(--(AD$8:AD$507=AD227),--(AF227&gt;AF$8:AF$507)) + SUMPRODUCT(--(AD$8:AD$507=AD227),--(AF227=AF$8:AF$507),--(AH227&gt;AH$8:AH$507))))</f>
        <v/>
      </c>
      <c r="AJ227" s="85" t="str">
        <f aca="false">IF(ISBLANK(C227),"",IF(V227&lt;&gt;Constants!$B$14, V227, AD227-AI227))</f>
        <v/>
      </c>
      <c r="AK227" s="89"/>
      <c r="AL227" s="90" t="str">
        <f aca="false">IF(ISBLANK($C227),"",IF($V227&lt;&gt;Constants!$B$14,$V227,X227))</f>
        <v/>
      </c>
      <c r="AM227" s="90" t="str">
        <f aca="false">IF(ISBLANK($C227),"",IF($V227&lt;&gt;Constants!$B$14,$V227,N227))</f>
        <v/>
      </c>
      <c r="AN227" s="91" t="str">
        <f aca="false">IF(ISBLANK(C227),"",IF(V227&lt;&gt;Constants!$B$14, V227, IF(W227=Constants!$B$7,Z227,IF(W227=Constants!$B$8,AB227,""))))</f>
        <v/>
      </c>
      <c r="AO227" s="92" t="str">
        <f aca="false">IF(ISBLANK(C227),"",W227)</f>
        <v/>
      </c>
      <c r="AP227" s="92" t="str">
        <f aca="false">IF(ISBLANK(C227),"",AJ227)</f>
        <v/>
      </c>
      <c r="AQ227" s="92" t="str">
        <f aca="false">IF(ISBLANK(C227),"",AI227)</f>
        <v/>
      </c>
      <c r="AR227" s="93" t="str">
        <f aca="false">IF(ISBLANK(C227),
  "",
IF(AQ227=Constants!$B$11,COUNTA($C$8:$C$507)+2,IF(AQ227=Constants!$B$12,COUNTA($C$8:$C$507)+1,IF(AQ227=Constants!$B$13,COUNTA($C$8:$C$507),AQ227))))</f>
        <v/>
      </c>
      <c r="AS227" s="3"/>
      <c r="AT227" s="94" t="n">
        <f aca="false">IF(OR(ISNUMBER(AQ227),AQ227="DQ",AQ227="P",AQ227="NS"),
    1,
    0
)</f>
        <v>0</v>
      </c>
      <c r="AU227" s="94" t="n">
        <v>220</v>
      </c>
      <c r="AV227" s="94" t="str">
        <f aca="false">IF(ISBLANK($C227),
    "",
   IF(ISNUMBER(AR227),AR227+ROW($B227)/1000,"")
)</f>
        <v/>
      </c>
      <c r="AW227" s="94" t="str">
        <f aca="false">IF(ISNUMBER(AV227), RANK(AV227,AV$8:AV$507,1), "")</f>
        <v/>
      </c>
      <c r="AX227" s="94" t="str">
        <f aca="false">IF(ISBLANK($C227),
    "",
    $B227
)</f>
        <v/>
      </c>
      <c r="AY227" s="94" t="str">
        <f aca="false">IF(ISBLANK($C227),
    "",
    $C227
)</f>
        <v/>
      </c>
      <c r="AZ227" s="94" t="str">
        <f aca="false">IF(ISBLANK($C227),
    "",
    $D227
)</f>
        <v/>
      </c>
      <c r="BA227" s="94" t="str">
        <f aca="false">AO227</f>
        <v/>
      </c>
      <c r="BB227" s="95" t="str">
        <f aca="false">AN227</f>
        <v/>
      </c>
      <c r="BC227" s="94" t="str">
        <f aca="false">IF(ISBLANK($C227),
    "",
    AQ227
)</f>
        <v/>
      </c>
      <c r="BD227" s="96" t="str">
        <f aca="false">IF(AU227&gt;AT$7,
    "",
    VLOOKUP(AU227,AW$8:BC$507,7,FALSE())
)</f>
        <v/>
      </c>
      <c r="BE227" s="97" t="str">
        <f aca="false">IF(AU227&gt;AT$7,
    "",
    VLOOKUP(AU227,AW$8:BC$507,2,FALSE())
)</f>
        <v/>
      </c>
      <c r="BF227" s="97" t="str">
        <f aca="false">IF(AU227&gt;AT$7,
    "",
    VLOOKUP(AU227,AW$8:BC$507,3,FALSE())
)</f>
        <v/>
      </c>
      <c r="BG227" s="97" t="str">
        <f aca="false">IF(AU227&gt;AT$7,
    "",
    VLOOKUP(AU227,AW$8:BC$507,4,FALSE())
)</f>
        <v/>
      </c>
      <c r="BH227" s="97" t="str">
        <f aca="false">IF(AU227&gt;AT$7,
    "",
    VLOOKUP(AU227,AW$8:BC$507,5,FALSE())
)</f>
        <v/>
      </c>
      <c r="BI227" s="98" t="str">
        <f aca="false">IF(AU227&gt;AT$7,
    "",
    VLOOKUP(AU227,AW$8:BC$507,6,FALSE())
)</f>
        <v/>
      </c>
      <c r="BJ227" s="46"/>
    </row>
    <row r="228" customFormat="false" ht="15.75" hidden="false" customHeight="false" outlineLevel="0" collapsed="false">
      <c r="A228" s="3"/>
      <c r="B228" s="105"/>
      <c r="C228" s="106"/>
      <c r="D228" s="99"/>
      <c r="E228" s="110"/>
      <c r="F228" s="107"/>
      <c r="G228" s="110"/>
      <c r="H228" s="103"/>
      <c r="I228" s="102"/>
      <c r="J228" s="103"/>
      <c r="K228" s="103"/>
      <c r="L228" s="85"/>
      <c r="M228" s="85" t="str">
        <f aca="false">IF(ISBLANK($C228),"",IF(ISBLANK(E228),0,E228))</f>
        <v/>
      </c>
      <c r="N228" s="85" t="str">
        <f aca="false">IF(ISBLANK($C228),"",IF(ISBLANK(F228),0,F228))</f>
        <v/>
      </c>
      <c r="O228" s="86" t="e">
        <f aca="false">IF(AND(NOT(ISBLANK($C228)),NOT($T228),COUNTA($E228:$K228)&gt;0),ISBLANK($F228),FALSE())</f>
        <v>#VALUE!</v>
      </c>
      <c r="P228" s="85" t="str">
        <f aca="false">IF(ISBLANK($C228),"",IF(G228=Constants!$B$9, TRUE(), IF(G228=Constants!$B$10, FALSE(), TRUE())))</f>
        <v/>
      </c>
      <c r="Q228" s="85" t="str">
        <f aca="false">IF(ISBLANK($C228),"",IF(H228=Constants!$B$9, TRUE(), IF(H228=Constants!$B$10, FALSE(), TRUE())))</f>
        <v/>
      </c>
      <c r="R228" s="85" t="str">
        <f aca="false">IF(ISBLANK($C228),"",IF(ISBLANK(I228),Constants!$B$3,I228))</f>
        <v/>
      </c>
      <c r="S228" s="85" t="str">
        <f aca="false">IF(ISBLANK($C228),"",IF(ISBLANK(J228),0,MIN(J228,Constants!$B$6)))</f>
        <v/>
      </c>
      <c r="T228" s="85" t="str">
        <f aca="false">IF(ISBLANK($C228),"",IF(K228=Constants!$B$9, TRUE(), IF(K228=Constants!$B$10, FALSE(),  FALSE())))</f>
        <v/>
      </c>
      <c r="U228" s="85" t="str">
        <f aca="false">IF(ISBLANK($C228),"",AND(R228=Constants!$B$4, S228&lt;Constants!$B$6))</f>
        <v/>
      </c>
      <c r="V228" s="85" t="str">
        <f aca="false">IF(ISBLANK(C228), "", IF(T228, Constants!$B$11, IF(COUNTA(E228:K228)=0, Constants!$B$12, IF(NOT(AND(P228,S228&lt;&gt;0)), Constants!$B$13, IF(O228, Constants!$B$15, Constants!$B$14)))))</f>
        <v/>
      </c>
      <c r="W228" s="85" t="str">
        <f aca="false">IF(OR(ISBLANK($C228), SUMPRODUCT(--(P228:T228&lt;&gt;""))=0), "", IF(V228&lt;&gt;Constants!$B$14, V228, IF(AND(NOT(ISBLANK(J228)),P228,Q228,R228&lt;&gt;Constants!$B$2), Constants!$B$7, IF(AND(P228,OR(NOT(Q228),R228=Constants!$B$2)), Constants!$B$8, "Error"))))</f>
        <v/>
      </c>
      <c r="X228" s="87" t="str">
        <f aca="false">IF(OR(W228=Constants!$B$7,W228=Constants!$B$8), MAX(0, MIN(Constants!$B$6, S228))+IF(AND(R228=Constants!$B$4, NOT(U228)), Constants!$B$5, 0), "")</f>
        <v/>
      </c>
      <c r="Y228" s="85" t="str">
        <f aca="false">IF(ISBLANK($C228),"",IF(AND(ISNUMBER(X228),N228&gt;0),X228/N228, "") )</f>
        <v/>
      </c>
      <c r="Z228" s="85" t="str">
        <f aca="false">IF(AND(NOT(ISBLANK($C228)), W228=Constants!$B$7), Y228, "")</f>
        <v/>
      </c>
      <c r="AA228" s="85" t="str">
        <f aca="false">IF(ISNUMBER(Z228), RANK(Z228,Z$8:Z$507), "")</f>
        <v/>
      </c>
      <c r="AB228" s="85" t="str">
        <f aca="false">IF(AND(NOT(ISBLANK($C228)), W228=Constants!$B$8), Y228, "")</f>
        <v/>
      </c>
      <c r="AC228" s="85" t="str">
        <f aca="false">IF(ISNUMBER(AB228), RANK(AB228,AB$8:AB$507), "")</f>
        <v/>
      </c>
      <c r="AD228" s="85" t="str">
        <f aca="false">IF(ISBLANK($C228),"",IF(V228&lt;&gt;Constants!$B$14, V228, IF(W228=Constants!$B$7, AA228, IF(W228=Constants!$B$8, COUNT($AA$8:$AA$507) + AC228, ""))))</f>
        <v/>
      </c>
      <c r="AE228" s="85" t="str">
        <f aca="false">N228</f>
        <v/>
      </c>
      <c r="AF228" s="85" t="str">
        <f aca="false">IF(ISNUMBER(AE228), RANK(AE228,AE$8:AE$507,1), "")</f>
        <v/>
      </c>
      <c r="AG228" s="88" t="str">
        <f aca="false">IF(ISBLANK(C228), "", ABS(M228-S228))</f>
        <v/>
      </c>
      <c r="AH228" s="85" t="str">
        <f aca="false">IF(ISNUMBER(AG228), RANK(AG228,AG$8:AG$507,1), "")</f>
        <v/>
      </c>
      <c r="AI228" s="85" t="str">
        <f aca="false">IF(ISBLANK(C228),"",IF(V228&lt;&gt;Constants!$B$14, V228, RANK(AD228, AD$8:AD$507, 1)+ SUMPRODUCT(--(AD$8:AD$507=AD228),--(AF228&gt;AF$8:AF$507)) + SUMPRODUCT(--(AD$8:AD$507=AD228),--(AF228=AF$8:AF$507),--(AH228&gt;AH$8:AH$507))))</f>
        <v/>
      </c>
      <c r="AJ228" s="85" t="str">
        <f aca="false">IF(ISBLANK(C228),"",IF(V228&lt;&gt;Constants!$B$14, V228, AD228-AI228))</f>
        <v/>
      </c>
      <c r="AK228" s="89"/>
      <c r="AL228" s="90" t="str">
        <f aca="false">IF(ISBLANK($C228),"",IF($V228&lt;&gt;Constants!$B$14,$V228,X228))</f>
        <v/>
      </c>
      <c r="AM228" s="90" t="str">
        <f aca="false">IF(ISBLANK($C228),"",IF($V228&lt;&gt;Constants!$B$14,$V228,N228))</f>
        <v/>
      </c>
      <c r="AN228" s="91" t="str">
        <f aca="false">IF(ISBLANK(C228),"",IF(V228&lt;&gt;Constants!$B$14, V228, IF(W228=Constants!$B$7,Z228,IF(W228=Constants!$B$8,AB228,""))))</f>
        <v/>
      </c>
      <c r="AO228" s="92" t="str">
        <f aca="false">IF(ISBLANK(C228),"",W228)</f>
        <v/>
      </c>
      <c r="AP228" s="92" t="str">
        <f aca="false">IF(ISBLANK(C228),"",AJ228)</f>
        <v/>
      </c>
      <c r="AQ228" s="92" t="str">
        <f aca="false">IF(ISBLANK(C228),"",AI228)</f>
        <v/>
      </c>
      <c r="AR228" s="93" t="str">
        <f aca="false">IF(ISBLANK(C228),
  "",
IF(AQ228=Constants!$B$11,COUNTA($C$8:$C$507)+2,IF(AQ228=Constants!$B$12,COUNTA($C$8:$C$507)+1,IF(AQ228=Constants!$B$13,COUNTA($C$8:$C$507),AQ228))))</f>
        <v/>
      </c>
      <c r="AS228" s="3"/>
      <c r="AT228" s="94" t="n">
        <f aca="false">IF(OR(ISNUMBER(AQ228),AQ228="DQ",AQ228="P",AQ228="NS"),
    1,
    0
)</f>
        <v>0</v>
      </c>
      <c r="AU228" s="94" t="n">
        <v>221</v>
      </c>
      <c r="AV228" s="94" t="str">
        <f aca="false">IF(ISBLANK($C228),
    "",
   IF(ISNUMBER(AR228),AR228+ROW($B228)/1000,"")
)</f>
        <v/>
      </c>
      <c r="AW228" s="94" t="str">
        <f aca="false">IF(ISNUMBER(AV228), RANK(AV228,AV$8:AV$507,1), "")</f>
        <v/>
      </c>
      <c r="AX228" s="94" t="str">
        <f aca="false">IF(ISBLANK($C228),
    "",
    $B228
)</f>
        <v/>
      </c>
      <c r="AY228" s="94" t="str">
        <f aca="false">IF(ISBLANK($C228),
    "",
    $C228
)</f>
        <v/>
      </c>
      <c r="AZ228" s="94" t="str">
        <f aca="false">IF(ISBLANK($C228),
    "",
    $D228
)</f>
        <v/>
      </c>
      <c r="BA228" s="94" t="str">
        <f aca="false">AO228</f>
        <v/>
      </c>
      <c r="BB228" s="95" t="str">
        <f aca="false">AN228</f>
        <v/>
      </c>
      <c r="BC228" s="94" t="str">
        <f aca="false">IF(ISBLANK($C228),
    "",
    AQ228
)</f>
        <v/>
      </c>
      <c r="BD228" s="96" t="str">
        <f aca="false">IF(AU228&gt;AT$7,
    "",
    VLOOKUP(AU228,AW$8:BC$507,7,FALSE())
)</f>
        <v/>
      </c>
      <c r="BE228" s="97" t="str">
        <f aca="false">IF(AU228&gt;AT$7,
    "",
    VLOOKUP(AU228,AW$8:BC$507,2,FALSE())
)</f>
        <v/>
      </c>
      <c r="BF228" s="97" t="str">
        <f aca="false">IF(AU228&gt;AT$7,
    "",
    VLOOKUP(AU228,AW$8:BC$507,3,FALSE())
)</f>
        <v/>
      </c>
      <c r="BG228" s="97" t="str">
        <f aca="false">IF(AU228&gt;AT$7,
    "",
    VLOOKUP(AU228,AW$8:BC$507,4,FALSE())
)</f>
        <v/>
      </c>
      <c r="BH228" s="97" t="str">
        <f aca="false">IF(AU228&gt;AT$7,
    "",
    VLOOKUP(AU228,AW$8:BC$507,5,FALSE())
)</f>
        <v/>
      </c>
      <c r="BI228" s="98" t="str">
        <f aca="false">IF(AU228&gt;AT$7,
    "",
    VLOOKUP(AU228,AW$8:BC$507,6,FALSE())
)</f>
        <v/>
      </c>
      <c r="BJ228" s="46"/>
    </row>
    <row r="229" customFormat="false" ht="15.75" hidden="false" customHeight="false" outlineLevel="0" collapsed="false">
      <c r="A229" s="3"/>
      <c r="B229" s="105"/>
      <c r="C229" s="106"/>
      <c r="D229" s="99"/>
      <c r="E229" s="110"/>
      <c r="F229" s="107"/>
      <c r="G229" s="110"/>
      <c r="H229" s="103"/>
      <c r="I229" s="102"/>
      <c r="J229" s="103"/>
      <c r="K229" s="103"/>
      <c r="L229" s="85"/>
      <c r="M229" s="85" t="str">
        <f aca="false">IF(ISBLANK($C229),"",IF(ISBLANK(E229),0,E229))</f>
        <v/>
      </c>
      <c r="N229" s="85" t="str">
        <f aca="false">IF(ISBLANK($C229),"",IF(ISBLANK(F229),0,F229))</f>
        <v/>
      </c>
      <c r="O229" s="86" t="e">
        <f aca="false">IF(AND(NOT(ISBLANK($C229)),NOT($T229),COUNTA($E229:$K229)&gt;0),ISBLANK($F229),FALSE())</f>
        <v>#VALUE!</v>
      </c>
      <c r="P229" s="85" t="str">
        <f aca="false">IF(ISBLANK($C229),"",IF(G229=Constants!$B$9, TRUE(), IF(G229=Constants!$B$10, FALSE(), TRUE())))</f>
        <v/>
      </c>
      <c r="Q229" s="85" t="str">
        <f aca="false">IF(ISBLANK($C229),"",IF(H229=Constants!$B$9, TRUE(), IF(H229=Constants!$B$10, FALSE(), TRUE())))</f>
        <v/>
      </c>
      <c r="R229" s="85" t="str">
        <f aca="false">IF(ISBLANK($C229),"",IF(ISBLANK(I229),Constants!$B$3,I229))</f>
        <v/>
      </c>
      <c r="S229" s="85" t="str">
        <f aca="false">IF(ISBLANK($C229),"",IF(ISBLANK(J229),0,MIN(J229,Constants!$B$6)))</f>
        <v/>
      </c>
      <c r="T229" s="85" t="str">
        <f aca="false">IF(ISBLANK($C229),"",IF(K229=Constants!$B$9, TRUE(), IF(K229=Constants!$B$10, FALSE(),  FALSE())))</f>
        <v/>
      </c>
      <c r="U229" s="85" t="str">
        <f aca="false">IF(ISBLANK($C229),"",AND(R229=Constants!$B$4, S229&lt;Constants!$B$6))</f>
        <v/>
      </c>
      <c r="V229" s="85" t="str">
        <f aca="false">IF(ISBLANK(C229), "", IF(T229, Constants!$B$11, IF(COUNTA(E229:K229)=0, Constants!$B$12, IF(NOT(AND(P229,S229&lt;&gt;0)), Constants!$B$13, IF(O229, Constants!$B$15, Constants!$B$14)))))</f>
        <v/>
      </c>
      <c r="W229" s="85" t="str">
        <f aca="false">IF(OR(ISBLANK($C229), SUMPRODUCT(--(P229:T229&lt;&gt;""))=0), "", IF(V229&lt;&gt;Constants!$B$14, V229, IF(AND(NOT(ISBLANK(J229)),P229,Q229,R229&lt;&gt;Constants!$B$2), Constants!$B$7, IF(AND(P229,OR(NOT(Q229),R229=Constants!$B$2)), Constants!$B$8, "Error"))))</f>
        <v/>
      </c>
      <c r="X229" s="87" t="str">
        <f aca="false">IF(OR(W229=Constants!$B$7,W229=Constants!$B$8), MAX(0, MIN(Constants!$B$6, S229))+IF(AND(R229=Constants!$B$4, NOT(U229)), Constants!$B$5, 0), "")</f>
        <v/>
      </c>
      <c r="Y229" s="85" t="str">
        <f aca="false">IF(ISBLANK($C229),"",IF(AND(ISNUMBER(X229),N229&gt;0),X229/N229, "") )</f>
        <v/>
      </c>
      <c r="Z229" s="85" t="str">
        <f aca="false">IF(AND(NOT(ISBLANK($C229)), W229=Constants!$B$7), Y229, "")</f>
        <v/>
      </c>
      <c r="AA229" s="85" t="str">
        <f aca="false">IF(ISNUMBER(Z229), RANK(Z229,Z$8:Z$507), "")</f>
        <v/>
      </c>
      <c r="AB229" s="85" t="str">
        <f aca="false">IF(AND(NOT(ISBLANK($C229)), W229=Constants!$B$8), Y229, "")</f>
        <v/>
      </c>
      <c r="AC229" s="85" t="str">
        <f aca="false">IF(ISNUMBER(AB229), RANK(AB229,AB$8:AB$507), "")</f>
        <v/>
      </c>
      <c r="AD229" s="85" t="str">
        <f aca="false">IF(ISBLANK($C229),"",IF(V229&lt;&gt;Constants!$B$14, V229, IF(W229=Constants!$B$7, AA229, IF(W229=Constants!$B$8, COUNT($AA$8:$AA$507) + AC229, ""))))</f>
        <v/>
      </c>
      <c r="AE229" s="85" t="str">
        <f aca="false">N229</f>
        <v/>
      </c>
      <c r="AF229" s="85" t="str">
        <f aca="false">IF(ISNUMBER(AE229), RANK(AE229,AE$8:AE$507,1), "")</f>
        <v/>
      </c>
      <c r="AG229" s="88" t="str">
        <f aca="false">IF(ISBLANK(C229), "", ABS(M229-S229))</f>
        <v/>
      </c>
      <c r="AH229" s="85" t="str">
        <f aca="false">IF(ISNUMBER(AG229), RANK(AG229,AG$8:AG$507,1), "")</f>
        <v/>
      </c>
      <c r="AI229" s="85" t="str">
        <f aca="false">IF(ISBLANK(C229),"",IF(V229&lt;&gt;Constants!$B$14, V229, RANK(AD229, AD$8:AD$507, 1)+ SUMPRODUCT(--(AD$8:AD$507=AD229),--(AF229&gt;AF$8:AF$507)) + SUMPRODUCT(--(AD$8:AD$507=AD229),--(AF229=AF$8:AF$507),--(AH229&gt;AH$8:AH$507))))</f>
        <v/>
      </c>
      <c r="AJ229" s="85" t="str">
        <f aca="false">IF(ISBLANK(C229),"",IF(V229&lt;&gt;Constants!$B$14, V229, AD229-AI229))</f>
        <v/>
      </c>
      <c r="AK229" s="89"/>
      <c r="AL229" s="90" t="str">
        <f aca="false">IF(ISBLANK($C229),"",IF($V229&lt;&gt;Constants!$B$14,$V229,X229))</f>
        <v/>
      </c>
      <c r="AM229" s="90" t="str">
        <f aca="false">IF(ISBLANK($C229),"",IF($V229&lt;&gt;Constants!$B$14,$V229,N229))</f>
        <v/>
      </c>
      <c r="AN229" s="91" t="str">
        <f aca="false">IF(ISBLANK(C229),"",IF(V229&lt;&gt;Constants!$B$14, V229, IF(W229=Constants!$B$7,Z229,IF(W229=Constants!$B$8,AB229,""))))</f>
        <v/>
      </c>
      <c r="AO229" s="92" t="str">
        <f aca="false">IF(ISBLANK(C229),"",W229)</f>
        <v/>
      </c>
      <c r="AP229" s="92" t="str">
        <f aca="false">IF(ISBLANK(C229),"",AJ229)</f>
        <v/>
      </c>
      <c r="AQ229" s="92" t="str">
        <f aca="false">IF(ISBLANK(C229),"",AI229)</f>
        <v/>
      </c>
      <c r="AR229" s="93" t="str">
        <f aca="false">IF(ISBLANK(C229),
  "",
IF(AQ229=Constants!$B$11,COUNTA($C$8:$C$507)+2,IF(AQ229=Constants!$B$12,COUNTA($C$8:$C$507)+1,IF(AQ229=Constants!$B$13,COUNTA($C$8:$C$507),AQ229))))</f>
        <v/>
      </c>
      <c r="AS229" s="3"/>
      <c r="AT229" s="94" t="n">
        <f aca="false">IF(OR(ISNUMBER(AQ229),AQ229="DQ",AQ229="P",AQ229="NS"),
    1,
    0
)</f>
        <v>0</v>
      </c>
      <c r="AU229" s="94" t="n">
        <v>222</v>
      </c>
      <c r="AV229" s="94" t="str">
        <f aca="false">IF(ISBLANK($C229),
    "",
   IF(ISNUMBER(AR229),AR229+ROW($B229)/1000,"")
)</f>
        <v/>
      </c>
      <c r="AW229" s="94" t="str">
        <f aca="false">IF(ISNUMBER(AV229), RANK(AV229,AV$8:AV$507,1), "")</f>
        <v/>
      </c>
      <c r="AX229" s="94" t="str">
        <f aca="false">IF(ISBLANK($C229),
    "",
    $B229
)</f>
        <v/>
      </c>
      <c r="AY229" s="94" t="str">
        <f aca="false">IF(ISBLANK($C229),
    "",
    $C229
)</f>
        <v/>
      </c>
      <c r="AZ229" s="94" t="str">
        <f aca="false">IF(ISBLANK($C229),
    "",
    $D229
)</f>
        <v/>
      </c>
      <c r="BA229" s="94" t="str">
        <f aca="false">AO229</f>
        <v/>
      </c>
      <c r="BB229" s="95" t="str">
        <f aca="false">AN229</f>
        <v/>
      </c>
      <c r="BC229" s="94" t="str">
        <f aca="false">IF(ISBLANK($C229),
    "",
    AQ229
)</f>
        <v/>
      </c>
      <c r="BD229" s="96" t="str">
        <f aca="false">IF(AU229&gt;AT$7,
    "",
    VLOOKUP(AU229,AW$8:BC$507,7,FALSE())
)</f>
        <v/>
      </c>
      <c r="BE229" s="97" t="str">
        <f aca="false">IF(AU229&gt;AT$7,
    "",
    VLOOKUP(AU229,AW$8:BC$507,2,FALSE())
)</f>
        <v/>
      </c>
      <c r="BF229" s="97" t="str">
        <f aca="false">IF(AU229&gt;AT$7,
    "",
    VLOOKUP(AU229,AW$8:BC$507,3,FALSE())
)</f>
        <v/>
      </c>
      <c r="BG229" s="97" t="str">
        <f aca="false">IF(AU229&gt;AT$7,
    "",
    VLOOKUP(AU229,AW$8:BC$507,4,FALSE())
)</f>
        <v/>
      </c>
      <c r="BH229" s="97" t="str">
        <f aca="false">IF(AU229&gt;AT$7,
    "",
    VLOOKUP(AU229,AW$8:BC$507,5,FALSE())
)</f>
        <v/>
      </c>
      <c r="BI229" s="98" t="str">
        <f aca="false">IF(AU229&gt;AT$7,
    "",
    VLOOKUP(AU229,AW$8:BC$507,6,FALSE())
)</f>
        <v/>
      </c>
      <c r="BJ229" s="46"/>
    </row>
    <row r="230" customFormat="false" ht="15.75" hidden="false" customHeight="false" outlineLevel="0" collapsed="false">
      <c r="A230" s="3"/>
      <c r="B230" s="108"/>
      <c r="C230" s="70"/>
      <c r="D230" s="49"/>
      <c r="E230" s="109"/>
      <c r="F230" s="72"/>
      <c r="G230" s="109"/>
      <c r="H230" s="74"/>
      <c r="I230" s="104"/>
      <c r="J230" s="74"/>
      <c r="K230" s="74"/>
      <c r="L230" s="55"/>
      <c r="M230" s="55" t="str">
        <f aca="false">IF(ISBLANK($C230),"",IF(ISBLANK(E230),0,E230))</f>
        <v/>
      </c>
      <c r="N230" s="55" t="str">
        <f aca="false">IF(ISBLANK($C230),"",IF(ISBLANK(F230),0,F230))</f>
        <v/>
      </c>
      <c r="O230" s="55" t="e">
        <f aca="false">IF(AND(NOT(ISBLANK($C230)),NOT($T230),COUNTA($E230:$K230)&gt;0),ISBLANK($F230),FALSE())</f>
        <v>#VALUE!</v>
      </c>
      <c r="P230" s="55" t="str">
        <f aca="false">IF(ISBLANK($C230),"",IF(G230=Constants!$B$9, TRUE(), IF(G230=Constants!$B$10, FALSE(), TRUE())))</f>
        <v/>
      </c>
      <c r="Q230" s="55" t="str">
        <f aca="false">IF(ISBLANK($C230),"",IF(H230=Constants!$B$9, TRUE(), IF(H230=Constants!$B$10, FALSE(), TRUE())))</f>
        <v/>
      </c>
      <c r="R230" s="55" t="str">
        <f aca="false">IF(ISBLANK($C230),"",IF(ISBLANK(I230),Constants!$B$3,I230))</f>
        <v/>
      </c>
      <c r="S230" s="55" t="str">
        <f aca="false">IF(ISBLANK($C230),"",IF(ISBLANK(J230),0,MIN(J230,Constants!$B$6)))</f>
        <v/>
      </c>
      <c r="T230" s="55" t="str">
        <f aca="false">IF(ISBLANK($C230),"",IF(K230=Constants!$B$9, TRUE(), IF(K230=Constants!$B$10, FALSE(),  FALSE())))</f>
        <v/>
      </c>
      <c r="U230" s="55" t="str">
        <f aca="false">IF(ISBLANK($C230),"",AND(R230=Constants!$B$4, S230&lt;Constants!$B$6))</f>
        <v/>
      </c>
      <c r="V230" s="55" t="str">
        <f aca="false">IF(ISBLANK(C230), "", IF(T230, Constants!$B$11, IF(COUNTA(E230:K230)=0, Constants!$B$12, IF(NOT(AND(P230,S230&lt;&gt;0)), Constants!$B$13, IF(O230, Constants!$B$15, Constants!$B$14)))))</f>
        <v/>
      </c>
      <c r="W230" s="55" t="str">
        <f aca="false">IF(OR(ISBLANK($C230), SUMPRODUCT(--(P230:T230&lt;&gt;""))=0), "", IF(V230&lt;&gt;Constants!$B$14, V230, IF(AND(NOT(ISBLANK(J230)),P230,Q230,R230&lt;&gt;Constants!$B$2), Constants!$B$7, IF(AND(P230,OR(NOT(Q230),R230=Constants!$B$2)), Constants!$B$8, "Error"))))</f>
        <v/>
      </c>
      <c r="X230" s="56" t="str">
        <f aca="false">IF(OR(W230=Constants!$B$7,W230=Constants!$B$8), MAX(0, MIN(Constants!$B$6, S230))+IF(AND(R230=Constants!$B$4, NOT(U230)), Constants!$B$5, 0), "")</f>
        <v/>
      </c>
      <c r="Y230" s="55" t="str">
        <f aca="false">IF(ISBLANK($C230),"",IF(AND(ISNUMBER(X230),N230&gt;0),X230/N230, "") )</f>
        <v/>
      </c>
      <c r="Z230" s="55" t="str">
        <f aca="false">IF(AND(NOT(ISBLANK($C230)), W230=Constants!$B$7), Y230, "")</f>
        <v/>
      </c>
      <c r="AA230" s="55" t="str">
        <f aca="false">IF(ISNUMBER(Z230), RANK(Z230,Z$8:Z$507), "")</f>
        <v/>
      </c>
      <c r="AB230" s="55" t="str">
        <f aca="false">IF(AND(NOT(ISBLANK($C230)), W230=Constants!$B$8), Y230, "")</f>
        <v/>
      </c>
      <c r="AC230" s="55" t="str">
        <f aca="false">IF(ISNUMBER(AB230), RANK(AB230,AB$8:AB$507), "")</f>
        <v/>
      </c>
      <c r="AD230" s="55" t="str">
        <f aca="false">IF(ISBLANK($C230),"",IF(V230&lt;&gt;Constants!$B$14, V230, IF(W230=Constants!$B$7, AA230, IF(W230=Constants!$B$8, COUNT($AA$8:$AA$507) + AC230, ""))))</f>
        <v/>
      </c>
      <c r="AE230" s="55" t="str">
        <f aca="false">N230</f>
        <v/>
      </c>
      <c r="AF230" s="55" t="str">
        <f aca="false">IF(ISNUMBER(AE230), RANK(AE230,AE$8:AE$507,1), "")</f>
        <v/>
      </c>
      <c r="AG230" s="57" t="str">
        <f aca="false">IF(ISBLANK(C230), "", ABS(M230-S230))</f>
        <v/>
      </c>
      <c r="AH230" s="55" t="str">
        <f aca="false">IF(ISNUMBER(AG230), RANK(AG230,AG$8:AG$507,1), "")</f>
        <v/>
      </c>
      <c r="AI230" s="55" t="str">
        <f aca="false">IF(ISBLANK(C230),"",IF(V230&lt;&gt;Constants!$B$14, V230, RANK(AD230, AD$8:AD$507, 1)+ SUMPRODUCT(--(AD$8:AD$507=AD230),--(AF230&gt;AF$8:AF$507)) + SUMPRODUCT(--(AD$8:AD$507=AD230),--(AF230=AF$8:AF$507),--(AH230&gt;AH$8:AH$507))))</f>
        <v/>
      </c>
      <c r="AJ230" s="55" t="str">
        <f aca="false">IF(ISBLANK(C230),"",IF(V230&lt;&gt;Constants!$B$14, V230, AD230-AI230))</f>
        <v/>
      </c>
      <c r="AK230" s="59"/>
      <c r="AL230" s="60" t="str">
        <f aca="false">IF(ISBLANK($C230),"",IF($V230&lt;&gt;Constants!$B$14,$V230,X230))</f>
        <v/>
      </c>
      <c r="AM230" s="60" t="str">
        <f aca="false">IF(ISBLANK($C230),"",IF($V230&lt;&gt;Constants!$B$14,$V230,N230))</f>
        <v/>
      </c>
      <c r="AN230" s="62" t="str">
        <f aca="false">IF(ISBLANK(C230),"",IF(V230&lt;&gt;Constants!$B$14, V230, IF(W230=Constants!$B$7,Z230,IF(W230=Constants!$B$8,AB230,""))))</f>
        <v/>
      </c>
      <c r="AO230" s="63" t="str">
        <f aca="false">IF(ISBLANK(C230),"",W230)</f>
        <v/>
      </c>
      <c r="AP230" s="63" t="str">
        <f aca="false">IF(ISBLANK(C230),"",AJ230)</f>
        <v/>
      </c>
      <c r="AQ230" s="63" t="str">
        <f aca="false">IF(ISBLANK(C230),"",AI230)</f>
        <v/>
      </c>
      <c r="AR230" s="64" t="str">
        <f aca="false">IF(ISBLANK(C230),
  "",
IF(AQ230=Constants!$B$11,COUNTA($C$8:$C$507)+2,IF(AQ230=Constants!$B$12,COUNTA($C$8:$C$507)+1,IF(AQ230=Constants!$B$13,COUNTA($C$8:$C$507),AQ230))))</f>
        <v/>
      </c>
      <c r="AS230" s="3"/>
      <c r="AT230" s="65" t="n">
        <f aca="false">IF(OR(ISNUMBER(AQ230),AQ230="DQ",AQ230="P",AQ230="NS"),
    1,
    0
)</f>
        <v>0</v>
      </c>
      <c r="AU230" s="65" t="n">
        <v>223</v>
      </c>
      <c r="AV230" s="65" t="str">
        <f aca="false">IF(ISBLANK($C230),
    "",
   IF(ISNUMBER(AR230),AR230+ROW($B230)/1000,"")
)</f>
        <v/>
      </c>
      <c r="AW230" s="65" t="str">
        <f aca="false">IF(ISNUMBER(AV230), RANK(AV230,AV$8:AV$507,1), "")</f>
        <v/>
      </c>
      <c r="AX230" s="65" t="str">
        <f aca="false">IF(ISBLANK($C230),
    "",
    $B230
)</f>
        <v/>
      </c>
      <c r="AY230" s="65" t="str">
        <f aca="false">IF(ISBLANK($C230),
    "",
    $C230
)</f>
        <v/>
      </c>
      <c r="AZ230" s="65" t="str">
        <f aca="false">IF(ISBLANK($C230),
    "",
    $D230
)</f>
        <v/>
      </c>
      <c r="BA230" s="65" t="str">
        <f aca="false">AO230</f>
        <v/>
      </c>
      <c r="BB230" s="66" t="str">
        <f aca="false">AN230</f>
        <v/>
      </c>
      <c r="BC230" s="65" t="str">
        <f aca="false">IF(ISBLANK($C230),
    "",
    AQ230
)</f>
        <v/>
      </c>
      <c r="BD230" s="67" t="str">
        <f aca="false">IF(AU230&gt;AT$7,
    "",
    VLOOKUP(AU230,AW$8:BC$507,7,FALSE())
)</f>
        <v/>
      </c>
      <c r="BE230" s="68" t="str">
        <f aca="false">IF(AU230&gt;AT$7,
    "",
    VLOOKUP(AU230,AW$8:BC$507,2,FALSE())
)</f>
        <v/>
      </c>
      <c r="BF230" s="68" t="str">
        <f aca="false">IF(AU230&gt;AT$7,
    "",
    VLOOKUP(AU230,AW$8:BC$507,3,FALSE())
)</f>
        <v/>
      </c>
      <c r="BG230" s="68" t="str">
        <f aca="false">IF(AU230&gt;AT$7,
    "",
    VLOOKUP(AU230,AW$8:BC$507,4,FALSE())
)</f>
        <v/>
      </c>
      <c r="BH230" s="68" t="str">
        <f aca="false">IF(AU230&gt;AT$7,
    "",
    VLOOKUP(AU230,AW$8:BC$507,5,FALSE())
)</f>
        <v/>
      </c>
      <c r="BI230" s="69" t="str">
        <f aca="false">IF(AU230&gt;AT$7,
    "",
    VLOOKUP(AU230,AW$8:BC$507,6,FALSE())
)</f>
        <v/>
      </c>
      <c r="BJ230" s="46"/>
    </row>
    <row r="231" customFormat="false" ht="15.75" hidden="false" customHeight="false" outlineLevel="0" collapsed="false">
      <c r="A231" s="3"/>
      <c r="B231" s="108"/>
      <c r="C231" s="70"/>
      <c r="D231" s="49"/>
      <c r="E231" s="109"/>
      <c r="F231" s="72"/>
      <c r="G231" s="109"/>
      <c r="H231" s="74"/>
      <c r="I231" s="104"/>
      <c r="J231" s="74"/>
      <c r="K231" s="74"/>
      <c r="L231" s="55"/>
      <c r="M231" s="55" t="str">
        <f aca="false">IF(ISBLANK($C231),"",IF(ISBLANK(E231),0,E231))</f>
        <v/>
      </c>
      <c r="N231" s="55" t="str">
        <f aca="false">IF(ISBLANK($C231),"",IF(ISBLANK(F231),0,F231))</f>
        <v/>
      </c>
      <c r="O231" s="55" t="e">
        <f aca="false">IF(AND(NOT(ISBLANK($C231)),NOT($T231),COUNTA($E231:$K231)&gt;0),ISBLANK($F231),FALSE())</f>
        <v>#VALUE!</v>
      </c>
      <c r="P231" s="55" t="str">
        <f aca="false">IF(ISBLANK($C231),"",IF(G231=Constants!$B$9, TRUE(), IF(G231=Constants!$B$10, FALSE(), TRUE())))</f>
        <v/>
      </c>
      <c r="Q231" s="55" t="str">
        <f aca="false">IF(ISBLANK($C231),"",IF(H231=Constants!$B$9, TRUE(), IF(H231=Constants!$B$10, FALSE(), TRUE())))</f>
        <v/>
      </c>
      <c r="R231" s="55" t="str">
        <f aca="false">IF(ISBLANK($C231),"",IF(ISBLANK(I231),Constants!$B$3,I231))</f>
        <v/>
      </c>
      <c r="S231" s="55" t="str">
        <f aca="false">IF(ISBLANK($C231),"",IF(ISBLANK(J231),0,MIN(J231,Constants!$B$6)))</f>
        <v/>
      </c>
      <c r="T231" s="55" t="str">
        <f aca="false">IF(ISBLANK($C231),"",IF(K231=Constants!$B$9, TRUE(), IF(K231=Constants!$B$10, FALSE(),  FALSE())))</f>
        <v/>
      </c>
      <c r="U231" s="55" t="str">
        <f aca="false">IF(ISBLANK($C231),"",AND(R231=Constants!$B$4, S231&lt;Constants!$B$6))</f>
        <v/>
      </c>
      <c r="V231" s="55" t="str">
        <f aca="false">IF(ISBLANK(C231), "", IF(T231, Constants!$B$11, IF(COUNTA(E231:K231)=0, Constants!$B$12, IF(NOT(AND(P231,S231&lt;&gt;0)), Constants!$B$13, IF(O231, Constants!$B$15, Constants!$B$14)))))</f>
        <v/>
      </c>
      <c r="W231" s="55" t="str">
        <f aca="false">IF(OR(ISBLANK($C231), SUMPRODUCT(--(P231:T231&lt;&gt;""))=0), "", IF(V231&lt;&gt;Constants!$B$14, V231, IF(AND(NOT(ISBLANK(J231)),P231,Q231,R231&lt;&gt;Constants!$B$2), Constants!$B$7, IF(AND(P231,OR(NOT(Q231),R231=Constants!$B$2)), Constants!$B$8, "Error"))))</f>
        <v/>
      </c>
      <c r="X231" s="56" t="str">
        <f aca="false">IF(OR(W231=Constants!$B$7,W231=Constants!$B$8), MAX(0, MIN(Constants!$B$6, S231))+IF(AND(R231=Constants!$B$4, NOT(U231)), Constants!$B$5, 0), "")</f>
        <v/>
      </c>
      <c r="Y231" s="55" t="str">
        <f aca="false">IF(ISBLANK($C231),"",IF(AND(ISNUMBER(X231),N231&gt;0),X231/N231, "") )</f>
        <v/>
      </c>
      <c r="Z231" s="55" t="str">
        <f aca="false">IF(AND(NOT(ISBLANK($C231)), W231=Constants!$B$7), Y231, "")</f>
        <v/>
      </c>
      <c r="AA231" s="55" t="str">
        <f aca="false">IF(ISNUMBER(Z231), RANK(Z231,Z$8:Z$507), "")</f>
        <v/>
      </c>
      <c r="AB231" s="55" t="str">
        <f aca="false">IF(AND(NOT(ISBLANK($C231)), W231=Constants!$B$8), Y231, "")</f>
        <v/>
      </c>
      <c r="AC231" s="55" t="str">
        <f aca="false">IF(ISNUMBER(AB231), RANK(AB231,AB$8:AB$507), "")</f>
        <v/>
      </c>
      <c r="AD231" s="55" t="str">
        <f aca="false">IF(ISBLANK($C231),"",IF(V231&lt;&gt;Constants!$B$14, V231, IF(W231=Constants!$B$7, AA231, IF(W231=Constants!$B$8, COUNT($AA$8:$AA$507) + AC231, ""))))</f>
        <v/>
      </c>
      <c r="AE231" s="55" t="str">
        <f aca="false">N231</f>
        <v/>
      </c>
      <c r="AF231" s="55" t="str">
        <f aca="false">IF(ISNUMBER(AE231), RANK(AE231,AE$8:AE$507,1), "")</f>
        <v/>
      </c>
      <c r="AG231" s="57" t="str">
        <f aca="false">IF(ISBLANK(C231), "", ABS(M231-S231))</f>
        <v/>
      </c>
      <c r="AH231" s="55" t="str">
        <f aca="false">IF(ISNUMBER(AG231), RANK(AG231,AG$8:AG$507,1), "")</f>
        <v/>
      </c>
      <c r="AI231" s="55" t="str">
        <f aca="false">IF(ISBLANK(C231),"",IF(V231&lt;&gt;Constants!$B$14, V231, RANK(AD231, AD$8:AD$507, 1)+ SUMPRODUCT(--(AD$8:AD$507=AD231),--(AF231&gt;AF$8:AF$507)) + SUMPRODUCT(--(AD$8:AD$507=AD231),--(AF231=AF$8:AF$507),--(AH231&gt;AH$8:AH$507))))</f>
        <v/>
      </c>
      <c r="AJ231" s="55" t="str">
        <f aca="false">IF(ISBLANK(C231),"",IF(V231&lt;&gt;Constants!$B$14, V231, AD231-AI231))</f>
        <v/>
      </c>
      <c r="AK231" s="59"/>
      <c r="AL231" s="60" t="str">
        <f aca="false">IF(ISBLANK($C231),"",IF($V231&lt;&gt;Constants!$B$14,$V231,X231))</f>
        <v/>
      </c>
      <c r="AM231" s="60" t="str">
        <f aca="false">IF(ISBLANK($C231),"",IF($V231&lt;&gt;Constants!$B$14,$V231,N231))</f>
        <v/>
      </c>
      <c r="AN231" s="62" t="str">
        <f aca="false">IF(ISBLANK(C231),"",IF(V231&lt;&gt;Constants!$B$14, V231, IF(W231=Constants!$B$7,Z231,IF(W231=Constants!$B$8,AB231,""))))</f>
        <v/>
      </c>
      <c r="AO231" s="63" t="str">
        <f aca="false">IF(ISBLANK(C231),"",W231)</f>
        <v/>
      </c>
      <c r="AP231" s="63" t="str">
        <f aca="false">IF(ISBLANK(C231),"",AJ231)</f>
        <v/>
      </c>
      <c r="AQ231" s="63" t="str">
        <f aca="false">IF(ISBLANK(C231),"",AI231)</f>
        <v/>
      </c>
      <c r="AR231" s="64" t="str">
        <f aca="false">IF(ISBLANK(C231),
  "",
IF(AQ231=Constants!$B$11,COUNTA($C$8:$C$507)+2,IF(AQ231=Constants!$B$12,COUNTA($C$8:$C$507)+1,IF(AQ231=Constants!$B$13,COUNTA($C$8:$C$507),AQ231))))</f>
        <v/>
      </c>
      <c r="AS231" s="3"/>
      <c r="AT231" s="65" t="n">
        <f aca="false">IF(OR(ISNUMBER(AQ231),AQ231="DQ",AQ231="P",AQ231="NS"),
    1,
    0
)</f>
        <v>0</v>
      </c>
      <c r="AU231" s="65" t="n">
        <v>224</v>
      </c>
      <c r="AV231" s="65" t="str">
        <f aca="false">IF(ISBLANK($C231),
    "",
   IF(ISNUMBER(AR231),AR231+ROW($B231)/1000,"")
)</f>
        <v/>
      </c>
      <c r="AW231" s="65" t="str">
        <f aca="false">IF(ISNUMBER(AV231), RANK(AV231,AV$8:AV$507,1), "")</f>
        <v/>
      </c>
      <c r="AX231" s="65" t="str">
        <f aca="false">IF(ISBLANK($C231),
    "",
    $B231
)</f>
        <v/>
      </c>
      <c r="AY231" s="65" t="str">
        <f aca="false">IF(ISBLANK($C231),
    "",
    $C231
)</f>
        <v/>
      </c>
      <c r="AZ231" s="65" t="str">
        <f aca="false">IF(ISBLANK($C231),
    "",
    $D231
)</f>
        <v/>
      </c>
      <c r="BA231" s="65" t="str">
        <f aca="false">AO231</f>
        <v/>
      </c>
      <c r="BB231" s="66" t="str">
        <f aca="false">AN231</f>
        <v/>
      </c>
      <c r="BC231" s="65" t="str">
        <f aca="false">IF(ISBLANK($C231),
    "",
    AQ231
)</f>
        <v/>
      </c>
      <c r="BD231" s="67" t="str">
        <f aca="false">IF(AU231&gt;AT$7,
    "",
    VLOOKUP(AU231,AW$8:BC$507,7,FALSE())
)</f>
        <v/>
      </c>
      <c r="BE231" s="68" t="str">
        <f aca="false">IF(AU231&gt;AT$7,
    "",
    VLOOKUP(AU231,AW$8:BC$507,2,FALSE())
)</f>
        <v/>
      </c>
      <c r="BF231" s="68" t="str">
        <f aca="false">IF(AU231&gt;AT$7,
    "",
    VLOOKUP(AU231,AW$8:BC$507,3,FALSE())
)</f>
        <v/>
      </c>
      <c r="BG231" s="68" t="str">
        <f aca="false">IF(AU231&gt;AT$7,
    "",
    VLOOKUP(AU231,AW$8:BC$507,4,FALSE())
)</f>
        <v/>
      </c>
      <c r="BH231" s="68" t="str">
        <f aca="false">IF(AU231&gt;AT$7,
    "",
    VLOOKUP(AU231,AW$8:BC$507,5,FALSE())
)</f>
        <v/>
      </c>
      <c r="BI231" s="69" t="str">
        <f aca="false">IF(AU231&gt;AT$7,
    "",
    VLOOKUP(AU231,AW$8:BC$507,6,FALSE())
)</f>
        <v/>
      </c>
      <c r="BJ231" s="46"/>
    </row>
    <row r="232" customFormat="false" ht="15.75" hidden="false" customHeight="false" outlineLevel="0" collapsed="false">
      <c r="A232" s="3"/>
      <c r="B232" s="108"/>
      <c r="C232" s="70"/>
      <c r="D232" s="49"/>
      <c r="E232" s="109"/>
      <c r="F232" s="72"/>
      <c r="G232" s="109"/>
      <c r="H232" s="74"/>
      <c r="I232" s="104"/>
      <c r="J232" s="74"/>
      <c r="K232" s="74"/>
      <c r="L232" s="55"/>
      <c r="M232" s="55" t="str">
        <f aca="false">IF(ISBLANK($C232),"",IF(ISBLANK(E232),0,E232))</f>
        <v/>
      </c>
      <c r="N232" s="55" t="str">
        <f aca="false">IF(ISBLANK($C232),"",IF(ISBLANK(F232),0,F232))</f>
        <v/>
      </c>
      <c r="O232" s="55" t="e">
        <f aca="false">IF(AND(NOT(ISBLANK($C232)),NOT($T232),COUNTA($E232:$K232)&gt;0),ISBLANK($F232),FALSE())</f>
        <v>#VALUE!</v>
      </c>
      <c r="P232" s="55" t="str">
        <f aca="false">IF(ISBLANK($C232),"",IF(G232=Constants!$B$9, TRUE(), IF(G232=Constants!$B$10, FALSE(), TRUE())))</f>
        <v/>
      </c>
      <c r="Q232" s="55" t="str">
        <f aca="false">IF(ISBLANK($C232),"",IF(H232=Constants!$B$9, TRUE(), IF(H232=Constants!$B$10, FALSE(), TRUE())))</f>
        <v/>
      </c>
      <c r="R232" s="55" t="str">
        <f aca="false">IF(ISBLANK($C232),"",IF(ISBLANK(I232),Constants!$B$3,I232))</f>
        <v/>
      </c>
      <c r="S232" s="55" t="str">
        <f aca="false">IF(ISBLANK($C232),"",IF(ISBLANK(J232),0,MIN(J232,Constants!$B$6)))</f>
        <v/>
      </c>
      <c r="T232" s="55" t="str">
        <f aca="false">IF(ISBLANK($C232),"",IF(K232=Constants!$B$9, TRUE(), IF(K232=Constants!$B$10, FALSE(),  FALSE())))</f>
        <v/>
      </c>
      <c r="U232" s="55" t="str">
        <f aca="false">IF(ISBLANK($C232),"",AND(R232=Constants!$B$4, S232&lt;Constants!$B$6))</f>
        <v/>
      </c>
      <c r="V232" s="55" t="str">
        <f aca="false">IF(ISBLANK(C232), "", IF(T232, Constants!$B$11, IF(COUNTA(E232:K232)=0, Constants!$B$12, IF(NOT(AND(P232,S232&lt;&gt;0)), Constants!$B$13, IF(O232, Constants!$B$15, Constants!$B$14)))))</f>
        <v/>
      </c>
      <c r="W232" s="55" t="str">
        <f aca="false">IF(OR(ISBLANK($C232), SUMPRODUCT(--(P232:T232&lt;&gt;""))=0), "", IF(V232&lt;&gt;Constants!$B$14, V232, IF(AND(NOT(ISBLANK(J232)),P232,Q232,R232&lt;&gt;Constants!$B$2), Constants!$B$7, IF(AND(P232,OR(NOT(Q232),R232=Constants!$B$2)), Constants!$B$8, "Error"))))</f>
        <v/>
      </c>
      <c r="X232" s="56" t="str">
        <f aca="false">IF(OR(W232=Constants!$B$7,W232=Constants!$B$8), MAX(0, MIN(Constants!$B$6, S232))+IF(AND(R232=Constants!$B$4, NOT(U232)), Constants!$B$5, 0), "")</f>
        <v/>
      </c>
      <c r="Y232" s="55" t="str">
        <f aca="false">IF(ISBLANK($C232),"",IF(AND(ISNUMBER(X232),N232&gt;0),X232/N232, "") )</f>
        <v/>
      </c>
      <c r="Z232" s="55" t="str">
        <f aca="false">IF(AND(NOT(ISBLANK($C232)), W232=Constants!$B$7), Y232, "")</f>
        <v/>
      </c>
      <c r="AA232" s="55" t="str">
        <f aca="false">IF(ISNUMBER(Z232), RANK(Z232,Z$8:Z$507), "")</f>
        <v/>
      </c>
      <c r="AB232" s="55" t="str">
        <f aca="false">IF(AND(NOT(ISBLANK($C232)), W232=Constants!$B$8), Y232, "")</f>
        <v/>
      </c>
      <c r="AC232" s="55" t="str">
        <f aca="false">IF(ISNUMBER(AB232), RANK(AB232,AB$8:AB$507), "")</f>
        <v/>
      </c>
      <c r="AD232" s="55" t="str">
        <f aca="false">IF(ISBLANK($C232),"",IF(V232&lt;&gt;Constants!$B$14, V232, IF(W232=Constants!$B$7, AA232, IF(W232=Constants!$B$8, COUNT($AA$8:$AA$507) + AC232, ""))))</f>
        <v/>
      </c>
      <c r="AE232" s="55" t="str">
        <f aca="false">N232</f>
        <v/>
      </c>
      <c r="AF232" s="55" t="str">
        <f aca="false">IF(ISNUMBER(AE232), RANK(AE232,AE$8:AE$507,1), "")</f>
        <v/>
      </c>
      <c r="AG232" s="57" t="str">
        <f aca="false">IF(ISBLANK(C232), "", ABS(M232-S232))</f>
        <v/>
      </c>
      <c r="AH232" s="55" t="str">
        <f aca="false">IF(ISNUMBER(AG232), RANK(AG232,AG$8:AG$507,1), "")</f>
        <v/>
      </c>
      <c r="AI232" s="55" t="str">
        <f aca="false">IF(ISBLANK(C232),"",IF(V232&lt;&gt;Constants!$B$14, V232, RANK(AD232, AD$8:AD$507, 1)+ SUMPRODUCT(--(AD$8:AD$507=AD232),--(AF232&gt;AF$8:AF$507)) + SUMPRODUCT(--(AD$8:AD$507=AD232),--(AF232=AF$8:AF$507),--(AH232&gt;AH$8:AH$507))))</f>
        <v/>
      </c>
      <c r="AJ232" s="55" t="str">
        <f aca="false">IF(ISBLANK(C232),"",IF(V232&lt;&gt;Constants!$B$14, V232, AD232-AI232))</f>
        <v/>
      </c>
      <c r="AK232" s="59"/>
      <c r="AL232" s="60" t="str">
        <f aca="false">IF(ISBLANK($C232),"",IF($V232&lt;&gt;Constants!$B$14,$V232,X232))</f>
        <v/>
      </c>
      <c r="AM232" s="60" t="str">
        <f aca="false">IF(ISBLANK($C232),"",IF($V232&lt;&gt;Constants!$B$14,$V232,N232))</f>
        <v/>
      </c>
      <c r="AN232" s="62" t="str">
        <f aca="false">IF(ISBLANK(C232),"",IF(V232&lt;&gt;Constants!$B$14, V232, IF(W232=Constants!$B$7,Z232,IF(W232=Constants!$B$8,AB232,""))))</f>
        <v/>
      </c>
      <c r="AO232" s="63" t="str">
        <f aca="false">IF(ISBLANK(C232),"",W232)</f>
        <v/>
      </c>
      <c r="AP232" s="63" t="str">
        <f aca="false">IF(ISBLANK(C232),"",AJ232)</f>
        <v/>
      </c>
      <c r="AQ232" s="63" t="str">
        <f aca="false">IF(ISBLANK(C232),"",AI232)</f>
        <v/>
      </c>
      <c r="AR232" s="64" t="str">
        <f aca="false">IF(ISBLANK(C232),
  "",
IF(AQ232=Constants!$B$11,COUNTA($C$8:$C$507)+2,IF(AQ232=Constants!$B$12,COUNTA($C$8:$C$507)+1,IF(AQ232=Constants!$B$13,COUNTA($C$8:$C$507),AQ232))))</f>
        <v/>
      </c>
      <c r="AS232" s="3"/>
      <c r="AT232" s="65" t="n">
        <f aca="false">IF(OR(ISNUMBER(AQ232),AQ232="DQ",AQ232="P",AQ232="NS"),
    1,
    0
)</f>
        <v>0</v>
      </c>
      <c r="AU232" s="65" t="n">
        <v>225</v>
      </c>
      <c r="AV232" s="65" t="str">
        <f aca="false">IF(ISBLANK($C232),
    "",
   IF(ISNUMBER(AR232),AR232+ROW($B232)/1000,"")
)</f>
        <v/>
      </c>
      <c r="AW232" s="65" t="str">
        <f aca="false">IF(ISNUMBER(AV232), RANK(AV232,AV$8:AV$507,1), "")</f>
        <v/>
      </c>
      <c r="AX232" s="65" t="str">
        <f aca="false">IF(ISBLANK($C232),
    "",
    $B232
)</f>
        <v/>
      </c>
      <c r="AY232" s="65" t="str">
        <f aca="false">IF(ISBLANK($C232),
    "",
    $C232
)</f>
        <v/>
      </c>
      <c r="AZ232" s="65" t="str">
        <f aca="false">IF(ISBLANK($C232),
    "",
    $D232
)</f>
        <v/>
      </c>
      <c r="BA232" s="65" t="str">
        <f aca="false">AO232</f>
        <v/>
      </c>
      <c r="BB232" s="66" t="str">
        <f aca="false">AN232</f>
        <v/>
      </c>
      <c r="BC232" s="65" t="str">
        <f aca="false">IF(ISBLANK($C232),
    "",
    AQ232
)</f>
        <v/>
      </c>
      <c r="BD232" s="67" t="str">
        <f aca="false">IF(AU232&gt;AT$7,
    "",
    VLOOKUP(AU232,AW$8:BC$507,7,FALSE())
)</f>
        <v/>
      </c>
      <c r="BE232" s="68" t="str">
        <f aca="false">IF(AU232&gt;AT$7,
    "",
    VLOOKUP(AU232,AW$8:BC$507,2,FALSE())
)</f>
        <v/>
      </c>
      <c r="BF232" s="68" t="str">
        <f aca="false">IF(AU232&gt;AT$7,
    "",
    VLOOKUP(AU232,AW$8:BC$507,3,FALSE())
)</f>
        <v/>
      </c>
      <c r="BG232" s="68" t="str">
        <f aca="false">IF(AU232&gt;AT$7,
    "",
    VLOOKUP(AU232,AW$8:BC$507,4,FALSE())
)</f>
        <v/>
      </c>
      <c r="BH232" s="68" t="str">
        <f aca="false">IF(AU232&gt;AT$7,
    "",
    VLOOKUP(AU232,AW$8:BC$507,5,FALSE())
)</f>
        <v/>
      </c>
      <c r="BI232" s="69" t="str">
        <f aca="false">IF(AU232&gt;AT$7,
    "",
    VLOOKUP(AU232,AW$8:BC$507,6,FALSE())
)</f>
        <v/>
      </c>
      <c r="BJ232" s="46"/>
    </row>
    <row r="233" customFormat="false" ht="15.75" hidden="false" customHeight="false" outlineLevel="0" collapsed="false">
      <c r="A233" s="3"/>
      <c r="B233" s="105"/>
      <c r="C233" s="106"/>
      <c r="D233" s="99"/>
      <c r="E233" s="110"/>
      <c r="F233" s="107"/>
      <c r="G233" s="110"/>
      <c r="H233" s="103"/>
      <c r="I233" s="102"/>
      <c r="J233" s="103"/>
      <c r="K233" s="103"/>
      <c r="L233" s="85"/>
      <c r="M233" s="85" t="str">
        <f aca="false">IF(ISBLANK($C233),"",IF(ISBLANK(E233),0,E233))</f>
        <v/>
      </c>
      <c r="N233" s="85" t="str">
        <f aca="false">IF(ISBLANK($C233),"",IF(ISBLANK(F233),0,F233))</f>
        <v/>
      </c>
      <c r="O233" s="86" t="e">
        <f aca="false">IF(AND(NOT(ISBLANK($C233)),NOT($T233),COUNTA($E233:$K233)&gt;0),ISBLANK($F233),FALSE())</f>
        <v>#VALUE!</v>
      </c>
      <c r="P233" s="85" t="str">
        <f aca="false">IF(ISBLANK($C233),"",IF(G233=Constants!$B$9, TRUE(), IF(G233=Constants!$B$10, FALSE(), TRUE())))</f>
        <v/>
      </c>
      <c r="Q233" s="85" t="str">
        <f aca="false">IF(ISBLANK($C233),"",IF(H233=Constants!$B$9, TRUE(), IF(H233=Constants!$B$10, FALSE(), TRUE())))</f>
        <v/>
      </c>
      <c r="R233" s="85" t="str">
        <f aca="false">IF(ISBLANK($C233),"",IF(ISBLANK(I233),Constants!$B$3,I233))</f>
        <v/>
      </c>
      <c r="S233" s="85" t="str">
        <f aca="false">IF(ISBLANK($C233),"",IF(ISBLANK(J233),0,MIN(J233,Constants!$B$6)))</f>
        <v/>
      </c>
      <c r="T233" s="85" t="str">
        <f aca="false">IF(ISBLANK($C233),"",IF(K233=Constants!$B$9, TRUE(), IF(K233=Constants!$B$10, FALSE(),  FALSE())))</f>
        <v/>
      </c>
      <c r="U233" s="85" t="str">
        <f aca="false">IF(ISBLANK($C233),"",AND(R233=Constants!$B$4, S233&lt;Constants!$B$6))</f>
        <v/>
      </c>
      <c r="V233" s="85" t="str">
        <f aca="false">IF(ISBLANK(C233), "", IF(T233, Constants!$B$11, IF(COUNTA(E233:K233)=0, Constants!$B$12, IF(NOT(AND(P233,S233&lt;&gt;0)), Constants!$B$13, IF(O233, Constants!$B$15, Constants!$B$14)))))</f>
        <v/>
      </c>
      <c r="W233" s="85" t="str">
        <f aca="false">IF(OR(ISBLANK($C233), SUMPRODUCT(--(P233:T233&lt;&gt;""))=0), "", IF(V233&lt;&gt;Constants!$B$14, V233, IF(AND(NOT(ISBLANK(J233)),P233,Q233,R233&lt;&gt;Constants!$B$2), Constants!$B$7, IF(AND(P233,OR(NOT(Q233),R233=Constants!$B$2)), Constants!$B$8, "Error"))))</f>
        <v/>
      </c>
      <c r="X233" s="87" t="str">
        <f aca="false">IF(OR(W233=Constants!$B$7,W233=Constants!$B$8), MAX(0, MIN(Constants!$B$6, S233))+IF(AND(R233=Constants!$B$4, NOT(U233)), Constants!$B$5, 0), "")</f>
        <v/>
      </c>
      <c r="Y233" s="85" t="str">
        <f aca="false">IF(ISBLANK($C233),"",IF(AND(ISNUMBER(X233),N233&gt;0),X233/N233, "") )</f>
        <v/>
      </c>
      <c r="Z233" s="85" t="str">
        <f aca="false">IF(AND(NOT(ISBLANK($C233)), W233=Constants!$B$7), Y233, "")</f>
        <v/>
      </c>
      <c r="AA233" s="85" t="str">
        <f aca="false">IF(ISNUMBER(Z233), RANK(Z233,Z$8:Z$507), "")</f>
        <v/>
      </c>
      <c r="AB233" s="85" t="str">
        <f aca="false">IF(AND(NOT(ISBLANK($C233)), W233=Constants!$B$8), Y233, "")</f>
        <v/>
      </c>
      <c r="AC233" s="85" t="str">
        <f aca="false">IF(ISNUMBER(AB233), RANK(AB233,AB$8:AB$507), "")</f>
        <v/>
      </c>
      <c r="AD233" s="85" t="str">
        <f aca="false">IF(ISBLANK($C233),"",IF(V233&lt;&gt;Constants!$B$14, V233, IF(W233=Constants!$B$7, AA233, IF(W233=Constants!$B$8, COUNT($AA$8:$AA$507) + AC233, ""))))</f>
        <v/>
      </c>
      <c r="AE233" s="85" t="str">
        <f aca="false">N233</f>
        <v/>
      </c>
      <c r="AF233" s="85" t="str">
        <f aca="false">IF(ISNUMBER(AE233), RANK(AE233,AE$8:AE$507,1), "")</f>
        <v/>
      </c>
      <c r="AG233" s="88" t="str">
        <f aca="false">IF(ISBLANK(C233), "", ABS(M233-S233))</f>
        <v/>
      </c>
      <c r="AH233" s="85" t="str">
        <f aca="false">IF(ISNUMBER(AG233), RANK(AG233,AG$8:AG$507,1), "")</f>
        <v/>
      </c>
      <c r="AI233" s="85" t="str">
        <f aca="false">IF(ISBLANK(C233),"",IF(V233&lt;&gt;Constants!$B$14, V233, RANK(AD233, AD$8:AD$507, 1)+ SUMPRODUCT(--(AD$8:AD$507=AD233),--(AF233&gt;AF$8:AF$507)) + SUMPRODUCT(--(AD$8:AD$507=AD233),--(AF233=AF$8:AF$507),--(AH233&gt;AH$8:AH$507))))</f>
        <v/>
      </c>
      <c r="AJ233" s="85" t="str">
        <f aca="false">IF(ISBLANK(C233),"",IF(V233&lt;&gt;Constants!$B$14, V233, AD233-AI233))</f>
        <v/>
      </c>
      <c r="AK233" s="89"/>
      <c r="AL233" s="90" t="str">
        <f aca="false">IF(ISBLANK($C233),"",IF($V233&lt;&gt;Constants!$B$14,$V233,X233))</f>
        <v/>
      </c>
      <c r="AM233" s="90" t="str">
        <f aca="false">IF(ISBLANK($C233),"",IF($V233&lt;&gt;Constants!$B$14,$V233,N233))</f>
        <v/>
      </c>
      <c r="AN233" s="91" t="str">
        <f aca="false">IF(ISBLANK(C233),"",IF(V233&lt;&gt;Constants!$B$14, V233, IF(W233=Constants!$B$7,Z233,IF(W233=Constants!$B$8,AB233,""))))</f>
        <v/>
      </c>
      <c r="AO233" s="92" t="str">
        <f aca="false">IF(ISBLANK(C233),"",W233)</f>
        <v/>
      </c>
      <c r="AP233" s="92" t="str">
        <f aca="false">IF(ISBLANK(C233),"",AJ233)</f>
        <v/>
      </c>
      <c r="AQ233" s="92" t="str">
        <f aca="false">IF(ISBLANK(C233),"",AI233)</f>
        <v/>
      </c>
      <c r="AR233" s="93" t="str">
        <f aca="false">IF(ISBLANK(C233),
  "",
IF(AQ233=Constants!$B$11,COUNTA($C$8:$C$507)+2,IF(AQ233=Constants!$B$12,COUNTA($C$8:$C$507)+1,IF(AQ233=Constants!$B$13,COUNTA($C$8:$C$507),AQ233))))</f>
        <v/>
      </c>
      <c r="AS233" s="3"/>
      <c r="AT233" s="94" t="n">
        <f aca="false">IF(OR(ISNUMBER(AQ233),AQ233="DQ",AQ233="P",AQ233="NS"),
    1,
    0
)</f>
        <v>0</v>
      </c>
      <c r="AU233" s="94" t="n">
        <v>226</v>
      </c>
      <c r="AV233" s="94" t="str">
        <f aca="false">IF(ISBLANK($C233),
    "",
   IF(ISNUMBER(AR233),AR233+ROW($B233)/1000,"")
)</f>
        <v/>
      </c>
      <c r="AW233" s="94" t="str">
        <f aca="false">IF(ISNUMBER(AV233), RANK(AV233,AV$8:AV$507,1), "")</f>
        <v/>
      </c>
      <c r="AX233" s="94" t="str">
        <f aca="false">IF(ISBLANK($C233),
    "",
    $B233
)</f>
        <v/>
      </c>
      <c r="AY233" s="94" t="str">
        <f aca="false">IF(ISBLANK($C233),
    "",
    $C233
)</f>
        <v/>
      </c>
      <c r="AZ233" s="94" t="str">
        <f aca="false">IF(ISBLANK($C233),
    "",
    $D233
)</f>
        <v/>
      </c>
      <c r="BA233" s="94" t="str">
        <f aca="false">AO233</f>
        <v/>
      </c>
      <c r="BB233" s="95" t="str">
        <f aca="false">AN233</f>
        <v/>
      </c>
      <c r="BC233" s="94" t="str">
        <f aca="false">IF(ISBLANK($C233),
    "",
    AQ233
)</f>
        <v/>
      </c>
      <c r="BD233" s="96" t="str">
        <f aca="false">IF(AU233&gt;AT$7,
    "",
    VLOOKUP(AU233,AW$8:BC$507,7,FALSE())
)</f>
        <v/>
      </c>
      <c r="BE233" s="97" t="str">
        <f aca="false">IF(AU233&gt;AT$7,
    "",
    VLOOKUP(AU233,AW$8:BC$507,2,FALSE())
)</f>
        <v/>
      </c>
      <c r="BF233" s="97" t="str">
        <f aca="false">IF(AU233&gt;AT$7,
    "",
    VLOOKUP(AU233,AW$8:BC$507,3,FALSE())
)</f>
        <v/>
      </c>
      <c r="BG233" s="97" t="str">
        <f aca="false">IF(AU233&gt;AT$7,
    "",
    VLOOKUP(AU233,AW$8:BC$507,4,FALSE())
)</f>
        <v/>
      </c>
      <c r="BH233" s="97" t="str">
        <f aca="false">IF(AU233&gt;AT$7,
    "",
    VLOOKUP(AU233,AW$8:BC$507,5,FALSE())
)</f>
        <v/>
      </c>
      <c r="BI233" s="98" t="str">
        <f aca="false">IF(AU233&gt;AT$7,
    "",
    VLOOKUP(AU233,AW$8:BC$507,6,FALSE())
)</f>
        <v/>
      </c>
      <c r="BJ233" s="46"/>
    </row>
    <row r="234" customFormat="false" ht="15.75" hidden="false" customHeight="false" outlineLevel="0" collapsed="false">
      <c r="A234" s="3"/>
      <c r="B234" s="105"/>
      <c r="C234" s="106"/>
      <c r="D234" s="99"/>
      <c r="E234" s="110"/>
      <c r="F234" s="107"/>
      <c r="G234" s="110"/>
      <c r="H234" s="103"/>
      <c r="I234" s="102"/>
      <c r="J234" s="103"/>
      <c r="K234" s="103"/>
      <c r="L234" s="85"/>
      <c r="M234" s="85" t="str">
        <f aca="false">IF(ISBLANK($C234),"",IF(ISBLANK(E234),0,E234))</f>
        <v/>
      </c>
      <c r="N234" s="85" t="str">
        <f aca="false">IF(ISBLANK($C234),"",IF(ISBLANK(F234),0,F234))</f>
        <v/>
      </c>
      <c r="O234" s="86" t="e">
        <f aca="false">IF(AND(NOT(ISBLANK($C234)),NOT($T234),COUNTA($E234:$K234)&gt;0),ISBLANK($F234),FALSE())</f>
        <v>#VALUE!</v>
      </c>
      <c r="P234" s="85" t="str">
        <f aca="false">IF(ISBLANK($C234),"",IF(G234=Constants!$B$9, TRUE(), IF(G234=Constants!$B$10, FALSE(), TRUE())))</f>
        <v/>
      </c>
      <c r="Q234" s="85" t="str">
        <f aca="false">IF(ISBLANK($C234),"",IF(H234=Constants!$B$9, TRUE(), IF(H234=Constants!$B$10, FALSE(), TRUE())))</f>
        <v/>
      </c>
      <c r="R234" s="85" t="str">
        <f aca="false">IF(ISBLANK($C234),"",IF(ISBLANK(I234),Constants!$B$3,I234))</f>
        <v/>
      </c>
      <c r="S234" s="85" t="str">
        <f aca="false">IF(ISBLANK($C234),"",IF(ISBLANK(J234),0,MIN(J234,Constants!$B$6)))</f>
        <v/>
      </c>
      <c r="T234" s="85" t="str">
        <f aca="false">IF(ISBLANK($C234),"",IF(K234=Constants!$B$9, TRUE(), IF(K234=Constants!$B$10, FALSE(),  FALSE())))</f>
        <v/>
      </c>
      <c r="U234" s="85" t="str">
        <f aca="false">IF(ISBLANK($C234),"",AND(R234=Constants!$B$4, S234&lt;Constants!$B$6))</f>
        <v/>
      </c>
      <c r="V234" s="85" t="str">
        <f aca="false">IF(ISBLANK(C234), "", IF(T234, Constants!$B$11, IF(COUNTA(E234:K234)=0, Constants!$B$12, IF(NOT(AND(P234,S234&lt;&gt;0)), Constants!$B$13, IF(O234, Constants!$B$15, Constants!$B$14)))))</f>
        <v/>
      </c>
      <c r="W234" s="85" t="str">
        <f aca="false">IF(OR(ISBLANK($C234), SUMPRODUCT(--(P234:T234&lt;&gt;""))=0), "", IF(V234&lt;&gt;Constants!$B$14, V234, IF(AND(NOT(ISBLANK(J234)),P234,Q234,R234&lt;&gt;Constants!$B$2), Constants!$B$7, IF(AND(P234,OR(NOT(Q234),R234=Constants!$B$2)), Constants!$B$8, "Error"))))</f>
        <v/>
      </c>
      <c r="X234" s="87" t="str">
        <f aca="false">IF(OR(W234=Constants!$B$7,W234=Constants!$B$8), MAX(0, MIN(Constants!$B$6, S234))+IF(AND(R234=Constants!$B$4, NOT(U234)), Constants!$B$5, 0), "")</f>
        <v/>
      </c>
      <c r="Y234" s="85" t="str">
        <f aca="false">IF(ISBLANK($C234),"",IF(AND(ISNUMBER(X234),N234&gt;0),X234/N234, "") )</f>
        <v/>
      </c>
      <c r="Z234" s="85" t="str">
        <f aca="false">IF(AND(NOT(ISBLANK($C234)), W234=Constants!$B$7), Y234, "")</f>
        <v/>
      </c>
      <c r="AA234" s="85" t="str">
        <f aca="false">IF(ISNUMBER(Z234), RANK(Z234,Z$8:Z$507), "")</f>
        <v/>
      </c>
      <c r="AB234" s="85" t="str">
        <f aca="false">IF(AND(NOT(ISBLANK($C234)), W234=Constants!$B$8), Y234, "")</f>
        <v/>
      </c>
      <c r="AC234" s="85" t="str">
        <f aca="false">IF(ISNUMBER(AB234), RANK(AB234,AB$8:AB$507), "")</f>
        <v/>
      </c>
      <c r="AD234" s="85" t="str">
        <f aca="false">IF(ISBLANK($C234),"",IF(V234&lt;&gt;Constants!$B$14, V234, IF(W234=Constants!$B$7, AA234, IF(W234=Constants!$B$8, COUNT($AA$8:$AA$507) + AC234, ""))))</f>
        <v/>
      </c>
      <c r="AE234" s="85" t="str">
        <f aca="false">N234</f>
        <v/>
      </c>
      <c r="AF234" s="85" t="str">
        <f aca="false">IF(ISNUMBER(AE234), RANK(AE234,AE$8:AE$507,1), "")</f>
        <v/>
      </c>
      <c r="AG234" s="88" t="str">
        <f aca="false">IF(ISBLANK(C234), "", ABS(M234-S234))</f>
        <v/>
      </c>
      <c r="AH234" s="85" t="str">
        <f aca="false">IF(ISNUMBER(AG234), RANK(AG234,AG$8:AG$507,1), "")</f>
        <v/>
      </c>
      <c r="AI234" s="85" t="str">
        <f aca="false">IF(ISBLANK(C234),"",IF(V234&lt;&gt;Constants!$B$14, V234, RANK(AD234, AD$8:AD$507, 1)+ SUMPRODUCT(--(AD$8:AD$507=AD234),--(AF234&gt;AF$8:AF$507)) + SUMPRODUCT(--(AD$8:AD$507=AD234),--(AF234=AF$8:AF$507),--(AH234&gt;AH$8:AH$507))))</f>
        <v/>
      </c>
      <c r="AJ234" s="85" t="str">
        <f aca="false">IF(ISBLANK(C234),"",IF(V234&lt;&gt;Constants!$B$14, V234, AD234-AI234))</f>
        <v/>
      </c>
      <c r="AK234" s="89"/>
      <c r="AL234" s="90" t="str">
        <f aca="false">IF(ISBLANK($C234),"",IF($V234&lt;&gt;Constants!$B$14,$V234,X234))</f>
        <v/>
      </c>
      <c r="AM234" s="90" t="str">
        <f aca="false">IF(ISBLANK($C234),"",IF($V234&lt;&gt;Constants!$B$14,$V234,N234))</f>
        <v/>
      </c>
      <c r="AN234" s="91" t="str">
        <f aca="false">IF(ISBLANK(C234),"",IF(V234&lt;&gt;Constants!$B$14, V234, IF(W234=Constants!$B$7,Z234,IF(W234=Constants!$B$8,AB234,""))))</f>
        <v/>
      </c>
      <c r="AO234" s="92" t="str">
        <f aca="false">IF(ISBLANK(C234),"",W234)</f>
        <v/>
      </c>
      <c r="AP234" s="92" t="str">
        <f aca="false">IF(ISBLANK(C234),"",AJ234)</f>
        <v/>
      </c>
      <c r="AQ234" s="92" t="str">
        <f aca="false">IF(ISBLANK(C234),"",AI234)</f>
        <v/>
      </c>
      <c r="AR234" s="93" t="str">
        <f aca="false">IF(ISBLANK(C234),
  "",
IF(AQ234=Constants!$B$11,COUNTA($C$8:$C$507)+2,IF(AQ234=Constants!$B$12,COUNTA($C$8:$C$507)+1,IF(AQ234=Constants!$B$13,COUNTA($C$8:$C$507),AQ234))))</f>
        <v/>
      </c>
      <c r="AS234" s="3"/>
      <c r="AT234" s="94" t="n">
        <f aca="false">IF(OR(ISNUMBER(AQ234),AQ234="DQ",AQ234="P",AQ234="NS"),
    1,
    0
)</f>
        <v>0</v>
      </c>
      <c r="AU234" s="94" t="n">
        <v>227</v>
      </c>
      <c r="AV234" s="94" t="str">
        <f aca="false">IF(ISBLANK($C234),
    "",
   IF(ISNUMBER(AR234),AR234+ROW($B234)/1000,"")
)</f>
        <v/>
      </c>
      <c r="AW234" s="94" t="str">
        <f aca="false">IF(ISNUMBER(AV234), RANK(AV234,AV$8:AV$507,1), "")</f>
        <v/>
      </c>
      <c r="AX234" s="94" t="str">
        <f aca="false">IF(ISBLANK($C234),
    "",
    $B234
)</f>
        <v/>
      </c>
      <c r="AY234" s="94" t="str">
        <f aca="false">IF(ISBLANK($C234),
    "",
    $C234
)</f>
        <v/>
      </c>
      <c r="AZ234" s="94" t="str">
        <f aca="false">IF(ISBLANK($C234),
    "",
    $D234
)</f>
        <v/>
      </c>
      <c r="BA234" s="94" t="str">
        <f aca="false">AO234</f>
        <v/>
      </c>
      <c r="BB234" s="95" t="str">
        <f aca="false">AN234</f>
        <v/>
      </c>
      <c r="BC234" s="94" t="str">
        <f aca="false">IF(ISBLANK($C234),
    "",
    AQ234
)</f>
        <v/>
      </c>
      <c r="BD234" s="96" t="str">
        <f aca="false">IF(AU234&gt;AT$7,
    "",
    VLOOKUP(AU234,AW$8:BC$507,7,FALSE())
)</f>
        <v/>
      </c>
      <c r="BE234" s="97" t="str">
        <f aca="false">IF(AU234&gt;AT$7,
    "",
    VLOOKUP(AU234,AW$8:BC$507,2,FALSE())
)</f>
        <v/>
      </c>
      <c r="BF234" s="97" t="str">
        <f aca="false">IF(AU234&gt;AT$7,
    "",
    VLOOKUP(AU234,AW$8:BC$507,3,FALSE())
)</f>
        <v/>
      </c>
      <c r="BG234" s="97" t="str">
        <f aca="false">IF(AU234&gt;AT$7,
    "",
    VLOOKUP(AU234,AW$8:BC$507,4,FALSE())
)</f>
        <v/>
      </c>
      <c r="BH234" s="97" t="str">
        <f aca="false">IF(AU234&gt;AT$7,
    "",
    VLOOKUP(AU234,AW$8:BC$507,5,FALSE())
)</f>
        <v/>
      </c>
      <c r="BI234" s="98" t="str">
        <f aca="false">IF(AU234&gt;AT$7,
    "",
    VLOOKUP(AU234,AW$8:BC$507,6,FALSE())
)</f>
        <v/>
      </c>
      <c r="BJ234" s="46"/>
    </row>
    <row r="235" customFormat="false" ht="15.75" hidden="false" customHeight="false" outlineLevel="0" collapsed="false">
      <c r="A235" s="3"/>
      <c r="B235" s="105"/>
      <c r="C235" s="106"/>
      <c r="D235" s="99"/>
      <c r="E235" s="110"/>
      <c r="F235" s="107"/>
      <c r="G235" s="110"/>
      <c r="H235" s="103"/>
      <c r="I235" s="102"/>
      <c r="J235" s="103"/>
      <c r="K235" s="103"/>
      <c r="L235" s="85"/>
      <c r="M235" s="85" t="str">
        <f aca="false">IF(ISBLANK($C235),"",IF(ISBLANK(E235),0,E235))</f>
        <v/>
      </c>
      <c r="N235" s="85" t="str">
        <f aca="false">IF(ISBLANK($C235),"",IF(ISBLANK(F235),0,F235))</f>
        <v/>
      </c>
      <c r="O235" s="86" t="e">
        <f aca="false">IF(AND(NOT(ISBLANK($C235)),NOT($T235),COUNTA($E235:$K235)&gt;0),ISBLANK($F235),FALSE())</f>
        <v>#VALUE!</v>
      </c>
      <c r="P235" s="85" t="str">
        <f aca="false">IF(ISBLANK($C235),"",IF(G235=Constants!$B$9, TRUE(), IF(G235=Constants!$B$10, FALSE(), TRUE())))</f>
        <v/>
      </c>
      <c r="Q235" s="85" t="str">
        <f aca="false">IF(ISBLANK($C235),"",IF(H235=Constants!$B$9, TRUE(), IF(H235=Constants!$B$10, FALSE(), TRUE())))</f>
        <v/>
      </c>
      <c r="R235" s="85" t="str">
        <f aca="false">IF(ISBLANK($C235),"",IF(ISBLANK(I235),Constants!$B$3,I235))</f>
        <v/>
      </c>
      <c r="S235" s="85" t="str">
        <f aca="false">IF(ISBLANK($C235),"",IF(ISBLANK(J235),0,MIN(J235,Constants!$B$6)))</f>
        <v/>
      </c>
      <c r="T235" s="85" t="str">
        <f aca="false">IF(ISBLANK($C235),"",IF(K235=Constants!$B$9, TRUE(), IF(K235=Constants!$B$10, FALSE(),  FALSE())))</f>
        <v/>
      </c>
      <c r="U235" s="85" t="str">
        <f aca="false">IF(ISBLANK($C235),"",AND(R235=Constants!$B$4, S235&lt;Constants!$B$6))</f>
        <v/>
      </c>
      <c r="V235" s="85" t="str">
        <f aca="false">IF(ISBLANK(C235), "", IF(T235, Constants!$B$11, IF(COUNTA(E235:K235)=0, Constants!$B$12, IF(NOT(AND(P235,S235&lt;&gt;0)), Constants!$B$13, IF(O235, Constants!$B$15, Constants!$B$14)))))</f>
        <v/>
      </c>
      <c r="W235" s="85" t="str">
        <f aca="false">IF(OR(ISBLANK($C235), SUMPRODUCT(--(P235:T235&lt;&gt;""))=0), "", IF(V235&lt;&gt;Constants!$B$14, V235, IF(AND(NOT(ISBLANK(J235)),P235,Q235,R235&lt;&gt;Constants!$B$2), Constants!$B$7, IF(AND(P235,OR(NOT(Q235),R235=Constants!$B$2)), Constants!$B$8, "Error"))))</f>
        <v/>
      </c>
      <c r="X235" s="87" t="str">
        <f aca="false">IF(OR(W235=Constants!$B$7,W235=Constants!$B$8), MAX(0, MIN(Constants!$B$6, S235))+IF(AND(R235=Constants!$B$4, NOT(U235)), Constants!$B$5, 0), "")</f>
        <v/>
      </c>
      <c r="Y235" s="85" t="str">
        <f aca="false">IF(ISBLANK($C235),"",IF(AND(ISNUMBER(X235),N235&gt;0),X235/N235, "") )</f>
        <v/>
      </c>
      <c r="Z235" s="85" t="str">
        <f aca="false">IF(AND(NOT(ISBLANK($C235)), W235=Constants!$B$7), Y235, "")</f>
        <v/>
      </c>
      <c r="AA235" s="85" t="str">
        <f aca="false">IF(ISNUMBER(Z235), RANK(Z235,Z$8:Z$507), "")</f>
        <v/>
      </c>
      <c r="AB235" s="85" t="str">
        <f aca="false">IF(AND(NOT(ISBLANK($C235)), W235=Constants!$B$8), Y235, "")</f>
        <v/>
      </c>
      <c r="AC235" s="85" t="str">
        <f aca="false">IF(ISNUMBER(AB235), RANK(AB235,AB$8:AB$507), "")</f>
        <v/>
      </c>
      <c r="AD235" s="85" t="str">
        <f aca="false">IF(ISBLANK($C235),"",IF(V235&lt;&gt;Constants!$B$14, V235, IF(W235=Constants!$B$7, AA235, IF(W235=Constants!$B$8, COUNT($AA$8:$AA$507) + AC235, ""))))</f>
        <v/>
      </c>
      <c r="AE235" s="85" t="str">
        <f aca="false">N235</f>
        <v/>
      </c>
      <c r="AF235" s="85" t="str">
        <f aca="false">IF(ISNUMBER(AE235), RANK(AE235,AE$8:AE$507,1), "")</f>
        <v/>
      </c>
      <c r="AG235" s="88" t="str">
        <f aca="false">IF(ISBLANK(C235), "", ABS(M235-S235))</f>
        <v/>
      </c>
      <c r="AH235" s="85" t="str">
        <f aca="false">IF(ISNUMBER(AG235), RANK(AG235,AG$8:AG$507,1), "")</f>
        <v/>
      </c>
      <c r="AI235" s="85" t="str">
        <f aca="false">IF(ISBLANK(C235),"",IF(V235&lt;&gt;Constants!$B$14, V235, RANK(AD235, AD$8:AD$507, 1)+ SUMPRODUCT(--(AD$8:AD$507=AD235),--(AF235&gt;AF$8:AF$507)) + SUMPRODUCT(--(AD$8:AD$507=AD235),--(AF235=AF$8:AF$507),--(AH235&gt;AH$8:AH$507))))</f>
        <v/>
      </c>
      <c r="AJ235" s="85" t="str">
        <f aca="false">IF(ISBLANK(C235),"",IF(V235&lt;&gt;Constants!$B$14, V235, AD235-AI235))</f>
        <v/>
      </c>
      <c r="AK235" s="89"/>
      <c r="AL235" s="90" t="str">
        <f aca="false">IF(ISBLANK($C235),"",IF($V235&lt;&gt;Constants!$B$14,$V235,X235))</f>
        <v/>
      </c>
      <c r="AM235" s="90" t="str">
        <f aca="false">IF(ISBLANK($C235),"",IF($V235&lt;&gt;Constants!$B$14,$V235,N235))</f>
        <v/>
      </c>
      <c r="AN235" s="91" t="str">
        <f aca="false">IF(ISBLANK(C235),"",IF(V235&lt;&gt;Constants!$B$14, V235, IF(W235=Constants!$B$7,Z235,IF(W235=Constants!$B$8,AB235,""))))</f>
        <v/>
      </c>
      <c r="AO235" s="92" t="str">
        <f aca="false">IF(ISBLANK(C235),"",W235)</f>
        <v/>
      </c>
      <c r="AP235" s="92" t="str">
        <f aca="false">IF(ISBLANK(C235),"",AJ235)</f>
        <v/>
      </c>
      <c r="AQ235" s="92" t="str">
        <f aca="false">IF(ISBLANK(C235),"",AI235)</f>
        <v/>
      </c>
      <c r="AR235" s="93" t="str">
        <f aca="false">IF(ISBLANK(C235),
  "",
IF(AQ235=Constants!$B$11,COUNTA($C$8:$C$507)+2,IF(AQ235=Constants!$B$12,COUNTA($C$8:$C$507)+1,IF(AQ235=Constants!$B$13,COUNTA($C$8:$C$507),AQ235))))</f>
        <v/>
      </c>
      <c r="AS235" s="3"/>
      <c r="AT235" s="94" t="n">
        <f aca="false">IF(OR(ISNUMBER(AQ235),AQ235="DQ",AQ235="P",AQ235="NS"),
    1,
    0
)</f>
        <v>0</v>
      </c>
      <c r="AU235" s="94" t="n">
        <v>228</v>
      </c>
      <c r="AV235" s="94" t="str">
        <f aca="false">IF(ISBLANK($C235),
    "",
   IF(ISNUMBER(AR235),AR235+ROW($B235)/1000,"")
)</f>
        <v/>
      </c>
      <c r="AW235" s="94" t="str">
        <f aca="false">IF(ISNUMBER(AV235), RANK(AV235,AV$8:AV$507,1), "")</f>
        <v/>
      </c>
      <c r="AX235" s="94" t="str">
        <f aca="false">IF(ISBLANK($C235),
    "",
    $B235
)</f>
        <v/>
      </c>
      <c r="AY235" s="94" t="str">
        <f aca="false">IF(ISBLANK($C235),
    "",
    $C235
)</f>
        <v/>
      </c>
      <c r="AZ235" s="94" t="str">
        <f aca="false">IF(ISBLANK($C235),
    "",
    $D235
)</f>
        <v/>
      </c>
      <c r="BA235" s="94" t="str">
        <f aca="false">AO235</f>
        <v/>
      </c>
      <c r="BB235" s="95" t="str">
        <f aca="false">AN235</f>
        <v/>
      </c>
      <c r="BC235" s="94" t="str">
        <f aca="false">IF(ISBLANK($C235),
    "",
    AQ235
)</f>
        <v/>
      </c>
      <c r="BD235" s="96" t="str">
        <f aca="false">IF(AU235&gt;AT$7,
    "",
    VLOOKUP(AU235,AW$8:BC$507,7,FALSE())
)</f>
        <v/>
      </c>
      <c r="BE235" s="97" t="str">
        <f aca="false">IF(AU235&gt;AT$7,
    "",
    VLOOKUP(AU235,AW$8:BC$507,2,FALSE())
)</f>
        <v/>
      </c>
      <c r="BF235" s="97" t="str">
        <f aca="false">IF(AU235&gt;AT$7,
    "",
    VLOOKUP(AU235,AW$8:BC$507,3,FALSE())
)</f>
        <v/>
      </c>
      <c r="BG235" s="97" t="str">
        <f aca="false">IF(AU235&gt;AT$7,
    "",
    VLOOKUP(AU235,AW$8:BC$507,4,FALSE())
)</f>
        <v/>
      </c>
      <c r="BH235" s="97" t="str">
        <f aca="false">IF(AU235&gt;AT$7,
    "",
    VLOOKUP(AU235,AW$8:BC$507,5,FALSE())
)</f>
        <v/>
      </c>
      <c r="BI235" s="98" t="str">
        <f aca="false">IF(AU235&gt;AT$7,
    "",
    VLOOKUP(AU235,AW$8:BC$507,6,FALSE())
)</f>
        <v/>
      </c>
      <c r="BJ235" s="46"/>
    </row>
    <row r="236" customFormat="false" ht="15.75" hidden="false" customHeight="false" outlineLevel="0" collapsed="false">
      <c r="A236" s="3"/>
      <c r="B236" s="108"/>
      <c r="C236" s="70"/>
      <c r="D236" s="49"/>
      <c r="E236" s="109"/>
      <c r="F236" s="72"/>
      <c r="G236" s="109"/>
      <c r="H236" s="74"/>
      <c r="I236" s="104"/>
      <c r="J236" s="74"/>
      <c r="K236" s="74"/>
      <c r="L236" s="55"/>
      <c r="M236" s="55" t="str">
        <f aca="false">IF(ISBLANK($C236),"",IF(ISBLANK(E236),0,E236))</f>
        <v/>
      </c>
      <c r="N236" s="55" t="str">
        <f aca="false">IF(ISBLANK($C236),"",IF(ISBLANK(F236),0,F236))</f>
        <v/>
      </c>
      <c r="O236" s="55" t="e">
        <f aca="false">IF(AND(NOT(ISBLANK($C236)),NOT($T236),COUNTA($E236:$K236)&gt;0),ISBLANK($F236),FALSE())</f>
        <v>#VALUE!</v>
      </c>
      <c r="P236" s="55" t="str">
        <f aca="false">IF(ISBLANK($C236),"",IF(G236=Constants!$B$9, TRUE(), IF(G236=Constants!$B$10, FALSE(), TRUE())))</f>
        <v/>
      </c>
      <c r="Q236" s="55" t="str">
        <f aca="false">IF(ISBLANK($C236),"",IF(H236=Constants!$B$9, TRUE(), IF(H236=Constants!$B$10, FALSE(), TRUE())))</f>
        <v/>
      </c>
      <c r="R236" s="55" t="str">
        <f aca="false">IF(ISBLANK($C236),"",IF(ISBLANK(I236),Constants!$B$3,I236))</f>
        <v/>
      </c>
      <c r="S236" s="55" t="str">
        <f aca="false">IF(ISBLANK($C236),"",IF(ISBLANK(J236),0,MIN(J236,Constants!$B$6)))</f>
        <v/>
      </c>
      <c r="T236" s="55" t="str">
        <f aca="false">IF(ISBLANK($C236),"",IF(K236=Constants!$B$9, TRUE(), IF(K236=Constants!$B$10, FALSE(),  FALSE())))</f>
        <v/>
      </c>
      <c r="U236" s="55" t="str">
        <f aca="false">IF(ISBLANK($C236),"",AND(R236=Constants!$B$4, S236&lt;Constants!$B$6))</f>
        <v/>
      </c>
      <c r="V236" s="55" t="str">
        <f aca="false">IF(ISBLANK(C236), "", IF(T236, Constants!$B$11, IF(COUNTA(E236:K236)=0, Constants!$B$12, IF(NOT(AND(P236,S236&lt;&gt;0)), Constants!$B$13, IF(O236, Constants!$B$15, Constants!$B$14)))))</f>
        <v/>
      </c>
      <c r="W236" s="55" t="str">
        <f aca="false">IF(OR(ISBLANK($C236), SUMPRODUCT(--(P236:T236&lt;&gt;""))=0), "", IF(V236&lt;&gt;Constants!$B$14, V236, IF(AND(NOT(ISBLANK(J236)),P236,Q236,R236&lt;&gt;Constants!$B$2), Constants!$B$7, IF(AND(P236,OR(NOT(Q236),R236=Constants!$B$2)), Constants!$B$8, "Error"))))</f>
        <v/>
      </c>
      <c r="X236" s="56" t="str">
        <f aca="false">IF(OR(W236=Constants!$B$7,W236=Constants!$B$8), MAX(0, MIN(Constants!$B$6, S236))+IF(AND(R236=Constants!$B$4, NOT(U236)), Constants!$B$5, 0), "")</f>
        <v/>
      </c>
      <c r="Y236" s="55" t="str">
        <f aca="false">IF(ISBLANK($C236),"",IF(AND(ISNUMBER(X236),N236&gt;0),X236/N236, "") )</f>
        <v/>
      </c>
      <c r="Z236" s="55" t="str">
        <f aca="false">IF(AND(NOT(ISBLANK($C236)), W236=Constants!$B$7), Y236, "")</f>
        <v/>
      </c>
      <c r="AA236" s="55" t="str">
        <f aca="false">IF(ISNUMBER(Z236), RANK(Z236,Z$8:Z$507), "")</f>
        <v/>
      </c>
      <c r="AB236" s="55" t="str">
        <f aca="false">IF(AND(NOT(ISBLANK($C236)), W236=Constants!$B$8), Y236, "")</f>
        <v/>
      </c>
      <c r="AC236" s="55" t="str">
        <f aca="false">IF(ISNUMBER(AB236), RANK(AB236,AB$8:AB$507), "")</f>
        <v/>
      </c>
      <c r="AD236" s="55" t="str">
        <f aca="false">IF(ISBLANK($C236),"",IF(V236&lt;&gt;Constants!$B$14, V236, IF(W236=Constants!$B$7, AA236, IF(W236=Constants!$B$8, COUNT($AA$8:$AA$507) + AC236, ""))))</f>
        <v/>
      </c>
      <c r="AE236" s="55" t="str">
        <f aca="false">N236</f>
        <v/>
      </c>
      <c r="AF236" s="55" t="str">
        <f aca="false">IF(ISNUMBER(AE236), RANK(AE236,AE$8:AE$507,1), "")</f>
        <v/>
      </c>
      <c r="AG236" s="57" t="str">
        <f aca="false">IF(ISBLANK(C236), "", ABS(M236-S236))</f>
        <v/>
      </c>
      <c r="AH236" s="55" t="str">
        <f aca="false">IF(ISNUMBER(AG236), RANK(AG236,AG$8:AG$507,1), "")</f>
        <v/>
      </c>
      <c r="AI236" s="55" t="str">
        <f aca="false">IF(ISBLANK(C236),"",IF(V236&lt;&gt;Constants!$B$14, V236, RANK(AD236, AD$8:AD$507, 1)+ SUMPRODUCT(--(AD$8:AD$507=AD236),--(AF236&gt;AF$8:AF$507)) + SUMPRODUCT(--(AD$8:AD$507=AD236),--(AF236=AF$8:AF$507),--(AH236&gt;AH$8:AH$507))))</f>
        <v/>
      </c>
      <c r="AJ236" s="55" t="str">
        <f aca="false">IF(ISBLANK(C236),"",IF(V236&lt;&gt;Constants!$B$14, V236, AD236-AI236))</f>
        <v/>
      </c>
      <c r="AK236" s="59"/>
      <c r="AL236" s="60" t="str">
        <f aca="false">IF(ISBLANK($C236),"",IF($V236&lt;&gt;Constants!$B$14,$V236,X236))</f>
        <v/>
      </c>
      <c r="AM236" s="60" t="str">
        <f aca="false">IF(ISBLANK($C236),"",IF($V236&lt;&gt;Constants!$B$14,$V236,N236))</f>
        <v/>
      </c>
      <c r="AN236" s="62" t="str">
        <f aca="false">IF(ISBLANK(C236),"",IF(V236&lt;&gt;Constants!$B$14, V236, IF(W236=Constants!$B$7,Z236,IF(W236=Constants!$B$8,AB236,""))))</f>
        <v/>
      </c>
      <c r="AO236" s="63" t="str">
        <f aca="false">IF(ISBLANK(C236),"",W236)</f>
        <v/>
      </c>
      <c r="AP236" s="63" t="str">
        <f aca="false">IF(ISBLANK(C236),"",AJ236)</f>
        <v/>
      </c>
      <c r="AQ236" s="63" t="str">
        <f aca="false">IF(ISBLANK(C236),"",AI236)</f>
        <v/>
      </c>
      <c r="AR236" s="64" t="str">
        <f aca="false">IF(ISBLANK(C236),
  "",
IF(AQ236=Constants!$B$11,COUNTA($C$8:$C$507)+2,IF(AQ236=Constants!$B$12,COUNTA($C$8:$C$507)+1,IF(AQ236=Constants!$B$13,COUNTA($C$8:$C$507),AQ236))))</f>
        <v/>
      </c>
      <c r="AS236" s="3"/>
      <c r="AT236" s="65" t="n">
        <f aca="false">IF(OR(ISNUMBER(AQ236),AQ236="DQ",AQ236="P",AQ236="NS"),
    1,
    0
)</f>
        <v>0</v>
      </c>
      <c r="AU236" s="65" t="n">
        <v>229</v>
      </c>
      <c r="AV236" s="65" t="str">
        <f aca="false">IF(ISBLANK($C236),
    "",
   IF(ISNUMBER(AR236),AR236+ROW($B236)/1000,"")
)</f>
        <v/>
      </c>
      <c r="AW236" s="65" t="str">
        <f aca="false">IF(ISNUMBER(AV236), RANK(AV236,AV$8:AV$507,1), "")</f>
        <v/>
      </c>
      <c r="AX236" s="65" t="str">
        <f aca="false">IF(ISBLANK($C236),
    "",
    $B236
)</f>
        <v/>
      </c>
      <c r="AY236" s="65" t="str">
        <f aca="false">IF(ISBLANK($C236),
    "",
    $C236
)</f>
        <v/>
      </c>
      <c r="AZ236" s="65" t="str">
        <f aca="false">IF(ISBLANK($C236),
    "",
    $D236
)</f>
        <v/>
      </c>
      <c r="BA236" s="65" t="str">
        <f aca="false">AO236</f>
        <v/>
      </c>
      <c r="BB236" s="66" t="str">
        <f aca="false">AN236</f>
        <v/>
      </c>
      <c r="BC236" s="65" t="str">
        <f aca="false">IF(ISBLANK($C236),
    "",
    AQ236
)</f>
        <v/>
      </c>
      <c r="BD236" s="67" t="str">
        <f aca="false">IF(AU236&gt;AT$7,
    "",
    VLOOKUP(AU236,AW$8:BC$507,7,FALSE())
)</f>
        <v/>
      </c>
      <c r="BE236" s="68" t="str">
        <f aca="false">IF(AU236&gt;AT$7,
    "",
    VLOOKUP(AU236,AW$8:BC$507,2,FALSE())
)</f>
        <v/>
      </c>
      <c r="BF236" s="68" t="str">
        <f aca="false">IF(AU236&gt;AT$7,
    "",
    VLOOKUP(AU236,AW$8:BC$507,3,FALSE())
)</f>
        <v/>
      </c>
      <c r="BG236" s="68" t="str">
        <f aca="false">IF(AU236&gt;AT$7,
    "",
    VLOOKUP(AU236,AW$8:BC$507,4,FALSE())
)</f>
        <v/>
      </c>
      <c r="BH236" s="68" t="str">
        <f aca="false">IF(AU236&gt;AT$7,
    "",
    VLOOKUP(AU236,AW$8:BC$507,5,FALSE())
)</f>
        <v/>
      </c>
      <c r="BI236" s="69" t="str">
        <f aca="false">IF(AU236&gt;AT$7,
    "",
    VLOOKUP(AU236,AW$8:BC$507,6,FALSE())
)</f>
        <v/>
      </c>
      <c r="BJ236" s="46"/>
    </row>
    <row r="237" customFormat="false" ht="15.75" hidden="false" customHeight="false" outlineLevel="0" collapsed="false">
      <c r="A237" s="3"/>
      <c r="B237" s="108"/>
      <c r="C237" s="70"/>
      <c r="D237" s="49"/>
      <c r="E237" s="109"/>
      <c r="F237" s="72"/>
      <c r="G237" s="109"/>
      <c r="H237" s="74"/>
      <c r="I237" s="104"/>
      <c r="J237" s="74"/>
      <c r="K237" s="74"/>
      <c r="L237" s="55"/>
      <c r="M237" s="55" t="str">
        <f aca="false">IF(ISBLANK($C237),"",IF(ISBLANK(E237),0,E237))</f>
        <v/>
      </c>
      <c r="N237" s="55" t="str">
        <f aca="false">IF(ISBLANK($C237),"",IF(ISBLANK(F237),0,F237))</f>
        <v/>
      </c>
      <c r="O237" s="55" t="e">
        <f aca="false">IF(AND(NOT(ISBLANK($C237)),NOT($T237),COUNTA($E237:$K237)&gt;0),ISBLANK($F237),FALSE())</f>
        <v>#VALUE!</v>
      </c>
      <c r="P237" s="55" t="str">
        <f aca="false">IF(ISBLANK($C237),"",IF(G237=Constants!$B$9, TRUE(), IF(G237=Constants!$B$10, FALSE(), TRUE())))</f>
        <v/>
      </c>
      <c r="Q237" s="55" t="str">
        <f aca="false">IF(ISBLANK($C237),"",IF(H237=Constants!$B$9, TRUE(), IF(H237=Constants!$B$10, FALSE(), TRUE())))</f>
        <v/>
      </c>
      <c r="R237" s="55" t="str">
        <f aca="false">IF(ISBLANK($C237),"",IF(ISBLANK(I237),Constants!$B$3,I237))</f>
        <v/>
      </c>
      <c r="S237" s="55" t="str">
        <f aca="false">IF(ISBLANK($C237),"",IF(ISBLANK(J237),0,MIN(J237,Constants!$B$6)))</f>
        <v/>
      </c>
      <c r="T237" s="55" t="str">
        <f aca="false">IF(ISBLANK($C237),"",IF(K237=Constants!$B$9, TRUE(), IF(K237=Constants!$B$10, FALSE(),  FALSE())))</f>
        <v/>
      </c>
      <c r="U237" s="55" t="str">
        <f aca="false">IF(ISBLANK($C237),"",AND(R237=Constants!$B$4, S237&lt;Constants!$B$6))</f>
        <v/>
      </c>
      <c r="V237" s="55" t="str">
        <f aca="false">IF(ISBLANK(C237), "", IF(T237, Constants!$B$11, IF(COUNTA(E237:K237)=0, Constants!$B$12, IF(NOT(AND(P237,S237&lt;&gt;0)), Constants!$B$13, IF(O237, Constants!$B$15, Constants!$B$14)))))</f>
        <v/>
      </c>
      <c r="W237" s="55" t="str">
        <f aca="false">IF(OR(ISBLANK($C237), SUMPRODUCT(--(P237:T237&lt;&gt;""))=0), "", IF(V237&lt;&gt;Constants!$B$14, V237, IF(AND(NOT(ISBLANK(J237)),P237,Q237,R237&lt;&gt;Constants!$B$2), Constants!$B$7, IF(AND(P237,OR(NOT(Q237),R237=Constants!$B$2)), Constants!$B$8, "Error"))))</f>
        <v/>
      </c>
      <c r="X237" s="56" t="str">
        <f aca="false">IF(OR(W237=Constants!$B$7,W237=Constants!$B$8), MAX(0, MIN(Constants!$B$6, S237))+IF(AND(R237=Constants!$B$4, NOT(U237)), Constants!$B$5, 0), "")</f>
        <v/>
      </c>
      <c r="Y237" s="55" t="str">
        <f aca="false">IF(ISBLANK($C237),"",IF(AND(ISNUMBER(X237),N237&gt;0),X237/N237, "") )</f>
        <v/>
      </c>
      <c r="Z237" s="55" t="str">
        <f aca="false">IF(AND(NOT(ISBLANK($C237)), W237=Constants!$B$7), Y237, "")</f>
        <v/>
      </c>
      <c r="AA237" s="55" t="str">
        <f aca="false">IF(ISNUMBER(Z237), RANK(Z237,Z$8:Z$507), "")</f>
        <v/>
      </c>
      <c r="AB237" s="55" t="str">
        <f aca="false">IF(AND(NOT(ISBLANK($C237)), W237=Constants!$B$8), Y237, "")</f>
        <v/>
      </c>
      <c r="AC237" s="55" t="str">
        <f aca="false">IF(ISNUMBER(AB237), RANK(AB237,AB$8:AB$507), "")</f>
        <v/>
      </c>
      <c r="AD237" s="55" t="str">
        <f aca="false">IF(ISBLANK($C237),"",IF(V237&lt;&gt;Constants!$B$14, V237, IF(W237=Constants!$B$7, AA237, IF(W237=Constants!$B$8, COUNT($AA$8:$AA$507) + AC237, ""))))</f>
        <v/>
      </c>
      <c r="AE237" s="55" t="str">
        <f aca="false">N237</f>
        <v/>
      </c>
      <c r="AF237" s="55" t="str">
        <f aca="false">IF(ISNUMBER(AE237), RANK(AE237,AE$8:AE$507,1), "")</f>
        <v/>
      </c>
      <c r="AG237" s="57" t="str">
        <f aca="false">IF(ISBLANK(C237), "", ABS(M237-S237))</f>
        <v/>
      </c>
      <c r="AH237" s="55" t="str">
        <f aca="false">IF(ISNUMBER(AG237), RANK(AG237,AG$8:AG$507,1), "")</f>
        <v/>
      </c>
      <c r="AI237" s="55" t="str">
        <f aca="false">IF(ISBLANK(C237),"",IF(V237&lt;&gt;Constants!$B$14, V237, RANK(AD237, AD$8:AD$507, 1)+ SUMPRODUCT(--(AD$8:AD$507=AD237),--(AF237&gt;AF$8:AF$507)) + SUMPRODUCT(--(AD$8:AD$507=AD237),--(AF237=AF$8:AF$507),--(AH237&gt;AH$8:AH$507))))</f>
        <v/>
      </c>
      <c r="AJ237" s="55" t="str">
        <f aca="false">IF(ISBLANK(C237),"",IF(V237&lt;&gt;Constants!$B$14, V237, AD237-AI237))</f>
        <v/>
      </c>
      <c r="AK237" s="59"/>
      <c r="AL237" s="60" t="str">
        <f aca="false">IF(ISBLANK($C237),"",IF($V237&lt;&gt;Constants!$B$14,$V237,X237))</f>
        <v/>
      </c>
      <c r="AM237" s="60" t="str">
        <f aca="false">IF(ISBLANK($C237),"",IF($V237&lt;&gt;Constants!$B$14,$V237,N237))</f>
        <v/>
      </c>
      <c r="AN237" s="62" t="str">
        <f aca="false">IF(ISBLANK(C237),"",IF(V237&lt;&gt;Constants!$B$14, V237, IF(W237=Constants!$B$7,Z237,IF(W237=Constants!$B$8,AB237,""))))</f>
        <v/>
      </c>
      <c r="AO237" s="63" t="str">
        <f aca="false">IF(ISBLANK(C237),"",W237)</f>
        <v/>
      </c>
      <c r="AP237" s="63" t="str">
        <f aca="false">IF(ISBLANK(C237),"",AJ237)</f>
        <v/>
      </c>
      <c r="AQ237" s="63" t="str">
        <f aca="false">IF(ISBLANK(C237),"",AI237)</f>
        <v/>
      </c>
      <c r="AR237" s="64" t="str">
        <f aca="false">IF(ISBLANK(C237),
  "",
IF(AQ237=Constants!$B$11,COUNTA($C$8:$C$507)+2,IF(AQ237=Constants!$B$12,COUNTA($C$8:$C$507)+1,IF(AQ237=Constants!$B$13,COUNTA($C$8:$C$507),AQ237))))</f>
        <v/>
      </c>
      <c r="AS237" s="3"/>
      <c r="AT237" s="65" t="n">
        <f aca="false">IF(OR(ISNUMBER(AQ237),AQ237="DQ",AQ237="P",AQ237="NS"),
    1,
    0
)</f>
        <v>0</v>
      </c>
      <c r="AU237" s="65" t="n">
        <v>230</v>
      </c>
      <c r="AV237" s="65" t="str">
        <f aca="false">IF(ISBLANK($C237),
    "",
   IF(ISNUMBER(AR237),AR237+ROW($B237)/1000,"")
)</f>
        <v/>
      </c>
      <c r="AW237" s="65" t="str">
        <f aca="false">IF(ISNUMBER(AV237), RANK(AV237,AV$8:AV$507,1), "")</f>
        <v/>
      </c>
      <c r="AX237" s="65" t="str">
        <f aca="false">IF(ISBLANK($C237),
    "",
    $B237
)</f>
        <v/>
      </c>
      <c r="AY237" s="65" t="str">
        <f aca="false">IF(ISBLANK($C237),
    "",
    $C237
)</f>
        <v/>
      </c>
      <c r="AZ237" s="65" t="str">
        <f aca="false">IF(ISBLANK($C237),
    "",
    $D237
)</f>
        <v/>
      </c>
      <c r="BA237" s="65" t="str">
        <f aca="false">AO237</f>
        <v/>
      </c>
      <c r="BB237" s="66" t="str">
        <f aca="false">AN237</f>
        <v/>
      </c>
      <c r="BC237" s="65" t="str">
        <f aca="false">IF(ISBLANK($C237),
    "",
    AQ237
)</f>
        <v/>
      </c>
      <c r="BD237" s="67" t="str">
        <f aca="false">IF(AU237&gt;AT$7,
    "",
    VLOOKUP(AU237,AW$8:BC$507,7,FALSE())
)</f>
        <v/>
      </c>
      <c r="BE237" s="68" t="str">
        <f aca="false">IF(AU237&gt;AT$7,
    "",
    VLOOKUP(AU237,AW$8:BC$507,2,FALSE())
)</f>
        <v/>
      </c>
      <c r="BF237" s="68" t="str">
        <f aca="false">IF(AU237&gt;AT$7,
    "",
    VLOOKUP(AU237,AW$8:BC$507,3,FALSE())
)</f>
        <v/>
      </c>
      <c r="BG237" s="68" t="str">
        <f aca="false">IF(AU237&gt;AT$7,
    "",
    VLOOKUP(AU237,AW$8:BC$507,4,FALSE())
)</f>
        <v/>
      </c>
      <c r="BH237" s="68" t="str">
        <f aca="false">IF(AU237&gt;AT$7,
    "",
    VLOOKUP(AU237,AW$8:BC$507,5,FALSE())
)</f>
        <v/>
      </c>
      <c r="BI237" s="69" t="str">
        <f aca="false">IF(AU237&gt;AT$7,
    "",
    VLOOKUP(AU237,AW$8:BC$507,6,FALSE())
)</f>
        <v/>
      </c>
      <c r="BJ237" s="46"/>
    </row>
    <row r="238" customFormat="false" ht="15.75" hidden="false" customHeight="false" outlineLevel="0" collapsed="false">
      <c r="A238" s="3"/>
      <c r="B238" s="108"/>
      <c r="C238" s="70"/>
      <c r="D238" s="49"/>
      <c r="E238" s="109"/>
      <c r="F238" s="72"/>
      <c r="G238" s="109"/>
      <c r="H238" s="74"/>
      <c r="I238" s="104"/>
      <c r="J238" s="74"/>
      <c r="K238" s="74"/>
      <c r="L238" s="55"/>
      <c r="M238" s="55" t="str">
        <f aca="false">IF(ISBLANK($C238),"",IF(ISBLANK(E238),0,E238))</f>
        <v/>
      </c>
      <c r="N238" s="55" t="str">
        <f aca="false">IF(ISBLANK($C238),"",IF(ISBLANK(F238),0,F238))</f>
        <v/>
      </c>
      <c r="O238" s="55" t="e">
        <f aca="false">IF(AND(NOT(ISBLANK($C238)),NOT($T238),COUNTA($E238:$K238)&gt;0),ISBLANK($F238),FALSE())</f>
        <v>#VALUE!</v>
      </c>
      <c r="P238" s="55" t="str">
        <f aca="false">IF(ISBLANK($C238),"",IF(G238=Constants!$B$9, TRUE(), IF(G238=Constants!$B$10, FALSE(), TRUE())))</f>
        <v/>
      </c>
      <c r="Q238" s="55" t="str">
        <f aca="false">IF(ISBLANK($C238),"",IF(H238=Constants!$B$9, TRUE(), IF(H238=Constants!$B$10, FALSE(), TRUE())))</f>
        <v/>
      </c>
      <c r="R238" s="55" t="str">
        <f aca="false">IF(ISBLANK($C238),"",IF(ISBLANK(I238),Constants!$B$3,I238))</f>
        <v/>
      </c>
      <c r="S238" s="55" t="str">
        <f aca="false">IF(ISBLANK($C238),"",IF(ISBLANK(J238),0,MIN(J238,Constants!$B$6)))</f>
        <v/>
      </c>
      <c r="T238" s="55" t="str">
        <f aca="false">IF(ISBLANK($C238),"",IF(K238=Constants!$B$9, TRUE(), IF(K238=Constants!$B$10, FALSE(),  FALSE())))</f>
        <v/>
      </c>
      <c r="U238" s="55" t="str">
        <f aca="false">IF(ISBLANK($C238),"",AND(R238=Constants!$B$4, S238&lt;Constants!$B$6))</f>
        <v/>
      </c>
      <c r="V238" s="55" t="str">
        <f aca="false">IF(ISBLANK(C238), "", IF(T238, Constants!$B$11, IF(COUNTA(E238:K238)=0, Constants!$B$12, IF(NOT(AND(P238,S238&lt;&gt;0)), Constants!$B$13, IF(O238, Constants!$B$15, Constants!$B$14)))))</f>
        <v/>
      </c>
      <c r="W238" s="55" t="str">
        <f aca="false">IF(OR(ISBLANK($C238), SUMPRODUCT(--(P238:T238&lt;&gt;""))=0), "", IF(V238&lt;&gt;Constants!$B$14, V238, IF(AND(NOT(ISBLANK(J238)),P238,Q238,R238&lt;&gt;Constants!$B$2), Constants!$B$7, IF(AND(P238,OR(NOT(Q238),R238=Constants!$B$2)), Constants!$B$8, "Error"))))</f>
        <v/>
      </c>
      <c r="X238" s="56" t="str">
        <f aca="false">IF(OR(W238=Constants!$B$7,W238=Constants!$B$8), MAX(0, MIN(Constants!$B$6, S238))+IF(AND(R238=Constants!$B$4, NOT(U238)), Constants!$B$5, 0), "")</f>
        <v/>
      </c>
      <c r="Y238" s="55" t="str">
        <f aca="false">IF(ISBLANK($C238),"",IF(AND(ISNUMBER(X238),N238&gt;0),X238/N238, "") )</f>
        <v/>
      </c>
      <c r="Z238" s="55" t="str">
        <f aca="false">IF(AND(NOT(ISBLANK($C238)), W238=Constants!$B$7), Y238, "")</f>
        <v/>
      </c>
      <c r="AA238" s="55" t="str">
        <f aca="false">IF(ISNUMBER(Z238), RANK(Z238,Z$8:Z$507), "")</f>
        <v/>
      </c>
      <c r="AB238" s="55" t="str">
        <f aca="false">IF(AND(NOT(ISBLANK($C238)), W238=Constants!$B$8), Y238, "")</f>
        <v/>
      </c>
      <c r="AC238" s="55" t="str">
        <f aca="false">IF(ISNUMBER(AB238), RANK(AB238,AB$8:AB$507), "")</f>
        <v/>
      </c>
      <c r="AD238" s="55" t="str">
        <f aca="false">IF(ISBLANK($C238),"",IF(V238&lt;&gt;Constants!$B$14, V238, IF(W238=Constants!$B$7, AA238, IF(W238=Constants!$B$8, COUNT($AA$8:$AA$507) + AC238, ""))))</f>
        <v/>
      </c>
      <c r="AE238" s="55" t="str">
        <f aca="false">N238</f>
        <v/>
      </c>
      <c r="AF238" s="55" t="str">
        <f aca="false">IF(ISNUMBER(AE238), RANK(AE238,AE$8:AE$507,1), "")</f>
        <v/>
      </c>
      <c r="AG238" s="57" t="str">
        <f aca="false">IF(ISBLANK(C238), "", ABS(M238-S238))</f>
        <v/>
      </c>
      <c r="AH238" s="55" t="str">
        <f aca="false">IF(ISNUMBER(AG238), RANK(AG238,AG$8:AG$507,1), "")</f>
        <v/>
      </c>
      <c r="AI238" s="55" t="str">
        <f aca="false">IF(ISBLANK(C238),"",IF(V238&lt;&gt;Constants!$B$14, V238, RANK(AD238, AD$8:AD$507, 1)+ SUMPRODUCT(--(AD$8:AD$507=AD238),--(AF238&gt;AF$8:AF$507)) + SUMPRODUCT(--(AD$8:AD$507=AD238),--(AF238=AF$8:AF$507),--(AH238&gt;AH$8:AH$507))))</f>
        <v/>
      </c>
      <c r="AJ238" s="55" t="str">
        <f aca="false">IF(ISBLANK(C238),"",IF(V238&lt;&gt;Constants!$B$14, V238, AD238-AI238))</f>
        <v/>
      </c>
      <c r="AK238" s="59"/>
      <c r="AL238" s="60" t="str">
        <f aca="false">IF(ISBLANK($C238),"",IF($V238&lt;&gt;Constants!$B$14,$V238,X238))</f>
        <v/>
      </c>
      <c r="AM238" s="60" t="str">
        <f aca="false">IF(ISBLANK($C238),"",IF($V238&lt;&gt;Constants!$B$14,$V238,N238))</f>
        <v/>
      </c>
      <c r="AN238" s="62" t="str">
        <f aca="false">IF(ISBLANK(C238),"",IF(V238&lt;&gt;Constants!$B$14, V238, IF(W238=Constants!$B$7,Z238,IF(W238=Constants!$B$8,AB238,""))))</f>
        <v/>
      </c>
      <c r="AO238" s="63" t="str">
        <f aca="false">IF(ISBLANK(C238),"",W238)</f>
        <v/>
      </c>
      <c r="AP238" s="63" t="str">
        <f aca="false">IF(ISBLANK(C238),"",AJ238)</f>
        <v/>
      </c>
      <c r="AQ238" s="63" t="str">
        <f aca="false">IF(ISBLANK(C238),"",AI238)</f>
        <v/>
      </c>
      <c r="AR238" s="64" t="str">
        <f aca="false">IF(ISBLANK(C238),
  "",
IF(AQ238=Constants!$B$11,COUNTA($C$8:$C$507)+2,IF(AQ238=Constants!$B$12,COUNTA($C$8:$C$507)+1,IF(AQ238=Constants!$B$13,COUNTA($C$8:$C$507),AQ238))))</f>
        <v/>
      </c>
      <c r="AS238" s="3"/>
      <c r="AT238" s="65" t="n">
        <f aca="false">IF(OR(ISNUMBER(AQ238),AQ238="DQ",AQ238="P",AQ238="NS"),
    1,
    0
)</f>
        <v>0</v>
      </c>
      <c r="AU238" s="65" t="n">
        <v>231</v>
      </c>
      <c r="AV238" s="65" t="str">
        <f aca="false">IF(ISBLANK($C238),
    "",
   IF(ISNUMBER(AR238),AR238+ROW($B238)/1000,"")
)</f>
        <v/>
      </c>
      <c r="AW238" s="65" t="str">
        <f aca="false">IF(ISNUMBER(AV238), RANK(AV238,AV$8:AV$507,1), "")</f>
        <v/>
      </c>
      <c r="AX238" s="65" t="str">
        <f aca="false">IF(ISBLANK($C238),
    "",
    $B238
)</f>
        <v/>
      </c>
      <c r="AY238" s="65" t="str">
        <f aca="false">IF(ISBLANK($C238),
    "",
    $C238
)</f>
        <v/>
      </c>
      <c r="AZ238" s="65" t="str">
        <f aca="false">IF(ISBLANK($C238),
    "",
    $D238
)</f>
        <v/>
      </c>
      <c r="BA238" s="65" t="str">
        <f aca="false">AO238</f>
        <v/>
      </c>
      <c r="BB238" s="66" t="str">
        <f aca="false">AN238</f>
        <v/>
      </c>
      <c r="BC238" s="65" t="str">
        <f aca="false">IF(ISBLANK($C238),
    "",
    AQ238
)</f>
        <v/>
      </c>
      <c r="BD238" s="67" t="str">
        <f aca="false">IF(AU238&gt;AT$7,
    "",
    VLOOKUP(AU238,AW$8:BC$507,7,FALSE())
)</f>
        <v/>
      </c>
      <c r="BE238" s="68" t="str">
        <f aca="false">IF(AU238&gt;AT$7,
    "",
    VLOOKUP(AU238,AW$8:BC$507,2,FALSE())
)</f>
        <v/>
      </c>
      <c r="BF238" s="68" t="str">
        <f aca="false">IF(AU238&gt;AT$7,
    "",
    VLOOKUP(AU238,AW$8:BC$507,3,FALSE())
)</f>
        <v/>
      </c>
      <c r="BG238" s="68" t="str">
        <f aca="false">IF(AU238&gt;AT$7,
    "",
    VLOOKUP(AU238,AW$8:BC$507,4,FALSE())
)</f>
        <v/>
      </c>
      <c r="BH238" s="68" t="str">
        <f aca="false">IF(AU238&gt;AT$7,
    "",
    VLOOKUP(AU238,AW$8:BC$507,5,FALSE())
)</f>
        <v/>
      </c>
      <c r="BI238" s="69" t="str">
        <f aca="false">IF(AU238&gt;AT$7,
    "",
    VLOOKUP(AU238,AW$8:BC$507,6,FALSE())
)</f>
        <v/>
      </c>
      <c r="BJ238" s="46"/>
    </row>
    <row r="239" customFormat="false" ht="15.75" hidden="false" customHeight="false" outlineLevel="0" collapsed="false">
      <c r="A239" s="3"/>
      <c r="B239" s="105"/>
      <c r="C239" s="106"/>
      <c r="D239" s="99"/>
      <c r="E239" s="110"/>
      <c r="F239" s="107"/>
      <c r="G239" s="110"/>
      <c r="H239" s="103"/>
      <c r="I239" s="102"/>
      <c r="J239" s="103"/>
      <c r="K239" s="103"/>
      <c r="L239" s="85"/>
      <c r="M239" s="85" t="str">
        <f aca="false">IF(ISBLANK($C239),"",IF(ISBLANK(E239),0,E239))</f>
        <v/>
      </c>
      <c r="N239" s="85" t="str">
        <f aca="false">IF(ISBLANK($C239),"",IF(ISBLANK(F239),0,F239))</f>
        <v/>
      </c>
      <c r="O239" s="86" t="e">
        <f aca="false">IF(AND(NOT(ISBLANK($C239)),NOT($T239),COUNTA($E239:$K239)&gt;0),ISBLANK($F239),FALSE())</f>
        <v>#VALUE!</v>
      </c>
      <c r="P239" s="85" t="str">
        <f aca="false">IF(ISBLANK($C239),"",IF(G239=Constants!$B$9, TRUE(), IF(G239=Constants!$B$10, FALSE(), TRUE())))</f>
        <v/>
      </c>
      <c r="Q239" s="85" t="str">
        <f aca="false">IF(ISBLANK($C239),"",IF(H239=Constants!$B$9, TRUE(), IF(H239=Constants!$B$10, FALSE(), TRUE())))</f>
        <v/>
      </c>
      <c r="R239" s="85" t="str">
        <f aca="false">IF(ISBLANK($C239),"",IF(ISBLANK(I239),Constants!$B$3,I239))</f>
        <v/>
      </c>
      <c r="S239" s="85" t="str">
        <f aca="false">IF(ISBLANK($C239),"",IF(ISBLANK(J239),0,MIN(J239,Constants!$B$6)))</f>
        <v/>
      </c>
      <c r="T239" s="85" t="str">
        <f aca="false">IF(ISBLANK($C239),"",IF(K239=Constants!$B$9, TRUE(), IF(K239=Constants!$B$10, FALSE(),  FALSE())))</f>
        <v/>
      </c>
      <c r="U239" s="85" t="str">
        <f aca="false">IF(ISBLANK($C239),"",AND(R239=Constants!$B$4, S239&lt;Constants!$B$6))</f>
        <v/>
      </c>
      <c r="V239" s="85" t="str">
        <f aca="false">IF(ISBLANK(C239), "", IF(T239, Constants!$B$11, IF(COUNTA(E239:K239)=0, Constants!$B$12, IF(NOT(AND(P239,S239&lt;&gt;0)), Constants!$B$13, IF(O239, Constants!$B$15, Constants!$B$14)))))</f>
        <v/>
      </c>
      <c r="W239" s="85" t="str">
        <f aca="false">IF(OR(ISBLANK($C239), SUMPRODUCT(--(P239:T239&lt;&gt;""))=0), "", IF(V239&lt;&gt;Constants!$B$14, V239, IF(AND(NOT(ISBLANK(J239)),P239,Q239,R239&lt;&gt;Constants!$B$2), Constants!$B$7, IF(AND(P239,OR(NOT(Q239),R239=Constants!$B$2)), Constants!$B$8, "Error"))))</f>
        <v/>
      </c>
      <c r="X239" s="87" t="str">
        <f aca="false">IF(OR(W239=Constants!$B$7,W239=Constants!$B$8), MAX(0, MIN(Constants!$B$6, S239))+IF(AND(R239=Constants!$B$4, NOT(U239)), Constants!$B$5, 0), "")</f>
        <v/>
      </c>
      <c r="Y239" s="85" t="str">
        <f aca="false">IF(ISBLANK($C239),"",IF(AND(ISNUMBER(X239),N239&gt;0),X239/N239, "") )</f>
        <v/>
      </c>
      <c r="Z239" s="85" t="str">
        <f aca="false">IF(AND(NOT(ISBLANK($C239)), W239=Constants!$B$7), Y239, "")</f>
        <v/>
      </c>
      <c r="AA239" s="85" t="str">
        <f aca="false">IF(ISNUMBER(Z239), RANK(Z239,Z$8:Z$507), "")</f>
        <v/>
      </c>
      <c r="AB239" s="85" t="str">
        <f aca="false">IF(AND(NOT(ISBLANK($C239)), W239=Constants!$B$8), Y239, "")</f>
        <v/>
      </c>
      <c r="AC239" s="85" t="str">
        <f aca="false">IF(ISNUMBER(AB239), RANK(AB239,AB$8:AB$507), "")</f>
        <v/>
      </c>
      <c r="AD239" s="85" t="str">
        <f aca="false">IF(ISBLANK($C239),"",IF(V239&lt;&gt;Constants!$B$14, V239, IF(W239=Constants!$B$7, AA239, IF(W239=Constants!$B$8, COUNT($AA$8:$AA$507) + AC239, ""))))</f>
        <v/>
      </c>
      <c r="AE239" s="85" t="str">
        <f aca="false">N239</f>
        <v/>
      </c>
      <c r="AF239" s="85" t="str">
        <f aca="false">IF(ISNUMBER(AE239), RANK(AE239,AE$8:AE$507,1), "")</f>
        <v/>
      </c>
      <c r="AG239" s="88" t="str">
        <f aca="false">IF(ISBLANK(C239), "", ABS(M239-S239))</f>
        <v/>
      </c>
      <c r="AH239" s="85" t="str">
        <f aca="false">IF(ISNUMBER(AG239), RANK(AG239,AG$8:AG$507,1), "")</f>
        <v/>
      </c>
      <c r="AI239" s="85" t="str">
        <f aca="false">IF(ISBLANK(C239),"",IF(V239&lt;&gt;Constants!$B$14, V239, RANK(AD239, AD$8:AD$507, 1)+ SUMPRODUCT(--(AD$8:AD$507=AD239),--(AF239&gt;AF$8:AF$507)) + SUMPRODUCT(--(AD$8:AD$507=AD239),--(AF239=AF$8:AF$507),--(AH239&gt;AH$8:AH$507))))</f>
        <v/>
      </c>
      <c r="AJ239" s="85" t="str">
        <f aca="false">IF(ISBLANK(C239),"",IF(V239&lt;&gt;Constants!$B$14, V239, AD239-AI239))</f>
        <v/>
      </c>
      <c r="AK239" s="89"/>
      <c r="AL239" s="90" t="str">
        <f aca="false">IF(ISBLANK($C239),"",IF($V239&lt;&gt;Constants!$B$14,$V239,X239))</f>
        <v/>
      </c>
      <c r="AM239" s="90" t="str">
        <f aca="false">IF(ISBLANK($C239),"",IF($V239&lt;&gt;Constants!$B$14,$V239,N239))</f>
        <v/>
      </c>
      <c r="AN239" s="91" t="str">
        <f aca="false">IF(ISBLANK(C239),"",IF(V239&lt;&gt;Constants!$B$14, V239, IF(W239=Constants!$B$7,Z239,IF(W239=Constants!$B$8,AB239,""))))</f>
        <v/>
      </c>
      <c r="AO239" s="92" t="str">
        <f aca="false">IF(ISBLANK(C239),"",W239)</f>
        <v/>
      </c>
      <c r="AP239" s="92" t="str">
        <f aca="false">IF(ISBLANK(C239),"",AJ239)</f>
        <v/>
      </c>
      <c r="AQ239" s="92" t="str">
        <f aca="false">IF(ISBLANK(C239),"",AI239)</f>
        <v/>
      </c>
      <c r="AR239" s="93" t="str">
        <f aca="false">IF(ISBLANK(C239),
  "",
IF(AQ239=Constants!$B$11,COUNTA($C$8:$C$507)+2,IF(AQ239=Constants!$B$12,COUNTA($C$8:$C$507)+1,IF(AQ239=Constants!$B$13,COUNTA($C$8:$C$507),AQ239))))</f>
        <v/>
      </c>
      <c r="AS239" s="3"/>
      <c r="AT239" s="94" t="n">
        <f aca="false">IF(OR(ISNUMBER(AQ239),AQ239="DQ",AQ239="P",AQ239="NS"),
    1,
    0
)</f>
        <v>0</v>
      </c>
      <c r="AU239" s="94" t="n">
        <v>232</v>
      </c>
      <c r="AV239" s="94" t="str">
        <f aca="false">IF(ISBLANK($C239),
    "",
   IF(ISNUMBER(AR239),AR239+ROW($B239)/1000,"")
)</f>
        <v/>
      </c>
      <c r="AW239" s="94" t="str">
        <f aca="false">IF(ISNUMBER(AV239), RANK(AV239,AV$8:AV$507,1), "")</f>
        <v/>
      </c>
      <c r="AX239" s="94" t="str">
        <f aca="false">IF(ISBLANK($C239),
    "",
    $B239
)</f>
        <v/>
      </c>
      <c r="AY239" s="94" t="str">
        <f aca="false">IF(ISBLANK($C239),
    "",
    $C239
)</f>
        <v/>
      </c>
      <c r="AZ239" s="94" t="str">
        <f aca="false">IF(ISBLANK($C239),
    "",
    $D239
)</f>
        <v/>
      </c>
      <c r="BA239" s="94" t="str">
        <f aca="false">AO239</f>
        <v/>
      </c>
      <c r="BB239" s="95" t="str">
        <f aca="false">AN239</f>
        <v/>
      </c>
      <c r="BC239" s="94" t="str">
        <f aca="false">IF(ISBLANK($C239),
    "",
    AQ239
)</f>
        <v/>
      </c>
      <c r="BD239" s="96" t="str">
        <f aca="false">IF(AU239&gt;AT$7,
    "",
    VLOOKUP(AU239,AW$8:BC$507,7,FALSE())
)</f>
        <v/>
      </c>
      <c r="BE239" s="97" t="str">
        <f aca="false">IF(AU239&gt;AT$7,
    "",
    VLOOKUP(AU239,AW$8:BC$507,2,FALSE())
)</f>
        <v/>
      </c>
      <c r="BF239" s="97" t="str">
        <f aca="false">IF(AU239&gt;AT$7,
    "",
    VLOOKUP(AU239,AW$8:BC$507,3,FALSE())
)</f>
        <v/>
      </c>
      <c r="BG239" s="97" t="str">
        <f aca="false">IF(AU239&gt;AT$7,
    "",
    VLOOKUP(AU239,AW$8:BC$507,4,FALSE())
)</f>
        <v/>
      </c>
      <c r="BH239" s="97" t="str">
        <f aca="false">IF(AU239&gt;AT$7,
    "",
    VLOOKUP(AU239,AW$8:BC$507,5,FALSE())
)</f>
        <v/>
      </c>
      <c r="BI239" s="98" t="str">
        <f aca="false">IF(AU239&gt;AT$7,
    "",
    VLOOKUP(AU239,AW$8:BC$507,6,FALSE())
)</f>
        <v/>
      </c>
      <c r="BJ239" s="46"/>
    </row>
    <row r="240" customFormat="false" ht="15.75" hidden="false" customHeight="false" outlineLevel="0" collapsed="false">
      <c r="A240" s="3"/>
      <c r="B240" s="105"/>
      <c r="C240" s="106"/>
      <c r="D240" s="99"/>
      <c r="E240" s="110"/>
      <c r="F240" s="107"/>
      <c r="G240" s="110"/>
      <c r="H240" s="103"/>
      <c r="I240" s="102"/>
      <c r="J240" s="103"/>
      <c r="K240" s="103"/>
      <c r="L240" s="85"/>
      <c r="M240" s="85" t="str">
        <f aca="false">IF(ISBLANK($C240),"",IF(ISBLANK(E240),0,E240))</f>
        <v/>
      </c>
      <c r="N240" s="85" t="str">
        <f aca="false">IF(ISBLANK($C240),"",IF(ISBLANK(F240),0,F240))</f>
        <v/>
      </c>
      <c r="O240" s="86" t="e">
        <f aca="false">IF(AND(NOT(ISBLANK($C240)),NOT($T240),COUNTA($E240:$K240)&gt;0),ISBLANK($F240),FALSE())</f>
        <v>#VALUE!</v>
      </c>
      <c r="P240" s="85" t="str">
        <f aca="false">IF(ISBLANK($C240),"",IF(G240=Constants!$B$9, TRUE(), IF(G240=Constants!$B$10, FALSE(), TRUE())))</f>
        <v/>
      </c>
      <c r="Q240" s="85" t="str">
        <f aca="false">IF(ISBLANK($C240),"",IF(H240=Constants!$B$9, TRUE(), IF(H240=Constants!$B$10, FALSE(), TRUE())))</f>
        <v/>
      </c>
      <c r="R240" s="85" t="str">
        <f aca="false">IF(ISBLANK($C240),"",IF(ISBLANK(I240),Constants!$B$3,I240))</f>
        <v/>
      </c>
      <c r="S240" s="85" t="str">
        <f aca="false">IF(ISBLANK($C240),"",IF(ISBLANK(J240),0,MIN(J240,Constants!$B$6)))</f>
        <v/>
      </c>
      <c r="T240" s="85" t="str">
        <f aca="false">IF(ISBLANK($C240),"",IF(K240=Constants!$B$9, TRUE(), IF(K240=Constants!$B$10, FALSE(),  FALSE())))</f>
        <v/>
      </c>
      <c r="U240" s="85" t="str">
        <f aca="false">IF(ISBLANK($C240),"",AND(R240=Constants!$B$4, S240&lt;Constants!$B$6))</f>
        <v/>
      </c>
      <c r="V240" s="85" t="str">
        <f aca="false">IF(ISBLANK(C240), "", IF(T240, Constants!$B$11, IF(COUNTA(E240:K240)=0, Constants!$B$12, IF(NOT(AND(P240,S240&lt;&gt;0)), Constants!$B$13, IF(O240, Constants!$B$15, Constants!$B$14)))))</f>
        <v/>
      </c>
      <c r="W240" s="85" t="str">
        <f aca="false">IF(OR(ISBLANK($C240), SUMPRODUCT(--(P240:T240&lt;&gt;""))=0), "", IF(V240&lt;&gt;Constants!$B$14, V240, IF(AND(NOT(ISBLANK(J240)),P240,Q240,R240&lt;&gt;Constants!$B$2), Constants!$B$7, IF(AND(P240,OR(NOT(Q240),R240=Constants!$B$2)), Constants!$B$8, "Error"))))</f>
        <v/>
      </c>
      <c r="X240" s="87" t="str">
        <f aca="false">IF(OR(W240=Constants!$B$7,W240=Constants!$B$8), MAX(0, MIN(Constants!$B$6, S240))+IF(AND(R240=Constants!$B$4, NOT(U240)), Constants!$B$5, 0), "")</f>
        <v/>
      </c>
      <c r="Y240" s="85" t="str">
        <f aca="false">IF(ISBLANK($C240),"",IF(AND(ISNUMBER(X240),N240&gt;0),X240/N240, "") )</f>
        <v/>
      </c>
      <c r="Z240" s="85" t="str">
        <f aca="false">IF(AND(NOT(ISBLANK($C240)), W240=Constants!$B$7), Y240, "")</f>
        <v/>
      </c>
      <c r="AA240" s="85" t="str">
        <f aca="false">IF(ISNUMBER(Z240), RANK(Z240,Z$8:Z$507), "")</f>
        <v/>
      </c>
      <c r="AB240" s="85" t="str">
        <f aca="false">IF(AND(NOT(ISBLANK($C240)), W240=Constants!$B$8), Y240, "")</f>
        <v/>
      </c>
      <c r="AC240" s="85" t="str">
        <f aca="false">IF(ISNUMBER(AB240), RANK(AB240,AB$8:AB$507), "")</f>
        <v/>
      </c>
      <c r="AD240" s="85" t="str">
        <f aca="false">IF(ISBLANK($C240),"",IF(V240&lt;&gt;Constants!$B$14, V240, IF(W240=Constants!$B$7, AA240, IF(W240=Constants!$B$8, COUNT($AA$8:$AA$507) + AC240, ""))))</f>
        <v/>
      </c>
      <c r="AE240" s="85" t="str">
        <f aca="false">N240</f>
        <v/>
      </c>
      <c r="AF240" s="85" t="str">
        <f aca="false">IF(ISNUMBER(AE240), RANK(AE240,AE$8:AE$507,1), "")</f>
        <v/>
      </c>
      <c r="AG240" s="88" t="str">
        <f aca="false">IF(ISBLANK(C240), "", ABS(M240-S240))</f>
        <v/>
      </c>
      <c r="AH240" s="85" t="str">
        <f aca="false">IF(ISNUMBER(AG240), RANK(AG240,AG$8:AG$507,1), "")</f>
        <v/>
      </c>
      <c r="AI240" s="85" t="str">
        <f aca="false">IF(ISBLANK(C240),"",IF(V240&lt;&gt;Constants!$B$14, V240, RANK(AD240, AD$8:AD$507, 1)+ SUMPRODUCT(--(AD$8:AD$507=AD240),--(AF240&gt;AF$8:AF$507)) + SUMPRODUCT(--(AD$8:AD$507=AD240),--(AF240=AF$8:AF$507),--(AH240&gt;AH$8:AH$507))))</f>
        <v/>
      </c>
      <c r="AJ240" s="85" t="str">
        <f aca="false">IF(ISBLANK(C240),"",IF(V240&lt;&gt;Constants!$B$14, V240, AD240-AI240))</f>
        <v/>
      </c>
      <c r="AK240" s="89"/>
      <c r="AL240" s="90" t="str">
        <f aca="false">IF(ISBLANK($C240),"",IF($V240&lt;&gt;Constants!$B$14,$V240,X240))</f>
        <v/>
      </c>
      <c r="AM240" s="90" t="str">
        <f aca="false">IF(ISBLANK($C240),"",IF($V240&lt;&gt;Constants!$B$14,$V240,N240))</f>
        <v/>
      </c>
      <c r="AN240" s="91" t="str">
        <f aca="false">IF(ISBLANK(C240),"",IF(V240&lt;&gt;Constants!$B$14, V240, IF(W240=Constants!$B$7,Z240,IF(W240=Constants!$B$8,AB240,""))))</f>
        <v/>
      </c>
      <c r="AO240" s="92" t="str">
        <f aca="false">IF(ISBLANK(C240),"",W240)</f>
        <v/>
      </c>
      <c r="AP240" s="92" t="str">
        <f aca="false">IF(ISBLANK(C240),"",AJ240)</f>
        <v/>
      </c>
      <c r="AQ240" s="92" t="str">
        <f aca="false">IF(ISBLANK(C240),"",AI240)</f>
        <v/>
      </c>
      <c r="AR240" s="93" t="str">
        <f aca="false">IF(ISBLANK(C240),
  "",
IF(AQ240=Constants!$B$11,COUNTA($C$8:$C$507)+2,IF(AQ240=Constants!$B$12,COUNTA($C$8:$C$507)+1,IF(AQ240=Constants!$B$13,COUNTA($C$8:$C$507),AQ240))))</f>
        <v/>
      </c>
      <c r="AS240" s="3"/>
      <c r="AT240" s="94" t="n">
        <f aca="false">IF(OR(ISNUMBER(AQ240),AQ240="DQ",AQ240="P",AQ240="NS"),
    1,
    0
)</f>
        <v>0</v>
      </c>
      <c r="AU240" s="94" t="n">
        <v>233</v>
      </c>
      <c r="AV240" s="94" t="str">
        <f aca="false">IF(ISBLANK($C240),
    "",
   IF(ISNUMBER(AR240),AR240+ROW($B240)/1000,"")
)</f>
        <v/>
      </c>
      <c r="AW240" s="94" t="str">
        <f aca="false">IF(ISNUMBER(AV240), RANK(AV240,AV$8:AV$507,1), "")</f>
        <v/>
      </c>
      <c r="AX240" s="94" t="str">
        <f aca="false">IF(ISBLANK($C240),
    "",
    $B240
)</f>
        <v/>
      </c>
      <c r="AY240" s="94" t="str">
        <f aca="false">IF(ISBLANK($C240),
    "",
    $C240
)</f>
        <v/>
      </c>
      <c r="AZ240" s="94" t="str">
        <f aca="false">IF(ISBLANK($C240),
    "",
    $D240
)</f>
        <v/>
      </c>
      <c r="BA240" s="94" t="str">
        <f aca="false">AO240</f>
        <v/>
      </c>
      <c r="BB240" s="95" t="str">
        <f aca="false">AN240</f>
        <v/>
      </c>
      <c r="BC240" s="94" t="str">
        <f aca="false">IF(ISBLANK($C240),
    "",
    AQ240
)</f>
        <v/>
      </c>
      <c r="BD240" s="96" t="str">
        <f aca="false">IF(AU240&gt;AT$7,
    "",
    VLOOKUP(AU240,AW$8:BC$507,7,FALSE())
)</f>
        <v/>
      </c>
      <c r="BE240" s="97" t="str">
        <f aca="false">IF(AU240&gt;AT$7,
    "",
    VLOOKUP(AU240,AW$8:BC$507,2,FALSE())
)</f>
        <v/>
      </c>
      <c r="BF240" s="97" t="str">
        <f aca="false">IF(AU240&gt;AT$7,
    "",
    VLOOKUP(AU240,AW$8:BC$507,3,FALSE())
)</f>
        <v/>
      </c>
      <c r="BG240" s="97" t="str">
        <f aca="false">IF(AU240&gt;AT$7,
    "",
    VLOOKUP(AU240,AW$8:BC$507,4,FALSE())
)</f>
        <v/>
      </c>
      <c r="BH240" s="97" t="str">
        <f aca="false">IF(AU240&gt;AT$7,
    "",
    VLOOKUP(AU240,AW$8:BC$507,5,FALSE())
)</f>
        <v/>
      </c>
      <c r="BI240" s="98" t="str">
        <f aca="false">IF(AU240&gt;AT$7,
    "",
    VLOOKUP(AU240,AW$8:BC$507,6,FALSE())
)</f>
        <v/>
      </c>
      <c r="BJ240" s="46"/>
    </row>
    <row r="241" customFormat="false" ht="15.75" hidden="false" customHeight="false" outlineLevel="0" collapsed="false">
      <c r="A241" s="3"/>
      <c r="B241" s="105"/>
      <c r="C241" s="106"/>
      <c r="D241" s="99"/>
      <c r="E241" s="110"/>
      <c r="F241" s="107"/>
      <c r="G241" s="110"/>
      <c r="H241" s="103"/>
      <c r="I241" s="102"/>
      <c r="J241" s="103"/>
      <c r="K241" s="103"/>
      <c r="L241" s="85"/>
      <c r="M241" s="85" t="str">
        <f aca="false">IF(ISBLANK($C241),"",IF(ISBLANK(E241),0,E241))</f>
        <v/>
      </c>
      <c r="N241" s="85" t="str">
        <f aca="false">IF(ISBLANK($C241),"",IF(ISBLANK(F241),0,F241))</f>
        <v/>
      </c>
      <c r="O241" s="86" t="e">
        <f aca="false">IF(AND(NOT(ISBLANK($C241)),NOT($T241),COUNTA($E241:$K241)&gt;0),ISBLANK($F241),FALSE())</f>
        <v>#VALUE!</v>
      </c>
      <c r="P241" s="85" t="str">
        <f aca="false">IF(ISBLANK($C241),"",IF(G241=Constants!$B$9, TRUE(), IF(G241=Constants!$B$10, FALSE(), TRUE())))</f>
        <v/>
      </c>
      <c r="Q241" s="85" t="str">
        <f aca="false">IF(ISBLANK($C241),"",IF(H241=Constants!$B$9, TRUE(), IF(H241=Constants!$B$10, FALSE(), TRUE())))</f>
        <v/>
      </c>
      <c r="R241" s="85" t="str">
        <f aca="false">IF(ISBLANK($C241),"",IF(ISBLANK(I241),Constants!$B$3,I241))</f>
        <v/>
      </c>
      <c r="S241" s="85" t="str">
        <f aca="false">IF(ISBLANK($C241),"",IF(ISBLANK(J241),0,MIN(J241,Constants!$B$6)))</f>
        <v/>
      </c>
      <c r="T241" s="85" t="str">
        <f aca="false">IF(ISBLANK($C241),"",IF(K241=Constants!$B$9, TRUE(), IF(K241=Constants!$B$10, FALSE(),  FALSE())))</f>
        <v/>
      </c>
      <c r="U241" s="85" t="str">
        <f aca="false">IF(ISBLANK($C241),"",AND(R241=Constants!$B$4, S241&lt;Constants!$B$6))</f>
        <v/>
      </c>
      <c r="V241" s="85" t="str">
        <f aca="false">IF(ISBLANK(C241), "", IF(T241, Constants!$B$11, IF(COUNTA(E241:K241)=0, Constants!$B$12, IF(NOT(AND(P241,S241&lt;&gt;0)), Constants!$B$13, IF(O241, Constants!$B$15, Constants!$B$14)))))</f>
        <v/>
      </c>
      <c r="W241" s="85" t="str">
        <f aca="false">IF(OR(ISBLANK($C241), SUMPRODUCT(--(P241:T241&lt;&gt;""))=0), "", IF(V241&lt;&gt;Constants!$B$14, V241, IF(AND(NOT(ISBLANK(J241)),P241,Q241,R241&lt;&gt;Constants!$B$2), Constants!$B$7, IF(AND(P241,OR(NOT(Q241),R241=Constants!$B$2)), Constants!$B$8, "Error"))))</f>
        <v/>
      </c>
      <c r="X241" s="87" t="str">
        <f aca="false">IF(OR(W241=Constants!$B$7,W241=Constants!$B$8), MAX(0, MIN(Constants!$B$6, S241))+IF(AND(R241=Constants!$B$4, NOT(U241)), Constants!$B$5, 0), "")</f>
        <v/>
      </c>
      <c r="Y241" s="85" t="str">
        <f aca="false">IF(ISBLANK($C241),"",IF(AND(ISNUMBER(X241),N241&gt;0),X241/N241, "") )</f>
        <v/>
      </c>
      <c r="Z241" s="85" t="str">
        <f aca="false">IF(AND(NOT(ISBLANK($C241)), W241=Constants!$B$7), Y241, "")</f>
        <v/>
      </c>
      <c r="AA241" s="85" t="str">
        <f aca="false">IF(ISNUMBER(Z241), RANK(Z241,Z$8:Z$507), "")</f>
        <v/>
      </c>
      <c r="AB241" s="85" t="str">
        <f aca="false">IF(AND(NOT(ISBLANK($C241)), W241=Constants!$B$8), Y241, "")</f>
        <v/>
      </c>
      <c r="AC241" s="85" t="str">
        <f aca="false">IF(ISNUMBER(AB241), RANK(AB241,AB$8:AB$507), "")</f>
        <v/>
      </c>
      <c r="AD241" s="85" t="str">
        <f aca="false">IF(ISBLANK($C241),"",IF(V241&lt;&gt;Constants!$B$14, V241, IF(W241=Constants!$B$7, AA241, IF(W241=Constants!$B$8, COUNT($AA$8:$AA$507) + AC241, ""))))</f>
        <v/>
      </c>
      <c r="AE241" s="85" t="str">
        <f aca="false">N241</f>
        <v/>
      </c>
      <c r="AF241" s="85" t="str">
        <f aca="false">IF(ISNUMBER(AE241), RANK(AE241,AE$8:AE$507,1), "")</f>
        <v/>
      </c>
      <c r="AG241" s="88" t="str">
        <f aca="false">IF(ISBLANK(C241), "", ABS(M241-S241))</f>
        <v/>
      </c>
      <c r="AH241" s="85" t="str">
        <f aca="false">IF(ISNUMBER(AG241), RANK(AG241,AG$8:AG$507,1), "")</f>
        <v/>
      </c>
      <c r="AI241" s="85" t="str">
        <f aca="false">IF(ISBLANK(C241),"",IF(V241&lt;&gt;Constants!$B$14, V241, RANK(AD241, AD$8:AD$507, 1)+ SUMPRODUCT(--(AD$8:AD$507=AD241),--(AF241&gt;AF$8:AF$507)) + SUMPRODUCT(--(AD$8:AD$507=AD241),--(AF241=AF$8:AF$507),--(AH241&gt;AH$8:AH$507))))</f>
        <v/>
      </c>
      <c r="AJ241" s="85" t="str">
        <f aca="false">IF(ISBLANK(C241),"",IF(V241&lt;&gt;Constants!$B$14, V241, AD241-AI241))</f>
        <v/>
      </c>
      <c r="AK241" s="89"/>
      <c r="AL241" s="90" t="str">
        <f aca="false">IF(ISBLANK($C241),"",IF($V241&lt;&gt;Constants!$B$14,$V241,X241))</f>
        <v/>
      </c>
      <c r="AM241" s="90" t="str">
        <f aca="false">IF(ISBLANK($C241),"",IF($V241&lt;&gt;Constants!$B$14,$V241,N241))</f>
        <v/>
      </c>
      <c r="AN241" s="91" t="str">
        <f aca="false">IF(ISBLANK(C241),"",IF(V241&lt;&gt;Constants!$B$14, V241, IF(W241=Constants!$B$7,Z241,IF(W241=Constants!$B$8,AB241,""))))</f>
        <v/>
      </c>
      <c r="AO241" s="92" t="str">
        <f aca="false">IF(ISBLANK(C241),"",W241)</f>
        <v/>
      </c>
      <c r="AP241" s="92" t="str">
        <f aca="false">IF(ISBLANK(C241),"",AJ241)</f>
        <v/>
      </c>
      <c r="AQ241" s="92" t="str">
        <f aca="false">IF(ISBLANK(C241),"",AI241)</f>
        <v/>
      </c>
      <c r="AR241" s="93" t="str">
        <f aca="false">IF(ISBLANK(C241),
  "",
IF(AQ241=Constants!$B$11,COUNTA($C$8:$C$507)+2,IF(AQ241=Constants!$B$12,COUNTA($C$8:$C$507)+1,IF(AQ241=Constants!$B$13,COUNTA($C$8:$C$507),AQ241))))</f>
        <v/>
      </c>
      <c r="AS241" s="3"/>
      <c r="AT241" s="94" t="n">
        <f aca="false">IF(OR(ISNUMBER(AQ241),AQ241="DQ",AQ241="P",AQ241="NS"),
    1,
    0
)</f>
        <v>0</v>
      </c>
      <c r="AU241" s="94" t="n">
        <v>234</v>
      </c>
      <c r="AV241" s="94" t="str">
        <f aca="false">IF(ISBLANK($C241),
    "",
   IF(ISNUMBER(AR241),AR241+ROW($B241)/1000,"")
)</f>
        <v/>
      </c>
      <c r="AW241" s="94" t="str">
        <f aca="false">IF(ISNUMBER(AV241), RANK(AV241,AV$8:AV$507,1), "")</f>
        <v/>
      </c>
      <c r="AX241" s="94" t="str">
        <f aca="false">IF(ISBLANK($C241),
    "",
    $B241
)</f>
        <v/>
      </c>
      <c r="AY241" s="94" t="str">
        <f aca="false">IF(ISBLANK($C241),
    "",
    $C241
)</f>
        <v/>
      </c>
      <c r="AZ241" s="94" t="str">
        <f aca="false">IF(ISBLANK($C241),
    "",
    $D241
)</f>
        <v/>
      </c>
      <c r="BA241" s="94" t="str">
        <f aca="false">AO241</f>
        <v/>
      </c>
      <c r="BB241" s="95" t="str">
        <f aca="false">AN241</f>
        <v/>
      </c>
      <c r="BC241" s="94" t="str">
        <f aca="false">IF(ISBLANK($C241),
    "",
    AQ241
)</f>
        <v/>
      </c>
      <c r="BD241" s="96" t="str">
        <f aca="false">IF(AU241&gt;AT$7,
    "",
    VLOOKUP(AU241,AW$8:BC$507,7,FALSE())
)</f>
        <v/>
      </c>
      <c r="BE241" s="97" t="str">
        <f aca="false">IF(AU241&gt;AT$7,
    "",
    VLOOKUP(AU241,AW$8:BC$507,2,FALSE())
)</f>
        <v/>
      </c>
      <c r="BF241" s="97" t="str">
        <f aca="false">IF(AU241&gt;AT$7,
    "",
    VLOOKUP(AU241,AW$8:BC$507,3,FALSE())
)</f>
        <v/>
      </c>
      <c r="BG241" s="97" t="str">
        <f aca="false">IF(AU241&gt;AT$7,
    "",
    VLOOKUP(AU241,AW$8:BC$507,4,FALSE())
)</f>
        <v/>
      </c>
      <c r="BH241" s="97" t="str">
        <f aca="false">IF(AU241&gt;AT$7,
    "",
    VLOOKUP(AU241,AW$8:BC$507,5,FALSE())
)</f>
        <v/>
      </c>
      <c r="BI241" s="98" t="str">
        <f aca="false">IF(AU241&gt;AT$7,
    "",
    VLOOKUP(AU241,AW$8:BC$507,6,FALSE())
)</f>
        <v/>
      </c>
      <c r="BJ241" s="46"/>
    </row>
    <row r="242" customFormat="false" ht="15.75" hidden="false" customHeight="false" outlineLevel="0" collapsed="false">
      <c r="A242" s="3"/>
      <c r="B242" s="108"/>
      <c r="C242" s="70"/>
      <c r="D242" s="49"/>
      <c r="E242" s="109"/>
      <c r="F242" s="72"/>
      <c r="G242" s="109"/>
      <c r="H242" s="74"/>
      <c r="I242" s="104"/>
      <c r="J242" s="74"/>
      <c r="K242" s="74"/>
      <c r="L242" s="55"/>
      <c r="M242" s="55" t="str">
        <f aca="false">IF(ISBLANK($C242),"",IF(ISBLANK(E242),0,E242))</f>
        <v/>
      </c>
      <c r="N242" s="55" t="str">
        <f aca="false">IF(ISBLANK($C242),"",IF(ISBLANK(F242),0,F242))</f>
        <v/>
      </c>
      <c r="O242" s="55" t="e">
        <f aca="false">IF(AND(NOT(ISBLANK($C242)),NOT($T242),COUNTA($E242:$K242)&gt;0),ISBLANK($F242),FALSE())</f>
        <v>#VALUE!</v>
      </c>
      <c r="P242" s="55" t="str">
        <f aca="false">IF(ISBLANK($C242),"",IF(G242=Constants!$B$9, TRUE(), IF(G242=Constants!$B$10, FALSE(), TRUE())))</f>
        <v/>
      </c>
      <c r="Q242" s="55" t="str">
        <f aca="false">IF(ISBLANK($C242),"",IF(H242=Constants!$B$9, TRUE(), IF(H242=Constants!$B$10, FALSE(), TRUE())))</f>
        <v/>
      </c>
      <c r="R242" s="55" t="str">
        <f aca="false">IF(ISBLANK($C242),"",IF(ISBLANK(I242),Constants!$B$3,I242))</f>
        <v/>
      </c>
      <c r="S242" s="55" t="str">
        <f aca="false">IF(ISBLANK($C242),"",IF(ISBLANK(J242),0,MIN(J242,Constants!$B$6)))</f>
        <v/>
      </c>
      <c r="T242" s="55" t="str">
        <f aca="false">IF(ISBLANK($C242),"",IF(K242=Constants!$B$9, TRUE(), IF(K242=Constants!$B$10, FALSE(),  FALSE())))</f>
        <v/>
      </c>
      <c r="U242" s="55" t="str">
        <f aca="false">IF(ISBLANK($C242),"",AND(R242=Constants!$B$4, S242&lt;Constants!$B$6))</f>
        <v/>
      </c>
      <c r="V242" s="55" t="str">
        <f aca="false">IF(ISBLANK(C242), "", IF(T242, Constants!$B$11, IF(COUNTA(E242:K242)=0, Constants!$B$12, IF(NOT(AND(P242,S242&lt;&gt;0)), Constants!$B$13, IF(O242, Constants!$B$15, Constants!$B$14)))))</f>
        <v/>
      </c>
      <c r="W242" s="55" t="str">
        <f aca="false">IF(OR(ISBLANK($C242), SUMPRODUCT(--(P242:T242&lt;&gt;""))=0), "", IF(V242&lt;&gt;Constants!$B$14, V242, IF(AND(NOT(ISBLANK(J242)),P242,Q242,R242&lt;&gt;Constants!$B$2), Constants!$B$7, IF(AND(P242,OR(NOT(Q242),R242=Constants!$B$2)), Constants!$B$8, "Error"))))</f>
        <v/>
      </c>
      <c r="X242" s="56" t="str">
        <f aca="false">IF(OR(W242=Constants!$B$7,W242=Constants!$B$8), MAX(0, MIN(Constants!$B$6, S242))+IF(AND(R242=Constants!$B$4, NOT(U242)), Constants!$B$5, 0), "")</f>
        <v/>
      </c>
      <c r="Y242" s="55" t="str">
        <f aca="false">IF(ISBLANK($C242),"",IF(AND(ISNUMBER(X242),N242&gt;0),X242/N242, "") )</f>
        <v/>
      </c>
      <c r="Z242" s="55" t="str">
        <f aca="false">IF(AND(NOT(ISBLANK($C242)), W242=Constants!$B$7), Y242, "")</f>
        <v/>
      </c>
      <c r="AA242" s="55" t="str">
        <f aca="false">IF(ISNUMBER(Z242), RANK(Z242,Z$8:Z$507), "")</f>
        <v/>
      </c>
      <c r="AB242" s="55" t="str">
        <f aca="false">IF(AND(NOT(ISBLANK($C242)), W242=Constants!$B$8), Y242, "")</f>
        <v/>
      </c>
      <c r="AC242" s="55" t="str">
        <f aca="false">IF(ISNUMBER(AB242), RANK(AB242,AB$8:AB$507), "")</f>
        <v/>
      </c>
      <c r="AD242" s="55" t="str">
        <f aca="false">IF(ISBLANK($C242),"",IF(V242&lt;&gt;Constants!$B$14, V242, IF(W242=Constants!$B$7, AA242, IF(W242=Constants!$B$8, COUNT($AA$8:$AA$507) + AC242, ""))))</f>
        <v/>
      </c>
      <c r="AE242" s="55" t="str">
        <f aca="false">N242</f>
        <v/>
      </c>
      <c r="AF242" s="55" t="str">
        <f aca="false">IF(ISNUMBER(AE242), RANK(AE242,AE$8:AE$507,1), "")</f>
        <v/>
      </c>
      <c r="AG242" s="57" t="str">
        <f aca="false">IF(ISBLANK(C242), "", ABS(M242-S242))</f>
        <v/>
      </c>
      <c r="AH242" s="55" t="str">
        <f aca="false">IF(ISNUMBER(AG242), RANK(AG242,AG$8:AG$507,1), "")</f>
        <v/>
      </c>
      <c r="AI242" s="55" t="str">
        <f aca="false">IF(ISBLANK(C242),"",IF(V242&lt;&gt;Constants!$B$14, V242, RANK(AD242, AD$8:AD$507, 1)+ SUMPRODUCT(--(AD$8:AD$507=AD242),--(AF242&gt;AF$8:AF$507)) + SUMPRODUCT(--(AD$8:AD$507=AD242),--(AF242=AF$8:AF$507),--(AH242&gt;AH$8:AH$507))))</f>
        <v/>
      </c>
      <c r="AJ242" s="55" t="str">
        <f aca="false">IF(ISBLANK(C242),"",IF(V242&lt;&gt;Constants!$B$14, V242, AD242-AI242))</f>
        <v/>
      </c>
      <c r="AK242" s="59"/>
      <c r="AL242" s="60" t="str">
        <f aca="false">IF(ISBLANK($C242),"",IF($V242&lt;&gt;Constants!$B$14,$V242,X242))</f>
        <v/>
      </c>
      <c r="AM242" s="60" t="str">
        <f aca="false">IF(ISBLANK($C242),"",IF($V242&lt;&gt;Constants!$B$14,$V242,N242))</f>
        <v/>
      </c>
      <c r="AN242" s="62" t="str">
        <f aca="false">IF(ISBLANK(C242),"",IF(V242&lt;&gt;Constants!$B$14, V242, IF(W242=Constants!$B$7,Z242,IF(W242=Constants!$B$8,AB242,""))))</f>
        <v/>
      </c>
      <c r="AO242" s="63" t="str">
        <f aca="false">IF(ISBLANK(C242),"",W242)</f>
        <v/>
      </c>
      <c r="AP242" s="63" t="str">
        <f aca="false">IF(ISBLANK(C242),"",AJ242)</f>
        <v/>
      </c>
      <c r="AQ242" s="63" t="str">
        <f aca="false">IF(ISBLANK(C242),"",AI242)</f>
        <v/>
      </c>
      <c r="AR242" s="64" t="str">
        <f aca="false">IF(ISBLANK(C242),
  "",
IF(AQ242=Constants!$B$11,COUNTA($C$8:$C$507)+2,IF(AQ242=Constants!$B$12,COUNTA($C$8:$C$507)+1,IF(AQ242=Constants!$B$13,COUNTA($C$8:$C$507),AQ242))))</f>
        <v/>
      </c>
      <c r="AS242" s="3"/>
      <c r="AT242" s="65" t="n">
        <f aca="false">IF(OR(ISNUMBER(AQ242),AQ242="DQ",AQ242="P",AQ242="NS"),
    1,
    0
)</f>
        <v>0</v>
      </c>
      <c r="AU242" s="65" t="n">
        <v>235</v>
      </c>
      <c r="AV242" s="65" t="str">
        <f aca="false">IF(ISBLANK($C242),
    "",
   IF(ISNUMBER(AR242),AR242+ROW($B242)/1000,"")
)</f>
        <v/>
      </c>
      <c r="AW242" s="65" t="str">
        <f aca="false">IF(ISNUMBER(AV242), RANK(AV242,AV$8:AV$507,1), "")</f>
        <v/>
      </c>
      <c r="AX242" s="65" t="str">
        <f aca="false">IF(ISBLANK($C242),
    "",
    $B242
)</f>
        <v/>
      </c>
      <c r="AY242" s="65" t="str">
        <f aca="false">IF(ISBLANK($C242),
    "",
    $C242
)</f>
        <v/>
      </c>
      <c r="AZ242" s="65" t="str">
        <f aca="false">IF(ISBLANK($C242),
    "",
    $D242
)</f>
        <v/>
      </c>
      <c r="BA242" s="65" t="str">
        <f aca="false">AO242</f>
        <v/>
      </c>
      <c r="BB242" s="66" t="str">
        <f aca="false">AN242</f>
        <v/>
      </c>
      <c r="BC242" s="65" t="str">
        <f aca="false">IF(ISBLANK($C242),
    "",
    AQ242
)</f>
        <v/>
      </c>
      <c r="BD242" s="67" t="str">
        <f aca="false">IF(AU242&gt;AT$7,
    "",
    VLOOKUP(AU242,AW$8:BC$507,7,FALSE())
)</f>
        <v/>
      </c>
      <c r="BE242" s="68" t="str">
        <f aca="false">IF(AU242&gt;AT$7,
    "",
    VLOOKUP(AU242,AW$8:BC$507,2,FALSE())
)</f>
        <v/>
      </c>
      <c r="BF242" s="68" t="str">
        <f aca="false">IF(AU242&gt;AT$7,
    "",
    VLOOKUP(AU242,AW$8:BC$507,3,FALSE())
)</f>
        <v/>
      </c>
      <c r="BG242" s="68" t="str">
        <f aca="false">IF(AU242&gt;AT$7,
    "",
    VLOOKUP(AU242,AW$8:BC$507,4,FALSE())
)</f>
        <v/>
      </c>
      <c r="BH242" s="68" t="str">
        <f aca="false">IF(AU242&gt;AT$7,
    "",
    VLOOKUP(AU242,AW$8:BC$507,5,FALSE())
)</f>
        <v/>
      </c>
      <c r="BI242" s="69" t="str">
        <f aca="false">IF(AU242&gt;AT$7,
    "",
    VLOOKUP(AU242,AW$8:BC$507,6,FALSE())
)</f>
        <v/>
      </c>
      <c r="BJ242" s="46"/>
    </row>
    <row r="243" customFormat="false" ht="15.75" hidden="false" customHeight="false" outlineLevel="0" collapsed="false">
      <c r="A243" s="3"/>
      <c r="B243" s="108"/>
      <c r="C243" s="70"/>
      <c r="D243" s="49"/>
      <c r="E243" s="109"/>
      <c r="F243" s="72"/>
      <c r="G243" s="109"/>
      <c r="H243" s="74"/>
      <c r="I243" s="104"/>
      <c r="J243" s="74"/>
      <c r="K243" s="74"/>
      <c r="L243" s="55"/>
      <c r="M243" s="55" t="str">
        <f aca="false">IF(ISBLANK($C243),"",IF(ISBLANK(E243),0,E243))</f>
        <v/>
      </c>
      <c r="N243" s="55" t="str">
        <f aca="false">IF(ISBLANK($C243),"",IF(ISBLANK(F243),0,F243))</f>
        <v/>
      </c>
      <c r="O243" s="55" t="e">
        <f aca="false">IF(AND(NOT(ISBLANK($C243)),NOT($T243),COUNTA($E243:$K243)&gt;0),ISBLANK($F243),FALSE())</f>
        <v>#VALUE!</v>
      </c>
      <c r="P243" s="55" t="str">
        <f aca="false">IF(ISBLANK($C243),"",IF(G243=Constants!$B$9, TRUE(), IF(G243=Constants!$B$10, FALSE(), TRUE())))</f>
        <v/>
      </c>
      <c r="Q243" s="55" t="str">
        <f aca="false">IF(ISBLANK($C243),"",IF(H243=Constants!$B$9, TRUE(), IF(H243=Constants!$B$10, FALSE(), TRUE())))</f>
        <v/>
      </c>
      <c r="R243" s="55" t="str">
        <f aca="false">IF(ISBLANK($C243),"",IF(ISBLANK(I243),Constants!$B$3,I243))</f>
        <v/>
      </c>
      <c r="S243" s="55" t="str">
        <f aca="false">IF(ISBLANK($C243),"",IF(ISBLANK(J243),0,MIN(J243,Constants!$B$6)))</f>
        <v/>
      </c>
      <c r="T243" s="55" t="str">
        <f aca="false">IF(ISBLANK($C243),"",IF(K243=Constants!$B$9, TRUE(), IF(K243=Constants!$B$10, FALSE(),  FALSE())))</f>
        <v/>
      </c>
      <c r="U243" s="55" t="str">
        <f aca="false">IF(ISBLANK($C243),"",AND(R243=Constants!$B$4, S243&lt;Constants!$B$6))</f>
        <v/>
      </c>
      <c r="V243" s="55" t="str">
        <f aca="false">IF(ISBLANK(C243), "", IF(T243, Constants!$B$11, IF(COUNTA(E243:K243)=0, Constants!$B$12, IF(NOT(AND(P243,S243&lt;&gt;0)), Constants!$B$13, IF(O243, Constants!$B$15, Constants!$B$14)))))</f>
        <v/>
      </c>
      <c r="W243" s="55" t="str">
        <f aca="false">IF(OR(ISBLANK($C243), SUMPRODUCT(--(P243:T243&lt;&gt;""))=0), "", IF(V243&lt;&gt;Constants!$B$14, V243, IF(AND(NOT(ISBLANK(J243)),P243,Q243,R243&lt;&gt;Constants!$B$2), Constants!$B$7, IF(AND(P243,OR(NOT(Q243),R243=Constants!$B$2)), Constants!$B$8, "Error"))))</f>
        <v/>
      </c>
      <c r="X243" s="56" t="str">
        <f aca="false">IF(OR(W243=Constants!$B$7,W243=Constants!$B$8), MAX(0, MIN(Constants!$B$6, S243))+IF(AND(R243=Constants!$B$4, NOT(U243)), Constants!$B$5, 0), "")</f>
        <v/>
      </c>
      <c r="Y243" s="55" t="str">
        <f aca="false">IF(ISBLANK($C243),"",IF(AND(ISNUMBER(X243),N243&gt;0),X243/N243, "") )</f>
        <v/>
      </c>
      <c r="Z243" s="55" t="str">
        <f aca="false">IF(AND(NOT(ISBLANK($C243)), W243=Constants!$B$7), Y243, "")</f>
        <v/>
      </c>
      <c r="AA243" s="55" t="str">
        <f aca="false">IF(ISNUMBER(Z243), RANK(Z243,Z$8:Z$507), "")</f>
        <v/>
      </c>
      <c r="AB243" s="55" t="str">
        <f aca="false">IF(AND(NOT(ISBLANK($C243)), W243=Constants!$B$8), Y243, "")</f>
        <v/>
      </c>
      <c r="AC243" s="55" t="str">
        <f aca="false">IF(ISNUMBER(AB243), RANK(AB243,AB$8:AB$507), "")</f>
        <v/>
      </c>
      <c r="AD243" s="55" t="str">
        <f aca="false">IF(ISBLANK($C243),"",IF(V243&lt;&gt;Constants!$B$14, V243, IF(W243=Constants!$B$7, AA243, IF(W243=Constants!$B$8, COUNT($AA$8:$AA$507) + AC243, ""))))</f>
        <v/>
      </c>
      <c r="AE243" s="55" t="str">
        <f aca="false">N243</f>
        <v/>
      </c>
      <c r="AF243" s="55" t="str">
        <f aca="false">IF(ISNUMBER(AE243), RANK(AE243,AE$8:AE$507,1), "")</f>
        <v/>
      </c>
      <c r="AG243" s="57" t="str">
        <f aca="false">IF(ISBLANK(C243), "", ABS(M243-S243))</f>
        <v/>
      </c>
      <c r="AH243" s="55" t="str">
        <f aca="false">IF(ISNUMBER(AG243), RANK(AG243,AG$8:AG$507,1), "")</f>
        <v/>
      </c>
      <c r="AI243" s="55" t="str">
        <f aca="false">IF(ISBLANK(C243),"",IF(V243&lt;&gt;Constants!$B$14, V243, RANK(AD243, AD$8:AD$507, 1)+ SUMPRODUCT(--(AD$8:AD$507=AD243),--(AF243&gt;AF$8:AF$507)) + SUMPRODUCT(--(AD$8:AD$507=AD243),--(AF243=AF$8:AF$507),--(AH243&gt;AH$8:AH$507))))</f>
        <v/>
      </c>
      <c r="AJ243" s="55" t="str">
        <f aca="false">IF(ISBLANK(C243),"",IF(V243&lt;&gt;Constants!$B$14, V243, AD243-AI243))</f>
        <v/>
      </c>
      <c r="AK243" s="59"/>
      <c r="AL243" s="60" t="str">
        <f aca="false">IF(ISBLANK($C243),"",IF($V243&lt;&gt;Constants!$B$14,$V243,X243))</f>
        <v/>
      </c>
      <c r="AM243" s="60" t="str">
        <f aca="false">IF(ISBLANK($C243),"",IF($V243&lt;&gt;Constants!$B$14,$V243,N243))</f>
        <v/>
      </c>
      <c r="AN243" s="62" t="str">
        <f aca="false">IF(ISBLANK(C243),"",IF(V243&lt;&gt;Constants!$B$14, V243, IF(W243=Constants!$B$7,Z243,IF(W243=Constants!$B$8,AB243,""))))</f>
        <v/>
      </c>
      <c r="AO243" s="63" t="str">
        <f aca="false">IF(ISBLANK(C243),"",W243)</f>
        <v/>
      </c>
      <c r="AP243" s="63" t="str">
        <f aca="false">IF(ISBLANK(C243),"",AJ243)</f>
        <v/>
      </c>
      <c r="AQ243" s="63" t="str">
        <f aca="false">IF(ISBLANK(C243),"",AI243)</f>
        <v/>
      </c>
      <c r="AR243" s="64" t="str">
        <f aca="false">IF(ISBLANK(C243),
  "",
IF(AQ243=Constants!$B$11,COUNTA($C$8:$C$507)+2,IF(AQ243=Constants!$B$12,COUNTA($C$8:$C$507)+1,IF(AQ243=Constants!$B$13,COUNTA($C$8:$C$507),AQ243))))</f>
        <v/>
      </c>
      <c r="AS243" s="3"/>
      <c r="AT243" s="65" t="n">
        <f aca="false">IF(OR(ISNUMBER(AQ243),AQ243="DQ",AQ243="P",AQ243="NS"),
    1,
    0
)</f>
        <v>0</v>
      </c>
      <c r="AU243" s="65" t="n">
        <v>236</v>
      </c>
      <c r="AV243" s="65" t="str">
        <f aca="false">IF(ISBLANK($C243),
    "",
   IF(ISNUMBER(AR243),AR243+ROW($B243)/1000,"")
)</f>
        <v/>
      </c>
      <c r="AW243" s="65" t="str">
        <f aca="false">IF(ISNUMBER(AV243), RANK(AV243,AV$8:AV$507,1), "")</f>
        <v/>
      </c>
      <c r="AX243" s="65" t="str">
        <f aca="false">IF(ISBLANK($C243),
    "",
    $B243
)</f>
        <v/>
      </c>
      <c r="AY243" s="65" t="str">
        <f aca="false">IF(ISBLANK($C243),
    "",
    $C243
)</f>
        <v/>
      </c>
      <c r="AZ243" s="65" t="str">
        <f aca="false">IF(ISBLANK($C243),
    "",
    $D243
)</f>
        <v/>
      </c>
      <c r="BA243" s="65" t="str">
        <f aca="false">AO243</f>
        <v/>
      </c>
      <c r="BB243" s="66" t="str">
        <f aca="false">AN243</f>
        <v/>
      </c>
      <c r="BC243" s="65" t="str">
        <f aca="false">IF(ISBLANK($C243),
    "",
    AQ243
)</f>
        <v/>
      </c>
      <c r="BD243" s="67" t="str">
        <f aca="false">IF(AU243&gt;AT$7,
    "",
    VLOOKUP(AU243,AW$8:BC$507,7,FALSE())
)</f>
        <v/>
      </c>
      <c r="BE243" s="68" t="str">
        <f aca="false">IF(AU243&gt;AT$7,
    "",
    VLOOKUP(AU243,AW$8:BC$507,2,FALSE())
)</f>
        <v/>
      </c>
      <c r="BF243" s="68" t="str">
        <f aca="false">IF(AU243&gt;AT$7,
    "",
    VLOOKUP(AU243,AW$8:BC$507,3,FALSE())
)</f>
        <v/>
      </c>
      <c r="BG243" s="68" t="str">
        <f aca="false">IF(AU243&gt;AT$7,
    "",
    VLOOKUP(AU243,AW$8:BC$507,4,FALSE())
)</f>
        <v/>
      </c>
      <c r="BH243" s="68" t="str">
        <f aca="false">IF(AU243&gt;AT$7,
    "",
    VLOOKUP(AU243,AW$8:BC$507,5,FALSE())
)</f>
        <v/>
      </c>
      <c r="BI243" s="69" t="str">
        <f aca="false">IF(AU243&gt;AT$7,
    "",
    VLOOKUP(AU243,AW$8:BC$507,6,FALSE())
)</f>
        <v/>
      </c>
      <c r="BJ243" s="46"/>
    </row>
    <row r="244" customFormat="false" ht="15.75" hidden="false" customHeight="false" outlineLevel="0" collapsed="false">
      <c r="A244" s="3"/>
      <c r="B244" s="108"/>
      <c r="C244" s="70"/>
      <c r="D244" s="49"/>
      <c r="E244" s="109"/>
      <c r="F244" s="72"/>
      <c r="G244" s="109"/>
      <c r="H244" s="74"/>
      <c r="I244" s="104"/>
      <c r="J244" s="74"/>
      <c r="K244" s="74"/>
      <c r="L244" s="55"/>
      <c r="M244" s="55" t="str">
        <f aca="false">IF(ISBLANK($C244),"",IF(ISBLANK(E244),0,E244))</f>
        <v/>
      </c>
      <c r="N244" s="55" t="str">
        <f aca="false">IF(ISBLANK($C244),"",IF(ISBLANK(F244),0,F244))</f>
        <v/>
      </c>
      <c r="O244" s="55" t="e">
        <f aca="false">IF(AND(NOT(ISBLANK($C244)),NOT($T244),COUNTA($E244:$K244)&gt;0),ISBLANK($F244),FALSE())</f>
        <v>#VALUE!</v>
      </c>
      <c r="P244" s="55" t="str">
        <f aca="false">IF(ISBLANK($C244),"",IF(G244=Constants!$B$9, TRUE(), IF(G244=Constants!$B$10, FALSE(), TRUE())))</f>
        <v/>
      </c>
      <c r="Q244" s="55" t="str">
        <f aca="false">IF(ISBLANK($C244),"",IF(H244=Constants!$B$9, TRUE(), IF(H244=Constants!$B$10, FALSE(), TRUE())))</f>
        <v/>
      </c>
      <c r="R244" s="55" t="str">
        <f aca="false">IF(ISBLANK($C244),"",IF(ISBLANK(I244),Constants!$B$3,I244))</f>
        <v/>
      </c>
      <c r="S244" s="55" t="str">
        <f aca="false">IF(ISBLANK($C244),"",IF(ISBLANK(J244),0,MIN(J244,Constants!$B$6)))</f>
        <v/>
      </c>
      <c r="T244" s="55" t="str">
        <f aca="false">IF(ISBLANK($C244),"",IF(K244=Constants!$B$9, TRUE(), IF(K244=Constants!$B$10, FALSE(),  FALSE())))</f>
        <v/>
      </c>
      <c r="U244" s="55" t="str">
        <f aca="false">IF(ISBLANK($C244),"",AND(R244=Constants!$B$4, S244&lt;Constants!$B$6))</f>
        <v/>
      </c>
      <c r="V244" s="55" t="str">
        <f aca="false">IF(ISBLANK(C244), "", IF(T244, Constants!$B$11, IF(COUNTA(E244:K244)=0, Constants!$B$12, IF(NOT(AND(P244,S244&lt;&gt;0)), Constants!$B$13, IF(O244, Constants!$B$15, Constants!$B$14)))))</f>
        <v/>
      </c>
      <c r="W244" s="55" t="str">
        <f aca="false">IF(OR(ISBLANK($C244), SUMPRODUCT(--(P244:T244&lt;&gt;""))=0), "", IF(V244&lt;&gt;Constants!$B$14, V244, IF(AND(NOT(ISBLANK(J244)),P244,Q244,R244&lt;&gt;Constants!$B$2), Constants!$B$7, IF(AND(P244,OR(NOT(Q244),R244=Constants!$B$2)), Constants!$B$8, "Error"))))</f>
        <v/>
      </c>
      <c r="X244" s="56" t="str">
        <f aca="false">IF(OR(W244=Constants!$B$7,W244=Constants!$B$8), MAX(0, MIN(Constants!$B$6, S244))+IF(AND(R244=Constants!$B$4, NOT(U244)), Constants!$B$5, 0), "")</f>
        <v/>
      </c>
      <c r="Y244" s="55" t="str">
        <f aca="false">IF(ISBLANK($C244),"",IF(AND(ISNUMBER(X244),N244&gt;0),X244/N244, "") )</f>
        <v/>
      </c>
      <c r="Z244" s="55" t="str">
        <f aca="false">IF(AND(NOT(ISBLANK($C244)), W244=Constants!$B$7), Y244, "")</f>
        <v/>
      </c>
      <c r="AA244" s="55" t="str">
        <f aca="false">IF(ISNUMBER(Z244), RANK(Z244,Z$8:Z$507), "")</f>
        <v/>
      </c>
      <c r="AB244" s="55" t="str">
        <f aca="false">IF(AND(NOT(ISBLANK($C244)), W244=Constants!$B$8), Y244, "")</f>
        <v/>
      </c>
      <c r="AC244" s="55" t="str">
        <f aca="false">IF(ISNUMBER(AB244), RANK(AB244,AB$8:AB$507), "")</f>
        <v/>
      </c>
      <c r="AD244" s="55" t="str">
        <f aca="false">IF(ISBLANK($C244),"",IF(V244&lt;&gt;Constants!$B$14, V244, IF(W244=Constants!$B$7, AA244, IF(W244=Constants!$B$8, COUNT($AA$8:$AA$507) + AC244, ""))))</f>
        <v/>
      </c>
      <c r="AE244" s="55" t="str">
        <f aca="false">N244</f>
        <v/>
      </c>
      <c r="AF244" s="55" t="str">
        <f aca="false">IF(ISNUMBER(AE244), RANK(AE244,AE$8:AE$507,1), "")</f>
        <v/>
      </c>
      <c r="AG244" s="57" t="str">
        <f aca="false">IF(ISBLANK(C244), "", ABS(M244-S244))</f>
        <v/>
      </c>
      <c r="AH244" s="55" t="str">
        <f aca="false">IF(ISNUMBER(AG244), RANK(AG244,AG$8:AG$507,1), "")</f>
        <v/>
      </c>
      <c r="AI244" s="55" t="str">
        <f aca="false">IF(ISBLANK(C244),"",IF(V244&lt;&gt;Constants!$B$14, V244, RANK(AD244, AD$8:AD$507, 1)+ SUMPRODUCT(--(AD$8:AD$507=AD244),--(AF244&gt;AF$8:AF$507)) + SUMPRODUCT(--(AD$8:AD$507=AD244),--(AF244=AF$8:AF$507),--(AH244&gt;AH$8:AH$507))))</f>
        <v/>
      </c>
      <c r="AJ244" s="55" t="str">
        <f aca="false">IF(ISBLANK(C244),"",IF(V244&lt;&gt;Constants!$B$14, V244, AD244-AI244))</f>
        <v/>
      </c>
      <c r="AK244" s="59"/>
      <c r="AL244" s="60" t="str">
        <f aca="false">IF(ISBLANK($C244),"",IF($V244&lt;&gt;Constants!$B$14,$V244,X244))</f>
        <v/>
      </c>
      <c r="AM244" s="60" t="str">
        <f aca="false">IF(ISBLANK($C244),"",IF($V244&lt;&gt;Constants!$B$14,$V244,N244))</f>
        <v/>
      </c>
      <c r="AN244" s="62" t="str">
        <f aca="false">IF(ISBLANK(C244),"",IF(V244&lt;&gt;Constants!$B$14, V244, IF(W244=Constants!$B$7,Z244,IF(W244=Constants!$B$8,AB244,""))))</f>
        <v/>
      </c>
      <c r="AO244" s="63" t="str">
        <f aca="false">IF(ISBLANK(C244),"",W244)</f>
        <v/>
      </c>
      <c r="AP244" s="63" t="str">
        <f aca="false">IF(ISBLANK(C244),"",AJ244)</f>
        <v/>
      </c>
      <c r="AQ244" s="63" t="str">
        <f aca="false">IF(ISBLANK(C244),"",AI244)</f>
        <v/>
      </c>
      <c r="AR244" s="64" t="str">
        <f aca="false">IF(ISBLANK(C244),
  "",
IF(AQ244=Constants!$B$11,COUNTA($C$8:$C$507)+2,IF(AQ244=Constants!$B$12,COUNTA($C$8:$C$507)+1,IF(AQ244=Constants!$B$13,COUNTA($C$8:$C$507),AQ244))))</f>
        <v/>
      </c>
      <c r="AS244" s="3"/>
      <c r="AT244" s="65" t="n">
        <f aca="false">IF(OR(ISNUMBER(AQ244),AQ244="DQ",AQ244="P",AQ244="NS"),
    1,
    0
)</f>
        <v>0</v>
      </c>
      <c r="AU244" s="65" t="n">
        <v>237</v>
      </c>
      <c r="AV244" s="65" t="str">
        <f aca="false">IF(ISBLANK($C244),
    "",
   IF(ISNUMBER(AR244),AR244+ROW($B244)/1000,"")
)</f>
        <v/>
      </c>
      <c r="AW244" s="65" t="str">
        <f aca="false">IF(ISNUMBER(AV244), RANK(AV244,AV$8:AV$507,1), "")</f>
        <v/>
      </c>
      <c r="AX244" s="65" t="str">
        <f aca="false">IF(ISBLANK($C244),
    "",
    $B244
)</f>
        <v/>
      </c>
      <c r="AY244" s="65" t="str">
        <f aca="false">IF(ISBLANK($C244),
    "",
    $C244
)</f>
        <v/>
      </c>
      <c r="AZ244" s="65" t="str">
        <f aca="false">IF(ISBLANK($C244),
    "",
    $D244
)</f>
        <v/>
      </c>
      <c r="BA244" s="65" t="str">
        <f aca="false">AO244</f>
        <v/>
      </c>
      <c r="BB244" s="66" t="str">
        <f aca="false">AN244</f>
        <v/>
      </c>
      <c r="BC244" s="65" t="str">
        <f aca="false">IF(ISBLANK($C244),
    "",
    AQ244
)</f>
        <v/>
      </c>
      <c r="BD244" s="67" t="str">
        <f aca="false">IF(AU244&gt;AT$7,
    "",
    VLOOKUP(AU244,AW$8:BC$507,7,FALSE())
)</f>
        <v/>
      </c>
      <c r="BE244" s="68" t="str">
        <f aca="false">IF(AU244&gt;AT$7,
    "",
    VLOOKUP(AU244,AW$8:BC$507,2,FALSE())
)</f>
        <v/>
      </c>
      <c r="BF244" s="68" t="str">
        <f aca="false">IF(AU244&gt;AT$7,
    "",
    VLOOKUP(AU244,AW$8:BC$507,3,FALSE())
)</f>
        <v/>
      </c>
      <c r="BG244" s="68" t="str">
        <f aca="false">IF(AU244&gt;AT$7,
    "",
    VLOOKUP(AU244,AW$8:BC$507,4,FALSE())
)</f>
        <v/>
      </c>
      <c r="BH244" s="68" t="str">
        <f aca="false">IF(AU244&gt;AT$7,
    "",
    VLOOKUP(AU244,AW$8:BC$507,5,FALSE())
)</f>
        <v/>
      </c>
      <c r="BI244" s="69" t="str">
        <f aca="false">IF(AU244&gt;AT$7,
    "",
    VLOOKUP(AU244,AW$8:BC$507,6,FALSE())
)</f>
        <v/>
      </c>
      <c r="BJ244" s="46"/>
    </row>
    <row r="245" customFormat="false" ht="15.75" hidden="false" customHeight="false" outlineLevel="0" collapsed="false">
      <c r="A245" s="3"/>
      <c r="B245" s="105"/>
      <c r="C245" s="106"/>
      <c r="D245" s="99"/>
      <c r="E245" s="110"/>
      <c r="F245" s="107"/>
      <c r="G245" s="110"/>
      <c r="H245" s="103"/>
      <c r="I245" s="102"/>
      <c r="J245" s="103"/>
      <c r="K245" s="103"/>
      <c r="L245" s="85"/>
      <c r="M245" s="85" t="str">
        <f aca="false">IF(ISBLANK($C245),"",IF(ISBLANK(E245),0,E245))</f>
        <v/>
      </c>
      <c r="N245" s="85" t="str">
        <f aca="false">IF(ISBLANK($C245),"",IF(ISBLANK(F245),0,F245))</f>
        <v/>
      </c>
      <c r="O245" s="86" t="e">
        <f aca="false">IF(AND(NOT(ISBLANK($C245)),NOT($T245),COUNTA($E245:$K245)&gt;0),ISBLANK($F245),FALSE())</f>
        <v>#VALUE!</v>
      </c>
      <c r="P245" s="85" t="str">
        <f aca="false">IF(ISBLANK($C245),"",IF(G245=Constants!$B$9, TRUE(), IF(G245=Constants!$B$10, FALSE(), TRUE())))</f>
        <v/>
      </c>
      <c r="Q245" s="85" t="str">
        <f aca="false">IF(ISBLANK($C245),"",IF(H245=Constants!$B$9, TRUE(), IF(H245=Constants!$B$10, FALSE(), TRUE())))</f>
        <v/>
      </c>
      <c r="R245" s="85" t="str">
        <f aca="false">IF(ISBLANK($C245),"",IF(ISBLANK(I245),Constants!$B$3,I245))</f>
        <v/>
      </c>
      <c r="S245" s="85" t="str">
        <f aca="false">IF(ISBLANK($C245),"",IF(ISBLANK(J245),0,MIN(J245,Constants!$B$6)))</f>
        <v/>
      </c>
      <c r="T245" s="85" t="str">
        <f aca="false">IF(ISBLANK($C245),"",IF(K245=Constants!$B$9, TRUE(), IF(K245=Constants!$B$10, FALSE(),  FALSE())))</f>
        <v/>
      </c>
      <c r="U245" s="85" t="str">
        <f aca="false">IF(ISBLANK($C245),"",AND(R245=Constants!$B$4, S245&lt;Constants!$B$6))</f>
        <v/>
      </c>
      <c r="V245" s="85" t="str">
        <f aca="false">IF(ISBLANK(C245), "", IF(T245, Constants!$B$11, IF(COUNTA(E245:K245)=0, Constants!$B$12, IF(NOT(AND(P245,S245&lt;&gt;0)), Constants!$B$13, IF(O245, Constants!$B$15, Constants!$B$14)))))</f>
        <v/>
      </c>
      <c r="W245" s="85" t="str">
        <f aca="false">IF(OR(ISBLANK($C245), SUMPRODUCT(--(P245:T245&lt;&gt;""))=0), "", IF(V245&lt;&gt;Constants!$B$14, V245, IF(AND(NOT(ISBLANK(J245)),P245,Q245,R245&lt;&gt;Constants!$B$2), Constants!$B$7, IF(AND(P245,OR(NOT(Q245),R245=Constants!$B$2)), Constants!$B$8, "Error"))))</f>
        <v/>
      </c>
      <c r="X245" s="87" t="str">
        <f aca="false">IF(OR(W245=Constants!$B$7,W245=Constants!$B$8), MAX(0, MIN(Constants!$B$6, S245))+IF(AND(R245=Constants!$B$4, NOT(U245)), Constants!$B$5, 0), "")</f>
        <v/>
      </c>
      <c r="Y245" s="85" t="str">
        <f aca="false">IF(ISBLANK($C245),"",IF(AND(ISNUMBER(X245),N245&gt;0),X245/N245, "") )</f>
        <v/>
      </c>
      <c r="Z245" s="85" t="str">
        <f aca="false">IF(AND(NOT(ISBLANK($C245)), W245=Constants!$B$7), Y245, "")</f>
        <v/>
      </c>
      <c r="AA245" s="85" t="str">
        <f aca="false">IF(ISNUMBER(Z245), RANK(Z245,Z$8:Z$507), "")</f>
        <v/>
      </c>
      <c r="AB245" s="85" t="str">
        <f aca="false">IF(AND(NOT(ISBLANK($C245)), W245=Constants!$B$8), Y245, "")</f>
        <v/>
      </c>
      <c r="AC245" s="85" t="str">
        <f aca="false">IF(ISNUMBER(AB245), RANK(AB245,AB$8:AB$507), "")</f>
        <v/>
      </c>
      <c r="AD245" s="85" t="str">
        <f aca="false">IF(ISBLANK($C245),"",IF(V245&lt;&gt;Constants!$B$14, V245, IF(W245=Constants!$B$7, AA245, IF(W245=Constants!$B$8, COUNT($AA$8:$AA$507) + AC245, ""))))</f>
        <v/>
      </c>
      <c r="AE245" s="85" t="str">
        <f aca="false">N245</f>
        <v/>
      </c>
      <c r="AF245" s="85" t="str">
        <f aca="false">IF(ISNUMBER(AE245), RANK(AE245,AE$8:AE$507,1), "")</f>
        <v/>
      </c>
      <c r="AG245" s="88" t="str">
        <f aca="false">IF(ISBLANK(C245), "", ABS(M245-S245))</f>
        <v/>
      </c>
      <c r="AH245" s="85" t="str">
        <f aca="false">IF(ISNUMBER(AG245), RANK(AG245,AG$8:AG$507,1), "")</f>
        <v/>
      </c>
      <c r="AI245" s="85" t="str">
        <f aca="false">IF(ISBLANK(C245),"",IF(V245&lt;&gt;Constants!$B$14, V245, RANK(AD245, AD$8:AD$507, 1)+ SUMPRODUCT(--(AD$8:AD$507=AD245),--(AF245&gt;AF$8:AF$507)) + SUMPRODUCT(--(AD$8:AD$507=AD245),--(AF245=AF$8:AF$507),--(AH245&gt;AH$8:AH$507))))</f>
        <v/>
      </c>
      <c r="AJ245" s="85" t="str">
        <f aca="false">IF(ISBLANK(C245),"",IF(V245&lt;&gt;Constants!$B$14, V245, AD245-AI245))</f>
        <v/>
      </c>
      <c r="AK245" s="89"/>
      <c r="AL245" s="90" t="str">
        <f aca="false">IF(ISBLANK($C245),"",IF($V245&lt;&gt;Constants!$B$14,$V245,X245))</f>
        <v/>
      </c>
      <c r="AM245" s="90" t="str">
        <f aca="false">IF(ISBLANK($C245),"",IF($V245&lt;&gt;Constants!$B$14,$V245,N245))</f>
        <v/>
      </c>
      <c r="AN245" s="91" t="str">
        <f aca="false">IF(ISBLANK(C245),"",IF(V245&lt;&gt;Constants!$B$14, V245, IF(W245=Constants!$B$7,Z245,IF(W245=Constants!$B$8,AB245,""))))</f>
        <v/>
      </c>
      <c r="AO245" s="92" t="str">
        <f aca="false">IF(ISBLANK(C245),"",W245)</f>
        <v/>
      </c>
      <c r="AP245" s="92" t="str">
        <f aca="false">IF(ISBLANK(C245),"",AJ245)</f>
        <v/>
      </c>
      <c r="AQ245" s="92" t="str">
        <f aca="false">IF(ISBLANK(C245),"",AI245)</f>
        <v/>
      </c>
      <c r="AR245" s="93" t="str">
        <f aca="false">IF(ISBLANK(C245),
  "",
IF(AQ245=Constants!$B$11,COUNTA($C$8:$C$507)+2,IF(AQ245=Constants!$B$12,COUNTA($C$8:$C$507)+1,IF(AQ245=Constants!$B$13,COUNTA($C$8:$C$507),AQ245))))</f>
        <v/>
      </c>
      <c r="AS245" s="3"/>
      <c r="AT245" s="94" t="n">
        <f aca="false">IF(OR(ISNUMBER(AQ245),AQ245="DQ",AQ245="P",AQ245="NS"),
    1,
    0
)</f>
        <v>0</v>
      </c>
      <c r="AU245" s="94" t="n">
        <v>238</v>
      </c>
      <c r="AV245" s="94" t="str">
        <f aca="false">IF(ISBLANK($C245),
    "",
   IF(ISNUMBER(AR245),AR245+ROW($B245)/1000,"")
)</f>
        <v/>
      </c>
      <c r="AW245" s="94" t="str">
        <f aca="false">IF(ISNUMBER(AV245), RANK(AV245,AV$8:AV$507,1), "")</f>
        <v/>
      </c>
      <c r="AX245" s="94" t="str">
        <f aca="false">IF(ISBLANK($C245),
    "",
    $B245
)</f>
        <v/>
      </c>
      <c r="AY245" s="94" t="str">
        <f aca="false">IF(ISBLANK($C245),
    "",
    $C245
)</f>
        <v/>
      </c>
      <c r="AZ245" s="94" t="str">
        <f aca="false">IF(ISBLANK($C245),
    "",
    $D245
)</f>
        <v/>
      </c>
      <c r="BA245" s="94" t="str">
        <f aca="false">AO245</f>
        <v/>
      </c>
      <c r="BB245" s="95" t="str">
        <f aca="false">AN245</f>
        <v/>
      </c>
      <c r="BC245" s="94" t="str">
        <f aca="false">IF(ISBLANK($C245),
    "",
    AQ245
)</f>
        <v/>
      </c>
      <c r="BD245" s="96" t="str">
        <f aca="false">IF(AU245&gt;AT$7,
    "",
    VLOOKUP(AU245,AW$8:BC$507,7,FALSE())
)</f>
        <v/>
      </c>
      <c r="BE245" s="97" t="str">
        <f aca="false">IF(AU245&gt;AT$7,
    "",
    VLOOKUP(AU245,AW$8:BC$507,2,FALSE())
)</f>
        <v/>
      </c>
      <c r="BF245" s="97" t="str">
        <f aca="false">IF(AU245&gt;AT$7,
    "",
    VLOOKUP(AU245,AW$8:BC$507,3,FALSE())
)</f>
        <v/>
      </c>
      <c r="BG245" s="97" t="str">
        <f aca="false">IF(AU245&gt;AT$7,
    "",
    VLOOKUP(AU245,AW$8:BC$507,4,FALSE())
)</f>
        <v/>
      </c>
      <c r="BH245" s="97" t="str">
        <f aca="false">IF(AU245&gt;AT$7,
    "",
    VLOOKUP(AU245,AW$8:BC$507,5,FALSE())
)</f>
        <v/>
      </c>
      <c r="BI245" s="98" t="str">
        <f aca="false">IF(AU245&gt;AT$7,
    "",
    VLOOKUP(AU245,AW$8:BC$507,6,FALSE())
)</f>
        <v/>
      </c>
      <c r="BJ245" s="46"/>
    </row>
    <row r="246" customFormat="false" ht="15.75" hidden="false" customHeight="false" outlineLevel="0" collapsed="false">
      <c r="A246" s="3"/>
      <c r="B246" s="105"/>
      <c r="C246" s="106"/>
      <c r="D246" s="99"/>
      <c r="E246" s="110"/>
      <c r="F246" s="107"/>
      <c r="G246" s="110"/>
      <c r="H246" s="103"/>
      <c r="I246" s="102"/>
      <c r="J246" s="103"/>
      <c r="K246" s="103"/>
      <c r="L246" s="85"/>
      <c r="M246" s="85" t="str">
        <f aca="false">IF(ISBLANK($C246),"",IF(ISBLANK(E246),0,E246))</f>
        <v/>
      </c>
      <c r="N246" s="85" t="str">
        <f aca="false">IF(ISBLANK($C246),"",IF(ISBLANK(F246),0,F246))</f>
        <v/>
      </c>
      <c r="O246" s="86" t="e">
        <f aca="false">IF(AND(NOT(ISBLANK($C246)),NOT($T246),COUNTA($E246:$K246)&gt;0),ISBLANK($F246),FALSE())</f>
        <v>#VALUE!</v>
      </c>
      <c r="P246" s="85" t="str">
        <f aca="false">IF(ISBLANK($C246),"",IF(G246=Constants!$B$9, TRUE(), IF(G246=Constants!$B$10, FALSE(), TRUE())))</f>
        <v/>
      </c>
      <c r="Q246" s="85" t="str">
        <f aca="false">IF(ISBLANK($C246),"",IF(H246=Constants!$B$9, TRUE(), IF(H246=Constants!$B$10, FALSE(), TRUE())))</f>
        <v/>
      </c>
      <c r="R246" s="85" t="str">
        <f aca="false">IF(ISBLANK($C246),"",IF(ISBLANK(I246),Constants!$B$3,I246))</f>
        <v/>
      </c>
      <c r="S246" s="85" t="str">
        <f aca="false">IF(ISBLANK($C246),"",IF(ISBLANK(J246),0,MIN(J246,Constants!$B$6)))</f>
        <v/>
      </c>
      <c r="T246" s="85" t="str">
        <f aca="false">IF(ISBLANK($C246),"",IF(K246=Constants!$B$9, TRUE(), IF(K246=Constants!$B$10, FALSE(),  FALSE())))</f>
        <v/>
      </c>
      <c r="U246" s="85" t="str">
        <f aca="false">IF(ISBLANK($C246),"",AND(R246=Constants!$B$4, S246&lt;Constants!$B$6))</f>
        <v/>
      </c>
      <c r="V246" s="85" t="str">
        <f aca="false">IF(ISBLANK(C246), "", IF(T246, Constants!$B$11, IF(COUNTA(E246:K246)=0, Constants!$B$12, IF(NOT(AND(P246,S246&lt;&gt;0)), Constants!$B$13, IF(O246, Constants!$B$15, Constants!$B$14)))))</f>
        <v/>
      </c>
      <c r="W246" s="85" t="str">
        <f aca="false">IF(OR(ISBLANK($C246), SUMPRODUCT(--(P246:T246&lt;&gt;""))=0), "", IF(V246&lt;&gt;Constants!$B$14, V246, IF(AND(NOT(ISBLANK(J246)),P246,Q246,R246&lt;&gt;Constants!$B$2), Constants!$B$7, IF(AND(P246,OR(NOT(Q246),R246=Constants!$B$2)), Constants!$B$8, "Error"))))</f>
        <v/>
      </c>
      <c r="X246" s="87" t="str">
        <f aca="false">IF(OR(W246=Constants!$B$7,W246=Constants!$B$8), MAX(0, MIN(Constants!$B$6, S246))+IF(AND(R246=Constants!$B$4, NOT(U246)), Constants!$B$5, 0), "")</f>
        <v/>
      </c>
      <c r="Y246" s="85" t="str">
        <f aca="false">IF(ISBLANK($C246),"",IF(AND(ISNUMBER(X246),N246&gt;0),X246/N246, "") )</f>
        <v/>
      </c>
      <c r="Z246" s="85" t="str">
        <f aca="false">IF(AND(NOT(ISBLANK($C246)), W246=Constants!$B$7), Y246, "")</f>
        <v/>
      </c>
      <c r="AA246" s="85" t="str">
        <f aca="false">IF(ISNUMBER(Z246), RANK(Z246,Z$8:Z$507), "")</f>
        <v/>
      </c>
      <c r="AB246" s="85" t="str">
        <f aca="false">IF(AND(NOT(ISBLANK($C246)), W246=Constants!$B$8), Y246, "")</f>
        <v/>
      </c>
      <c r="AC246" s="85" t="str">
        <f aca="false">IF(ISNUMBER(AB246), RANK(AB246,AB$8:AB$507), "")</f>
        <v/>
      </c>
      <c r="AD246" s="85" t="str">
        <f aca="false">IF(ISBLANK($C246),"",IF(V246&lt;&gt;Constants!$B$14, V246, IF(W246=Constants!$B$7, AA246, IF(W246=Constants!$B$8, COUNT($AA$8:$AA$507) + AC246, ""))))</f>
        <v/>
      </c>
      <c r="AE246" s="85" t="str">
        <f aca="false">N246</f>
        <v/>
      </c>
      <c r="AF246" s="85" t="str">
        <f aca="false">IF(ISNUMBER(AE246), RANK(AE246,AE$8:AE$507,1), "")</f>
        <v/>
      </c>
      <c r="AG246" s="88" t="str">
        <f aca="false">IF(ISBLANK(C246), "", ABS(M246-S246))</f>
        <v/>
      </c>
      <c r="AH246" s="85" t="str">
        <f aca="false">IF(ISNUMBER(AG246), RANK(AG246,AG$8:AG$507,1), "")</f>
        <v/>
      </c>
      <c r="AI246" s="85" t="str">
        <f aca="false">IF(ISBLANK(C246),"",IF(V246&lt;&gt;Constants!$B$14, V246, RANK(AD246, AD$8:AD$507, 1)+ SUMPRODUCT(--(AD$8:AD$507=AD246),--(AF246&gt;AF$8:AF$507)) + SUMPRODUCT(--(AD$8:AD$507=AD246),--(AF246=AF$8:AF$507),--(AH246&gt;AH$8:AH$507))))</f>
        <v/>
      </c>
      <c r="AJ246" s="85" t="str">
        <f aca="false">IF(ISBLANK(C246),"",IF(V246&lt;&gt;Constants!$B$14, V246, AD246-AI246))</f>
        <v/>
      </c>
      <c r="AK246" s="89"/>
      <c r="AL246" s="90" t="str">
        <f aca="false">IF(ISBLANK($C246),"",IF($V246&lt;&gt;Constants!$B$14,$V246,X246))</f>
        <v/>
      </c>
      <c r="AM246" s="90" t="str">
        <f aca="false">IF(ISBLANK($C246),"",IF($V246&lt;&gt;Constants!$B$14,$V246,N246))</f>
        <v/>
      </c>
      <c r="AN246" s="91" t="str">
        <f aca="false">IF(ISBLANK(C246),"",IF(V246&lt;&gt;Constants!$B$14, V246, IF(W246=Constants!$B$7,Z246,IF(W246=Constants!$B$8,AB246,""))))</f>
        <v/>
      </c>
      <c r="AO246" s="92" t="str">
        <f aca="false">IF(ISBLANK(C246),"",W246)</f>
        <v/>
      </c>
      <c r="AP246" s="92" t="str">
        <f aca="false">IF(ISBLANK(C246),"",AJ246)</f>
        <v/>
      </c>
      <c r="AQ246" s="92" t="str">
        <f aca="false">IF(ISBLANK(C246),"",AI246)</f>
        <v/>
      </c>
      <c r="AR246" s="93" t="str">
        <f aca="false">IF(ISBLANK(C246),
  "",
IF(AQ246=Constants!$B$11,COUNTA($C$8:$C$507)+2,IF(AQ246=Constants!$B$12,COUNTA($C$8:$C$507)+1,IF(AQ246=Constants!$B$13,COUNTA($C$8:$C$507),AQ246))))</f>
        <v/>
      </c>
      <c r="AS246" s="3"/>
      <c r="AT246" s="94" t="n">
        <f aca="false">IF(OR(ISNUMBER(AQ246),AQ246="DQ",AQ246="P",AQ246="NS"),
    1,
    0
)</f>
        <v>0</v>
      </c>
      <c r="AU246" s="94" t="n">
        <v>239</v>
      </c>
      <c r="AV246" s="94" t="str">
        <f aca="false">IF(ISBLANK($C246),
    "",
   IF(ISNUMBER(AR246),AR246+ROW($B246)/1000,"")
)</f>
        <v/>
      </c>
      <c r="AW246" s="94" t="str">
        <f aca="false">IF(ISNUMBER(AV246), RANK(AV246,AV$8:AV$507,1), "")</f>
        <v/>
      </c>
      <c r="AX246" s="94" t="str">
        <f aca="false">IF(ISBLANK($C246),
    "",
    $B246
)</f>
        <v/>
      </c>
      <c r="AY246" s="94" t="str">
        <f aca="false">IF(ISBLANK($C246),
    "",
    $C246
)</f>
        <v/>
      </c>
      <c r="AZ246" s="94" t="str">
        <f aca="false">IF(ISBLANK($C246),
    "",
    $D246
)</f>
        <v/>
      </c>
      <c r="BA246" s="94" t="str">
        <f aca="false">AO246</f>
        <v/>
      </c>
      <c r="BB246" s="95" t="str">
        <f aca="false">AN246</f>
        <v/>
      </c>
      <c r="BC246" s="94" t="str">
        <f aca="false">IF(ISBLANK($C246),
    "",
    AQ246
)</f>
        <v/>
      </c>
      <c r="BD246" s="96" t="str">
        <f aca="false">IF(AU246&gt;AT$7,
    "",
    VLOOKUP(AU246,AW$8:BC$507,7,FALSE())
)</f>
        <v/>
      </c>
      <c r="BE246" s="97" t="str">
        <f aca="false">IF(AU246&gt;AT$7,
    "",
    VLOOKUP(AU246,AW$8:BC$507,2,FALSE())
)</f>
        <v/>
      </c>
      <c r="BF246" s="97" t="str">
        <f aca="false">IF(AU246&gt;AT$7,
    "",
    VLOOKUP(AU246,AW$8:BC$507,3,FALSE())
)</f>
        <v/>
      </c>
      <c r="BG246" s="97" t="str">
        <f aca="false">IF(AU246&gt;AT$7,
    "",
    VLOOKUP(AU246,AW$8:BC$507,4,FALSE())
)</f>
        <v/>
      </c>
      <c r="BH246" s="97" t="str">
        <f aca="false">IF(AU246&gt;AT$7,
    "",
    VLOOKUP(AU246,AW$8:BC$507,5,FALSE())
)</f>
        <v/>
      </c>
      <c r="BI246" s="98" t="str">
        <f aca="false">IF(AU246&gt;AT$7,
    "",
    VLOOKUP(AU246,AW$8:BC$507,6,FALSE())
)</f>
        <v/>
      </c>
      <c r="BJ246" s="46"/>
    </row>
    <row r="247" customFormat="false" ht="15.75" hidden="false" customHeight="false" outlineLevel="0" collapsed="false">
      <c r="A247" s="3"/>
      <c r="B247" s="105"/>
      <c r="C247" s="106"/>
      <c r="D247" s="99"/>
      <c r="E247" s="110"/>
      <c r="F247" s="107"/>
      <c r="G247" s="110"/>
      <c r="H247" s="103"/>
      <c r="I247" s="102"/>
      <c r="J247" s="103"/>
      <c r="K247" s="103"/>
      <c r="L247" s="85"/>
      <c r="M247" s="85" t="str">
        <f aca="false">IF(ISBLANK($C247),"",IF(ISBLANK(E247),0,E247))</f>
        <v/>
      </c>
      <c r="N247" s="85" t="str">
        <f aca="false">IF(ISBLANK($C247),"",IF(ISBLANK(F247),0,F247))</f>
        <v/>
      </c>
      <c r="O247" s="86" t="e">
        <f aca="false">IF(AND(NOT(ISBLANK($C247)),NOT($T247),COUNTA($E247:$K247)&gt;0),ISBLANK($F247),FALSE())</f>
        <v>#VALUE!</v>
      </c>
      <c r="P247" s="85" t="str">
        <f aca="false">IF(ISBLANK($C247),"",IF(G247=Constants!$B$9, TRUE(), IF(G247=Constants!$B$10, FALSE(), TRUE())))</f>
        <v/>
      </c>
      <c r="Q247" s="85" t="str">
        <f aca="false">IF(ISBLANK($C247),"",IF(H247=Constants!$B$9, TRUE(), IF(H247=Constants!$B$10, FALSE(), TRUE())))</f>
        <v/>
      </c>
      <c r="R247" s="85" t="str">
        <f aca="false">IF(ISBLANK($C247),"",IF(ISBLANK(I247),Constants!$B$3,I247))</f>
        <v/>
      </c>
      <c r="S247" s="85" t="str">
        <f aca="false">IF(ISBLANK($C247),"",IF(ISBLANK(J247),0,MIN(J247,Constants!$B$6)))</f>
        <v/>
      </c>
      <c r="T247" s="85" t="str">
        <f aca="false">IF(ISBLANK($C247),"",IF(K247=Constants!$B$9, TRUE(), IF(K247=Constants!$B$10, FALSE(),  FALSE())))</f>
        <v/>
      </c>
      <c r="U247" s="85" t="str">
        <f aca="false">IF(ISBLANK($C247),"",AND(R247=Constants!$B$4, S247&lt;Constants!$B$6))</f>
        <v/>
      </c>
      <c r="V247" s="85" t="str">
        <f aca="false">IF(ISBLANK(C247), "", IF(T247, Constants!$B$11, IF(COUNTA(E247:K247)=0, Constants!$B$12, IF(NOT(AND(P247,S247&lt;&gt;0)), Constants!$B$13, IF(O247, Constants!$B$15, Constants!$B$14)))))</f>
        <v/>
      </c>
      <c r="W247" s="85" t="str">
        <f aca="false">IF(OR(ISBLANK($C247), SUMPRODUCT(--(P247:T247&lt;&gt;""))=0), "", IF(V247&lt;&gt;Constants!$B$14, V247, IF(AND(NOT(ISBLANK(J247)),P247,Q247,R247&lt;&gt;Constants!$B$2), Constants!$B$7, IF(AND(P247,OR(NOT(Q247),R247=Constants!$B$2)), Constants!$B$8, "Error"))))</f>
        <v/>
      </c>
      <c r="X247" s="87" t="str">
        <f aca="false">IF(OR(W247=Constants!$B$7,W247=Constants!$B$8), MAX(0, MIN(Constants!$B$6, S247))+IF(AND(R247=Constants!$B$4, NOT(U247)), Constants!$B$5, 0), "")</f>
        <v/>
      </c>
      <c r="Y247" s="85" t="str">
        <f aca="false">IF(ISBLANK($C247),"",IF(AND(ISNUMBER(X247),N247&gt;0),X247/N247, "") )</f>
        <v/>
      </c>
      <c r="Z247" s="85" t="str">
        <f aca="false">IF(AND(NOT(ISBLANK($C247)), W247=Constants!$B$7), Y247, "")</f>
        <v/>
      </c>
      <c r="AA247" s="85" t="str">
        <f aca="false">IF(ISNUMBER(Z247), RANK(Z247,Z$8:Z$507), "")</f>
        <v/>
      </c>
      <c r="AB247" s="85" t="str">
        <f aca="false">IF(AND(NOT(ISBLANK($C247)), W247=Constants!$B$8), Y247, "")</f>
        <v/>
      </c>
      <c r="AC247" s="85" t="str">
        <f aca="false">IF(ISNUMBER(AB247), RANK(AB247,AB$8:AB$507), "")</f>
        <v/>
      </c>
      <c r="AD247" s="85" t="str">
        <f aca="false">IF(ISBLANK($C247),"",IF(V247&lt;&gt;Constants!$B$14, V247, IF(W247=Constants!$B$7, AA247, IF(W247=Constants!$B$8, COUNT($AA$8:$AA$507) + AC247, ""))))</f>
        <v/>
      </c>
      <c r="AE247" s="85" t="str">
        <f aca="false">N247</f>
        <v/>
      </c>
      <c r="AF247" s="85" t="str">
        <f aca="false">IF(ISNUMBER(AE247), RANK(AE247,AE$8:AE$507,1), "")</f>
        <v/>
      </c>
      <c r="AG247" s="88" t="str">
        <f aca="false">IF(ISBLANK(C247), "", ABS(M247-S247))</f>
        <v/>
      </c>
      <c r="AH247" s="85" t="str">
        <f aca="false">IF(ISNUMBER(AG247), RANK(AG247,AG$8:AG$507,1), "")</f>
        <v/>
      </c>
      <c r="AI247" s="85" t="str">
        <f aca="false">IF(ISBLANK(C247),"",IF(V247&lt;&gt;Constants!$B$14, V247, RANK(AD247, AD$8:AD$507, 1)+ SUMPRODUCT(--(AD$8:AD$507=AD247),--(AF247&gt;AF$8:AF$507)) + SUMPRODUCT(--(AD$8:AD$507=AD247),--(AF247=AF$8:AF$507),--(AH247&gt;AH$8:AH$507))))</f>
        <v/>
      </c>
      <c r="AJ247" s="85" t="str">
        <f aca="false">IF(ISBLANK(C247),"",IF(V247&lt;&gt;Constants!$B$14, V247, AD247-AI247))</f>
        <v/>
      </c>
      <c r="AK247" s="89"/>
      <c r="AL247" s="90" t="str">
        <f aca="false">IF(ISBLANK($C247),"",IF($V247&lt;&gt;Constants!$B$14,$V247,X247))</f>
        <v/>
      </c>
      <c r="AM247" s="90" t="str">
        <f aca="false">IF(ISBLANK($C247),"",IF($V247&lt;&gt;Constants!$B$14,$V247,N247))</f>
        <v/>
      </c>
      <c r="AN247" s="91" t="str">
        <f aca="false">IF(ISBLANK(C247),"",IF(V247&lt;&gt;Constants!$B$14, V247, IF(W247=Constants!$B$7,Z247,IF(W247=Constants!$B$8,AB247,""))))</f>
        <v/>
      </c>
      <c r="AO247" s="92" t="str">
        <f aca="false">IF(ISBLANK(C247),"",W247)</f>
        <v/>
      </c>
      <c r="AP247" s="92" t="str">
        <f aca="false">IF(ISBLANK(C247),"",AJ247)</f>
        <v/>
      </c>
      <c r="AQ247" s="92" t="str">
        <f aca="false">IF(ISBLANK(C247),"",AI247)</f>
        <v/>
      </c>
      <c r="AR247" s="93" t="str">
        <f aca="false">IF(ISBLANK(C247),
  "",
IF(AQ247=Constants!$B$11,COUNTA($C$8:$C$507)+2,IF(AQ247=Constants!$B$12,COUNTA($C$8:$C$507)+1,IF(AQ247=Constants!$B$13,COUNTA($C$8:$C$507),AQ247))))</f>
        <v/>
      </c>
      <c r="AS247" s="3"/>
      <c r="AT247" s="94" t="n">
        <f aca="false">IF(OR(ISNUMBER(AQ247),AQ247="DQ",AQ247="P",AQ247="NS"),
    1,
    0
)</f>
        <v>0</v>
      </c>
      <c r="AU247" s="94" t="n">
        <v>240</v>
      </c>
      <c r="AV247" s="94" t="str">
        <f aca="false">IF(ISBLANK($C247),
    "",
   IF(ISNUMBER(AR247),AR247+ROW($B247)/1000,"")
)</f>
        <v/>
      </c>
      <c r="AW247" s="94" t="str">
        <f aca="false">IF(ISNUMBER(AV247), RANK(AV247,AV$8:AV$507,1), "")</f>
        <v/>
      </c>
      <c r="AX247" s="94" t="str">
        <f aca="false">IF(ISBLANK($C247),
    "",
    $B247
)</f>
        <v/>
      </c>
      <c r="AY247" s="94" t="str">
        <f aca="false">IF(ISBLANK($C247),
    "",
    $C247
)</f>
        <v/>
      </c>
      <c r="AZ247" s="94" t="str">
        <f aca="false">IF(ISBLANK($C247),
    "",
    $D247
)</f>
        <v/>
      </c>
      <c r="BA247" s="94" t="str">
        <f aca="false">AO247</f>
        <v/>
      </c>
      <c r="BB247" s="95" t="str">
        <f aca="false">AN247</f>
        <v/>
      </c>
      <c r="BC247" s="94" t="str">
        <f aca="false">IF(ISBLANK($C247),
    "",
    AQ247
)</f>
        <v/>
      </c>
      <c r="BD247" s="96" t="str">
        <f aca="false">IF(AU247&gt;AT$7,
    "",
    VLOOKUP(AU247,AW$8:BC$507,7,FALSE())
)</f>
        <v/>
      </c>
      <c r="BE247" s="97" t="str">
        <f aca="false">IF(AU247&gt;AT$7,
    "",
    VLOOKUP(AU247,AW$8:BC$507,2,FALSE())
)</f>
        <v/>
      </c>
      <c r="BF247" s="97" t="str">
        <f aca="false">IF(AU247&gt;AT$7,
    "",
    VLOOKUP(AU247,AW$8:BC$507,3,FALSE())
)</f>
        <v/>
      </c>
      <c r="BG247" s="97" t="str">
        <f aca="false">IF(AU247&gt;AT$7,
    "",
    VLOOKUP(AU247,AW$8:BC$507,4,FALSE())
)</f>
        <v/>
      </c>
      <c r="BH247" s="97" t="str">
        <f aca="false">IF(AU247&gt;AT$7,
    "",
    VLOOKUP(AU247,AW$8:BC$507,5,FALSE())
)</f>
        <v/>
      </c>
      <c r="BI247" s="98" t="str">
        <f aca="false">IF(AU247&gt;AT$7,
    "",
    VLOOKUP(AU247,AW$8:BC$507,6,FALSE())
)</f>
        <v/>
      </c>
      <c r="BJ247" s="46"/>
    </row>
    <row r="248" customFormat="false" ht="15.75" hidden="false" customHeight="false" outlineLevel="0" collapsed="false">
      <c r="A248" s="3"/>
      <c r="B248" s="108"/>
      <c r="C248" s="70"/>
      <c r="D248" s="49"/>
      <c r="E248" s="109"/>
      <c r="F248" s="72"/>
      <c r="G248" s="109"/>
      <c r="H248" s="74"/>
      <c r="I248" s="104"/>
      <c r="J248" s="74"/>
      <c r="K248" s="74"/>
      <c r="L248" s="55"/>
      <c r="M248" s="55" t="str">
        <f aca="false">IF(ISBLANK($C248),"",IF(ISBLANK(E248),0,E248))</f>
        <v/>
      </c>
      <c r="N248" s="55" t="str">
        <f aca="false">IF(ISBLANK($C248),"",IF(ISBLANK(F248),0,F248))</f>
        <v/>
      </c>
      <c r="O248" s="55" t="e">
        <f aca="false">IF(AND(NOT(ISBLANK($C248)),NOT($T248),COUNTA($E248:$K248)&gt;0),ISBLANK($F248),FALSE())</f>
        <v>#VALUE!</v>
      </c>
      <c r="P248" s="55" t="str">
        <f aca="false">IF(ISBLANK($C248),"",IF(G248=Constants!$B$9, TRUE(), IF(G248=Constants!$B$10, FALSE(), TRUE())))</f>
        <v/>
      </c>
      <c r="Q248" s="55" t="str">
        <f aca="false">IF(ISBLANK($C248),"",IF(H248=Constants!$B$9, TRUE(), IF(H248=Constants!$B$10, FALSE(), TRUE())))</f>
        <v/>
      </c>
      <c r="R248" s="55" t="str">
        <f aca="false">IF(ISBLANK($C248),"",IF(ISBLANK(I248),Constants!$B$3,I248))</f>
        <v/>
      </c>
      <c r="S248" s="55" t="str">
        <f aca="false">IF(ISBLANK($C248),"",IF(ISBLANK(J248),0,MIN(J248,Constants!$B$6)))</f>
        <v/>
      </c>
      <c r="T248" s="55" t="str">
        <f aca="false">IF(ISBLANK($C248),"",IF(K248=Constants!$B$9, TRUE(), IF(K248=Constants!$B$10, FALSE(),  FALSE())))</f>
        <v/>
      </c>
      <c r="U248" s="55" t="str">
        <f aca="false">IF(ISBLANK($C248),"",AND(R248=Constants!$B$4, S248&lt;Constants!$B$6))</f>
        <v/>
      </c>
      <c r="V248" s="55" t="str">
        <f aca="false">IF(ISBLANK(C248), "", IF(T248, Constants!$B$11, IF(COUNTA(E248:K248)=0, Constants!$B$12, IF(NOT(AND(P248,S248&lt;&gt;0)), Constants!$B$13, IF(O248, Constants!$B$15, Constants!$B$14)))))</f>
        <v/>
      </c>
      <c r="W248" s="55" t="str">
        <f aca="false">IF(OR(ISBLANK($C248), SUMPRODUCT(--(P248:T248&lt;&gt;""))=0), "", IF(V248&lt;&gt;Constants!$B$14, V248, IF(AND(NOT(ISBLANK(J248)),P248,Q248,R248&lt;&gt;Constants!$B$2), Constants!$B$7, IF(AND(P248,OR(NOT(Q248),R248=Constants!$B$2)), Constants!$B$8, "Error"))))</f>
        <v/>
      </c>
      <c r="X248" s="56" t="str">
        <f aca="false">IF(OR(W248=Constants!$B$7,W248=Constants!$B$8), MAX(0, MIN(Constants!$B$6, S248))+IF(AND(R248=Constants!$B$4, NOT(U248)), Constants!$B$5, 0), "")</f>
        <v/>
      </c>
      <c r="Y248" s="55" t="str">
        <f aca="false">IF(ISBLANK($C248),"",IF(AND(ISNUMBER(X248),N248&gt;0),X248/N248, "") )</f>
        <v/>
      </c>
      <c r="Z248" s="55" t="str">
        <f aca="false">IF(AND(NOT(ISBLANK($C248)), W248=Constants!$B$7), Y248, "")</f>
        <v/>
      </c>
      <c r="AA248" s="55" t="str">
        <f aca="false">IF(ISNUMBER(Z248), RANK(Z248,Z$8:Z$507), "")</f>
        <v/>
      </c>
      <c r="AB248" s="55" t="str">
        <f aca="false">IF(AND(NOT(ISBLANK($C248)), W248=Constants!$B$8), Y248, "")</f>
        <v/>
      </c>
      <c r="AC248" s="55" t="str">
        <f aca="false">IF(ISNUMBER(AB248), RANK(AB248,AB$8:AB$507), "")</f>
        <v/>
      </c>
      <c r="AD248" s="55" t="str">
        <f aca="false">IF(ISBLANK($C248),"",IF(V248&lt;&gt;Constants!$B$14, V248, IF(W248=Constants!$B$7, AA248, IF(W248=Constants!$B$8, COUNT($AA$8:$AA$507) + AC248, ""))))</f>
        <v/>
      </c>
      <c r="AE248" s="55" t="str">
        <f aca="false">N248</f>
        <v/>
      </c>
      <c r="AF248" s="55" t="str">
        <f aca="false">IF(ISNUMBER(AE248), RANK(AE248,AE$8:AE$507,1), "")</f>
        <v/>
      </c>
      <c r="AG248" s="57" t="str">
        <f aca="false">IF(ISBLANK(C248), "", ABS(M248-S248))</f>
        <v/>
      </c>
      <c r="AH248" s="55" t="str">
        <f aca="false">IF(ISNUMBER(AG248), RANK(AG248,AG$8:AG$507,1), "")</f>
        <v/>
      </c>
      <c r="AI248" s="55" t="str">
        <f aca="false">IF(ISBLANK(C248),"",IF(V248&lt;&gt;Constants!$B$14, V248, RANK(AD248, AD$8:AD$507, 1)+ SUMPRODUCT(--(AD$8:AD$507=AD248),--(AF248&gt;AF$8:AF$507)) + SUMPRODUCT(--(AD$8:AD$507=AD248),--(AF248=AF$8:AF$507),--(AH248&gt;AH$8:AH$507))))</f>
        <v/>
      </c>
      <c r="AJ248" s="55" t="str">
        <f aca="false">IF(ISBLANK(C248),"",IF(V248&lt;&gt;Constants!$B$14, V248, AD248-AI248))</f>
        <v/>
      </c>
      <c r="AK248" s="59"/>
      <c r="AL248" s="60" t="str">
        <f aca="false">IF(ISBLANK($C248),"",IF($V248&lt;&gt;Constants!$B$14,$V248,X248))</f>
        <v/>
      </c>
      <c r="AM248" s="60" t="str">
        <f aca="false">IF(ISBLANK($C248),"",IF($V248&lt;&gt;Constants!$B$14,$V248,N248))</f>
        <v/>
      </c>
      <c r="AN248" s="62" t="str">
        <f aca="false">IF(ISBLANK(C248),"",IF(V248&lt;&gt;Constants!$B$14, V248, IF(W248=Constants!$B$7,Z248,IF(W248=Constants!$B$8,AB248,""))))</f>
        <v/>
      </c>
      <c r="AO248" s="63" t="str">
        <f aca="false">IF(ISBLANK(C248),"",W248)</f>
        <v/>
      </c>
      <c r="AP248" s="63" t="str">
        <f aca="false">IF(ISBLANK(C248),"",AJ248)</f>
        <v/>
      </c>
      <c r="AQ248" s="63" t="str">
        <f aca="false">IF(ISBLANK(C248),"",AI248)</f>
        <v/>
      </c>
      <c r="AR248" s="64" t="str">
        <f aca="false">IF(ISBLANK(C248),
  "",
IF(AQ248=Constants!$B$11,COUNTA($C$8:$C$507)+2,IF(AQ248=Constants!$B$12,COUNTA($C$8:$C$507)+1,IF(AQ248=Constants!$B$13,COUNTA($C$8:$C$507),AQ248))))</f>
        <v/>
      </c>
      <c r="AS248" s="3"/>
      <c r="AT248" s="65" t="n">
        <f aca="false">IF(OR(ISNUMBER(AQ248),AQ248="DQ",AQ248="P",AQ248="NS"),
    1,
    0
)</f>
        <v>0</v>
      </c>
      <c r="AU248" s="65" t="n">
        <v>241</v>
      </c>
      <c r="AV248" s="65" t="str">
        <f aca="false">IF(ISBLANK($C248),
    "",
   IF(ISNUMBER(AR248),AR248+ROW($B248)/1000,"")
)</f>
        <v/>
      </c>
      <c r="AW248" s="65" t="str">
        <f aca="false">IF(ISNUMBER(AV248), RANK(AV248,AV$8:AV$507,1), "")</f>
        <v/>
      </c>
      <c r="AX248" s="65" t="str">
        <f aca="false">IF(ISBLANK($C248),
    "",
    $B248
)</f>
        <v/>
      </c>
      <c r="AY248" s="65" t="str">
        <f aca="false">IF(ISBLANK($C248),
    "",
    $C248
)</f>
        <v/>
      </c>
      <c r="AZ248" s="65" t="str">
        <f aca="false">IF(ISBLANK($C248),
    "",
    $D248
)</f>
        <v/>
      </c>
      <c r="BA248" s="65" t="str">
        <f aca="false">AO248</f>
        <v/>
      </c>
      <c r="BB248" s="66" t="str">
        <f aca="false">AN248</f>
        <v/>
      </c>
      <c r="BC248" s="65" t="str">
        <f aca="false">IF(ISBLANK($C248),
    "",
    AQ248
)</f>
        <v/>
      </c>
      <c r="BD248" s="67" t="str">
        <f aca="false">IF(AU248&gt;AT$7,
    "",
    VLOOKUP(AU248,AW$8:BC$507,7,FALSE())
)</f>
        <v/>
      </c>
      <c r="BE248" s="68" t="str">
        <f aca="false">IF(AU248&gt;AT$7,
    "",
    VLOOKUP(AU248,AW$8:BC$507,2,FALSE())
)</f>
        <v/>
      </c>
      <c r="BF248" s="68" t="str">
        <f aca="false">IF(AU248&gt;AT$7,
    "",
    VLOOKUP(AU248,AW$8:BC$507,3,FALSE())
)</f>
        <v/>
      </c>
      <c r="BG248" s="68" t="str">
        <f aca="false">IF(AU248&gt;AT$7,
    "",
    VLOOKUP(AU248,AW$8:BC$507,4,FALSE())
)</f>
        <v/>
      </c>
      <c r="BH248" s="68" t="str">
        <f aca="false">IF(AU248&gt;AT$7,
    "",
    VLOOKUP(AU248,AW$8:BC$507,5,FALSE())
)</f>
        <v/>
      </c>
      <c r="BI248" s="69" t="str">
        <f aca="false">IF(AU248&gt;AT$7,
    "",
    VLOOKUP(AU248,AW$8:BC$507,6,FALSE())
)</f>
        <v/>
      </c>
      <c r="BJ248" s="46"/>
    </row>
    <row r="249" customFormat="false" ht="15.75" hidden="false" customHeight="false" outlineLevel="0" collapsed="false">
      <c r="A249" s="3"/>
      <c r="B249" s="108"/>
      <c r="C249" s="70"/>
      <c r="D249" s="49"/>
      <c r="E249" s="109"/>
      <c r="F249" s="72"/>
      <c r="G249" s="109"/>
      <c r="H249" s="74"/>
      <c r="I249" s="104"/>
      <c r="J249" s="74"/>
      <c r="K249" s="74"/>
      <c r="L249" s="55"/>
      <c r="M249" s="55" t="str">
        <f aca="false">IF(ISBLANK($C249),"",IF(ISBLANK(E249),0,E249))</f>
        <v/>
      </c>
      <c r="N249" s="55" t="str">
        <f aca="false">IF(ISBLANK($C249),"",IF(ISBLANK(F249),0,F249))</f>
        <v/>
      </c>
      <c r="O249" s="55" t="e">
        <f aca="false">IF(AND(NOT(ISBLANK($C249)),NOT($T249),COUNTA($E249:$K249)&gt;0),ISBLANK($F249),FALSE())</f>
        <v>#VALUE!</v>
      </c>
      <c r="P249" s="55" t="str">
        <f aca="false">IF(ISBLANK($C249),"",IF(G249=Constants!$B$9, TRUE(), IF(G249=Constants!$B$10, FALSE(), TRUE())))</f>
        <v/>
      </c>
      <c r="Q249" s="55" t="str">
        <f aca="false">IF(ISBLANK($C249),"",IF(H249=Constants!$B$9, TRUE(), IF(H249=Constants!$B$10, FALSE(), TRUE())))</f>
        <v/>
      </c>
      <c r="R249" s="55" t="str">
        <f aca="false">IF(ISBLANK($C249),"",IF(ISBLANK(I249),Constants!$B$3,I249))</f>
        <v/>
      </c>
      <c r="S249" s="55" t="str">
        <f aca="false">IF(ISBLANK($C249),"",IF(ISBLANK(J249),0,MIN(J249,Constants!$B$6)))</f>
        <v/>
      </c>
      <c r="T249" s="55" t="str">
        <f aca="false">IF(ISBLANK($C249),"",IF(K249=Constants!$B$9, TRUE(), IF(K249=Constants!$B$10, FALSE(),  FALSE())))</f>
        <v/>
      </c>
      <c r="U249" s="55" t="str">
        <f aca="false">IF(ISBLANK($C249),"",AND(R249=Constants!$B$4, S249&lt;Constants!$B$6))</f>
        <v/>
      </c>
      <c r="V249" s="55" t="str">
        <f aca="false">IF(ISBLANK(C249), "", IF(T249, Constants!$B$11, IF(COUNTA(E249:K249)=0, Constants!$B$12, IF(NOT(AND(P249,S249&lt;&gt;0)), Constants!$B$13, IF(O249, Constants!$B$15, Constants!$B$14)))))</f>
        <v/>
      </c>
      <c r="W249" s="55" t="str">
        <f aca="false">IF(OR(ISBLANK($C249), SUMPRODUCT(--(P249:T249&lt;&gt;""))=0), "", IF(V249&lt;&gt;Constants!$B$14, V249, IF(AND(NOT(ISBLANK(J249)),P249,Q249,R249&lt;&gt;Constants!$B$2), Constants!$B$7, IF(AND(P249,OR(NOT(Q249),R249=Constants!$B$2)), Constants!$B$8, "Error"))))</f>
        <v/>
      </c>
      <c r="X249" s="56" t="str">
        <f aca="false">IF(OR(W249=Constants!$B$7,W249=Constants!$B$8), MAX(0, MIN(Constants!$B$6, S249))+IF(AND(R249=Constants!$B$4, NOT(U249)), Constants!$B$5, 0), "")</f>
        <v/>
      </c>
      <c r="Y249" s="55" t="str">
        <f aca="false">IF(ISBLANK($C249),"",IF(AND(ISNUMBER(X249),N249&gt;0),X249/N249, "") )</f>
        <v/>
      </c>
      <c r="Z249" s="55" t="str">
        <f aca="false">IF(AND(NOT(ISBLANK($C249)), W249=Constants!$B$7), Y249, "")</f>
        <v/>
      </c>
      <c r="AA249" s="55" t="str">
        <f aca="false">IF(ISNUMBER(Z249), RANK(Z249,Z$8:Z$507), "")</f>
        <v/>
      </c>
      <c r="AB249" s="55" t="str">
        <f aca="false">IF(AND(NOT(ISBLANK($C249)), W249=Constants!$B$8), Y249, "")</f>
        <v/>
      </c>
      <c r="AC249" s="55" t="str">
        <f aca="false">IF(ISNUMBER(AB249), RANK(AB249,AB$8:AB$507), "")</f>
        <v/>
      </c>
      <c r="AD249" s="55" t="str">
        <f aca="false">IF(ISBLANK($C249),"",IF(V249&lt;&gt;Constants!$B$14, V249, IF(W249=Constants!$B$7, AA249, IF(W249=Constants!$B$8, COUNT($AA$8:$AA$507) + AC249, ""))))</f>
        <v/>
      </c>
      <c r="AE249" s="55" t="str">
        <f aca="false">N249</f>
        <v/>
      </c>
      <c r="AF249" s="55" t="str">
        <f aca="false">IF(ISNUMBER(AE249), RANK(AE249,AE$8:AE$507,1), "")</f>
        <v/>
      </c>
      <c r="AG249" s="57" t="str">
        <f aca="false">IF(ISBLANK(C249), "", ABS(M249-S249))</f>
        <v/>
      </c>
      <c r="AH249" s="55" t="str">
        <f aca="false">IF(ISNUMBER(AG249), RANK(AG249,AG$8:AG$507,1), "")</f>
        <v/>
      </c>
      <c r="AI249" s="55" t="str">
        <f aca="false">IF(ISBLANK(C249),"",IF(V249&lt;&gt;Constants!$B$14, V249, RANK(AD249, AD$8:AD$507, 1)+ SUMPRODUCT(--(AD$8:AD$507=AD249),--(AF249&gt;AF$8:AF$507)) + SUMPRODUCT(--(AD$8:AD$507=AD249),--(AF249=AF$8:AF$507),--(AH249&gt;AH$8:AH$507))))</f>
        <v/>
      </c>
      <c r="AJ249" s="55" t="str">
        <f aca="false">IF(ISBLANK(C249),"",IF(V249&lt;&gt;Constants!$B$14, V249, AD249-AI249))</f>
        <v/>
      </c>
      <c r="AK249" s="59"/>
      <c r="AL249" s="60" t="str">
        <f aca="false">IF(ISBLANK($C249),"",IF($V249&lt;&gt;Constants!$B$14,$V249,X249))</f>
        <v/>
      </c>
      <c r="AM249" s="60" t="str">
        <f aca="false">IF(ISBLANK($C249),"",IF($V249&lt;&gt;Constants!$B$14,$V249,N249))</f>
        <v/>
      </c>
      <c r="AN249" s="62" t="str">
        <f aca="false">IF(ISBLANK(C249),"",IF(V249&lt;&gt;Constants!$B$14, V249, IF(W249=Constants!$B$7,Z249,IF(W249=Constants!$B$8,AB249,""))))</f>
        <v/>
      </c>
      <c r="AO249" s="63" t="str">
        <f aca="false">IF(ISBLANK(C249),"",W249)</f>
        <v/>
      </c>
      <c r="AP249" s="63" t="str">
        <f aca="false">IF(ISBLANK(C249),"",AJ249)</f>
        <v/>
      </c>
      <c r="AQ249" s="63" t="str">
        <f aca="false">IF(ISBLANK(C249),"",AI249)</f>
        <v/>
      </c>
      <c r="AR249" s="64" t="str">
        <f aca="false">IF(ISBLANK(C249),
  "",
IF(AQ249=Constants!$B$11,COUNTA($C$8:$C$507)+2,IF(AQ249=Constants!$B$12,COUNTA($C$8:$C$507)+1,IF(AQ249=Constants!$B$13,COUNTA($C$8:$C$507),AQ249))))</f>
        <v/>
      </c>
      <c r="AS249" s="3"/>
      <c r="AT249" s="65" t="n">
        <f aca="false">IF(OR(ISNUMBER(AQ249),AQ249="DQ",AQ249="P",AQ249="NS"),
    1,
    0
)</f>
        <v>0</v>
      </c>
      <c r="AU249" s="65" t="n">
        <v>242</v>
      </c>
      <c r="AV249" s="65" t="str">
        <f aca="false">IF(ISBLANK($C249),
    "",
   IF(ISNUMBER(AR249),AR249+ROW($B249)/1000,"")
)</f>
        <v/>
      </c>
      <c r="AW249" s="65" t="str">
        <f aca="false">IF(ISNUMBER(AV249), RANK(AV249,AV$8:AV$507,1), "")</f>
        <v/>
      </c>
      <c r="AX249" s="65" t="str">
        <f aca="false">IF(ISBLANK($C249),
    "",
    $B249
)</f>
        <v/>
      </c>
      <c r="AY249" s="65" t="str">
        <f aca="false">IF(ISBLANK($C249),
    "",
    $C249
)</f>
        <v/>
      </c>
      <c r="AZ249" s="65" t="str">
        <f aca="false">IF(ISBLANK($C249),
    "",
    $D249
)</f>
        <v/>
      </c>
      <c r="BA249" s="65" t="str">
        <f aca="false">AO249</f>
        <v/>
      </c>
      <c r="BB249" s="66" t="str">
        <f aca="false">AN249</f>
        <v/>
      </c>
      <c r="BC249" s="65" t="str">
        <f aca="false">IF(ISBLANK($C249),
    "",
    AQ249
)</f>
        <v/>
      </c>
      <c r="BD249" s="67" t="str">
        <f aca="false">IF(AU249&gt;AT$7,
    "",
    VLOOKUP(AU249,AW$8:BC$507,7,FALSE())
)</f>
        <v/>
      </c>
      <c r="BE249" s="68" t="str">
        <f aca="false">IF(AU249&gt;AT$7,
    "",
    VLOOKUP(AU249,AW$8:BC$507,2,FALSE())
)</f>
        <v/>
      </c>
      <c r="BF249" s="68" t="str">
        <f aca="false">IF(AU249&gt;AT$7,
    "",
    VLOOKUP(AU249,AW$8:BC$507,3,FALSE())
)</f>
        <v/>
      </c>
      <c r="BG249" s="68" t="str">
        <f aca="false">IF(AU249&gt;AT$7,
    "",
    VLOOKUP(AU249,AW$8:BC$507,4,FALSE())
)</f>
        <v/>
      </c>
      <c r="BH249" s="68" t="str">
        <f aca="false">IF(AU249&gt;AT$7,
    "",
    VLOOKUP(AU249,AW$8:BC$507,5,FALSE())
)</f>
        <v/>
      </c>
      <c r="BI249" s="69" t="str">
        <f aca="false">IF(AU249&gt;AT$7,
    "",
    VLOOKUP(AU249,AW$8:BC$507,6,FALSE())
)</f>
        <v/>
      </c>
      <c r="BJ249" s="46"/>
    </row>
    <row r="250" customFormat="false" ht="15.75" hidden="false" customHeight="false" outlineLevel="0" collapsed="false">
      <c r="A250" s="3"/>
      <c r="B250" s="108"/>
      <c r="C250" s="70"/>
      <c r="D250" s="49"/>
      <c r="E250" s="109"/>
      <c r="F250" s="72"/>
      <c r="G250" s="109"/>
      <c r="H250" s="74"/>
      <c r="I250" s="104"/>
      <c r="J250" s="74"/>
      <c r="K250" s="74"/>
      <c r="L250" s="55"/>
      <c r="M250" s="55" t="str">
        <f aca="false">IF(ISBLANK($C250),"",IF(ISBLANK(E250),0,E250))</f>
        <v/>
      </c>
      <c r="N250" s="55" t="str">
        <f aca="false">IF(ISBLANK($C250),"",IF(ISBLANK(F250),0,F250))</f>
        <v/>
      </c>
      <c r="O250" s="55" t="e">
        <f aca="false">IF(AND(NOT(ISBLANK($C250)),NOT($T250),COUNTA($E250:$K250)&gt;0),ISBLANK($F250),FALSE())</f>
        <v>#VALUE!</v>
      </c>
      <c r="P250" s="55" t="str">
        <f aca="false">IF(ISBLANK($C250),"",IF(G250=Constants!$B$9, TRUE(), IF(G250=Constants!$B$10, FALSE(), TRUE())))</f>
        <v/>
      </c>
      <c r="Q250" s="55" t="str">
        <f aca="false">IF(ISBLANK($C250),"",IF(H250=Constants!$B$9, TRUE(), IF(H250=Constants!$B$10, FALSE(), TRUE())))</f>
        <v/>
      </c>
      <c r="R250" s="55" t="str">
        <f aca="false">IF(ISBLANK($C250),"",IF(ISBLANK(I250),Constants!$B$3,I250))</f>
        <v/>
      </c>
      <c r="S250" s="55" t="str">
        <f aca="false">IF(ISBLANK($C250),"",IF(ISBLANK(J250),0,MIN(J250,Constants!$B$6)))</f>
        <v/>
      </c>
      <c r="T250" s="55" t="str">
        <f aca="false">IF(ISBLANK($C250),"",IF(K250=Constants!$B$9, TRUE(), IF(K250=Constants!$B$10, FALSE(),  FALSE())))</f>
        <v/>
      </c>
      <c r="U250" s="55" t="str">
        <f aca="false">IF(ISBLANK($C250),"",AND(R250=Constants!$B$4, S250&lt;Constants!$B$6))</f>
        <v/>
      </c>
      <c r="V250" s="55" t="str">
        <f aca="false">IF(ISBLANK(C250), "", IF(T250, Constants!$B$11, IF(COUNTA(E250:K250)=0, Constants!$B$12, IF(NOT(AND(P250,S250&lt;&gt;0)), Constants!$B$13, IF(O250, Constants!$B$15, Constants!$B$14)))))</f>
        <v/>
      </c>
      <c r="W250" s="55" t="str">
        <f aca="false">IF(OR(ISBLANK($C250), SUMPRODUCT(--(P250:T250&lt;&gt;""))=0), "", IF(V250&lt;&gt;Constants!$B$14, V250, IF(AND(NOT(ISBLANK(J250)),P250,Q250,R250&lt;&gt;Constants!$B$2), Constants!$B$7, IF(AND(P250,OR(NOT(Q250),R250=Constants!$B$2)), Constants!$B$8, "Error"))))</f>
        <v/>
      </c>
      <c r="X250" s="56" t="str">
        <f aca="false">IF(OR(W250=Constants!$B$7,W250=Constants!$B$8), MAX(0, MIN(Constants!$B$6, S250))+IF(AND(R250=Constants!$B$4, NOT(U250)), Constants!$B$5, 0), "")</f>
        <v/>
      </c>
      <c r="Y250" s="55" t="str">
        <f aca="false">IF(ISBLANK($C250),"",IF(AND(ISNUMBER(X250),N250&gt;0),X250/N250, "") )</f>
        <v/>
      </c>
      <c r="Z250" s="55" t="str">
        <f aca="false">IF(AND(NOT(ISBLANK($C250)), W250=Constants!$B$7), Y250, "")</f>
        <v/>
      </c>
      <c r="AA250" s="55" t="str">
        <f aca="false">IF(ISNUMBER(Z250), RANK(Z250,Z$8:Z$507), "")</f>
        <v/>
      </c>
      <c r="AB250" s="55" t="str">
        <f aca="false">IF(AND(NOT(ISBLANK($C250)), W250=Constants!$B$8), Y250, "")</f>
        <v/>
      </c>
      <c r="AC250" s="55" t="str">
        <f aca="false">IF(ISNUMBER(AB250), RANK(AB250,AB$8:AB$507), "")</f>
        <v/>
      </c>
      <c r="AD250" s="55" t="str">
        <f aca="false">IF(ISBLANK($C250),"",IF(V250&lt;&gt;Constants!$B$14, V250, IF(W250=Constants!$B$7, AA250, IF(W250=Constants!$B$8, COUNT($AA$8:$AA$507) + AC250, ""))))</f>
        <v/>
      </c>
      <c r="AE250" s="55" t="str">
        <f aca="false">N250</f>
        <v/>
      </c>
      <c r="AF250" s="55" t="str">
        <f aca="false">IF(ISNUMBER(AE250), RANK(AE250,AE$8:AE$507,1), "")</f>
        <v/>
      </c>
      <c r="AG250" s="57" t="str">
        <f aca="false">IF(ISBLANK(C250), "", ABS(M250-S250))</f>
        <v/>
      </c>
      <c r="AH250" s="55" t="str">
        <f aca="false">IF(ISNUMBER(AG250), RANK(AG250,AG$8:AG$507,1), "")</f>
        <v/>
      </c>
      <c r="AI250" s="55" t="str">
        <f aca="false">IF(ISBLANK(C250),"",IF(V250&lt;&gt;Constants!$B$14, V250, RANK(AD250, AD$8:AD$507, 1)+ SUMPRODUCT(--(AD$8:AD$507=AD250),--(AF250&gt;AF$8:AF$507)) + SUMPRODUCT(--(AD$8:AD$507=AD250),--(AF250=AF$8:AF$507),--(AH250&gt;AH$8:AH$507))))</f>
        <v/>
      </c>
      <c r="AJ250" s="55" t="str">
        <f aca="false">IF(ISBLANK(C250),"",IF(V250&lt;&gt;Constants!$B$14, V250, AD250-AI250))</f>
        <v/>
      </c>
      <c r="AK250" s="59"/>
      <c r="AL250" s="60" t="str">
        <f aca="false">IF(ISBLANK($C250),"",IF($V250&lt;&gt;Constants!$B$14,$V250,X250))</f>
        <v/>
      </c>
      <c r="AM250" s="60" t="str">
        <f aca="false">IF(ISBLANK($C250),"",IF($V250&lt;&gt;Constants!$B$14,$V250,N250))</f>
        <v/>
      </c>
      <c r="AN250" s="62" t="str">
        <f aca="false">IF(ISBLANK(C250),"",IF(V250&lt;&gt;Constants!$B$14, V250, IF(W250=Constants!$B$7,Z250,IF(W250=Constants!$B$8,AB250,""))))</f>
        <v/>
      </c>
      <c r="AO250" s="63" t="str">
        <f aca="false">IF(ISBLANK(C250),"",W250)</f>
        <v/>
      </c>
      <c r="AP250" s="63" t="str">
        <f aca="false">IF(ISBLANK(C250),"",AJ250)</f>
        <v/>
      </c>
      <c r="AQ250" s="63" t="str">
        <f aca="false">IF(ISBLANK(C250),"",AI250)</f>
        <v/>
      </c>
      <c r="AR250" s="64" t="str">
        <f aca="false">IF(ISBLANK(C250),
  "",
IF(AQ250=Constants!$B$11,COUNTA($C$8:$C$507)+2,IF(AQ250=Constants!$B$12,COUNTA($C$8:$C$507)+1,IF(AQ250=Constants!$B$13,COUNTA($C$8:$C$507),AQ250))))</f>
        <v/>
      </c>
      <c r="AS250" s="3"/>
      <c r="AT250" s="65" t="n">
        <f aca="false">IF(OR(ISNUMBER(AQ250),AQ250="DQ",AQ250="P",AQ250="NS"),
    1,
    0
)</f>
        <v>0</v>
      </c>
      <c r="AU250" s="65" t="n">
        <v>243</v>
      </c>
      <c r="AV250" s="65" t="str">
        <f aca="false">IF(ISBLANK($C250),
    "",
   IF(ISNUMBER(AR250),AR250+ROW($B250)/1000,"")
)</f>
        <v/>
      </c>
      <c r="AW250" s="65" t="str">
        <f aca="false">IF(ISNUMBER(AV250), RANK(AV250,AV$8:AV$507,1), "")</f>
        <v/>
      </c>
      <c r="AX250" s="65" t="str">
        <f aca="false">IF(ISBLANK($C250),
    "",
    $B250
)</f>
        <v/>
      </c>
      <c r="AY250" s="65" t="str">
        <f aca="false">IF(ISBLANK($C250),
    "",
    $C250
)</f>
        <v/>
      </c>
      <c r="AZ250" s="65" t="str">
        <f aca="false">IF(ISBLANK($C250),
    "",
    $D250
)</f>
        <v/>
      </c>
      <c r="BA250" s="65" t="str">
        <f aca="false">AO250</f>
        <v/>
      </c>
      <c r="BB250" s="66" t="str">
        <f aca="false">AN250</f>
        <v/>
      </c>
      <c r="BC250" s="65" t="str">
        <f aca="false">IF(ISBLANK($C250),
    "",
    AQ250
)</f>
        <v/>
      </c>
      <c r="BD250" s="67" t="str">
        <f aca="false">IF(AU250&gt;AT$7,
    "",
    VLOOKUP(AU250,AW$8:BC$507,7,FALSE())
)</f>
        <v/>
      </c>
      <c r="BE250" s="68" t="str">
        <f aca="false">IF(AU250&gt;AT$7,
    "",
    VLOOKUP(AU250,AW$8:BC$507,2,FALSE())
)</f>
        <v/>
      </c>
      <c r="BF250" s="68" t="str">
        <f aca="false">IF(AU250&gt;AT$7,
    "",
    VLOOKUP(AU250,AW$8:BC$507,3,FALSE())
)</f>
        <v/>
      </c>
      <c r="BG250" s="68" t="str">
        <f aca="false">IF(AU250&gt;AT$7,
    "",
    VLOOKUP(AU250,AW$8:BC$507,4,FALSE())
)</f>
        <v/>
      </c>
      <c r="BH250" s="68" t="str">
        <f aca="false">IF(AU250&gt;AT$7,
    "",
    VLOOKUP(AU250,AW$8:BC$507,5,FALSE())
)</f>
        <v/>
      </c>
      <c r="BI250" s="69" t="str">
        <f aca="false">IF(AU250&gt;AT$7,
    "",
    VLOOKUP(AU250,AW$8:BC$507,6,FALSE())
)</f>
        <v/>
      </c>
      <c r="BJ250" s="46"/>
    </row>
    <row r="251" customFormat="false" ht="15.75" hidden="false" customHeight="false" outlineLevel="0" collapsed="false">
      <c r="A251" s="3"/>
      <c r="B251" s="105"/>
      <c r="C251" s="106"/>
      <c r="D251" s="99"/>
      <c r="E251" s="110"/>
      <c r="F251" s="107"/>
      <c r="G251" s="110"/>
      <c r="H251" s="103"/>
      <c r="I251" s="102"/>
      <c r="J251" s="103"/>
      <c r="K251" s="103"/>
      <c r="L251" s="85"/>
      <c r="M251" s="85" t="str">
        <f aca="false">IF(ISBLANK($C251),"",IF(ISBLANK(E251),0,E251))</f>
        <v/>
      </c>
      <c r="N251" s="85" t="str">
        <f aca="false">IF(ISBLANK($C251),"",IF(ISBLANK(F251),0,F251))</f>
        <v/>
      </c>
      <c r="O251" s="86" t="e">
        <f aca="false">IF(AND(NOT(ISBLANK($C251)),NOT($T251),COUNTA($E251:$K251)&gt;0),ISBLANK($F251),FALSE())</f>
        <v>#VALUE!</v>
      </c>
      <c r="P251" s="85" t="str">
        <f aca="false">IF(ISBLANK($C251),"",IF(G251=Constants!$B$9, TRUE(), IF(G251=Constants!$B$10, FALSE(), TRUE())))</f>
        <v/>
      </c>
      <c r="Q251" s="85" t="str">
        <f aca="false">IF(ISBLANK($C251),"",IF(H251=Constants!$B$9, TRUE(), IF(H251=Constants!$B$10, FALSE(), TRUE())))</f>
        <v/>
      </c>
      <c r="R251" s="85" t="str">
        <f aca="false">IF(ISBLANK($C251),"",IF(ISBLANK(I251),Constants!$B$3,I251))</f>
        <v/>
      </c>
      <c r="S251" s="85" t="str">
        <f aca="false">IF(ISBLANK($C251),"",IF(ISBLANK(J251),0,MIN(J251,Constants!$B$6)))</f>
        <v/>
      </c>
      <c r="T251" s="85" t="str">
        <f aca="false">IF(ISBLANK($C251),"",IF(K251=Constants!$B$9, TRUE(), IF(K251=Constants!$B$10, FALSE(),  FALSE())))</f>
        <v/>
      </c>
      <c r="U251" s="85" t="str">
        <f aca="false">IF(ISBLANK($C251),"",AND(R251=Constants!$B$4, S251&lt;Constants!$B$6))</f>
        <v/>
      </c>
      <c r="V251" s="85" t="str">
        <f aca="false">IF(ISBLANK(C251), "", IF(T251, Constants!$B$11, IF(COUNTA(E251:K251)=0, Constants!$B$12, IF(NOT(AND(P251,S251&lt;&gt;0)), Constants!$B$13, IF(O251, Constants!$B$15, Constants!$B$14)))))</f>
        <v/>
      </c>
      <c r="W251" s="85" t="str">
        <f aca="false">IF(OR(ISBLANK($C251), SUMPRODUCT(--(P251:T251&lt;&gt;""))=0), "", IF(V251&lt;&gt;Constants!$B$14, V251, IF(AND(NOT(ISBLANK(J251)),P251,Q251,R251&lt;&gt;Constants!$B$2), Constants!$B$7, IF(AND(P251,OR(NOT(Q251),R251=Constants!$B$2)), Constants!$B$8, "Error"))))</f>
        <v/>
      </c>
      <c r="X251" s="87" t="str">
        <f aca="false">IF(OR(W251=Constants!$B$7,W251=Constants!$B$8), MAX(0, MIN(Constants!$B$6, S251))+IF(AND(R251=Constants!$B$4, NOT(U251)), Constants!$B$5, 0), "")</f>
        <v/>
      </c>
      <c r="Y251" s="85" t="str">
        <f aca="false">IF(ISBLANK($C251),"",IF(AND(ISNUMBER(X251),N251&gt;0),X251/N251, "") )</f>
        <v/>
      </c>
      <c r="Z251" s="85" t="str">
        <f aca="false">IF(AND(NOT(ISBLANK($C251)), W251=Constants!$B$7), Y251, "")</f>
        <v/>
      </c>
      <c r="AA251" s="85" t="str">
        <f aca="false">IF(ISNUMBER(Z251), RANK(Z251,Z$8:Z$507), "")</f>
        <v/>
      </c>
      <c r="AB251" s="85" t="str">
        <f aca="false">IF(AND(NOT(ISBLANK($C251)), W251=Constants!$B$8), Y251, "")</f>
        <v/>
      </c>
      <c r="AC251" s="85" t="str">
        <f aca="false">IF(ISNUMBER(AB251), RANK(AB251,AB$8:AB$507), "")</f>
        <v/>
      </c>
      <c r="AD251" s="85" t="str">
        <f aca="false">IF(ISBLANK($C251),"",IF(V251&lt;&gt;Constants!$B$14, V251, IF(W251=Constants!$B$7, AA251, IF(W251=Constants!$B$8, COUNT($AA$8:$AA$507) + AC251, ""))))</f>
        <v/>
      </c>
      <c r="AE251" s="85" t="str">
        <f aca="false">N251</f>
        <v/>
      </c>
      <c r="AF251" s="85" t="str">
        <f aca="false">IF(ISNUMBER(AE251), RANK(AE251,AE$8:AE$507,1), "")</f>
        <v/>
      </c>
      <c r="AG251" s="88" t="str">
        <f aca="false">IF(ISBLANK(C251), "", ABS(M251-S251))</f>
        <v/>
      </c>
      <c r="AH251" s="85" t="str">
        <f aca="false">IF(ISNUMBER(AG251), RANK(AG251,AG$8:AG$507,1), "")</f>
        <v/>
      </c>
      <c r="AI251" s="85" t="str">
        <f aca="false">IF(ISBLANK(C251),"",IF(V251&lt;&gt;Constants!$B$14, V251, RANK(AD251, AD$8:AD$507, 1)+ SUMPRODUCT(--(AD$8:AD$507=AD251),--(AF251&gt;AF$8:AF$507)) + SUMPRODUCT(--(AD$8:AD$507=AD251),--(AF251=AF$8:AF$507),--(AH251&gt;AH$8:AH$507))))</f>
        <v/>
      </c>
      <c r="AJ251" s="85" t="str">
        <f aca="false">IF(ISBLANK(C251),"",IF(V251&lt;&gt;Constants!$B$14, V251, AD251-AI251))</f>
        <v/>
      </c>
      <c r="AK251" s="89"/>
      <c r="AL251" s="90" t="str">
        <f aca="false">IF(ISBLANK($C251),"",IF($V251&lt;&gt;Constants!$B$14,$V251,X251))</f>
        <v/>
      </c>
      <c r="AM251" s="90" t="str">
        <f aca="false">IF(ISBLANK($C251),"",IF($V251&lt;&gt;Constants!$B$14,$V251,N251))</f>
        <v/>
      </c>
      <c r="AN251" s="91" t="str">
        <f aca="false">IF(ISBLANK(C251),"",IF(V251&lt;&gt;Constants!$B$14, V251, IF(W251=Constants!$B$7,Z251,IF(W251=Constants!$B$8,AB251,""))))</f>
        <v/>
      </c>
      <c r="AO251" s="92" t="str">
        <f aca="false">IF(ISBLANK(C251),"",W251)</f>
        <v/>
      </c>
      <c r="AP251" s="92" t="str">
        <f aca="false">IF(ISBLANK(C251),"",AJ251)</f>
        <v/>
      </c>
      <c r="AQ251" s="92" t="str">
        <f aca="false">IF(ISBLANK(C251),"",AI251)</f>
        <v/>
      </c>
      <c r="AR251" s="93" t="str">
        <f aca="false">IF(ISBLANK(C251),
  "",
IF(AQ251=Constants!$B$11,COUNTA($C$8:$C$507)+2,IF(AQ251=Constants!$B$12,COUNTA($C$8:$C$507)+1,IF(AQ251=Constants!$B$13,COUNTA($C$8:$C$507),AQ251))))</f>
        <v/>
      </c>
      <c r="AS251" s="3"/>
      <c r="AT251" s="94" t="n">
        <f aca="false">IF(OR(ISNUMBER(AQ251),AQ251="DQ",AQ251="P",AQ251="NS"),
    1,
    0
)</f>
        <v>0</v>
      </c>
      <c r="AU251" s="94" t="n">
        <v>244</v>
      </c>
      <c r="AV251" s="94" t="str">
        <f aca="false">IF(ISBLANK($C251),
    "",
   IF(ISNUMBER(AR251),AR251+ROW($B251)/1000,"")
)</f>
        <v/>
      </c>
      <c r="AW251" s="94" t="str">
        <f aca="false">IF(ISNUMBER(AV251), RANK(AV251,AV$8:AV$507,1), "")</f>
        <v/>
      </c>
      <c r="AX251" s="94" t="str">
        <f aca="false">IF(ISBLANK($C251),
    "",
    $B251
)</f>
        <v/>
      </c>
      <c r="AY251" s="94" t="str">
        <f aca="false">IF(ISBLANK($C251),
    "",
    $C251
)</f>
        <v/>
      </c>
      <c r="AZ251" s="94" t="str">
        <f aca="false">IF(ISBLANK($C251),
    "",
    $D251
)</f>
        <v/>
      </c>
      <c r="BA251" s="94" t="str">
        <f aca="false">AO251</f>
        <v/>
      </c>
      <c r="BB251" s="95" t="str">
        <f aca="false">AN251</f>
        <v/>
      </c>
      <c r="BC251" s="94" t="str">
        <f aca="false">IF(ISBLANK($C251),
    "",
    AQ251
)</f>
        <v/>
      </c>
      <c r="BD251" s="96" t="str">
        <f aca="false">IF(AU251&gt;AT$7,
    "",
    VLOOKUP(AU251,AW$8:BC$507,7,FALSE())
)</f>
        <v/>
      </c>
      <c r="BE251" s="97" t="str">
        <f aca="false">IF(AU251&gt;AT$7,
    "",
    VLOOKUP(AU251,AW$8:BC$507,2,FALSE())
)</f>
        <v/>
      </c>
      <c r="BF251" s="97" t="str">
        <f aca="false">IF(AU251&gt;AT$7,
    "",
    VLOOKUP(AU251,AW$8:BC$507,3,FALSE())
)</f>
        <v/>
      </c>
      <c r="BG251" s="97" t="str">
        <f aca="false">IF(AU251&gt;AT$7,
    "",
    VLOOKUP(AU251,AW$8:BC$507,4,FALSE())
)</f>
        <v/>
      </c>
      <c r="BH251" s="97" t="str">
        <f aca="false">IF(AU251&gt;AT$7,
    "",
    VLOOKUP(AU251,AW$8:BC$507,5,FALSE())
)</f>
        <v/>
      </c>
      <c r="BI251" s="98" t="str">
        <f aca="false">IF(AU251&gt;AT$7,
    "",
    VLOOKUP(AU251,AW$8:BC$507,6,FALSE())
)</f>
        <v/>
      </c>
      <c r="BJ251" s="46"/>
    </row>
    <row r="252" customFormat="false" ht="15.75" hidden="false" customHeight="false" outlineLevel="0" collapsed="false">
      <c r="A252" s="3"/>
      <c r="B252" s="105"/>
      <c r="C252" s="106"/>
      <c r="D252" s="99"/>
      <c r="E252" s="110"/>
      <c r="F252" s="107"/>
      <c r="G252" s="110"/>
      <c r="H252" s="103"/>
      <c r="I252" s="102"/>
      <c r="J252" s="103"/>
      <c r="K252" s="103"/>
      <c r="L252" s="85"/>
      <c r="M252" s="85" t="str">
        <f aca="false">IF(ISBLANK($C252),"",IF(ISBLANK(E252),0,E252))</f>
        <v/>
      </c>
      <c r="N252" s="85" t="str">
        <f aca="false">IF(ISBLANK($C252),"",IF(ISBLANK(F252),0,F252))</f>
        <v/>
      </c>
      <c r="O252" s="86" t="e">
        <f aca="false">IF(AND(NOT(ISBLANK($C252)),NOT($T252),COUNTA($E252:$K252)&gt;0),ISBLANK($F252),FALSE())</f>
        <v>#VALUE!</v>
      </c>
      <c r="P252" s="85" t="str">
        <f aca="false">IF(ISBLANK($C252),"",IF(G252=Constants!$B$9, TRUE(), IF(G252=Constants!$B$10, FALSE(), TRUE())))</f>
        <v/>
      </c>
      <c r="Q252" s="85" t="str">
        <f aca="false">IF(ISBLANK($C252),"",IF(H252=Constants!$B$9, TRUE(), IF(H252=Constants!$B$10, FALSE(), TRUE())))</f>
        <v/>
      </c>
      <c r="R252" s="85" t="str">
        <f aca="false">IF(ISBLANK($C252),"",IF(ISBLANK(I252),Constants!$B$3,I252))</f>
        <v/>
      </c>
      <c r="S252" s="85" t="str">
        <f aca="false">IF(ISBLANK($C252),"",IF(ISBLANK(J252),0,MIN(J252,Constants!$B$6)))</f>
        <v/>
      </c>
      <c r="T252" s="85" t="str">
        <f aca="false">IF(ISBLANK($C252),"",IF(K252=Constants!$B$9, TRUE(), IF(K252=Constants!$B$10, FALSE(),  FALSE())))</f>
        <v/>
      </c>
      <c r="U252" s="85" t="str">
        <f aca="false">IF(ISBLANK($C252),"",AND(R252=Constants!$B$4, S252&lt;Constants!$B$6))</f>
        <v/>
      </c>
      <c r="V252" s="85" t="str">
        <f aca="false">IF(ISBLANK(C252), "", IF(T252, Constants!$B$11, IF(COUNTA(E252:K252)=0, Constants!$B$12, IF(NOT(AND(P252,S252&lt;&gt;0)), Constants!$B$13, IF(O252, Constants!$B$15, Constants!$B$14)))))</f>
        <v/>
      </c>
      <c r="W252" s="85" t="str">
        <f aca="false">IF(OR(ISBLANK($C252), SUMPRODUCT(--(P252:T252&lt;&gt;""))=0), "", IF(V252&lt;&gt;Constants!$B$14, V252, IF(AND(NOT(ISBLANK(J252)),P252,Q252,R252&lt;&gt;Constants!$B$2), Constants!$B$7, IF(AND(P252,OR(NOT(Q252),R252=Constants!$B$2)), Constants!$B$8, "Error"))))</f>
        <v/>
      </c>
      <c r="X252" s="87" t="str">
        <f aca="false">IF(OR(W252=Constants!$B$7,W252=Constants!$B$8), MAX(0, MIN(Constants!$B$6, S252))+IF(AND(R252=Constants!$B$4, NOT(U252)), Constants!$B$5, 0), "")</f>
        <v/>
      </c>
      <c r="Y252" s="85" t="str">
        <f aca="false">IF(ISBLANK($C252),"",IF(AND(ISNUMBER(X252),N252&gt;0),X252/N252, "") )</f>
        <v/>
      </c>
      <c r="Z252" s="85" t="str">
        <f aca="false">IF(AND(NOT(ISBLANK($C252)), W252=Constants!$B$7), Y252, "")</f>
        <v/>
      </c>
      <c r="AA252" s="85" t="str">
        <f aca="false">IF(ISNUMBER(Z252), RANK(Z252,Z$8:Z$507), "")</f>
        <v/>
      </c>
      <c r="AB252" s="85" t="str">
        <f aca="false">IF(AND(NOT(ISBLANK($C252)), W252=Constants!$B$8), Y252, "")</f>
        <v/>
      </c>
      <c r="AC252" s="85" t="str">
        <f aca="false">IF(ISNUMBER(AB252), RANK(AB252,AB$8:AB$507), "")</f>
        <v/>
      </c>
      <c r="AD252" s="85" t="str">
        <f aca="false">IF(ISBLANK($C252),"",IF(V252&lt;&gt;Constants!$B$14, V252, IF(W252=Constants!$B$7, AA252, IF(W252=Constants!$B$8, COUNT($AA$8:$AA$507) + AC252, ""))))</f>
        <v/>
      </c>
      <c r="AE252" s="85" t="str">
        <f aca="false">N252</f>
        <v/>
      </c>
      <c r="AF252" s="85" t="str">
        <f aca="false">IF(ISNUMBER(AE252), RANK(AE252,AE$8:AE$507,1), "")</f>
        <v/>
      </c>
      <c r="AG252" s="88" t="str">
        <f aca="false">IF(ISBLANK(C252), "", ABS(M252-S252))</f>
        <v/>
      </c>
      <c r="AH252" s="85" t="str">
        <f aca="false">IF(ISNUMBER(AG252), RANK(AG252,AG$8:AG$507,1), "")</f>
        <v/>
      </c>
      <c r="AI252" s="85" t="str">
        <f aca="false">IF(ISBLANK(C252),"",IF(V252&lt;&gt;Constants!$B$14, V252, RANK(AD252, AD$8:AD$507, 1)+ SUMPRODUCT(--(AD$8:AD$507=AD252),--(AF252&gt;AF$8:AF$507)) + SUMPRODUCT(--(AD$8:AD$507=AD252),--(AF252=AF$8:AF$507),--(AH252&gt;AH$8:AH$507))))</f>
        <v/>
      </c>
      <c r="AJ252" s="85" t="str">
        <f aca="false">IF(ISBLANK(C252),"",IF(V252&lt;&gt;Constants!$B$14, V252, AD252-AI252))</f>
        <v/>
      </c>
      <c r="AK252" s="89"/>
      <c r="AL252" s="90" t="str">
        <f aca="false">IF(ISBLANK($C252),"",IF($V252&lt;&gt;Constants!$B$14,$V252,X252))</f>
        <v/>
      </c>
      <c r="AM252" s="90" t="str">
        <f aca="false">IF(ISBLANK($C252),"",IF($V252&lt;&gt;Constants!$B$14,$V252,N252))</f>
        <v/>
      </c>
      <c r="AN252" s="91" t="str">
        <f aca="false">IF(ISBLANK(C252),"",IF(V252&lt;&gt;Constants!$B$14, V252, IF(W252=Constants!$B$7,Z252,IF(W252=Constants!$B$8,AB252,""))))</f>
        <v/>
      </c>
      <c r="AO252" s="92" t="str">
        <f aca="false">IF(ISBLANK(C252),"",W252)</f>
        <v/>
      </c>
      <c r="AP252" s="92" t="str">
        <f aca="false">IF(ISBLANK(C252),"",AJ252)</f>
        <v/>
      </c>
      <c r="AQ252" s="92" t="str">
        <f aca="false">IF(ISBLANK(C252),"",AI252)</f>
        <v/>
      </c>
      <c r="AR252" s="93" t="str">
        <f aca="false">IF(ISBLANK(C252),
  "",
IF(AQ252=Constants!$B$11,COUNTA($C$8:$C$507)+2,IF(AQ252=Constants!$B$12,COUNTA($C$8:$C$507)+1,IF(AQ252=Constants!$B$13,COUNTA($C$8:$C$507),AQ252))))</f>
        <v/>
      </c>
      <c r="AS252" s="3"/>
      <c r="AT252" s="94" t="n">
        <f aca="false">IF(OR(ISNUMBER(AQ252),AQ252="DQ",AQ252="P",AQ252="NS"),
    1,
    0
)</f>
        <v>0</v>
      </c>
      <c r="AU252" s="94" t="n">
        <v>245</v>
      </c>
      <c r="AV252" s="94" t="str">
        <f aca="false">IF(ISBLANK($C252),
    "",
   IF(ISNUMBER(AR252),AR252+ROW($B252)/1000,"")
)</f>
        <v/>
      </c>
      <c r="AW252" s="94" t="str">
        <f aca="false">IF(ISNUMBER(AV252), RANK(AV252,AV$8:AV$507,1), "")</f>
        <v/>
      </c>
      <c r="AX252" s="94" t="str">
        <f aca="false">IF(ISBLANK($C252),
    "",
    $B252
)</f>
        <v/>
      </c>
      <c r="AY252" s="94" t="str">
        <f aca="false">IF(ISBLANK($C252),
    "",
    $C252
)</f>
        <v/>
      </c>
      <c r="AZ252" s="94" t="str">
        <f aca="false">IF(ISBLANK($C252),
    "",
    $D252
)</f>
        <v/>
      </c>
      <c r="BA252" s="94" t="str">
        <f aca="false">AO252</f>
        <v/>
      </c>
      <c r="BB252" s="95" t="str">
        <f aca="false">AN252</f>
        <v/>
      </c>
      <c r="BC252" s="94" t="str">
        <f aca="false">IF(ISBLANK($C252),
    "",
    AQ252
)</f>
        <v/>
      </c>
      <c r="BD252" s="96" t="str">
        <f aca="false">IF(AU252&gt;AT$7,
    "",
    VLOOKUP(AU252,AW$8:BC$507,7,FALSE())
)</f>
        <v/>
      </c>
      <c r="BE252" s="97" t="str">
        <f aca="false">IF(AU252&gt;AT$7,
    "",
    VLOOKUP(AU252,AW$8:BC$507,2,FALSE())
)</f>
        <v/>
      </c>
      <c r="BF252" s="97" t="str">
        <f aca="false">IF(AU252&gt;AT$7,
    "",
    VLOOKUP(AU252,AW$8:BC$507,3,FALSE())
)</f>
        <v/>
      </c>
      <c r="BG252" s="97" t="str">
        <f aca="false">IF(AU252&gt;AT$7,
    "",
    VLOOKUP(AU252,AW$8:BC$507,4,FALSE())
)</f>
        <v/>
      </c>
      <c r="BH252" s="97" t="str">
        <f aca="false">IF(AU252&gt;AT$7,
    "",
    VLOOKUP(AU252,AW$8:BC$507,5,FALSE())
)</f>
        <v/>
      </c>
      <c r="BI252" s="98" t="str">
        <f aca="false">IF(AU252&gt;AT$7,
    "",
    VLOOKUP(AU252,AW$8:BC$507,6,FALSE())
)</f>
        <v/>
      </c>
      <c r="BJ252" s="46"/>
    </row>
    <row r="253" customFormat="false" ht="15.75" hidden="false" customHeight="false" outlineLevel="0" collapsed="false">
      <c r="A253" s="3"/>
      <c r="B253" s="105"/>
      <c r="C253" s="106"/>
      <c r="D253" s="99"/>
      <c r="E253" s="110"/>
      <c r="F253" s="107"/>
      <c r="G253" s="110"/>
      <c r="H253" s="103"/>
      <c r="I253" s="102"/>
      <c r="J253" s="103"/>
      <c r="K253" s="103"/>
      <c r="L253" s="85"/>
      <c r="M253" s="85" t="str">
        <f aca="false">IF(ISBLANK($C253),"",IF(ISBLANK(E253),0,E253))</f>
        <v/>
      </c>
      <c r="N253" s="85" t="str">
        <f aca="false">IF(ISBLANK($C253),"",IF(ISBLANK(F253),0,F253))</f>
        <v/>
      </c>
      <c r="O253" s="86" t="e">
        <f aca="false">IF(AND(NOT(ISBLANK($C253)),NOT($T253),COUNTA($E253:$K253)&gt;0),ISBLANK($F253),FALSE())</f>
        <v>#VALUE!</v>
      </c>
      <c r="P253" s="85" t="str">
        <f aca="false">IF(ISBLANK($C253),"",IF(G253=Constants!$B$9, TRUE(), IF(G253=Constants!$B$10, FALSE(), TRUE())))</f>
        <v/>
      </c>
      <c r="Q253" s="85" t="str">
        <f aca="false">IF(ISBLANK($C253),"",IF(H253=Constants!$B$9, TRUE(), IF(H253=Constants!$B$10, FALSE(), TRUE())))</f>
        <v/>
      </c>
      <c r="R253" s="85" t="str">
        <f aca="false">IF(ISBLANK($C253),"",IF(ISBLANK(I253),Constants!$B$3,I253))</f>
        <v/>
      </c>
      <c r="S253" s="85" t="str">
        <f aca="false">IF(ISBLANK($C253),"",IF(ISBLANK(J253),0,MIN(J253,Constants!$B$6)))</f>
        <v/>
      </c>
      <c r="T253" s="85" t="str">
        <f aca="false">IF(ISBLANK($C253),"",IF(K253=Constants!$B$9, TRUE(), IF(K253=Constants!$B$10, FALSE(),  FALSE())))</f>
        <v/>
      </c>
      <c r="U253" s="85" t="str">
        <f aca="false">IF(ISBLANK($C253),"",AND(R253=Constants!$B$4, S253&lt;Constants!$B$6))</f>
        <v/>
      </c>
      <c r="V253" s="85" t="str">
        <f aca="false">IF(ISBLANK(C253), "", IF(T253, Constants!$B$11, IF(COUNTA(E253:K253)=0, Constants!$B$12, IF(NOT(AND(P253,S253&lt;&gt;0)), Constants!$B$13, IF(O253, Constants!$B$15, Constants!$B$14)))))</f>
        <v/>
      </c>
      <c r="W253" s="85" t="str">
        <f aca="false">IF(OR(ISBLANK($C253), SUMPRODUCT(--(P253:T253&lt;&gt;""))=0), "", IF(V253&lt;&gt;Constants!$B$14, V253, IF(AND(NOT(ISBLANK(J253)),P253,Q253,R253&lt;&gt;Constants!$B$2), Constants!$B$7, IF(AND(P253,OR(NOT(Q253),R253=Constants!$B$2)), Constants!$B$8, "Error"))))</f>
        <v/>
      </c>
      <c r="X253" s="87" t="str">
        <f aca="false">IF(OR(W253=Constants!$B$7,W253=Constants!$B$8), MAX(0, MIN(Constants!$B$6, S253))+IF(AND(R253=Constants!$B$4, NOT(U253)), Constants!$B$5, 0), "")</f>
        <v/>
      </c>
      <c r="Y253" s="85" t="str">
        <f aca="false">IF(ISBLANK($C253),"",IF(AND(ISNUMBER(X253),N253&gt;0),X253/N253, "") )</f>
        <v/>
      </c>
      <c r="Z253" s="85" t="str">
        <f aca="false">IF(AND(NOT(ISBLANK($C253)), W253=Constants!$B$7), Y253, "")</f>
        <v/>
      </c>
      <c r="AA253" s="85" t="str">
        <f aca="false">IF(ISNUMBER(Z253), RANK(Z253,Z$8:Z$507), "")</f>
        <v/>
      </c>
      <c r="AB253" s="85" t="str">
        <f aca="false">IF(AND(NOT(ISBLANK($C253)), W253=Constants!$B$8), Y253, "")</f>
        <v/>
      </c>
      <c r="AC253" s="85" t="str">
        <f aca="false">IF(ISNUMBER(AB253), RANK(AB253,AB$8:AB$507), "")</f>
        <v/>
      </c>
      <c r="AD253" s="85" t="str">
        <f aca="false">IF(ISBLANK($C253),"",IF(V253&lt;&gt;Constants!$B$14, V253, IF(W253=Constants!$B$7, AA253, IF(W253=Constants!$B$8, COUNT($AA$8:$AA$507) + AC253, ""))))</f>
        <v/>
      </c>
      <c r="AE253" s="85" t="str">
        <f aca="false">N253</f>
        <v/>
      </c>
      <c r="AF253" s="85" t="str">
        <f aca="false">IF(ISNUMBER(AE253), RANK(AE253,AE$8:AE$507,1), "")</f>
        <v/>
      </c>
      <c r="AG253" s="88" t="str">
        <f aca="false">IF(ISBLANK(C253), "", ABS(M253-S253))</f>
        <v/>
      </c>
      <c r="AH253" s="85" t="str">
        <f aca="false">IF(ISNUMBER(AG253), RANK(AG253,AG$8:AG$507,1), "")</f>
        <v/>
      </c>
      <c r="AI253" s="85" t="str">
        <f aca="false">IF(ISBLANK(C253),"",IF(V253&lt;&gt;Constants!$B$14, V253, RANK(AD253, AD$8:AD$507, 1)+ SUMPRODUCT(--(AD$8:AD$507=AD253),--(AF253&gt;AF$8:AF$507)) + SUMPRODUCT(--(AD$8:AD$507=AD253),--(AF253=AF$8:AF$507),--(AH253&gt;AH$8:AH$507))))</f>
        <v/>
      </c>
      <c r="AJ253" s="85" t="str">
        <f aca="false">IF(ISBLANK(C253),"",IF(V253&lt;&gt;Constants!$B$14, V253, AD253-AI253))</f>
        <v/>
      </c>
      <c r="AK253" s="89"/>
      <c r="AL253" s="90" t="str">
        <f aca="false">IF(ISBLANK($C253),"",IF($V253&lt;&gt;Constants!$B$14,$V253,X253))</f>
        <v/>
      </c>
      <c r="AM253" s="90" t="str">
        <f aca="false">IF(ISBLANK($C253),"",IF($V253&lt;&gt;Constants!$B$14,$V253,N253))</f>
        <v/>
      </c>
      <c r="AN253" s="91" t="str">
        <f aca="false">IF(ISBLANK(C253),"",IF(V253&lt;&gt;Constants!$B$14, V253, IF(W253=Constants!$B$7,Z253,IF(W253=Constants!$B$8,AB253,""))))</f>
        <v/>
      </c>
      <c r="AO253" s="92" t="str">
        <f aca="false">IF(ISBLANK(C253),"",W253)</f>
        <v/>
      </c>
      <c r="AP253" s="92" t="str">
        <f aca="false">IF(ISBLANK(C253),"",AJ253)</f>
        <v/>
      </c>
      <c r="AQ253" s="92" t="str">
        <f aca="false">IF(ISBLANK(C253),"",AI253)</f>
        <v/>
      </c>
      <c r="AR253" s="93" t="str">
        <f aca="false">IF(ISBLANK(C253),
  "",
IF(AQ253=Constants!$B$11,COUNTA($C$8:$C$507)+2,IF(AQ253=Constants!$B$12,COUNTA($C$8:$C$507)+1,IF(AQ253=Constants!$B$13,COUNTA($C$8:$C$507),AQ253))))</f>
        <v/>
      </c>
      <c r="AS253" s="3"/>
      <c r="AT253" s="94" t="n">
        <f aca="false">IF(OR(ISNUMBER(AQ253),AQ253="DQ",AQ253="P",AQ253="NS"),
    1,
    0
)</f>
        <v>0</v>
      </c>
      <c r="AU253" s="94" t="n">
        <v>246</v>
      </c>
      <c r="AV253" s="94" t="str">
        <f aca="false">IF(ISBLANK($C253),
    "",
   IF(ISNUMBER(AR253),AR253+ROW($B253)/1000,"")
)</f>
        <v/>
      </c>
      <c r="AW253" s="94" t="str">
        <f aca="false">IF(ISNUMBER(AV253), RANK(AV253,AV$8:AV$507,1), "")</f>
        <v/>
      </c>
      <c r="AX253" s="94" t="str">
        <f aca="false">IF(ISBLANK($C253),
    "",
    $B253
)</f>
        <v/>
      </c>
      <c r="AY253" s="94" t="str">
        <f aca="false">IF(ISBLANK($C253),
    "",
    $C253
)</f>
        <v/>
      </c>
      <c r="AZ253" s="94" t="str">
        <f aca="false">IF(ISBLANK($C253),
    "",
    $D253
)</f>
        <v/>
      </c>
      <c r="BA253" s="94" t="str">
        <f aca="false">AO253</f>
        <v/>
      </c>
      <c r="BB253" s="95" t="str">
        <f aca="false">AN253</f>
        <v/>
      </c>
      <c r="BC253" s="94" t="str">
        <f aca="false">IF(ISBLANK($C253),
    "",
    AQ253
)</f>
        <v/>
      </c>
      <c r="BD253" s="96" t="str">
        <f aca="false">IF(AU253&gt;AT$7,
    "",
    VLOOKUP(AU253,AW$8:BC$507,7,FALSE())
)</f>
        <v/>
      </c>
      <c r="BE253" s="97" t="str">
        <f aca="false">IF(AU253&gt;AT$7,
    "",
    VLOOKUP(AU253,AW$8:BC$507,2,FALSE())
)</f>
        <v/>
      </c>
      <c r="BF253" s="97" t="str">
        <f aca="false">IF(AU253&gt;AT$7,
    "",
    VLOOKUP(AU253,AW$8:BC$507,3,FALSE())
)</f>
        <v/>
      </c>
      <c r="BG253" s="97" t="str">
        <f aca="false">IF(AU253&gt;AT$7,
    "",
    VLOOKUP(AU253,AW$8:BC$507,4,FALSE())
)</f>
        <v/>
      </c>
      <c r="BH253" s="97" t="str">
        <f aca="false">IF(AU253&gt;AT$7,
    "",
    VLOOKUP(AU253,AW$8:BC$507,5,FALSE())
)</f>
        <v/>
      </c>
      <c r="BI253" s="98" t="str">
        <f aca="false">IF(AU253&gt;AT$7,
    "",
    VLOOKUP(AU253,AW$8:BC$507,6,FALSE())
)</f>
        <v/>
      </c>
      <c r="BJ253" s="46"/>
    </row>
    <row r="254" customFormat="false" ht="15.75" hidden="false" customHeight="false" outlineLevel="0" collapsed="false">
      <c r="A254" s="3"/>
      <c r="B254" s="108"/>
      <c r="C254" s="70"/>
      <c r="D254" s="49"/>
      <c r="E254" s="109"/>
      <c r="F254" s="72"/>
      <c r="G254" s="109"/>
      <c r="H254" s="74"/>
      <c r="I254" s="104"/>
      <c r="J254" s="74"/>
      <c r="K254" s="74"/>
      <c r="L254" s="55"/>
      <c r="M254" s="55" t="str">
        <f aca="false">IF(ISBLANK($C254),"",IF(ISBLANK(E254),0,E254))</f>
        <v/>
      </c>
      <c r="N254" s="55" t="str">
        <f aca="false">IF(ISBLANK($C254),"",IF(ISBLANK(F254),0,F254))</f>
        <v/>
      </c>
      <c r="O254" s="55" t="e">
        <f aca="false">IF(AND(NOT(ISBLANK($C254)),NOT($T254),COUNTA($E254:$K254)&gt;0),ISBLANK($F254),FALSE())</f>
        <v>#VALUE!</v>
      </c>
      <c r="P254" s="55" t="str">
        <f aca="false">IF(ISBLANK($C254),"",IF(G254=Constants!$B$9, TRUE(), IF(G254=Constants!$B$10, FALSE(), TRUE())))</f>
        <v/>
      </c>
      <c r="Q254" s="55" t="str">
        <f aca="false">IF(ISBLANK($C254),"",IF(H254=Constants!$B$9, TRUE(), IF(H254=Constants!$B$10, FALSE(), TRUE())))</f>
        <v/>
      </c>
      <c r="R254" s="55" t="str">
        <f aca="false">IF(ISBLANK($C254),"",IF(ISBLANK(I254),Constants!$B$3,I254))</f>
        <v/>
      </c>
      <c r="S254" s="55" t="str">
        <f aca="false">IF(ISBLANK($C254),"",IF(ISBLANK(J254),0,MIN(J254,Constants!$B$6)))</f>
        <v/>
      </c>
      <c r="T254" s="55" t="str">
        <f aca="false">IF(ISBLANK($C254),"",IF(K254=Constants!$B$9, TRUE(), IF(K254=Constants!$B$10, FALSE(),  FALSE())))</f>
        <v/>
      </c>
      <c r="U254" s="55" t="str">
        <f aca="false">IF(ISBLANK($C254),"",AND(R254=Constants!$B$4, S254&lt;Constants!$B$6))</f>
        <v/>
      </c>
      <c r="V254" s="55" t="str">
        <f aca="false">IF(ISBLANK(C254), "", IF(T254, Constants!$B$11, IF(COUNTA(E254:K254)=0, Constants!$B$12, IF(NOT(AND(P254,S254&lt;&gt;0)), Constants!$B$13, IF(O254, Constants!$B$15, Constants!$B$14)))))</f>
        <v/>
      </c>
      <c r="W254" s="55" t="str">
        <f aca="false">IF(OR(ISBLANK($C254), SUMPRODUCT(--(P254:T254&lt;&gt;""))=0), "", IF(V254&lt;&gt;Constants!$B$14, V254, IF(AND(NOT(ISBLANK(J254)),P254,Q254,R254&lt;&gt;Constants!$B$2), Constants!$B$7, IF(AND(P254,OR(NOT(Q254),R254=Constants!$B$2)), Constants!$B$8, "Error"))))</f>
        <v/>
      </c>
      <c r="X254" s="56" t="str">
        <f aca="false">IF(OR(W254=Constants!$B$7,W254=Constants!$B$8), MAX(0, MIN(Constants!$B$6, S254))+IF(AND(R254=Constants!$B$4, NOT(U254)), Constants!$B$5, 0), "")</f>
        <v/>
      </c>
      <c r="Y254" s="55" t="str">
        <f aca="false">IF(ISBLANK($C254),"",IF(AND(ISNUMBER(X254),N254&gt;0),X254/N254, "") )</f>
        <v/>
      </c>
      <c r="Z254" s="55" t="str">
        <f aca="false">IF(AND(NOT(ISBLANK($C254)), W254=Constants!$B$7), Y254, "")</f>
        <v/>
      </c>
      <c r="AA254" s="55" t="str">
        <f aca="false">IF(ISNUMBER(Z254), RANK(Z254,Z$8:Z$507), "")</f>
        <v/>
      </c>
      <c r="AB254" s="55" t="str">
        <f aca="false">IF(AND(NOT(ISBLANK($C254)), W254=Constants!$B$8), Y254, "")</f>
        <v/>
      </c>
      <c r="AC254" s="55" t="str">
        <f aca="false">IF(ISNUMBER(AB254), RANK(AB254,AB$8:AB$507), "")</f>
        <v/>
      </c>
      <c r="AD254" s="55" t="str">
        <f aca="false">IF(ISBLANK($C254),"",IF(V254&lt;&gt;Constants!$B$14, V254, IF(W254=Constants!$B$7, AA254, IF(W254=Constants!$B$8, COUNT($AA$8:$AA$507) + AC254, ""))))</f>
        <v/>
      </c>
      <c r="AE254" s="55" t="str">
        <f aca="false">N254</f>
        <v/>
      </c>
      <c r="AF254" s="55" t="str">
        <f aca="false">IF(ISNUMBER(AE254), RANK(AE254,AE$8:AE$507,1), "")</f>
        <v/>
      </c>
      <c r="AG254" s="57" t="str">
        <f aca="false">IF(ISBLANK(C254), "", ABS(M254-S254))</f>
        <v/>
      </c>
      <c r="AH254" s="55" t="str">
        <f aca="false">IF(ISNUMBER(AG254), RANK(AG254,AG$8:AG$507,1), "")</f>
        <v/>
      </c>
      <c r="AI254" s="55" t="str">
        <f aca="false">IF(ISBLANK(C254),"",IF(V254&lt;&gt;Constants!$B$14, V254, RANK(AD254, AD$8:AD$507, 1)+ SUMPRODUCT(--(AD$8:AD$507=AD254),--(AF254&gt;AF$8:AF$507)) + SUMPRODUCT(--(AD$8:AD$507=AD254),--(AF254=AF$8:AF$507),--(AH254&gt;AH$8:AH$507))))</f>
        <v/>
      </c>
      <c r="AJ254" s="55" t="str">
        <f aca="false">IF(ISBLANK(C254),"",IF(V254&lt;&gt;Constants!$B$14, V254, AD254-AI254))</f>
        <v/>
      </c>
      <c r="AK254" s="59"/>
      <c r="AL254" s="60" t="str">
        <f aca="false">IF(ISBLANK($C254),"",IF($V254&lt;&gt;Constants!$B$14,$V254,X254))</f>
        <v/>
      </c>
      <c r="AM254" s="60" t="str">
        <f aca="false">IF(ISBLANK($C254),"",IF($V254&lt;&gt;Constants!$B$14,$V254,N254))</f>
        <v/>
      </c>
      <c r="AN254" s="62" t="str">
        <f aca="false">IF(ISBLANK(C254),"",IF(V254&lt;&gt;Constants!$B$14, V254, IF(W254=Constants!$B$7,Z254,IF(W254=Constants!$B$8,AB254,""))))</f>
        <v/>
      </c>
      <c r="AO254" s="63" t="str">
        <f aca="false">IF(ISBLANK(C254),"",W254)</f>
        <v/>
      </c>
      <c r="AP254" s="63" t="str">
        <f aca="false">IF(ISBLANK(C254),"",AJ254)</f>
        <v/>
      </c>
      <c r="AQ254" s="63" t="str">
        <f aca="false">IF(ISBLANK(C254),"",AI254)</f>
        <v/>
      </c>
      <c r="AR254" s="64" t="str">
        <f aca="false">IF(ISBLANK(C254),
  "",
IF(AQ254=Constants!$B$11,COUNTA($C$8:$C$507)+2,IF(AQ254=Constants!$B$12,COUNTA($C$8:$C$507)+1,IF(AQ254=Constants!$B$13,COUNTA($C$8:$C$507),AQ254))))</f>
        <v/>
      </c>
      <c r="AS254" s="3"/>
      <c r="AT254" s="65" t="n">
        <f aca="false">IF(OR(ISNUMBER(AQ254),AQ254="DQ",AQ254="P",AQ254="NS"),
    1,
    0
)</f>
        <v>0</v>
      </c>
      <c r="AU254" s="65" t="n">
        <v>247</v>
      </c>
      <c r="AV254" s="65" t="str">
        <f aca="false">IF(ISBLANK($C254),
    "",
   IF(ISNUMBER(AR254),AR254+ROW($B254)/1000,"")
)</f>
        <v/>
      </c>
      <c r="AW254" s="65" t="str">
        <f aca="false">IF(ISNUMBER(AV254), RANK(AV254,AV$8:AV$507,1), "")</f>
        <v/>
      </c>
      <c r="AX254" s="65" t="str">
        <f aca="false">IF(ISBLANK($C254),
    "",
    $B254
)</f>
        <v/>
      </c>
      <c r="AY254" s="65" t="str">
        <f aca="false">IF(ISBLANK($C254),
    "",
    $C254
)</f>
        <v/>
      </c>
      <c r="AZ254" s="65" t="str">
        <f aca="false">IF(ISBLANK($C254),
    "",
    $D254
)</f>
        <v/>
      </c>
      <c r="BA254" s="65" t="str">
        <f aca="false">AO254</f>
        <v/>
      </c>
      <c r="BB254" s="66" t="str">
        <f aca="false">AN254</f>
        <v/>
      </c>
      <c r="BC254" s="65" t="str">
        <f aca="false">IF(ISBLANK($C254),
    "",
    AQ254
)</f>
        <v/>
      </c>
      <c r="BD254" s="67" t="str">
        <f aca="false">IF(AU254&gt;AT$7,
    "",
    VLOOKUP(AU254,AW$8:BC$507,7,FALSE())
)</f>
        <v/>
      </c>
      <c r="BE254" s="68" t="str">
        <f aca="false">IF(AU254&gt;AT$7,
    "",
    VLOOKUP(AU254,AW$8:BC$507,2,FALSE())
)</f>
        <v/>
      </c>
      <c r="BF254" s="68" t="str">
        <f aca="false">IF(AU254&gt;AT$7,
    "",
    VLOOKUP(AU254,AW$8:BC$507,3,FALSE())
)</f>
        <v/>
      </c>
      <c r="BG254" s="68" t="str">
        <f aca="false">IF(AU254&gt;AT$7,
    "",
    VLOOKUP(AU254,AW$8:BC$507,4,FALSE())
)</f>
        <v/>
      </c>
      <c r="BH254" s="68" t="str">
        <f aca="false">IF(AU254&gt;AT$7,
    "",
    VLOOKUP(AU254,AW$8:BC$507,5,FALSE())
)</f>
        <v/>
      </c>
      <c r="BI254" s="69" t="str">
        <f aca="false">IF(AU254&gt;AT$7,
    "",
    VLOOKUP(AU254,AW$8:BC$507,6,FALSE())
)</f>
        <v/>
      </c>
      <c r="BJ254" s="46"/>
    </row>
    <row r="255" customFormat="false" ht="15.75" hidden="false" customHeight="false" outlineLevel="0" collapsed="false">
      <c r="A255" s="3"/>
      <c r="B255" s="108"/>
      <c r="C255" s="70"/>
      <c r="D255" s="49"/>
      <c r="E255" s="109"/>
      <c r="F255" s="72"/>
      <c r="G255" s="109"/>
      <c r="H255" s="74"/>
      <c r="I255" s="104"/>
      <c r="J255" s="74"/>
      <c r="K255" s="74"/>
      <c r="L255" s="55"/>
      <c r="M255" s="55" t="str">
        <f aca="false">IF(ISBLANK($C255),"",IF(ISBLANK(E255),0,E255))</f>
        <v/>
      </c>
      <c r="N255" s="55" t="str">
        <f aca="false">IF(ISBLANK($C255),"",IF(ISBLANK(F255),0,F255))</f>
        <v/>
      </c>
      <c r="O255" s="55" t="e">
        <f aca="false">IF(AND(NOT(ISBLANK($C255)),NOT($T255),COUNTA($E255:$K255)&gt;0),ISBLANK($F255),FALSE())</f>
        <v>#VALUE!</v>
      </c>
      <c r="P255" s="55" t="str">
        <f aca="false">IF(ISBLANK($C255),"",IF(G255=Constants!$B$9, TRUE(), IF(G255=Constants!$B$10, FALSE(), TRUE())))</f>
        <v/>
      </c>
      <c r="Q255" s="55" t="str">
        <f aca="false">IF(ISBLANK($C255),"",IF(H255=Constants!$B$9, TRUE(), IF(H255=Constants!$B$10, FALSE(), TRUE())))</f>
        <v/>
      </c>
      <c r="R255" s="55" t="str">
        <f aca="false">IF(ISBLANK($C255),"",IF(ISBLANK(I255),Constants!$B$3,I255))</f>
        <v/>
      </c>
      <c r="S255" s="55" t="str">
        <f aca="false">IF(ISBLANK($C255),"",IF(ISBLANK(J255),0,MIN(J255,Constants!$B$6)))</f>
        <v/>
      </c>
      <c r="T255" s="55" t="str">
        <f aca="false">IF(ISBLANK($C255),"",IF(K255=Constants!$B$9, TRUE(), IF(K255=Constants!$B$10, FALSE(),  FALSE())))</f>
        <v/>
      </c>
      <c r="U255" s="55" t="str">
        <f aca="false">IF(ISBLANK($C255),"",AND(R255=Constants!$B$4, S255&lt;Constants!$B$6))</f>
        <v/>
      </c>
      <c r="V255" s="55" t="str">
        <f aca="false">IF(ISBLANK(C255), "", IF(T255, Constants!$B$11, IF(COUNTA(E255:K255)=0, Constants!$B$12, IF(NOT(AND(P255,S255&lt;&gt;0)), Constants!$B$13, IF(O255, Constants!$B$15, Constants!$B$14)))))</f>
        <v/>
      </c>
      <c r="W255" s="55" t="str">
        <f aca="false">IF(OR(ISBLANK($C255), SUMPRODUCT(--(P255:T255&lt;&gt;""))=0), "", IF(V255&lt;&gt;Constants!$B$14, V255, IF(AND(NOT(ISBLANK(J255)),P255,Q255,R255&lt;&gt;Constants!$B$2), Constants!$B$7, IF(AND(P255,OR(NOT(Q255),R255=Constants!$B$2)), Constants!$B$8, "Error"))))</f>
        <v/>
      </c>
      <c r="X255" s="56" t="str">
        <f aca="false">IF(OR(W255=Constants!$B$7,W255=Constants!$B$8), MAX(0, MIN(Constants!$B$6, S255))+IF(AND(R255=Constants!$B$4, NOT(U255)), Constants!$B$5, 0), "")</f>
        <v/>
      </c>
      <c r="Y255" s="55" t="str">
        <f aca="false">IF(ISBLANK($C255),"",IF(AND(ISNUMBER(X255),N255&gt;0),X255/N255, "") )</f>
        <v/>
      </c>
      <c r="Z255" s="55" t="str">
        <f aca="false">IF(AND(NOT(ISBLANK($C255)), W255=Constants!$B$7), Y255, "")</f>
        <v/>
      </c>
      <c r="AA255" s="55" t="str">
        <f aca="false">IF(ISNUMBER(Z255), RANK(Z255,Z$8:Z$507), "")</f>
        <v/>
      </c>
      <c r="AB255" s="55" t="str">
        <f aca="false">IF(AND(NOT(ISBLANK($C255)), W255=Constants!$B$8), Y255, "")</f>
        <v/>
      </c>
      <c r="AC255" s="55" t="str">
        <f aca="false">IF(ISNUMBER(AB255), RANK(AB255,AB$8:AB$507), "")</f>
        <v/>
      </c>
      <c r="AD255" s="55" t="str">
        <f aca="false">IF(ISBLANK($C255),"",IF(V255&lt;&gt;Constants!$B$14, V255, IF(W255=Constants!$B$7, AA255, IF(W255=Constants!$B$8, COUNT($AA$8:$AA$507) + AC255, ""))))</f>
        <v/>
      </c>
      <c r="AE255" s="55" t="str">
        <f aca="false">N255</f>
        <v/>
      </c>
      <c r="AF255" s="55" t="str">
        <f aca="false">IF(ISNUMBER(AE255), RANK(AE255,AE$8:AE$507,1), "")</f>
        <v/>
      </c>
      <c r="AG255" s="57" t="str">
        <f aca="false">IF(ISBLANK(C255), "", ABS(M255-S255))</f>
        <v/>
      </c>
      <c r="AH255" s="55" t="str">
        <f aca="false">IF(ISNUMBER(AG255), RANK(AG255,AG$8:AG$507,1), "")</f>
        <v/>
      </c>
      <c r="AI255" s="55" t="str">
        <f aca="false">IF(ISBLANK(C255),"",IF(V255&lt;&gt;Constants!$B$14, V255, RANK(AD255, AD$8:AD$507, 1)+ SUMPRODUCT(--(AD$8:AD$507=AD255),--(AF255&gt;AF$8:AF$507)) + SUMPRODUCT(--(AD$8:AD$507=AD255),--(AF255=AF$8:AF$507),--(AH255&gt;AH$8:AH$507))))</f>
        <v/>
      </c>
      <c r="AJ255" s="55" t="str">
        <f aca="false">IF(ISBLANK(C255),"",IF(V255&lt;&gt;Constants!$B$14, V255, AD255-AI255))</f>
        <v/>
      </c>
      <c r="AK255" s="59"/>
      <c r="AL255" s="60" t="str">
        <f aca="false">IF(ISBLANK($C255),"",IF($V255&lt;&gt;Constants!$B$14,$V255,X255))</f>
        <v/>
      </c>
      <c r="AM255" s="60" t="str">
        <f aca="false">IF(ISBLANK($C255),"",IF($V255&lt;&gt;Constants!$B$14,$V255,N255))</f>
        <v/>
      </c>
      <c r="AN255" s="62" t="str">
        <f aca="false">IF(ISBLANK(C255),"",IF(V255&lt;&gt;Constants!$B$14, V255, IF(W255=Constants!$B$7,Z255,IF(W255=Constants!$B$8,AB255,""))))</f>
        <v/>
      </c>
      <c r="AO255" s="63" t="str">
        <f aca="false">IF(ISBLANK(C255),"",W255)</f>
        <v/>
      </c>
      <c r="AP255" s="63" t="str">
        <f aca="false">IF(ISBLANK(C255),"",AJ255)</f>
        <v/>
      </c>
      <c r="AQ255" s="63" t="str">
        <f aca="false">IF(ISBLANK(C255),"",AI255)</f>
        <v/>
      </c>
      <c r="AR255" s="64" t="str">
        <f aca="false">IF(ISBLANK(C255),
  "",
IF(AQ255=Constants!$B$11,COUNTA($C$8:$C$507)+2,IF(AQ255=Constants!$B$12,COUNTA($C$8:$C$507)+1,IF(AQ255=Constants!$B$13,COUNTA($C$8:$C$507),AQ255))))</f>
        <v/>
      </c>
      <c r="AS255" s="3"/>
      <c r="AT255" s="65" t="n">
        <f aca="false">IF(OR(ISNUMBER(AQ255),AQ255="DQ",AQ255="P",AQ255="NS"),
    1,
    0
)</f>
        <v>0</v>
      </c>
      <c r="AU255" s="65" t="n">
        <v>248</v>
      </c>
      <c r="AV255" s="65" t="str">
        <f aca="false">IF(ISBLANK($C255),
    "",
   IF(ISNUMBER(AR255),AR255+ROW($B255)/1000,"")
)</f>
        <v/>
      </c>
      <c r="AW255" s="65" t="str">
        <f aca="false">IF(ISNUMBER(AV255), RANK(AV255,AV$8:AV$507,1), "")</f>
        <v/>
      </c>
      <c r="AX255" s="65" t="str">
        <f aca="false">IF(ISBLANK($C255),
    "",
    $B255
)</f>
        <v/>
      </c>
      <c r="AY255" s="65" t="str">
        <f aca="false">IF(ISBLANK($C255),
    "",
    $C255
)</f>
        <v/>
      </c>
      <c r="AZ255" s="65" t="str">
        <f aca="false">IF(ISBLANK($C255),
    "",
    $D255
)</f>
        <v/>
      </c>
      <c r="BA255" s="65" t="str">
        <f aca="false">AO255</f>
        <v/>
      </c>
      <c r="BB255" s="66" t="str">
        <f aca="false">AN255</f>
        <v/>
      </c>
      <c r="BC255" s="65" t="str">
        <f aca="false">IF(ISBLANK($C255),
    "",
    AQ255
)</f>
        <v/>
      </c>
      <c r="BD255" s="67" t="str">
        <f aca="false">IF(AU255&gt;AT$7,
    "",
    VLOOKUP(AU255,AW$8:BC$507,7,FALSE())
)</f>
        <v/>
      </c>
      <c r="BE255" s="68" t="str">
        <f aca="false">IF(AU255&gt;AT$7,
    "",
    VLOOKUP(AU255,AW$8:BC$507,2,FALSE())
)</f>
        <v/>
      </c>
      <c r="BF255" s="68" t="str">
        <f aca="false">IF(AU255&gt;AT$7,
    "",
    VLOOKUP(AU255,AW$8:BC$507,3,FALSE())
)</f>
        <v/>
      </c>
      <c r="BG255" s="68" t="str">
        <f aca="false">IF(AU255&gt;AT$7,
    "",
    VLOOKUP(AU255,AW$8:BC$507,4,FALSE())
)</f>
        <v/>
      </c>
      <c r="BH255" s="68" t="str">
        <f aca="false">IF(AU255&gt;AT$7,
    "",
    VLOOKUP(AU255,AW$8:BC$507,5,FALSE())
)</f>
        <v/>
      </c>
      <c r="BI255" s="69" t="str">
        <f aca="false">IF(AU255&gt;AT$7,
    "",
    VLOOKUP(AU255,AW$8:BC$507,6,FALSE())
)</f>
        <v/>
      </c>
      <c r="BJ255" s="46"/>
    </row>
    <row r="256" customFormat="false" ht="15.75" hidden="false" customHeight="false" outlineLevel="0" collapsed="false">
      <c r="A256" s="3"/>
      <c r="B256" s="108"/>
      <c r="C256" s="70"/>
      <c r="D256" s="49"/>
      <c r="E256" s="109"/>
      <c r="F256" s="72"/>
      <c r="G256" s="109"/>
      <c r="H256" s="74"/>
      <c r="I256" s="104"/>
      <c r="J256" s="74"/>
      <c r="K256" s="74"/>
      <c r="L256" s="55"/>
      <c r="M256" s="55" t="str">
        <f aca="false">IF(ISBLANK($C256),"",IF(ISBLANK(E256),0,E256))</f>
        <v/>
      </c>
      <c r="N256" s="55" t="str">
        <f aca="false">IF(ISBLANK($C256),"",IF(ISBLANK(F256),0,F256))</f>
        <v/>
      </c>
      <c r="O256" s="55" t="e">
        <f aca="false">IF(AND(NOT(ISBLANK($C256)),NOT($T256),COUNTA($E256:$K256)&gt;0),ISBLANK($F256),FALSE())</f>
        <v>#VALUE!</v>
      </c>
      <c r="P256" s="55" t="str">
        <f aca="false">IF(ISBLANK($C256),"",IF(G256=Constants!$B$9, TRUE(), IF(G256=Constants!$B$10, FALSE(), TRUE())))</f>
        <v/>
      </c>
      <c r="Q256" s="55" t="str">
        <f aca="false">IF(ISBLANK($C256),"",IF(H256=Constants!$B$9, TRUE(), IF(H256=Constants!$B$10, FALSE(), TRUE())))</f>
        <v/>
      </c>
      <c r="R256" s="55" t="str">
        <f aca="false">IF(ISBLANK($C256),"",IF(ISBLANK(I256),Constants!$B$3,I256))</f>
        <v/>
      </c>
      <c r="S256" s="55" t="str">
        <f aca="false">IF(ISBLANK($C256),"",IF(ISBLANK(J256),0,MIN(J256,Constants!$B$6)))</f>
        <v/>
      </c>
      <c r="T256" s="55" t="str">
        <f aca="false">IF(ISBLANK($C256),"",IF(K256=Constants!$B$9, TRUE(), IF(K256=Constants!$B$10, FALSE(),  FALSE())))</f>
        <v/>
      </c>
      <c r="U256" s="55" t="str">
        <f aca="false">IF(ISBLANK($C256),"",AND(R256=Constants!$B$4, S256&lt;Constants!$B$6))</f>
        <v/>
      </c>
      <c r="V256" s="55" t="str">
        <f aca="false">IF(ISBLANK(C256), "", IF(T256, Constants!$B$11, IF(COUNTA(E256:K256)=0, Constants!$B$12, IF(NOT(AND(P256,S256&lt;&gt;0)), Constants!$B$13, IF(O256, Constants!$B$15, Constants!$B$14)))))</f>
        <v/>
      </c>
      <c r="W256" s="55" t="str">
        <f aca="false">IF(OR(ISBLANK($C256), SUMPRODUCT(--(P256:T256&lt;&gt;""))=0), "", IF(V256&lt;&gt;Constants!$B$14, V256, IF(AND(NOT(ISBLANK(J256)),P256,Q256,R256&lt;&gt;Constants!$B$2), Constants!$B$7, IF(AND(P256,OR(NOT(Q256),R256=Constants!$B$2)), Constants!$B$8, "Error"))))</f>
        <v/>
      </c>
      <c r="X256" s="56" t="str">
        <f aca="false">IF(OR(W256=Constants!$B$7,W256=Constants!$B$8), MAX(0, MIN(Constants!$B$6, S256))+IF(AND(R256=Constants!$B$4, NOT(U256)), Constants!$B$5, 0), "")</f>
        <v/>
      </c>
      <c r="Y256" s="55" t="str">
        <f aca="false">IF(ISBLANK($C256),"",IF(AND(ISNUMBER(X256),N256&gt;0),X256/N256, "") )</f>
        <v/>
      </c>
      <c r="Z256" s="55" t="str">
        <f aca="false">IF(AND(NOT(ISBLANK($C256)), W256=Constants!$B$7), Y256, "")</f>
        <v/>
      </c>
      <c r="AA256" s="55" t="str">
        <f aca="false">IF(ISNUMBER(Z256), RANK(Z256,Z$8:Z$507), "")</f>
        <v/>
      </c>
      <c r="AB256" s="55" t="str">
        <f aca="false">IF(AND(NOT(ISBLANK($C256)), W256=Constants!$B$8), Y256, "")</f>
        <v/>
      </c>
      <c r="AC256" s="55" t="str">
        <f aca="false">IF(ISNUMBER(AB256), RANK(AB256,AB$8:AB$507), "")</f>
        <v/>
      </c>
      <c r="AD256" s="55" t="str">
        <f aca="false">IF(ISBLANK($C256),"",IF(V256&lt;&gt;Constants!$B$14, V256, IF(W256=Constants!$B$7, AA256, IF(W256=Constants!$B$8, COUNT($AA$8:$AA$507) + AC256, ""))))</f>
        <v/>
      </c>
      <c r="AE256" s="55" t="str">
        <f aca="false">N256</f>
        <v/>
      </c>
      <c r="AF256" s="55" t="str">
        <f aca="false">IF(ISNUMBER(AE256), RANK(AE256,AE$8:AE$507,1), "")</f>
        <v/>
      </c>
      <c r="AG256" s="57" t="str">
        <f aca="false">IF(ISBLANK(C256), "", ABS(M256-S256))</f>
        <v/>
      </c>
      <c r="AH256" s="55" t="str">
        <f aca="false">IF(ISNUMBER(AG256), RANK(AG256,AG$8:AG$507,1), "")</f>
        <v/>
      </c>
      <c r="AI256" s="55" t="str">
        <f aca="false">IF(ISBLANK(C256),"",IF(V256&lt;&gt;Constants!$B$14, V256, RANK(AD256, AD$8:AD$507, 1)+ SUMPRODUCT(--(AD$8:AD$507=AD256),--(AF256&gt;AF$8:AF$507)) + SUMPRODUCT(--(AD$8:AD$507=AD256),--(AF256=AF$8:AF$507),--(AH256&gt;AH$8:AH$507))))</f>
        <v/>
      </c>
      <c r="AJ256" s="55" t="str">
        <f aca="false">IF(ISBLANK(C256),"",IF(V256&lt;&gt;Constants!$B$14, V256, AD256-AI256))</f>
        <v/>
      </c>
      <c r="AK256" s="59"/>
      <c r="AL256" s="60" t="str">
        <f aca="false">IF(ISBLANK($C256),"",IF($V256&lt;&gt;Constants!$B$14,$V256,X256))</f>
        <v/>
      </c>
      <c r="AM256" s="60" t="str">
        <f aca="false">IF(ISBLANK($C256),"",IF($V256&lt;&gt;Constants!$B$14,$V256,N256))</f>
        <v/>
      </c>
      <c r="AN256" s="62" t="str">
        <f aca="false">IF(ISBLANK(C256),"",IF(V256&lt;&gt;Constants!$B$14, V256, IF(W256=Constants!$B$7,Z256,IF(W256=Constants!$B$8,AB256,""))))</f>
        <v/>
      </c>
      <c r="AO256" s="63" t="str">
        <f aca="false">IF(ISBLANK(C256),"",W256)</f>
        <v/>
      </c>
      <c r="AP256" s="63" t="str">
        <f aca="false">IF(ISBLANK(C256),"",AJ256)</f>
        <v/>
      </c>
      <c r="AQ256" s="63" t="str">
        <f aca="false">IF(ISBLANK(C256),"",AI256)</f>
        <v/>
      </c>
      <c r="AR256" s="64" t="str">
        <f aca="false">IF(ISBLANK(C256),
  "",
IF(AQ256=Constants!$B$11,COUNTA($C$8:$C$507)+2,IF(AQ256=Constants!$B$12,COUNTA($C$8:$C$507)+1,IF(AQ256=Constants!$B$13,COUNTA($C$8:$C$507),AQ256))))</f>
        <v/>
      </c>
      <c r="AS256" s="3"/>
      <c r="AT256" s="65" t="n">
        <f aca="false">IF(OR(ISNUMBER(AQ256),AQ256="DQ",AQ256="P",AQ256="NS"),
    1,
    0
)</f>
        <v>0</v>
      </c>
      <c r="AU256" s="65" t="n">
        <v>249</v>
      </c>
      <c r="AV256" s="65" t="str">
        <f aca="false">IF(ISBLANK($C256),
    "",
   IF(ISNUMBER(AR256),AR256+ROW($B256)/1000,"")
)</f>
        <v/>
      </c>
      <c r="AW256" s="65" t="str">
        <f aca="false">IF(ISNUMBER(AV256), RANK(AV256,AV$8:AV$507,1), "")</f>
        <v/>
      </c>
      <c r="AX256" s="65" t="str">
        <f aca="false">IF(ISBLANK($C256),
    "",
    $B256
)</f>
        <v/>
      </c>
      <c r="AY256" s="65" t="str">
        <f aca="false">IF(ISBLANK($C256),
    "",
    $C256
)</f>
        <v/>
      </c>
      <c r="AZ256" s="65" t="str">
        <f aca="false">IF(ISBLANK($C256),
    "",
    $D256
)</f>
        <v/>
      </c>
      <c r="BA256" s="65" t="str">
        <f aca="false">AO256</f>
        <v/>
      </c>
      <c r="BB256" s="66" t="str">
        <f aca="false">AN256</f>
        <v/>
      </c>
      <c r="BC256" s="65" t="str">
        <f aca="false">IF(ISBLANK($C256),
    "",
    AQ256
)</f>
        <v/>
      </c>
      <c r="BD256" s="67" t="str">
        <f aca="false">IF(AU256&gt;AT$7,
    "",
    VLOOKUP(AU256,AW$8:BC$507,7,FALSE())
)</f>
        <v/>
      </c>
      <c r="BE256" s="68" t="str">
        <f aca="false">IF(AU256&gt;AT$7,
    "",
    VLOOKUP(AU256,AW$8:BC$507,2,FALSE())
)</f>
        <v/>
      </c>
      <c r="BF256" s="68" t="str">
        <f aca="false">IF(AU256&gt;AT$7,
    "",
    VLOOKUP(AU256,AW$8:BC$507,3,FALSE())
)</f>
        <v/>
      </c>
      <c r="BG256" s="68" t="str">
        <f aca="false">IF(AU256&gt;AT$7,
    "",
    VLOOKUP(AU256,AW$8:BC$507,4,FALSE())
)</f>
        <v/>
      </c>
      <c r="BH256" s="68" t="str">
        <f aca="false">IF(AU256&gt;AT$7,
    "",
    VLOOKUP(AU256,AW$8:BC$507,5,FALSE())
)</f>
        <v/>
      </c>
      <c r="BI256" s="69" t="str">
        <f aca="false">IF(AU256&gt;AT$7,
    "",
    VLOOKUP(AU256,AW$8:BC$507,6,FALSE())
)</f>
        <v/>
      </c>
      <c r="BJ256" s="46"/>
    </row>
    <row r="257" customFormat="false" ht="15.75" hidden="false" customHeight="false" outlineLevel="0" collapsed="false">
      <c r="A257" s="3"/>
      <c r="B257" s="105"/>
      <c r="C257" s="106"/>
      <c r="D257" s="99"/>
      <c r="E257" s="110"/>
      <c r="F257" s="107"/>
      <c r="G257" s="110"/>
      <c r="H257" s="103"/>
      <c r="I257" s="102"/>
      <c r="J257" s="103"/>
      <c r="K257" s="103"/>
      <c r="L257" s="85"/>
      <c r="M257" s="85" t="str">
        <f aca="false">IF(ISBLANK($C257),"",IF(ISBLANK(E257),0,E257))</f>
        <v/>
      </c>
      <c r="N257" s="85" t="str">
        <f aca="false">IF(ISBLANK($C257),"",IF(ISBLANK(F257),0,F257))</f>
        <v/>
      </c>
      <c r="O257" s="86" t="e">
        <f aca="false">IF(AND(NOT(ISBLANK($C257)),NOT($T257),COUNTA($E257:$K257)&gt;0),ISBLANK($F257),FALSE())</f>
        <v>#VALUE!</v>
      </c>
      <c r="P257" s="85" t="str">
        <f aca="false">IF(ISBLANK($C257),"",IF(G257=Constants!$B$9, TRUE(), IF(G257=Constants!$B$10, FALSE(), TRUE())))</f>
        <v/>
      </c>
      <c r="Q257" s="85" t="str">
        <f aca="false">IF(ISBLANK($C257),"",IF(H257=Constants!$B$9, TRUE(), IF(H257=Constants!$B$10, FALSE(), TRUE())))</f>
        <v/>
      </c>
      <c r="R257" s="85" t="str">
        <f aca="false">IF(ISBLANK($C257),"",IF(ISBLANK(I257),Constants!$B$3,I257))</f>
        <v/>
      </c>
      <c r="S257" s="85" t="str">
        <f aca="false">IF(ISBLANK($C257),"",IF(ISBLANK(J257),0,MIN(J257,Constants!$B$6)))</f>
        <v/>
      </c>
      <c r="T257" s="85" t="str">
        <f aca="false">IF(ISBLANK($C257),"",IF(K257=Constants!$B$9, TRUE(), IF(K257=Constants!$B$10, FALSE(),  FALSE())))</f>
        <v/>
      </c>
      <c r="U257" s="85" t="str">
        <f aca="false">IF(ISBLANK($C257),"",AND(R257=Constants!$B$4, S257&lt;Constants!$B$6))</f>
        <v/>
      </c>
      <c r="V257" s="85" t="str">
        <f aca="false">IF(ISBLANK(C257), "", IF(T257, Constants!$B$11, IF(COUNTA(E257:K257)=0, Constants!$B$12, IF(NOT(AND(P257,S257&lt;&gt;0)), Constants!$B$13, IF(O257, Constants!$B$15, Constants!$B$14)))))</f>
        <v/>
      </c>
      <c r="W257" s="85" t="str">
        <f aca="false">IF(OR(ISBLANK($C257), SUMPRODUCT(--(P257:T257&lt;&gt;""))=0), "", IF(V257&lt;&gt;Constants!$B$14, V257, IF(AND(NOT(ISBLANK(J257)),P257,Q257,R257&lt;&gt;Constants!$B$2), Constants!$B$7, IF(AND(P257,OR(NOT(Q257),R257=Constants!$B$2)), Constants!$B$8, "Error"))))</f>
        <v/>
      </c>
      <c r="X257" s="87" t="str">
        <f aca="false">IF(OR(W257=Constants!$B$7,W257=Constants!$B$8), MAX(0, MIN(Constants!$B$6, S257))+IF(AND(R257=Constants!$B$4, NOT(U257)), Constants!$B$5, 0), "")</f>
        <v/>
      </c>
      <c r="Y257" s="85" t="str">
        <f aca="false">IF(ISBLANK($C257),"",IF(AND(ISNUMBER(X257),N257&gt;0),X257/N257, "") )</f>
        <v/>
      </c>
      <c r="Z257" s="85" t="str">
        <f aca="false">IF(AND(NOT(ISBLANK($C257)), W257=Constants!$B$7), Y257, "")</f>
        <v/>
      </c>
      <c r="AA257" s="85" t="str">
        <f aca="false">IF(ISNUMBER(Z257), RANK(Z257,Z$8:Z$507), "")</f>
        <v/>
      </c>
      <c r="AB257" s="85" t="str">
        <f aca="false">IF(AND(NOT(ISBLANK($C257)), W257=Constants!$B$8), Y257, "")</f>
        <v/>
      </c>
      <c r="AC257" s="85" t="str">
        <f aca="false">IF(ISNUMBER(AB257), RANK(AB257,AB$8:AB$507), "")</f>
        <v/>
      </c>
      <c r="AD257" s="85" t="str">
        <f aca="false">IF(ISBLANK($C257),"",IF(V257&lt;&gt;Constants!$B$14, V257, IF(W257=Constants!$B$7, AA257, IF(W257=Constants!$B$8, COUNT($AA$8:$AA$507) + AC257, ""))))</f>
        <v/>
      </c>
      <c r="AE257" s="85" t="str">
        <f aca="false">N257</f>
        <v/>
      </c>
      <c r="AF257" s="85" t="str">
        <f aca="false">IF(ISNUMBER(AE257), RANK(AE257,AE$8:AE$507,1), "")</f>
        <v/>
      </c>
      <c r="AG257" s="88" t="str">
        <f aca="false">IF(ISBLANK(C257), "", ABS(M257-S257))</f>
        <v/>
      </c>
      <c r="AH257" s="85" t="str">
        <f aca="false">IF(ISNUMBER(AG257), RANK(AG257,AG$8:AG$507,1), "")</f>
        <v/>
      </c>
      <c r="AI257" s="85" t="str">
        <f aca="false">IF(ISBLANK(C257),"",IF(V257&lt;&gt;Constants!$B$14, V257, RANK(AD257, AD$8:AD$507, 1)+ SUMPRODUCT(--(AD$8:AD$507=AD257),--(AF257&gt;AF$8:AF$507)) + SUMPRODUCT(--(AD$8:AD$507=AD257),--(AF257=AF$8:AF$507),--(AH257&gt;AH$8:AH$507))))</f>
        <v/>
      </c>
      <c r="AJ257" s="85" t="str">
        <f aca="false">IF(ISBLANK(C257),"",IF(V257&lt;&gt;Constants!$B$14, V257, AD257-AI257))</f>
        <v/>
      </c>
      <c r="AK257" s="89"/>
      <c r="AL257" s="90" t="str">
        <f aca="false">IF(ISBLANK($C257),"",IF($V257&lt;&gt;Constants!$B$14,$V257,X257))</f>
        <v/>
      </c>
      <c r="AM257" s="90" t="str">
        <f aca="false">IF(ISBLANK($C257),"",IF($V257&lt;&gt;Constants!$B$14,$V257,N257))</f>
        <v/>
      </c>
      <c r="AN257" s="91" t="str">
        <f aca="false">IF(ISBLANK(C257),"",IF(V257&lt;&gt;Constants!$B$14, V257, IF(W257=Constants!$B$7,Z257,IF(W257=Constants!$B$8,AB257,""))))</f>
        <v/>
      </c>
      <c r="AO257" s="92" t="str">
        <f aca="false">IF(ISBLANK(C257),"",W257)</f>
        <v/>
      </c>
      <c r="AP257" s="92" t="str">
        <f aca="false">IF(ISBLANK(C257),"",AJ257)</f>
        <v/>
      </c>
      <c r="AQ257" s="92" t="str">
        <f aca="false">IF(ISBLANK(C257),"",AI257)</f>
        <v/>
      </c>
      <c r="AR257" s="93" t="str">
        <f aca="false">IF(ISBLANK(C257),
  "",
IF(AQ257=Constants!$B$11,COUNTA($C$8:$C$507)+2,IF(AQ257=Constants!$B$12,COUNTA($C$8:$C$507)+1,IF(AQ257=Constants!$B$13,COUNTA($C$8:$C$507),AQ257))))</f>
        <v/>
      </c>
      <c r="AS257" s="3"/>
      <c r="AT257" s="94" t="n">
        <f aca="false">IF(OR(ISNUMBER(AQ257),AQ257="DQ",AQ257="P",AQ257="NS"),
    1,
    0
)</f>
        <v>0</v>
      </c>
      <c r="AU257" s="94" t="n">
        <v>250</v>
      </c>
      <c r="AV257" s="94" t="str">
        <f aca="false">IF(ISBLANK($C257),
    "",
   IF(ISNUMBER(AR257),AR257+ROW($B257)/1000,"")
)</f>
        <v/>
      </c>
      <c r="AW257" s="94" t="str">
        <f aca="false">IF(ISNUMBER(AV257), RANK(AV257,AV$8:AV$507,1), "")</f>
        <v/>
      </c>
      <c r="AX257" s="94" t="str">
        <f aca="false">IF(ISBLANK($C257),
    "",
    $B257
)</f>
        <v/>
      </c>
      <c r="AY257" s="94" t="str">
        <f aca="false">IF(ISBLANK($C257),
    "",
    $C257
)</f>
        <v/>
      </c>
      <c r="AZ257" s="94" t="str">
        <f aca="false">IF(ISBLANK($C257),
    "",
    $D257
)</f>
        <v/>
      </c>
      <c r="BA257" s="94" t="str">
        <f aca="false">AO257</f>
        <v/>
      </c>
      <c r="BB257" s="95" t="str">
        <f aca="false">AN257</f>
        <v/>
      </c>
      <c r="BC257" s="94" t="str">
        <f aca="false">IF(ISBLANK($C257),
    "",
    AQ257
)</f>
        <v/>
      </c>
      <c r="BD257" s="96" t="str">
        <f aca="false">IF(AU257&gt;AT$7,
    "",
    VLOOKUP(AU257,AW$8:BC$507,7,FALSE())
)</f>
        <v/>
      </c>
      <c r="BE257" s="97" t="str">
        <f aca="false">IF(AU257&gt;AT$7,
    "",
    VLOOKUP(AU257,AW$8:BC$507,2,FALSE())
)</f>
        <v/>
      </c>
      <c r="BF257" s="97" t="str">
        <f aca="false">IF(AU257&gt;AT$7,
    "",
    VLOOKUP(AU257,AW$8:BC$507,3,FALSE())
)</f>
        <v/>
      </c>
      <c r="BG257" s="97" t="str">
        <f aca="false">IF(AU257&gt;AT$7,
    "",
    VLOOKUP(AU257,AW$8:BC$507,4,FALSE())
)</f>
        <v/>
      </c>
      <c r="BH257" s="97" t="str">
        <f aca="false">IF(AU257&gt;AT$7,
    "",
    VLOOKUP(AU257,AW$8:BC$507,5,FALSE())
)</f>
        <v/>
      </c>
      <c r="BI257" s="98" t="str">
        <f aca="false">IF(AU257&gt;AT$7,
    "",
    VLOOKUP(AU257,AW$8:BC$507,6,FALSE())
)</f>
        <v/>
      </c>
      <c r="BJ257" s="46"/>
    </row>
    <row r="258" customFormat="false" ht="15.75" hidden="false" customHeight="false" outlineLevel="0" collapsed="false">
      <c r="A258" s="3"/>
      <c r="B258" s="105"/>
      <c r="C258" s="106"/>
      <c r="D258" s="99"/>
      <c r="E258" s="110"/>
      <c r="F258" s="107"/>
      <c r="G258" s="110"/>
      <c r="H258" s="103"/>
      <c r="I258" s="102"/>
      <c r="J258" s="103"/>
      <c r="K258" s="103"/>
      <c r="L258" s="85"/>
      <c r="M258" s="85" t="str">
        <f aca="false">IF(ISBLANK($C258),"",IF(ISBLANK(E258),0,E258))</f>
        <v/>
      </c>
      <c r="N258" s="85" t="str">
        <f aca="false">IF(ISBLANK($C258),"",IF(ISBLANK(F258),0,F258))</f>
        <v/>
      </c>
      <c r="O258" s="86" t="e">
        <f aca="false">IF(AND(NOT(ISBLANK($C258)),NOT($T258),COUNTA($E258:$K258)&gt;0),ISBLANK($F258),FALSE())</f>
        <v>#VALUE!</v>
      </c>
      <c r="P258" s="85" t="str">
        <f aca="false">IF(ISBLANK($C258),"",IF(G258=Constants!$B$9, TRUE(), IF(G258=Constants!$B$10, FALSE(), TRUE())))</f>
        <v/>
      </c>
      <c r="Q258" s="85" t="str">
        <f aca="false">IF(ISBLANK($C258),"",IF(H258=Constants!$B$9, TRUE(), IF(H258=Constants!$B$10, FALSE(), TRUE())))</f>
        <v/>
      </c>
      <c r="R258" s="85" t="str">
        <f aca="false">IF(ISBLANK($C258),"",IF(ISBLANK(I258),Constants!$B$3,I258))</f>
        <v/>
      </c>
      <c r="S258" s="85" t="str">
        <f aca="false">IF(ISBLANK($C258),"",IF(ISBLANK(J258),0,MIN(J258,Constants!$B$6)))</f>
        <v/>
      </c>
      <c r="T258" s="85" t="str">
        <f aca="false">IF(ISBLANK($C258),"",IF(K258=Constants!$B$9, TRUE(), IF(K258=Constants!$B$10, FALSE(),  FALSE())))</f>
        <v/>
      </c>
      <c r="U258" s="85" t="str">
        <f aca="false">IF(ISBLANK($C258),"",AND(R258=Constants!$B$4, S258&lt;Constants!$B$6))</f>
        <v/>
      </c>
      <c r="V258" s="85" t="str">
        <f aca="false">IF(ISBLANK(C258), "", IF(T258, Constants!$B$11, IF(COUNTA(E258:K258)=0, Constants!$B$12, IF(NOT(AND(P258,S258&lt;&gt;0)), Constants!$B$13, IF(O258, Constants!$B$15, Constants!$B$14)))))</f>
        <v/>
      </c>
      <c r="W258" s="85" t="str">
        <f aca="false">IF(OR(ISBLANK($C258), SUMPRODUCT(--(P258:T258&lt;&gt;""))=0), "", IF(V258&lt;&gt;Constants!$B$14, V258, IF(AND(NOT(ISBLANK(J258)),P258,Q258,R258&lt;&gt;Constants!$B$2), Constants!$B$7, IF(AND(P258,OR(NOT(Q258),R258=Constants!$B$2)), Constants!$B$8, "Error"))))</f>
        <v/>
      </c>
      <c r="X258" s="87" t="str">
        <f aca="false">IF(OR(W258=Constants!$B$7,W258=Constants!$B$8), MAX(0, MIN(Constants!$B$6, S258))+IF(AND(R258=Constants!$B$4, NOT(U258)), Constants!$B$5, 0), "")</f>
        <v/>
      </c>
      <c r="Y258" s="85" t="str">
        <f aca="false">IF(ISBLANK($C258),"",IF(AND(ISNUMBER(X258),N258&gt;0),X258/N258, "") )</f>
        <v/>
      </c>
      <c r="Z258" s="85" t="str">
        <f aca="false">IF(AND(NOT(ISBLANK($C258)), W258=Constants!$B$7), Y258, "")</f>
        <v/>
      </c>
      <c r="AA258" s="85" t="str">
        <f aca="false">IF(ISNUMBER(Z258), RANK(Z258,Z$8:Z$507), "")</f>
        <v/>
      </c>
      <c r="AB258" s="85" t="str">
        <f aca="false">IF(AND(NOT(ISBLANK($C258)), W258=Constants!$B$8), Y258, "")</f>
        <v/>
      </c>
      <c r="AC258" s="85" t="str">
        <f aca="false">IF(ISNUMBER(AB258), RANK(AB258,AB$8:AB$507), "")</f>
        <v/>
      </c>
      <c r="AD258" s="85" t="str">
        <f aca="false">IF(ISBLANK($C258),"",IF(V258&lt;&gt;Constants!$B$14, V258, IF(W258=Constants!$B$7, AA258, IF(W258=Constants!$B$8, COUNT($AA$8:$AA$507) + AC258, ""))))</f>
        <v/>
      </c>
      <c r="AE258" s="85" t="str">
        <f aca="false">N258</f>
        <v/>
      </c>
      <c r="AF258" s="85" t="str">
        <f aca="false">IF(ISNUMBER(AE258), RANK(AE258,AE$8:AE$507,1), "")</f>
        <v/>
      </c>
      <c r="AG258" s="88" t="str">
        <f aca="false">IF(ISBLANK(C258), "", ABS(M258-S258))</f>
        <v/>
      </c>
      <c r="AH258" s="85" t="str">
        <f aca="false">IF(ISNUMBER(AG258), RANK(AG258,AG$8:AG$507,1), "")</f>
        <v/>
      </c>
      <c r="AI258" s="85" t="str">
        <f aca="false">IF(ISBLANK(C258),"",IF(V258&lt;&gt;Constants!$B$14, V258, RANK(AD258, AD$8:AD$507, 1)+ SUMPRODUCT(--(AD$8:AD$507=AD258),--(AF258&gt;AF$8:AF$507)) + SUMPRODUCT(--(AD$8:AD$507=AD258),--(AF258=AF$8:AF$507),--(AH258&gt;AH$8:AH$507))))</f>
        <v/>
      </c>
      <c r="AJ258" s="85" t="str">
        <f aca="false">IF(ISBLANK(C258),"",IF(V258&lt;&gt;Constants!$B$14, V258, AD258-AI258))</f>
        <v/>
      </c>
      <c r="AK258" s="89"/>
      <c r="AL258" s="90" t="str">
        <f aca="false">IF(ISBLANK($C258),"",IF($V258&lt;&gt;Constants!$B$14,$V258,X258))</f>
        <v/>
      </c>
      <c r="AM258" s="90" t="str">
        <f aca="false">IF(ISBLANK($C258),"",IF($V258&lt;&gt;Constants!$B$14,$V258,N258))</f>
        <v/>
      </c>
      <c r="AN258" s="91" t="str">
        <f aca="false">IF(ISBLANK(C258),"",IF(V258&lt;&gt;Constants!$B$14, V258, IF(W258=Constants!$B$7,Z258,IF(W258=Constants!$B$8,AB258,""))))</f>
        <v/>
      </c>
      <c r="AO258" s="92" t="str">
        <f aca="false">IF(ISBLANK(C258),"",W258)</f>
        <v/>
      </c>
      <c r="AP258" s="92" t="str">
        <f aca="false">IF(ISBLANK(C258),"",AJ258)</f>
        <v/>
      </c>
      <c r="AQ258" s="92" t="str">
        <f aca="false">IF(ISBLANK(C258),"",AI258)</f>
        <v/>
      </c>
      <c r="AR258" s="93" t="str">
        <f aca="false">IF(ISBLANK(C258),
  "",
IF(AQ258=Constants!$B$11,COUNTA($C$8:$C$507)+2,IF(AQ258=Constants!$B$12,COUNTA($C$8:$C$507)+1,IF(AQ258=Constants!$B$13,COUNTA($C$8:$C$507),AQ258))))</f>
        <v/>
      </c>
      <c r="AS258" s="3"/>
      <c r="AT258" s="94" t="n">
        <f aca="false">IF(OR(ISNUMBER(AQ258),AQ258="DQ",AQ258="P",AQ258="NS"),
    1,
    0
)</f>
        <v>0</v>
      </c>
      <c r="AU258" s="94" t="n">
        <v>251</v>
      </c>
      <c r="AV258" s="94" t="str">
        <f aca="false">IF(ISBLANK($C258),
    "",
   IF(ISNUMBER(AR258),AR258+ROW($B258)/1000,"")
)</f>
        <v/>
      </c>
      <c r="AW258" s="94" t="str">
        <f aca="false">IF(ISNUMBER(AV258), RANK(AV258,AV$8:AV$507,1), "")</f>
        <v/>
      </c>
      <c r="AX258" s="94" t="str">
        <f aca="false">IF(ISBLANK($C258),
    "",
    $B258
)</f>
        <v/>
      </c>
      <c r="AY258" s="94" t="str">
        <f aca="false">IF(ISBLANK($C258),
    "",
    $C258
)</f>
        <v/>
      </c>
      <c r="AZ258" s="94" t="str">
        <f aca="false">IF(ISBLANK($C258),
    "",
    $D258
)</f>
        <v/>
      </c>
      <c r="BA258" s="94" t="str">
        <f aca="false">AO258</f>
        <v/>
      </c>
      <c r="BB258" s="95" t="str">
        <f aca="false">AN258</f>
        <v/>
      </c>
      <c r="BC258" s="94" t="str">
        <f aca="false">IF(ISBLANK($C258),
    "",
    AQ258
)</f>
        <v/>
      </c>
      <c r="BD258" s="96" t="str">
        <f aca="false">IF(AU258&gt;AT$7,
    "",
    VLOOKUP(AU258,AW$8:BC$507,7,FALSE())
)</f>
        <v/>
      </c>
      <c r="BE258" s="97" t="str">
        <f aca="false">IF(AU258&gt;AT$7,
    "",
    VLOOKUP(AU258,AW$8:BC$507,2,FALSE())
)</f>
        <v/>
      </c>
      <c r="BF258" s="97" t="str">
        <f aca="false">IF(AU258&gt;AT$7,
    "",
    VLOOKUP(AU258,AW$8:BC$507,3,FALSE())
)</f>
        <v/>
      </c>
      <c r="BG258" s="97" t="str">
        <f aca="false">IF(AU258&gt;AT$7,
    "",
    VLOOKUP(AU258,AW$8:BC$507,4,FALSE())
)</f>
        <v/>
      </c>
      <c r="BH258" s="97" t="str">
        <f aca="false">IF(AU258&gt;AT$7,
    "",
    VLOOKUP(AU258,AW$8:BC$507,5,FALSE())
)</f>
        <v/>
      </c>
      <c r="BI258" s="98" t="str">
        <f aca="false">IF(AU258&gt;AT$7,
    "",
    VLOOKUP(AU258,AW$8:BC$507,6,FALSE())
)</f>
        <v/>
      </c>
      <c r="BJ258" s="46"/>
    </row>
    <row r="259" customFormat="false" ht="15.75" hidden="false" customHeight="false" outlineLevel="0" collapsed="false">
      <c r="A259" s="3"/>
      <c r="B259" s="105"/>
      <c r="C259" s="106"/>
      <c r="D259" s="99"/>
      <c r="E259" s="110"/>
      <c r="F259" s="107"/>
      <c r="G259" s="110"/>
      <c r="H259" s="103"/>
      <c r="I259" s="102"/>
      <c r="J259" s="103"/>
      <c r="K259" s="103"/>
      <c r="L259" s="85"/>
      <c r="M259" s="85" t="str">
        <f aca="false">IF(ISBLANK($C259),"",IF(ISBLANK(E259),0,E259))</f>
        <v/>
      </c>
      <c r="N259" s="85" t="str">
        <f aca="false">IF(ISBLANK($C259),"",IF(ISBLANK(F259),0,F259))</f>
        <v/>
      </c>
      <c r="O259" s="86" t="e">
        <f aca="false">IF(AND(NOT(ISBLANK($C259)),NOT($T259),COUNTA($E259:$K259)&gt;0),ISBLANK($F259),FALSE())</f>
        <v>#VALUE!</v>
      </c>
      <c r="P259" s="85" t="str">
        <f aca="false">IF(ISBLANK($C259),"",IF(G259=Constants!$B$9, TRUE(), IF(G259=Constants!$B$10, FALSE(), TRUE())))</f>
        <v/>
      </c>
      <c r="Q259" s="85" t="str">
        <f aca="false">IF(ISBLANK($C259),"",IF(H259=Constants!$B$9, TRUE(), IF(H259=Constants!$B$10, FALSE(), TRUE())))</f>
        <v/>
      </c>
      <c r="R259" s="85" t="str">
        <f aca="false">IF(ISBLANK($C259),"",IF(ISBLANK(I259),Constants!$B$3,I259))</f>
        <v/>
      </c>
      <c r="S259" s="85" t="str">
        <f aca="false">IF(ISBLANK($C259),"",IF(ISBLANK(J259),0,MIN(J259,Constants!$B$6)))</f>
        <v/>
      </c>
      <c r="T259" s="85" t="str">
        <f aca="false">IF(ISBLANK($C259),"",IF(K259=Constants!$B$9, TRUE(), IF(K259=Constants!$B$10, FALSE(),  FALSE())))</f>
        <v/>
      </c>
      <c r="U259" s="85" t="str">
        <f aca="false">IF(ISBLANK($C259),"",AND(R259=Constants!$B$4, S259&lt;Constants!$B$6))</f>
        <v/>
      </c>
      <c r="V259" s="85" t="str">
        <f aca="false">IF(ISBLANK(C259), "", IF(T259, Constants!$B$11, IF(COUNTA(E259:K259)=0, Constants!$B$12, IF(NOT(AND(P259,S259&lt;&gt;0)), Constants!$B$13, IF(O259, Constants!$B$15, Constants!$B$14)))))</f>
        <v/>
      </c>
      <c r="W259" s="85" t="str">
        <f aca="false">IF(OR(ISBLANK($C259), SUMPRODUCT(--(P259:T259&lt;&gt;""))=0), "", IF(V259&lt;&gt;Constants!$B$14, V259, IF(AND(NOT(ISBLANK(J259)),P259,Q259,R259&lt;&gt;Constants!$B$2), Constants!$B$7, IF(AND(P259,OR(NOT(Q259),R259=Constants!$B$2)), Constants!$B$8, "Error"))))</f>
        <v/>
      </c>
      <c r="X259" s="87" t="str">
        <f aca="false">IF(OR(W259=Constants!$B$7,W259=Constants!$B$8), MAX(0, MIN(Constants!$B$6, S259))+IF(AND(R259=Constants!$B$4, NOT(U259)), Constants!$B$5, 0), "")</f>
        <v/>
      </c>
      <c r="Y259" s="85" t="str">
        <f aca="false">IF(ISBLANK($C259),"",IF(AND(ISNUMBER(X259),N259&gt;0),X259/N259, "") )</f>
        <v/>
      </c>
      <c r="Z259" s="85" t="str">
        <f aca="false">IF(AND(NOT(ISBLANK($C259)), W259=Constants!$B$7), Y259, "")</f>
        <v/>
      </c>
      <c r="AA259" s="85" t="str">
        <f aca="false">IF(ISNUMBER(Z259), RANK(Z259,Z$8:Z$507), "")</f>
        <v/>
      </c>
      <c r="AB259" s="85" t="str">
        <f aca="false">IF(AND(NOT(ISBLANK($C259)), W259=Constants!$B$8), Y259, "")</f>
        <v/>
      </c>
      <c r="AC259" s="85" t="str">
        <f aca="false">IF(ISNUMBER(AB259), RANK(AB259,AB$8:AB$507), "")</f>
        <v/>
      </c>
      <c r="AD259" s="85" t="str">
        <f aca="false">IF(ISBLANK($C259),"",IF(V259&lt;&gt;Constants!$B$14, V259, IF(W259=Constants!$B$7, AA259, IF(W259=Constants!$B$8, COUNT($AA$8:$AA$507) + AC259, ""))))</f>
        <v/>
      </c>
      <c r="AE259" s="85" t="str">
        <f aca="false">N259</f>
        <v/>
      </c>
      <c r="AF259" s="85" t="str">
        <f aca="false">IF(ISNUMBER(AE259), RANK(AE259,AE$8:AE$507,1), "")</f>
        <v/>
      </c>
      <c r="AG259" s="88" t="str">
        <f aca="false">IF(ISBLANK(C259), "", ABS(M259-S259))</f>
        <v/>
      </c>
      <c r="AH259" s="85" t="str">
        <f aca="false">IF(ISNUMBER(AG259), RANK(AG259,AG$8:AG$507,1), "")</f>
        <v/>
      </c>
      <c r="AI259" s="85" t="str">
        <f aca="false">IF(ISBLANK(C259),"",IF(V259&lt;&gt;Constants!$B$14, V259, RANK(AD259, AD$8:AD$507, 1)+ SUMPRODUCT(--(AD$8:AD$507=AD259),--(AF259&gt;AF$8:AF$507)) + SUMPRODUCT(--(AD$8:AD$507=AD259),--(AF259=AF$8:AF$507),--(AH259&gt;AH$8:AH$507))))</f>
        <v/>
      </c>
      <c r="AJ259" s="85" t="str">
        <f aca="false">IF(ISBLANK(C259),"",IF(V259&lt;&gt;Constants!$B$14, V259, AD259-AI259))</f>
        <v/>
      </c>
      <c r="AK259" s="89"/>
      <c r="AL259" s="90" t="str">
        <f aca="false">IF(ISBLANK($C259),"",IF($V259&lt;&gt;Constants!$B$14,$V259,X259))</f>
        <v/>
      </c>
      <c r="AM259" s="90" t="str">
        <f aca="false">IF(ISBLANK($C259),"",IF($V259&lt;&gt;Constants!$B$14,$V259,N259))</f>
        <v/>
      </c>
      <c r="AN259" s="91" t="str">
        <f aca="false">IF(ISBLANK(C259),"",IF(V259&lt;&gt;Constants!$B$14, V259, IF(W259=Constants!$B$7,Z259,IF(W259=Constants!$B$8,AB259,""))))</f>
        <v/>
      </c>
      <c r="AO259" s="92" t="str">
        <f aca="false">IF(ISBLANK(C259),"",W259)</f>
        <v/>
      </c>
      <c r="AP259" s="92" t="str">
        <f aca="false">IF(ISBLANK(C259),"",AJ259)</f>
        <v/>
      </c>
      <c r="AQ259" s="92" t="str">
        <f aca="false">IF(ISBLANK(C259),"",AI259)</f>
        <v/>
      </c>
      <c r="AR259" s="93" t="str">
        <f aca="false">IF(ISBLANK(C259),
  "",
IF(AQ259=Constants!$B$11,COUNTA($C$8:$C$507)+2,IF(AQ259=Constants!$B$12,COUNTA($C$8:$C$507)+1,IF(AQ259=Constants!$B$13,COUNTA($C$8:$C$507),AQ259))))</f>
        <v/>
      </c>
      <c r="AS259" s="3"/>
      <c r="AT259" s="94" t="n">
        <f aca="false">IF(OR(ISNUMBER(AQ259),AQ259="DQ",AQ259="P",AQ259="NS"),
    1,
    0
)</f>
        <v>0</v>
      </c>
      <c r="AU259" s="94" t="n">
        <v>252</v>
      </c>
      <c r="AV259" s="94" t="str">
        <f aca="false">IF(ISBLANK($C259),
    "",
   IF(ISNUMBER(AR259),AR259+ROW($B259)/1000,"")
)</f>
        <v/>
      </c>
      <c r="AW259" s="94" t="str">
        <f aca="false">IF(ISNUMBER(AV259), RANK(AV259,AV$8:AV$507,1), "")</f>
        <v/>
      </c>
      <c r="AX259" s="94" t="str">
        <f aca="false">IF(ISBLANK($C259),
    "",
    $B259
)</f>
        <v/>
      </c>
      <c r="AY259" s="94" t="str">
        <f aca="false">IF(ISBLANK($C259),
    "",
    $C259
)</f>
        <v/>
      </c>
      <c r="AZ259" s="94" t="str">
        <f aca="false">IF(ISBLANK($C259),
    "",
    $D259
)</f>
        <v/>
      </c>
      <c r="BA259" s="94" t="str">
        <f aca="false">AO259</f>
        <v/>
      </c>
      <c r="BB259" s="95" t="str">
        <f aca="false">AN259</f>
        <v/>
      </c>
      <c r="BC259" s="94" t="str">
        <f aca="false">IF(ISBLANK($C259),
    "",
    AQ259
)</f>
        <v/>
      </c>
      <c r="BD259" s="96" t="str">
        <f aca="false">IF(AU259&gt;AT$7,
    "",
    VLOOKUP(AU259,AW$8:BC$507,7,FALSE())
)</f>
        <v/>
      </c>
      <c r="BE259" s="97" t="str">
        <f aca="false">IF(AU259&gt;AT$7,
    "",
    VLOOKUP(AU259,AW$8:BC$507,2,FALSE())
)</f>
        <v/>
      </c>
      <c r="BF259" s="97" t="str">
        <f aca="false">IF(AU259&gt;AT$7,
    "",
    VLOOKUP(AU259,AW$8:BC$507,3,FALSE())
)</f>
        <v/>
      </c>
      <c r="BG259" s="97" t="str">
        <f aca="false">IF(AU259&gt;AT$7,
    "",
    VLOOKUP(AU259,AW$8:BC$507,4,FALSE())
)</f>
        <v/>
      </c>
      <c r="BH259" s="97" t="str">
        <f aca="false">IF(AU259&gt;AT$7,
    "",
    VLOOKUP(AU259,AW$8:BC$507,5,FALSE())
)</f>
        <v/>
      </c>
      <c r="BI259" s="98" t="str">
        <f aca="false">IF(AU259&gt;AT$7,
    "",
    VLOOKUP(AU259,AW$8:BC$507,6,FALSE())
)</f>
        <v/>
      </c>
      <c r="BJ259" s="46"/>
    </row>
    <row r="260" customFormat="false" ht="15.75" hidden="false" customHeight="false" outlineLevel="0" collapsed="false">
      <c r="A260" s="3"/>
      <c r="B260" s="108"/>
      <c r="C260" s="70"/>
      <c r="D260" s="49"/>
      <c r="E260" s="109"/>
      <c r="F260" s="72"/>
      <c r="G260" s="109"/>
      <c r="H260" s="74"/>
      <c r="I260" s="104"/>
      <c r="J260" s="74"/>
      <c r="K260" s="74"/>
      <c r="L260" s="55"/>
      <c r="M260" s="55" t="str">
        <f aca="false">IF(ISBLANK($C260),"",IF(ISBLANK(E260),0,E260))</f>
        <v/>
      </c>
      <c r="N260" s="55" t="str">
        <f aca="false">IF(ISBLANK($C260),"",IF(ISBLANK(F260),0,F260))</f>
        <v/>
      </c>
      <c r="O260" s="55" t="e">
        <f aca="false">IF(AND(NOT(ISBLANK($C260)),NOT($T260),COUNTA($E260:$K260)&gt;0),ISBLANK($F260),FALSE())</f>
        <v>#VALUE!</v>
      </c>
      <c r="P260" s="55" t="str">
        <f aca="false">IF(ISBLANK($C260),"",IF(G260=Constants!$B$9, TRUE(), IF(G260=Constants!$B$10, FALSE(), TRUE())))</f>
        <v/>
      </c>
      <c r="Q260" s="55" t="str">
        <f aca="false">IF(ISBLANK($C260),"",IF(H260=Constants!$B$9, TRUE(), IF(H260=Constants!$B$10, FALSE(), TRUE())))</f>
        <v/>
      </c>
      <c r="R260" s="55" t="str">
        <f aca="false">IF(ISBLANK($C260),"",IF(ISBLANK(I260),Constants!$B$3,I260))</f>
        <v/>
      </c>
      <c r="S260" s="55" t="str">
        <f aca="false">IF(ISBLANK($C260),"",IF(ISBLANK(J260),0,MIN(J260,Constants!$B$6)))</f>
        <v/>
      </c>
      <c r="T260" s="55" t="str">
        <f aca="false">IF(ISBLANK($C260),"",IF(K260=Constants!$B$9, TRUE(), IF(K260=Constants!$B$10, FALSE(),  FALSE())))</f>
        <v/>
      </c>
      <c r="U260" s="55" t="str">
        <f aca="false">IF(ISBLANK($C260),"",AND(R260=Constants!$B$4, S260&lt;Constants!$B$6))</f>
        <v/>
      </c>
      <c r="V260" s="55" t="str">
        <f aca="false">IF(ISBLANK(C260), "", IF(T260, Constants!$B$11, IF(COUNTA(E260:K260)=0, Constants!$B$12, IF(NOT(AND(P260,S260&lt;&gt;0)), Constants!$B$13, IF(O260, Constants!$B$15, Constants!$B$14)))))</f>
        <v/>
      </c>
      <c r="W260" s="55" t="str">
        <f aca="false">IF(OR(ISBLANK($C260), SUMPRODUCT(--(P260:T260&lt;&gt;""))=0), "", IF(V260&lt;&gt;Constants!$B$14, V260, IF(AND(NOT(ISBLANK(J260)),P260,Q260,R260&lt;&gt;Constants!$B$2), Constants!$B$7, IF(AND(P260,OR(NOT(Q260),R260=Constants!$B$2)), Constants!$B$8, "Error"))))</f>
        <v/>
      </c>
      <c r="X260" s="56" t="str">
        <f aca="false">IF(OR(W260=Constants!$B$7,W260=Constants!$B$8), MAX(0, MIN(Constants!$B$6, S260))+IF(AND(R260=Constants!$B$4, NOT(U260)), Constants!$B$5, 0), "")</f>
        <v/>
      </c>
      <c r="Y260" s="55" t="str">
        <f aca="false">IF(ISBLANK($C260),"",IF(AND(ISNUMBER(X260),N260&gt;0),X260/N260, "") )</f>
        <v/>
      </c>
      <c r="Z260" s="55" t="str">
        <f aca="false">IF(AND(NOT(ISBLANK($C260)), W260=Constants!$B$7), Y260, "")</f>
        <v/>
      </c>
      <c r="AA260" s="55" t="str">
        <f aca="false">IF(ISNUMBER(Z260), RANK(Z260,Z$8:Z$507), "")</f>
        <v/>
      </c>
      <c r="AB260" s="55" t="str">
        <f aca="false">IF(AND(NOT(ISBLANK($C260)), W260=Constants!$B$8), Y260, "")</f>
        <v/>
      </c>
      <c r="AC260" s="55" t="str">
        <f aca="false">IF(ISNUMBER(AB260), RANK(AB260,AB$8:AB$507), "")</f>
        <v/>
      </c>
      <c r="AD260" s="55" t="str">
        <f aca="false">IF(ISBLANK($C260),"",IF(V260&lt;&gt;Constants!$B$14, V260, IF(W260=Constants!$B$7, AA260, IF(W260=Constants!$B$8, COUNT($AA$8:$AA$507) + AC260, ""))))</f>
        <v/>
      </c>
      <c r="AE260" s="55" t="str">
        <f aca="false">N260</f>
        <v/>
      </c>
      <c r="AF260" s="55" t="str">
        <f aca="false">IF(ISNUMBER(AE260), RANK(AE260,AE$8:AE$507,1), "")</f>
        <v/>
      </c>
      <c r="AG260" s="57" t="str">
        <f aca="false">IF(ISBLANK(C260), "", ABS(M260-S260))</f>
        <v/>
      </c>
      <c r="AH260" s="55" t="str">
        <f aca="false">IF(ISNUMBER(AG260), RANK(AG260,AG$8:AG$507,1), "")</f>
        <v/>
      </c>
      <c r="AI260" s="55" t="str">
        <f aca="false">IF(ISBLANK(C260),"",IF(V260&lt;&gt;Constants!$B$14, V260, RANK(AD260, AD$8:AD$507, 1)+ SUMPRODUCT(--(AD$8:AD$507=AD260),--(AF260&gt;AF$8:AF$507)) + SUMPRODUCT(--(AD$8:AD$507=AD260),--(AF260=AF$8:AF$507),--(AH260&gt;AH$8:AH$507))))</f>
        <v/>
      </c>
      <c r="AJ260" s="55" t="str">
        <f aca="false">IF(ISBLANK(C260),"",IF(V260&lt;&gt;Constants!$B$14, V260, AD260-AI260))</f>
        <v/>
      </c>
      <c r="AK260" s="59"/>
      <c r="AL260" s="60" t="str">
        <f aca="false">IF(ISBLANK($C260),"",IF($V260&lt;&gt;Constants!$B$14,$V260,X260))</f>
        <v/>
      </c>
      <c r="AM260" s="60" t="str">
        <f aca="false">IF(ISBLANK($C260),"",IF($V260&lt;&gt;Constants!$B$14,$V260,N260))</f>
        <v/>
      </c>
      <c r="AN260" s="62" t="str">
        <f aca="false">IF(ISBLANK(C260),"",IF(V260&lt;&gt;Constants!$B$14, V260, IF(W260=Constants!$B$7,Z260,IF(W260=Constants!$B$8,AB260,""))))</f>
        <v/>
      </c>
      <c r="AO260" s="63" t="str">
        <f aca="false">IF(ISBLANK(C260),"",W260)</f>
        <v/>
      </c>
      <c r="AP260" s="63" t="str">
        <f aca="false">IF(ISBLANK(C260),"",AJ260)</f>
        <v/>
      </c>
      <c r="AQ260" s="63" t="str">
        <f aca="false">IF(ISBLANK(C260),"",AI260)</f>
        <v/>
      </c>
      <c r="AR260" s="64" t="str">
        <f aca="false">IF(ISBLANK(C260),
  "",
IF(AQ260=Constants!$B$11,COUNTA($C$8:$C$507)+2,IF(AQ260=Constants!$B$12,COUNTA($C$8:$C$507)+1,IF(AQ260=Constants!$B$13,COUNTA($C$8:$C$507),AQ260))))</f>
        <v/>
      </c>
      <c r="AS260" s="3"/>
      <c r="AT260" s="65" t="n">
        <f aca="false">IF(OR(ISNUMBER(AQ260),AQ260="DQ",AQ260="P",AQ260="NS"),
    1,
    0
)</f>
        <v>0</v>
      </c>
      <c r="AU260" s="65" t="n">
        <v>253</v>
      </c>
      <c r="AV260" s="65" t="str">
        <f aca="false">IF(ISBLANK($C260),
    "",
   IF(ISNUMBER(AR260),AR260+ROW($B260)/1000,"")
)</f>
        <v/>
      </c>
      <c r="AW260" s="65" t="str">
        <f aca="false">IF(ISNUMBER(AV260), RANK(AV260,AV$8:AV$507,1), "")</f>
        <v/>
      </c>
      <c r="AX260" s="65" t="str">
        <f aca="false">IF(ISBLANK($C260),
    "",
    $B260
)</f>
        <v/>
      </c>
      <c r="AY260" s="65" t="str">
        <f aca="false">IF(ISBLANK($C260),
    "",
    $C260
)</f>
        <v/>
      </c>
      <c r="AZ260" s="65" t="str">
        <f aca="false">IF(ISBLANK($C260),
    "",
    $D260
)</f>
        <v/>
      </c>
      <c r="BA260" s="65" t="str">
        <f aca="false">AO260</f>
        <v/>
      </c>
      <c r="BB260" s="66" t="str">
        <f aca="false">AN260</f>
        <v/>
      </c>
      <c r="BC260" s="65" t="str">
        <f aca="false">IF(ISBLANK($C260),
    "",
    AQ260
)</f>
        <v/>
      </c>
      <c r="BD260" s="67" t="str">
        <f aca="false">IF(AU260&gt;AT$7,
    "",
    VLOOKUP(AU260,AW$8:BC$507,7,FALSE())
)</f>
        <v/>
      </c>
      <c r="BE260" s="68" t="str">
        <f aca="false">IF(AU260&gt;AT$7,
    "",
    VLOOKUP(AU260,AW$8:BC$507,2,FALSE())
)</f>
        <v/>
      </c>
      <c r="BF260" s="68" t="str">
        <f aca="false">IF(AU260&gt;AT$7,
    "",
    VLOOKUP(AU260,AW$8:BC$507,3,FALSE())
)</f>
        <v/>
      </c>
      <c r="BG260" s="68" t="str">
        <f aca="false">IF(AU260&gt;AT$7,
    "",
    VLOOKUP(AU260,AW$8:BC$507,4,FALSE())
)</f>
        <v/>
      </c>
      <c r="BH260" s="68" t="str">
        <f aca="false">IF(AU260&gt;AT$7,
    "",
    VLOOKUP(AU260,AW$8:BC$507,5,FALSE())
)</f>
        <v/>
      </c>
      <c r="BI260" s="69" t="str">
        <f aca="false">IF(AU260&gt;AT$7,
    "",
    VLOOKUP(AU260,AW$8:BC$507,6,FALSE())
)</f>
        <v/>
      </c>
      <c r="BJ260" s="46"/>
    </row>
    <row r="261" customFormat="false" ht="15.75" hidden="false" customHeight="false" outlineLevel="0" collapsed="false">
      <c r="A261" s="3"/>
      <c r="B261" s="108"/>
      <c r="C261" s="70"/>
      <c r="D261" s="49"/>
      <c r="E261" s="109"/>
      <c r="F261" s="72"/>
      <c r="G261" s="109"/>
      <c r="H261" s="74"/>
      <c r="I261" s="104"/>
      <c r="J261" s="74"/>
      <c r="K261" s="74"/>
      <c r="L261" s="55"/>
      <c r="M261" s="55" t="str">
        <f aca="false">IF(ISBLANK($C261),"",IF(ISBLANK(E261),0,E261))</f>
        <v/>
      </c>
      <c r="N261" s="55" t="str">
        <f aca="false">IF(ISBLANK($C261),"",IF(ISBLANK(F261),0,F261))</f>
        <v/>
      </c>
      <c r="O261" s="55" t="e">
        <f aca="false">IF(AND(NOT(ISBLANK($C261)),NOT($T261),COUNTA($E261:$K261)&gt;0),ISBLANK($F261),FALSE())</f>
        <v>#VALUE!</v>
      </c>
      <c r="P261" s="55" t="str">
        <f aca="false">IF(ISBLANK($C261),"",IF(G261=Constants!$B$9, TRUE(), IF(G261=Constants!$B$10, FALSE(), TRUE())))</f>
        <v/>
      </c>
      <c r="Q261" s="55" t="str">
        <f aca="false">IF(ISBLANK($C261),"",IF(H261=Constants!$B$9, TRUE(), IF(H261=Constants!$B$10, FALSE(), TRUE())))</f>
        <v/>
      </c>
      <c r="R261" s="55" t="str">
        <f aca="false">IF(ISBLANK($C261),"",IF(ISBLANK(I261),Constants!$B$3,I261))</f>
        <v/>
      </c>
      <c r="S261" s="55" t="str">
        <f aca="false">IF(ISBLANK($C261),"",IF(ISBLANK(J261),0,MIN(J261,Constants!$B$6)))</f>
        <v/>
      </c>
      <c r="T261" s="55" t="str">
        <f aca="false">IF(ISBLANK($C261),"",IF(K261=Constants!$B$9, TRUE(), IF(K261=Constants!$B$10, FALSE(),  FALSE())))</f>
        <v/>
      </c>
      <c r="U261" s="55" t="str">
        <f aca="false">IF(ISBLANK($C261),"",AND(R261=Constants!$B$4, S261&lt;Constants!$B$6))</f>
        <v/>
      </c>
      <c r="V261" s="55" t="str">
        <f aca="false">IF(ISBLANK(C261), "", IF(T261, Constants!$B$11, IF(COUNTA(E261:K261)=0, Constants!$B$12, IF(NOT(AND(P261,S261&lt;&gt;0)), Constants!$B$13, IF(O261, Constants!$B$15, Constants!$B$14)))))</f>
        <v/>
      </c>
      <c r="W261" s="55" t="str">
        <f aca="false">IF(OR(ISBLANK($C261), SUMPRODUCT(--(P261:T261&lt;&gt;""))=0), "", IF(V261&lt;&gt;Constants!$B$14, V261, IF(AND(NOT(ISBLANK(J261)),P261,Q261,R261&lt;&gt;Constants!$B$2), Constants!$B$7, IF(AND(P261,OR(NOT(Q261),R261=Constants!$B$2)), Constants!$B$8, "Error"))))</f>
        <v/>
      </c>
      <c r="X261" s="56" t="str">
        <f aca="false">IF(OR(W261=Constants!$B$7,W261=Constants!$B$8), MAX(0, MIN(Constants!$B$6, S261))+IF(AND(R261=Constants!$B$4, NOT(U261)), Constants!$B$5, 0), "")</f>
        <v/>
      </c>
      <c r="Y261" s="55" t="str">
        <f aca="false">IF(ISBLANK($C261),"",IF(AND(ISNUMBER(X261),N261&gt;0),X261/N261, "") )</f>
        <v/>
      </c>
      <c r="Z261" s="55" t="str">
        <f aca="false">IF(AND(NOT(ISBLANK($C261)), W261=Constants!$B$7), Y261, "")</f>
        <v/>
      </c>
      <c r="AA261" s="55" t="str">
        <f aca="false">IF(ISNUMBER(Z261), RANK(Z261,Z$8:Z$507), "")</f>
        <v/>
      </c>
      <c r="AB261" s="55" t="str">
        <f aca="false">IF(AND(NOT(ISBLANK($C261)), W261=Constants!$B$8), Y261, "")</f>
        <v/>
      </c>
      <c r="AC261" s="55" t="str">
        <f aca="false">IF(ISNUMBER(AB261), RANK(AB261,AB$8:AB$507), "")</f>
        <v/>
      </c>
      <c r="AD261" s="55" t="str">
        <f aca="false">IF(ISBLANK($C261),"",IF(V261&lt;&gt;Constants!$B$14, V261, IF(W261=Constants!$B$7, AA261, IF(W261=Constants!$B$8, COUNT($AA$8:$AA$507) + AC261, ""))))</f>
        <v/>
      </c>
      <c r="AE261" s="55" t="str">
        <f aca="false">N261</f>
        <v/>
      </c>
      <c r="AF261" s="55" t="str">
        <f aca="false">IF(ISNUMBER(AE261), RANK(AE261,AE$8:AE$507,1), "")</f>
        <v/>
      </c>
      <c r="AG261" s="57" t="str">
        <f aca="false">IF(ISBLANK(C261), "", ABS(M261-S261))</f>
        <v/>
      </c>
      <c r="AH261" s="55" t="str">
        <f aca="false">IF(ISNUMBER(AG261), RANK(AG261,AG$8:AG$507,1), "")</f>
        <v/>
      </c>
      <c r="AI261" s="55" t="str">
        <f aca="false">IF(ISBLANK(C261),"",IF(V261&lt;&gt;Constants!$B$14, V261, RANK(AD261, AD$8:AD$507, 1)+ SUMPRODUCT(--(AD$8:AD$507=AD261),--(AF261&gt;AF$8:AF$507)) + SUMPRODUCT(--(AD$8:AD$507=AD261),--(AF261=AF$8:AF$507),--(AH261&gt;AH$8:AH$507))))</f>
        <v/>
      </c>
      <c r="AJ261" s="55" t="str">
        <f aca="false">IF(ISBLANK(C261),"",IF(V261&lt;&gt;Constants!$B$14, V261, AD261-AI261))</f>
        <v/>
      </c>
      <c r="AK261" s="59"/>
      <c r="AL261" s="60" t="str">
        <f aca="false">IF(ISBLANK($C261),"",IF($V261&lt;&gt;Constants!$B$14,$V261,X261))</f>
        <v/>
      </c>
      <c r="AM261" s="60" t="str">
        <f aca="false">IF(ISBLANK($C261),"",IF($V261&lt;&gt;Constants!$B$14,$V261,N261))</f>
        <v/>
      </c>
      <c r="AN261" s="62" t="str">
        <f aca="false">IF(ISBLANK(C261),"",IF(V261&lt;&gt;Constants!$B$14, V261, IF(W261=Constants!$B$7,Z261,IF(W261=Constants!$B$8,AB261,""))))</f>
        <v/>
      </c>
      <c r="AO261" s="63" t="str">
        <f aca="false">IF(ISBLANK(C261),"",W261)</f>
        <v/>
      </c>
      <c r="AP261" s="63" t="str">
        <f aca="false">IF(ISBLANK(C261),"",AJ261)</f>
        <v/>
      </c>
      <c r="AQ261" s="63" t="str">
        <f aca="false">IF(ISBLANK(C261),"",AI261)</f>
        <v/>
      </c>
      <c r="AR261" s="64" t="str">
        <f aca="false">IF(ISBLANK(C261),
  "",
IF(AQ261=Constants!$B$11,COUNTA($C$8:$C$507)+2,IF(AQ261=Constants!$B$12,COUNTA($C$8:$C$507)+1,IF(AQ261=Constants!$B$13,COUNTA($C$8:$C$507),AQ261))))</f>
        <v/>
      </c>
      <c r="AS261" s="3"/>
      <c r="AT261" s="65" t="n">
        <f aca="false">IF(OR(ISNUMBER(AQ261),AQ261="DQ",AQ261="P",AQ261="NS"),
    1,
    0
)</f>
        <v>0</v>
      </c>
      <c r="AU261" s="65" t="n">
        <v>254</v>
      </c>
      <c r="AV261" s="65" t="str">
        <f aca="false">IF(ISBLANK($C261),
    "",
   IF(ISNUMBER(AR261),AR261+ROW($B261)/1000,"")
)</f>
        <v/>
      </c>
      <c r="AW261" s="65" t="str">
        <f aca="false">IF(ISNUMBER(AV261), RANK(AV261,AV$8:AV$507,1), "")</f>
        <v/>
      </c>
      <c r="AX261" s="65" t="str">
        <f aca="false">IF(ISBLANK($C261),
    "",
    $B261
)</f>
        <v/>
      </c>
      <c r="AY261" s="65" t="str">
        <f aca="false">IF(ISBLANK($C261),
    "",
    $C261
)</f>
        <v/>
      </c>
      <c r="AZ261" s="65" t="str">
        <f aca="false">IF(ISBLANK($C261),
    "",
    $D261
)</f>
        <v/>
      </c>
      <c r="BA261" s="65" t="str">
        <f aca="false">AO261</f>
        <v/>
      </c>
      <c r="BB261" s="66" t="str">
        <f aca="false">AN261</f>
        <v/>
      </c>
      <c r="BC261" s="65" t="str">
        <f aca="false">IF(ISBLANK($C261),
    "",
    AQ261
)</f>
        <v/>
      </c>
      <c r="BD261" s="67" t="str">
        <f aca="false">IF(AU261&gt;AT$7,
    "",
    VLOOKUP(AU261,AW$8:BC$507,7,FALSE())
)</f>
        <v/>
      </c>
      <c r="BE261" s="68" t="str">
        <f aca="false">IF(AU261&gt;AT$7,
    "",
    VLOOKUP(AU261,AW$8:BC$507,2,FALSE())
)</f>
        <v/>
      </c>
      <c r="BF261" s="68" t="str">
        <f aca="false">IF(AU261&gt;AT$7,
    "",
    VLOOKUP(AU261,AW$8:BC$507,3,FALSE())
)</f>
        <v/>
      </c>
      <c r="BG261" s="68" t="str">
        <f aca="false">IF(AU261&gt;AT$7,
    "",
    VLOOKUP(AU261,AW$8:BC$507,4,FALSE())
)</f>
        <v/>
      </c>
      <c r="BH261" s="68" t="str">
        <f aca="false">IF(AU261&gt;AT$7,
    "",
    VLOOKUP(AU261,AW$8:BC$507,5,FALSE())
)</f>
        <v/>
      </c>
      <c r="BI261" s="69" t="str">
        <f aca="false">IF(AU261&gt;AT$7,
    "",
    VLOOKUP(AU261,AW$8:BC$507,6,FALSE())
)</f>
        <v/>
      </c>
      <c r="BJ261" s="46"/>
    </row>
    <row r="262" customFormat="false" ht="15.75" hidden="false" customHeight="false" outlineLevel="0" collapsed="false">
      <c r="A262" s="3"/>
      <c r="B262" s="108"/>
      <c r="C262" s="70"/>
      <c r="D262" s="49"/>
      <c r="E262" s="109"/>
      <c r="F262" s="72"/>
      <c r="G262" s="109"/>
      <c r="H262" s="74"/>
      <c r="I262" s="104"/>
      <c r="J262" s="74"/>
      <c r="K262" s="74"/>
      <c r="L262" s="55"/>
      <c r="M262" s="55" t="str">
        <f aca="false">IF(ISBLANK($C262),"",IF(ISBLANK(E262),0,E262))</f>
        <v/>
      </c>
      <c r="N262" s="55" t="str">
        <f aca="false">IF(ISBLANK($C262),"",IF(ISBLANK(F262),0,F262))</f>
        <v/>
      </c>
      <c r="O262" s="55" t="e">
        <f aca="false">IF(AND(NOT(ISBLANK($C262)),NOT($T262),COUNTA($E262:$K262)&gt;0),ISBLANK($F262),FALSE())</f>
        <v>#VALUE!</v>
      </c>
      <c r="P262" s="55" t="str">
        <f aca="false">IF(ISBLANK($C262),"",IF(G262=Constants!$B$9, TRUE(), IF(G262=Constants!$B$10, FALSE(), TRUE())))</f>
        <v/>
      </c>
      <c r="Q262" s="55" t="str">
        <f aca="false">IF(ISBLANK($C262),"",IF(H262=Constants!$B$9, TRUE(), IF(H262=Constants!$B$10, FALSE(), TRUE())))</f>
        <v/>
      </c>
      <c r="R262" s="55" t="str">
        <f aca="false">IF(ISBLANK($C262),"",IF(ISBLANK(I262),Constants!$B$3,I262))</f>
        <v/>
      </c>
      <c r="S262" s="55" t="str">
        <f aca="false">IF(ISBLANK($C262),"",IF(ISBLANK(J262),0,MIN(J262,Constants!$B$6)))</f>
        <v/>
      </c>
      <c r="T262" s="55" t="str">
        <f aca="false">IF(ISBLANK($C262),"",IF(K262=Constants!$B$9, TRUE(), IF(K262=Constants!$B$10, FALSE(),  FALSE())))</f>
        <v/>
      </c>
      <c r="U262" s="55" t="str">
        <f aca="false">IF(ISBLANK($C262),"",AND(R262=Constants!$B$4, S262&lt;Constants!$B$6))</f>
        <v/>
      </c>
      <c r="V262" s="55" t="str">
        <f aca="false">IF(ISBLANK(C262), "", IF(T262, Constants!$B$11, IF(COUNTA(E262:K262)=0, Constants!$B$12, IF(NOT(AND(P262,S262&lt;&gt;0)), Constants!$B$13, IF(O262, Constants!$B$15, Constants!$B$14)))))</f>
        <v/>
      </c>
      <c r="W262" s="55" t="str">
        <f aca="false">IF(OR(ISBLANK($C262), SUMPRODUCT(--(P262:T262&lt;&gt;""))=0), "", IF(V262&lt;&gt;Constants!$B$14, V262, IF(AND(NOT(ISBLANK(J262)),P262,Q262,R262&lt;&gt;Constants!$B$2), Constants!$B$7, IF(AND(P262,OR(NOT(Q262),R262=Constants!$B$2)), Constants!$B$8, "Error"))))</f>
        <v/>
      </c>
      <c r="X262" s="56" t="str">
        <f aca="false">IF(OR(W262=Constants!$B$7,W262=Constants!$B$8), MAX(0, MIN(Constants!$B$6, S262))+IF(AND(R262=Constants!$B$4, NOT(U262)), Constants!$B$5, 0), "")</f>
        <v/>
      </c>
      <c r="Y262" s="55" t="str">
        <f aca="false">IF(ISBLANK($C262),"",IF(AND(ISNUMBER(X262),N262&gt;0),X262/N262, "") )</f>
        <v/>
      </c>
      <c r="Z262" s="55" t="str">
        <f aca="false">IF(AND(NOT(ISBLANK($C262)), W262=Constants!$B$7), Y262, "")</f>
        <v/>
      </c>
      <c r="AA262" s="55" t="str">
        <f aca="false">IF(ISNUMBER(Z262), RANK(Z262,Z$8:Z$507), "")</f>
        <v/>
      </c>
      <c r="AB262" s="55" t="str">
        <f aca="false">IF(AND(NOT(ISBLANK($C262)), W262=Constants!$B$8), Y262, "")</f>
        <v/>
      </c>
      <c r="AC262" s="55" t="str">
        <f aca="false">IF(ISNUMBER(AB262), RANK(AB262,AB$8:AB$507), "")</f>
        <v/>
      </c>
      <c r="AD262" s="55" t="str">
        <f aca="false">IF(ISBLANK($C262),"",IF(V262&lt;&gt;Constants!$B$14, V262, IF(W262=Constants!$B$7, AA262, IF(W262=Constants!$B$8, COUNT($AA$8:$AA$507) + AC262, ""))))</f>
        <v/>
      </c>
      <c r="AE262" s="55" t="str">
        <f aca="false">N262</f>
        <v/>
      </c>
      <c r="AF262" s="55" t="str">
        <f aca="false">IF(ISNUMBER(AE262), RANK(AE262,AE$8:AE$507,1), "")</f>
        <v/>
      </c>
      <c r="AG262" s="57" t="str">
        <f aca="false">IF(ISBLANK(C262), "", ABS(M262-S262))</f>
        <v/>
      </c>
      <c r="AH262" s="55" t="str">
        <f aca="false">IF(ISNUMBER(AG262), RANK(AG262,AG$8:AG$507,1), "")</f>
        <v/>
      </c>
      <c r="AI262" s="55" t="str">
        <f aca="false">IF(ISBLANK(C262),"",IF(V262&lt;&gt;Constants!$B$14, V262, RANK(AD262, AD$8:AD$507, 1)+ SUMPRODUCT(--(AD$8:AD$507=AD262),--(AF262&gt;AF$8:AF$507)) + SUMPRODUCT(--(AD$8:AD$507=AD262),--(AF262=AF$8:AF$507),--(AH262&gt;AH$8:AH$507))))</f>
        <v/>
      </c>
      <c r="AJ262" s="55" t="str">
        <f aca="false">IF(ISBLANK(C262),"",IF(V262&lt;&gt;Constants!$B$14, V262, AD262-AI262))</f>
        <v/>
      </c>
      <c r="AK262" s="59"/>
      <c r="AL262" s="60" t="str">
        <f aca="false">IF(ISBLANK($C262),"",IF($V262&lt;&gt;Constants!$B$14,$V262,X262))</f>
        <v/>
      </c>
      <c r="AM262" s="60" t="str">
        <f aca="false">IF(ISBLANK($C262),"",IF($V262&lt;&gt;Constants!$B$14,$V262,N262))</f>
        <v/>
      </c>
      <c r="AN262" s="62" t="str">
        <f aca="false">IF(ISBLANK(C262),"",IF(V262&lt;&gt;Constants!$B$14, V262, IF(W262=Constants!$B$7,Z262,IF(W262=Constants!$B$8,AB262,""))))</f>
        <v/>
      </c>
      <c r="AO262" s="63" t="str">
        <f aca="false">IF(ISBLANK(C262),"",W262)</f>
        <v/>
      </c>
      <c r="AP262" s="63" t="str">
        <f aca="false">IF(ISBLANK(C262),"",AJ262)</f>
        <v/>
      </c>
      <c r="AQ262" s="63" t="str">
        <f aca="false">IF(ISBLANK(C262),"",AI262)</f>
        <v/>
      </c>
      <c r="AR262" s="64" t="str">
        <f aca="false">IF(ISBLANK(C262),
  "",
IF(AQ262=Constants!$B$11,COUNTA($C$8:$C$507)+2,IF(AQ262=Constants!$B$12,COUNTA($C$8:$C$507)+1,IF(AQ262=Constants!$B$13,COUNTA($C$8:$C$507),AQ262))))</f>
        <v/>
      </c>
      <c r="AS262" s="3"/>
      <c r="AT262" s="65" t="n">
        <f aca="false">IF(OR(ISNUMBER(AQ262),AQ262="DQ",AQ262="P",AQ262="NS"),
    1,
    0
)</f>
        <v>0</v>
      </c>
      <c r="AU262" s="65" t="n">
        <v>255</v>
      </c>
      <c r="AV262" s="65" t="str">
        <f aca="false">IF(ISBLANK($C262),
    "",
   IF(ISNUMBER(AR262),AR262+ROW($B262)/1000,"")
)</f>
        <v/>
      </c>
      <c r="AW262" s="65" t="str">
        <f aca="false">IF(ISNUMBER(AV262), RANK(AV262,AV$8:AV$507,1), "")</f>
        <v/>
      </c>
      <c r="AX262" s="65" t="str">
        <f aca="false">IF(ISBLANK($C262),
    "",
    $B262
)</f>
        <v/>
      </c>
      <c r="AY262" s="65" t="str">
        <f aca="false">IF(ISBLANK($C262),
    "",
    $C262
)</f>
        <v/>
      </c>
      <c r="AZ262" s="65" t="str">
        <f aca="false">IF(ISBLANK($C262),
    "",
    $D262
)</f>
        <v/>
      </c>
      <c r="BA262" s="65" t="str">
        <f aca="false">AO262</f>
        <v/>
      </c>
      <c r="BB262" s="66" t="str">
        <f aca="false">AN262</f>
        <v/>
      </c>
      <c r="BC262" s="65" t="str">
        <f aca="false">IF(ISBLANK($C262),
    "",
    AQ262
)</f>
        <v/>
      </c>
      <c r="BD262" s="67" t="str">
        <f aca="false">IF(AU262&gt;AT$7,
    "",
    VLOOKUP(AU262,AW$8:BC$507,7,FALSE())
)</f>
        <v/>
      </c>
      <c r="BE262" s="68" t="str">
        <f aca="false">IF(AU262&gt;AT$7,
    "",
    VLOOKUP(AU262,AW$8:BC$507,2,FALSE())
)</f>
        <v/>
      </c>
      <c r="BF262" s="68" t="str">
        <f aca="false">IF(AU262&gt;AT$7,
    "",
    VLOOKUP(AU262,AW$8:BC$507,3,FALSE())
)</f>
        <v/>
      </c>
      <c r="BG262" s="68" t="str">
        <f aca="false">IF(AU262&gt;AT$7,
    "",
    VLOOKUP(AU262,AW$8:BC$507,4,FALSE())
)</f>
        <v/>
      </c>
      <c r="BH262" s="68" t="str">
        <f aca="false">IF(AU262&gt;AT$7,
    "",
    VLOOKUP(AU262,AW$8:BC$507,5,FALSE())
)</f>
        <v/>
      </c>
      <c r="BI262" s="69" t="str">
        <f aca="false">IF(AU262&gt;AT$7,
    "",
    VLOOKUP(AU262,AW$8:BC$507,6,FALSE())
)</f>
        <v/>
      </c>
      <c r="BJ262" s="46"/>
    </row>
    <row r="263" customFormat="false" ht="15.75" hidden="false" customHeight="false" outlineLevel="0" collapsed="false">
      <c r="A263" s="3"/>
      <c r="B263" s="105"/>
      <c r="C263" s="106"/>
      <c r="D263" s="99"/>
      <c r="E263" s="110"/>
      <c r="F263" s="107"/>
      <c r="G263" s="110"/>
      <c r="H263" s="103"/>
      <c r="I263" s="102"/>
      <c r="J263" s="103"/>
      <c r="K263" s="103"/>
      <c r="L263" s="85"/>
      <c r="M263" s="85" t="str">
        <f aca="false">IF(ISBLANK($C263),"",IF(ISBLANK(E263),0,E263))</f>
        <v/>
      </c>
      <c r="N263" s="85" t="str">
        <f aca="false">IF(ISBLANK($C263),"",IF(ISBLANK(F263),0,F263))</f>
        <v/>
      </c>
      <c r="O263" s="86" t="e">
        <f aca="false">IF(AND(NOT(ISBLANK($C263)),NOT($T263),COUNTA($E263:$K263)&gt;0),ISBLANK($F263),FALSE())</f>
        <v>#VALUE!</v>
      </c>
      <c r="P263" s="85" t="str">
        <f aca="false">IF(ISBLANK($C263),"",IF(G263=Constants!$B$9, TRUE(), IF(G263=Constants!$B$10, FALSE(), TRUE())))</f>
        <v/>
      </c>
      <c r="Q263" s="85" t="str">
        <f aca="false">IF(ISBLANK($C263),"",IF(H263=Constants!$B$9, TRUE(), IF(H263=Constants!$B$10, FALSE(), TRUE())))</f>
        <v/>
      </c>
      <c r="R263" s="85" t="str">
        <f aca="false">IF(ISBLANK($C263),"",IF(ISBLANK(I263),Constants!$B$3,I263))</f>
        <v/>
      </c>
      <c r="S263" s="85" t="str">
        <f aca="false">IF(ISBLANK($C263),"",IF(ISBLANK(J263),0,MIN(J263,Constants!$B$6)))</f>
        <v/>
      </c>
      <c r="T263" s="85" t="str">
        <f aca="false">IF(ISBLANK($C263),"",IF(K263=Constants!$B$9, TRUE(), IF(K263=Constants!$B$10, FALSE(),  FALSE())))</f>
        <v/>
      </c>
      <c r="U263" s="85" t="str">
        <f aca="false">IF(ISBLANK($C263),"",AND(R263=Constants!$B$4, S263&lt;Constants!$B$6))</f>
        <v/>
      </c>
      <c r="V263" s="85" t="str">
        <f aca="false">IF(ISBLANK(C263), "", IF(T263, Constants!$B$11, IF(COUNTA(E263:K263)=0, Constants!$B$12, IF(NOT(AND(P263,S263&lt;&gt;0)), Constants!$B$13, IF(O263, Constants!$B$15, Constants!$B$14)))))</f>
        <v/>
      </c>
      <c r="W263" s="85" t="str">
        <f aca="false">IF(OR(ISBLANK($C263), SUMPRODUCT(--(P263:T263&lt;&gt;""))=0), "", IF(V263&lt;&gt;Constants!$B$14, V263, IF(AND(NOT(ISBLANK(J263)),P263,Q263,R263&lt;&gt;Constants!$B$2), Constants!$B$7, IF(AND(P263,OR(NOT(Q263),R263=Constants!$B$2)), Constants!$B$8, "Error"))))</f>
        <v/>
      </c>
      <c r="X263" s="87" t="str">
        <f aca="false">IF(OR(W263=Constants!$B$7,W263=Constants!$B$8), MAX(0, MIN(Constants!$B$6, S263))+IF(AND(R263=Constants!$B$4, NOT(U263)), Constants!$B$5, 0), "")</f>
        <v/>
      </c>
      <c r="Y263" s="85" t="str">
        <f aca="false">IF(ISBLANK($C263),"",IF(AND(ISNUMBER(X263),N263&gt;0),X263/N263, "") )</f>
        <v/>
      </c>
      <c r="Z263" s="85" t="str">
        <f aca="false">IF(AND(NOT(ISBLANK($C263)), W263=Constants!$B$7), Y263, "")</f>
        <v/>
      </c>
      <c r="AA263" s="85" t="str">
        <f aca="false">IF(ISNUMBER(Z263), RANK(Z263,Z$8:Z$507), "")</f>
        <v/>
      </c>
      <c r="AB263" s="85" t="str">
        <f aca="false">IF(AND(NOT(ISBLANK($C263)), W263=Constants!$B$8), Y263, "")</f>
        <v/>
      </c>
      <c r="AC263" s="85" t="str">
        <f aca="false">IF(ISNUMBER(AB263), RANK(AB263,AB$8:AB$507), "")</f>
        <v/>
      </c>
      <c r="AD263" s="85" t="str">
        <f aca="false">IF(ISBLANK($C263),"",IF(V263&lt;&gt;Constants!$B$14, V263, IF(W263=Constants!$B$7, AA263, IF(W263=Constants!$B$8, COUNT($AA$8:$AA$507) + AC263, ""))))</f>
        <v/>
      </c>
      <c r="AE263" s="85" t="str">
        <f aca="false">N263</f>
        <v/>
      </c>
      <c r="AF263" s="85" t="str">
        <f aca="false">IF(ISNUMBER(AE263), RANK(AE263,AE$8:AE$507,1), "")</f>
        <v/>
      </c>
      <c r="AG263" s="88" t="str">
        <f aca="false">IF(ISBLANK(C263), "", ABS(M263-S263))</f>
        <v/>
      </c>
      <c r="AH263" s="85" t="str">
        <f aca="false">IF(ISNUMBER(AG263), RANK(AG263,AG$8:AG$507,1), "")</f>
        <v/>
      </c>
      <c r="AI263" s="85" t="str">
        <f aca="false">IF(ISBLANK(C263),"",IF(V263&lt;&gt;Constants!$B$14, V263, RANK(AD263, AD$8:AD$507, 1)+ SUMPRODUCT(--(AD$8:AD$507=AD263),--(AF263&gt;AF$8:AF$507)) + SUMPRODUCT(--(AD$8:AD$507=AD263),--(AF263=AF$8:AF$507),--(AH263&gt;AH$8:AH$507))))</f>
        <v/>
      </c>
      <c r="AJ263" s="85" t="str">
        <f aca="false">IF(ISBLANK(C263),"",IF(V263&lt;&gt;Constants!$B$14, V263, AD263-AI263))</f>
        <v/>
      </c>
      <c r="AK263" s="89"/>
      <c r="AL263" s="90" t="str">
        <f aca="false">IF(ISBLANK($C263),"",IF($V263&lt;&gt;Constants!$B$14,$V263,X263))</f>
        <v/>
      </c>
      <c r="AM263" s="90" t="str">
        <f aca="false">IF(ISBLANK($C263),"",IF($V263&lt;&gt;Constants!$B$14,$V263,N263))</f>
        <v/>
      </c>
      <c r="AN263" s="91" t="str">
        <f aca="false">IF(ISBLANK(C263),"",IF(V263&lt;&gt;Constants!$B$14, V263, IF(W263=Constants!$B$7,Z263,IF(W263=Constants!$B$8,AB263,""))))</f>
        <v/>
      </c>
      <c r="AO263" s="92" t="str">
        <f aca="false">IF(ISBLANK(C263),"",W263)</f>
        <v/>
      </c>
      <c r="AP263" s="92" t="str">
        <f aca="false">IF(ISBLANK(C263),"",AJ263)</f>
        <v/>
      </c>
      <c r="AQ263" s="92" t="str">
        <f aca="false">IF(ISBLANK(C263),"",AI263)</f>
        <v/>
      </c>
      <c r="AR263" s="93" t="str">
        <f aca="false">IF(ISBLANK(C263),
  "",
IF(AQ263=Constants!$B$11,COUNTA($C$8:$C$507)+2,IF(AQ263=Constants!$B$12,COUNTA($C$8:$C$507)+1,IF(AQ263=Constants!$B$13,COUNTA($C$8:$C$507),AQ263))))</f>
        <v/>
      </c>
      <c r="AS263" s="3"/>
      <c r="AT263" s="94" t="n">
        <f aca="false">IF(OR(ISNUMBER(AQ263),AQ263="DQ",AQ263="P",AQ263="NS"),
    1,
    0
)</f>
        <v>0</v>
      </c>
      <c r="AU263" s="94" t="n">
        <v>256</v>
      </c>
      <c r="AV263" s="94" t="str">
        <f aca="false">IF(ISBLANK($C263),
    "",
   IF(ISNUMBER(AR263),AR263+ROW($B263)/1000,"")
)</f>
        <v/>
      </c>
      <c r="AW263" s="94" t="str">
        <f aca="false">IF(ISNUMBER(AV263), RANK(AV263,AV$8:AV$507,1), "")</f>
        <v/>
      </c>
      <c r="AX263" s="94" t="str">
        <f aca="false">IF(ISBLANK($C263),
    "",
    $B263
)</f>
        <v/>
      </c>
      <c r="AY263" s="94" t="str">
        <f aca="false">IF(ISBLANK($C263),
    "",
    $C263
)</f>
        <v/>
      </c>
      <c r="AZ263" s="94" t="str">
        <f aca="false">IF(ISBLANK($C263),
    "",
    $D263
)</f>
        <v/>
      </c>
      <c r="BA263" s="94" t="str">
        <f aca="false">AO263</f>
        <v/>
      </c>
      <c r="BB263" s="95" t="str">
        <f aca="false">AN263</f>
        <v/>
      </c>
      <c r="BC263" s="94" t="str">
        <f aca="false">IF(ISBLANK($C263),
    "",
    AQ263
)</f>
        <v/>
      </c>
      <c r="BD263" s="96" t="str">
        <f aca="false">IF(AU263&gt;AT$7,
    "",
    VLOOKUP(AU263,AW$8:BC$507,7,FALSE())
)</f>
        <v/>
      </c>
      <c r="BE263" s="97" t="str">
        <f aca="false">IF(AU263&gt;AT$7,
    "",
    VLOOKUP(AU263,AW$8:BC$507,2,FALSE())
)</f>
        <v/>
      </c>
      <c r="BF263" s="97" t="str">
        <f aca="false">IF(AU263&gt;AT$7,
    "",
    VLOOKUP(AU263,AW$8:BC$507,3,FALSE())
)</f>
        <v/>
      </c>
      <c r="BG263" s="97" t="str">
        <f aca="false">IF(AU263&gt;AT$7,
    "",
    VLOOKUP(AU263,AW$8:BC$507,4,FALSE())
)</f>
        <v/>
      </c>
      <c r="BH263" s="97" t="str">
        <f aca="false">IF(AU263&gt;AT$7,
    "",
    VLOOKUP(AU263,AW$8:BC$507,5,FALSE())
)</f>
        <v/>
      </c>
      <c r="BI263" s="98" t="str">
        <f aca="false">IF(AU263&gt;AT$7,
    "",
    VLOOKUP(AU263,AW$8:BC$507,6,FALSE())
)</f>
        <v/>
      </c>
      <c r="BJ263" s="46"/>
    </row>
    <row r="264" customFormat="false" ht="15.75" hidden="false" customHeight="false" outlineLevel="0" collapsed="false">
      <c r="A264" s="3"/>
      <c r="B264" s="105"/>
      <c r="C264" s="106"/>
      <c r="D264" s="99"/>
      <c r="E264" s="110"/>
      <c r="F264" s="107"/>
      <c r="G264" s="110"/>
      <c r="H264" s="103"/>
      <c r="I264" s="102"/>
      <c r="J264" s="103"/>
      <c r="K264" s="103"/>
      <c r="L264" s="85"/>
      <c r="M264" s="85" t="str">
        <f aca="false">IF(ISBLANK($C264),"",IF(ISBLANK(E264),0,E264))</f>
        <v/>
      </c>
      <c r="N264" s="85" t="str">
        <f aca="false">IF(ISBLANK($C264),"",IF(ISBLANK(F264),0,F264))</f>
        <v/>
      </c>
      <c r="O264" s="86" t="e">
        <f aca="false">IF(AND(NOT(ISBLANK($C264)),NOT($T264),COUNTA($E264:$K264)&gt;0),ISBLANK($F264),FALSE())</f>
        <v>#VALUE!</v>
      </c>
      <c r="P264" s="85" t="str">
        <f aca="false">IF(ISBLANK($C264),"",IF(G264=Constants!$B$9, TRUE(), IF(G264=Constants!$B$10, FALSE(), TRUE())))</f>
        <v/>
      </c>
      <c r="Q264" s="85" t="str">
        <f aca="false">IF(ISBLANK($C264),"",IF(H264=Constants!$B$9, TRUE(), IF(H264=Constants!$B$10, FALSE(), TRUE())))</f>
        <v/>
      </c>
      <c r="R264" s="85" t="str">
        <f aca="false">IF(ISBLANK($C264),"",IF(ISBLANK(I264),Constants!$B$3,I264))</f>
        <v/>
      </c>
      <c r="S264" s="85" t="str">
        <f aca="false">IF(ISBLANK($C264),"",IF(ISBLANK(J264),0,MIN(J264,Constants!$B$6)))</f>
        <v/>
      </c>
      <c r="T264" s="85" t="str">
        <f aca="false">IF(ISBLANK($C264),"",IF(K264=Constants!$B$9, TRUE(), IF(K264=Constants!$B$10, FALSE(),  FALSE())))</f>
        <v/>
      </c>
      <c r="U264" s="85" t="str">
        <f aca="false">IF(ISBLANK($C264),"",AND(R264=Constants!$B$4, S264&lt;Constants!$B$6))</f>
        <v/>
      </c>
      <c r="V264" s="85" t="str">
        <f aca="false">IF(ISBLANK(C264), "", IF(T264, Constants!$B$11, IF(COUNTA(E264:K264)=0, Constants!$B$12, IF(NOT(AND(P264,S264&lt;&gt;0)), Constants!$B$13, IF(O264, Constants!$B$15, Constants!$B$14)))))</f>
        <v/>
      </c>
      <c r="W264" s="85" t="str">
        <f aca="false">IF(OR(ISBLANK($C264), SUMPRODUCT(--(P264:T264&lt;&gt;""))=0), "", IF(V264&lt;&gt;Constants!$B$14, V264, IF(AND(NOT(ISBLANK(J264)),P264,Q264,R264&lt;&gt;Constants!$B$2), Constants!$B$7, IF(AND(P264,OR(NOT(Q264),R264=Constants!$B$2)), Constants!$B$8, "Error"))))</f>
        <v/>
      </c>
      <c r="X264" s="87" t="str">
        <f aca="false">IF(OR(W264=Constants!$B$7,W264=Constants!$B$8), MAX(0, MIN(Constants!$B$6, S264))+IF(AND(R264=Constants!$B$4, NOT(U264)), Constants!$B$5, 0), "")</f>
        <v/>
      </c>
      <c r="Y264" s="85" t="str">
        <f aca="false">IF(ISBLANK($C264),"",IF(AND(ISNUMBER(X264),N264&gt;0),X264/N264, "") )</f>
        <v/>
      </c>
      <c r="Z264" s="85" t="str">
        <f aca="false">IF(AND(NOT(ISBLANK($C264)), W264=Constants!$B$7), Y264, "")</f>
        <v/>
      </c>
      <c r="AA264" s="85" t="str">
        <f aca="false">IF(ISNUMBER(Z264), RANK(Z264,Z$8:Z$507), "")</f>
        <v/>
      </c>
      <c r="AB264" s="85" t="str">
        <f aca="false">IF(AND(NOT(ISBLANK($C264)), W264=Constants!$B$8), Y264, "")</f>
        <v/>
      </c>
      <c r="AC264" s="85" t="str">
        <f aca="false">IF(ISNUMBER(AB264), RANK(AB264,AB$8:AB$507), "")</f>
        <v/>
      </c>
      <c r="AD264" s="85" t="str">
        <f aca="false">IF(ISBLANK($C264),"",IF(V264&lt;&gt;Constants!$B$14, V264, IF(W264=Constants!$B$7, AA264, IF(W264=Constants!$B$8, COUNT($AA$8:$AA$507) + AC264, ""))))</f>
        <v/>
      </c>
      <c r="AE264" s="85" t="str">
        <f aca="false">N264</f>
        <v/>
      </c>
      <c r="AF264" s="85" t="str">
        <f aca="false">IF(ISNUMBER(AE264), RANK(AE264,AE$8:AE$507,1), "")</f>
        <v/>
      </c>
      <c r="AG264" s="88" t="str">
        <f aca="false">IF(ISBLANK(C264), "", ABS(M264-S264))</f>
        <v/>
      </c>
      <c r="AH264" s="85" t="str">
        <f aca="false">IF(ISNUMBER(AG264), RANK(AG264,AG$8:AG$507,1), "")</f>
        <v/>
      </c>
      <c r="AI264" s="85" t="str">
        <f aca="false">IF(ISBLANK(C264),"",IF(V264&lt;&gt;Constants!$B$14, V264, RANK(AD264, AD$8:AD$507, 1)+ SUMPRODUCT(--(AD$8:AD$507=AD264),--(AF264&gt;AF$8:AF$507)) + SUMPRODUCT(--(AD$8:AD$507=AD264),--(AF264=AF$8:AF$507),--(AH264&gt;AH$8:AH$507))))</f>
        <v/>
      </c>
      <c r="AJ264" s="85" t="str">
        <f aca="false">IF(ISBLANK(C264),"",IF(V264&lt;&gt;Constants!$B$14, V264, AD264-AI264))</f>
        <v/>
      </c>
      <c r="AK264" s="89"/>
      <c r="AL264" s="90" t="str">
        <f aca="false">IF(ISBLANK($C264),"",IF($V264&lt;&gt;Constants!$B$14,$V264,X264))</f>
        <v/>
      </c>
      <c r="AM264" s="90" t="str">
        <f aca="false">IF(ISBLANK($C264),"",IF($V264&lt;&gt;Constants!$B$14,$V264,N264))</f>
        <v/>
      </c>
      <c r="AN264" s="91" t="str">
        <f aca="false">IF(ISBLANK(C264),"",IF(V264&lt;&gt;Constants!$B$14, V264, IF(W264=Constants!$B$7,Z264,IF(W264=Constants!$B$8,AB264,""))))</f>
        <v/>
      </c>
      <c r="AO264" s="92" t="str">
        <f aca="false">IF(ISBLANK(C264),"",W264)</f>
        <v/>
      </c>
      <c r="AP264" s="92" t="str">
        <f aca="false">IF(ISBLANK(C264),"",AJ264)</f>
        <v/>
      </c>
      <c r="AQ264" s="92" t="str">
        <f aca="false">IF(ISBLANK(C264),"",AI264)</f>
        <v/>
      </c>
      <c r="AR264" s="93" t="str">
        <f aca="false">IF(ISBLANK(C264),
  "",
IF(AQ264=Constants!$B$11,COUNTA($C$8:$C$507)+2,IF(AQ264=Constants!$B$12,COUNTA($C$8:$C$507)+1,IF(AQ264=Constants!$B$13,COUNTA($C$8:$C$507),AQ264))))</f>
        <v/>
      </c>
      <c r="AS264" s="3"/>
      <c r="AT264" s="94" t="n">
        <f aca="false">IF(OR(ISNUMBER(AQ264),AQ264="DQ",AQ264="P",AQ264="NS"),
    1,
    0
)</f>
        <v>0</v>
      </c>
      <c r="AU264" s="94" t="n">
        <v>257</v>
      </c>
      <c r="AV264" s="94" t="str">
        <f aca="false">IF(ISBLANK($C264),
    "",
   IF(ISNUMBER(AR264),AR264+ROW($B264)/1000,"")
)</f>
        <v/>
      </c>
      <c r="AW264" s="94" t="str">
        <f aca="false">IF(ISNUMBER(AV264), RANK(AV264,AV$8:AV$507,1), "")</f>
        <v/>
      </c>
      <c r="AX264" s="94" t="str">
        <f aca="false">IF(ISBLANK($C264),
    "",
    $B264
)</f>
        <v/>
      </c>
      <c r="AY264" s="94" t="str">
        <f aca="false">IF(ISBLANK($C264),
    "",
    $C264
)</f>
        <v/>
      </c>
      <c r="AZ264" s="94" t="str">
        <f aca="false">IF(ISBLANK($C264),
    "",
    $D264
)</f>
        <v/>
      </c>
      <c r="BA264" s="94" t="str">
        <f aca="false">AO264</f>
        <v/>
      </c>
      <c r="BB264" s="95" t="str">
        <f aca="false">AN264</f>
        <v/>
      </c>
      <c r="BC264" s="94" t="str">
        <f aca="false">IF(ISBLANK($C264),
    "",
    AQ264
)</f>
        <v/>
      </c>
      <c r="BD264" s="96" t="str">
        <f aca="false">IF(AU264&gt;AT$7,
    "",
    VLOOKUP(AU264,AW$8:BC$507,7,FALSE())
)</f>
        <v/>
      </c>
      <c r="BE264" s="97" t="str">
        <f aca="false">IF(AU264&gt;AT$7,
    "",
    VLOOKUP(AU264,AW$8:BC$507,2,FALSE())
)</f>
        <v/>
      </c>
      <c r="BF264" s="97" t="str">
        <f aca="false">IF(AU264&gt;AT$7,
    "",
    VLOOKUP(AU264,AW$8:BC$507,3,FALSE())
)</f>
        <v/>
      </c>
      <c r="BG264" s="97" t="str">
        <f aca="false">IF(AU264&gt;AT$7,
    "",
    VLOOKUP(AU264,AW$8:BC$507,4,FALSE())
)</f>
        <v/>
      </c>
      <c r="BH264" s="97" t="str">
        <f aca="false">IF(AU264&gt;AT$7,
    "",
    VLOOKUP(AU264,AW$8:BC$507,5,FALSE())
)</f>
        <v/>
      </c>
      <c r="BI264" s="98" t="str">
        <f aca="false">IF(AU264&gt;AT$7,
    "",
    VLOOKUP(AU264,AW$8:BC$507,6,FALSE())
)</f>
        <v/>
      </c>
      <c r="BJ264" s="46"/>
    </row>
    <row r="265" customFormat="false" ht="15.75" hidden="false" customHeight="false" outlineLevel="0" collapsed="false">
      <c r="A265" s="3"/>
      <c r="B265" s="105"/>
      <c r="C265" s="106"/>
      <c r="D265" s="99"/>
      <c r="E265" s="110"/>
      <c r="F265" s="107"/>
      <c r="G265" s="110"/>
      <c r="H265" s="103"/>
      <c r="I265" s="102"/>
      <c r="J265" s="103"/>
      <c r="K265" s="103"/>
      <c r="L265" s="85"/>
      <c r="M265" s="85" t="str">
        <f aca="false">IF(ISBLANK($C265),"",IF(ISBLANK(E265),0,E265))</f>
        <v/>
      </c>
      <c r="N265" s="85" t="str">
        <f aca="false">IF(ISBLANK($C265),"",IF(ISBLANK(F265),0,F265))</f>
        <v/>
      </c>
      <c r="O265" s="86" t="e">
        <f aca="false">IF(AND(NOT(ISBLANK($C265)),NOT($T265),COUNTA($E265:$K265)&gt;0),ISBLANK($F265),FALSE())</f>
        <v>#VALUE!</v>
      </c>
      <c r="P265" s="85" t="str">
        <f aca="false">IF(ISBLANK($C265),"",IF(G265=Constants!$B$9, TRUE(), IF(G265=Constants!$B$10, FALSE(), TRUE())))</f>
        <v/>
      </c>
      <c r="Q265" s="85" t="str">
        <f aca="false">IF(ISBLANK($C265),"",IF(H265=Constants!$B$9, TRUE(), IF(H265=Constants!$B$10, FALSE(), TRUE())))</f>
        <v/>
      </c>
      <c r="R265" s="85" t="str">
        <f aca="false">IF(ISBLANK($C265),"",IF(ISBLANK(I265),Constants!$B$3,I265))</f>
        <v/>
      </c>
      <c r="S265" s="85" t="str">
        <f aca="false">IF(ISBLANK($C265),"",IF(ISBLANK(J265),0,MIN(J265,Constants!$B$6)))</f>
        <v/>
      </c>
      <c r="T265" s="85" t="str">
        <f aca="false">IF(ISBLANK($C265),"",IF(K265=Constants!$B$9, TRUE(), IF(K265=Constants!$B$10, FALSE(),  FALSE())))</f>
        <v/>
      </c>
      <c r="U265" s="85" t="str">
        <f aca="false">IF(ISBLANK($C265),"",AND(R265=Constants!$B$4, S265&lt;Constants!$B$6))</f>
        <v/>
      </c>
      <c r="V265" s="85" t="str">
        <f aca="false">IF(ISBLANK(C265), "", IF(T265, Constants!$B$11, IF(COUNTA(E265:K265)=0, Constants!$B$12, IF(NOT(AND(P265,S265&lt;&gt;0)), Constants!$B$13, IF(O265, Constants!$B$15, Constants!$B$14)))))</f>
        <v/>
      </c>
      <c r="W265" s="85" t="str">
        <f aca="false">IF(OR(ISBLANK($C265), SUMPRODUCT(--(P265:T265&lt;&gt;""))=0), "", IF(V265&lt;&gt;Constants!$B$14, V265, IF(AND(NOT(ISBLANK(J265)),P265,Q265,R265&lt;&gt;Constants!$B$2), Constants!$B$7, IF(AND(P265,OR(NOT(Q265),R265=Constants!$B$2)), Constants!$B$8, "Error"))))</f>
        <v/>
      </c>
      <c r="X265" s="87" t="str">
        <f aca="false">IF(OR(W265=Constants!$B$7,W265=Constants!$B$8), MAX(0, MIN(Constants!$B$6, S265))+IF(AND(R265=Constants!$B$4, NOT(U265)), Constants!$B$5, 0), "")</f>
        <v/>
      </c>
      <c r="Y265" s="85" t="str">
        <f aca="false">IF(ISBLANK($C265),"",IF(AND(ISNUMBER(X265),N265&gt;0),X265/N265, "") )</f>
        <v/>
      </c>
      <c r="Z265" s="85" t="str">
        <f aca="false">IF(AND(NOT(ISBLANK($C265)), W265=Constants!$B$7), Y265, "")</f>
        <v/>
      </c>
      <c r="AA265" s="85" t="str">
        <f aca="false">IF(ISNUMBER(Z265), RANK(Z265,Z$8:Z$507), "")</f>
        <v/>
      </c>
      <c r="AB265" s="85" t="str">
        <f aca="false">IF(AND(NOT(ISBLANK($C265)), W265=Constants!$B$8), Y265, "")</f>
        <v/>
      </c>
      <c r="AC265" s="85" t="str">
        <f aca="false">IF(ISNUMBER(AB265), RANK(AB265,AB$8:AB$507), "")</f>
        <v/>
      </c>
      <c r="AD265" s="85" t="str">
        <f aca="false">IF(ISBLANK($C265),"",IF(V265&lt;&gt;Constants!$B$14, V265, IF(W265=Constants!$B$7, AA265, IF(W265=Constants!$B$8, COUNT($AA$8:$AA$507) + AC265, ""))))</f>
        <v/>
      </c>
      <c r="AE265" s="85" t="str">
        <f aca="false">N265</f>
        <v/>
      </c>
      <c r="AF265" s="85" t="str">
        <f aca="false">IF(ISNUMBER(AE265), RANK(AE265,AE$8:AE$507,1), "")</f>
        <v/>
      </c>
      <c r="AG265" s="88" t="str">
        <f aca="false">IF(ISBLANK(C265), "", ABS(M265-S265))</f>
        <v/>
      </c>
      <c r="AH265" s="85" t="str">
        <f aca="false">IF(ISNUMBER(AG265), RANK(AG265,AG$8:AG$507,1), "")</f>
        <v/>
      </c>
      <c r="AI265" s="85" t="str">
        <f aca="false">IF(ISBLANK(C265),"",IF(V265&lt;&gt;Constants!$B$14, V265, RANK(AD265, AD$8:AD$507, 1)+ SUMPRODUCT(--(AD$8:AD$507=AD265),--(AF265&gt;AF$8:AF$507)) + SUMPRODUCT(--(AD$8:AD$507=AD265),--(AF265=AF$8:AF$507),--(AH265&gt;AH$8:AH$507))))</f>
        <v/>
      </c>
      <c r="AJ265" s="85" t="str">
        <f aca="false">IF(ISBLANK(C265),"",IF(V265&lt;&gt;Constants!$B$14, V265, AD265-AI265))</f>
        <v/>
      </c>
      <c r="AK265" s="89"/>
      <c r="AL265" s="90" t="str">
        <f aca="false">IF(ISBLANK($C265),"",IF($V265&lt;&gt;Constants!$B$14,$V265,X265))</f>
        <v/>
      </c>
      <c r="AM265" s="90" t="str">
        <f aca="false">IF(ISBLANK($C265),"",IF($V265&lt;&gt;Constants!$B$14,$V265,N265))</f>
        <v/>
      </c>
      <c r="AN265" s="91" t="str">
        <f aca="false">IF(ISBLANK(C265),"",IF(V265&lt;&gt;Constants!$B$14, V265, IF(W265=Constants!$B$7,Z265,IF(W265=Constants!$B$8,AB265,""))))</f>
        <v/>
      </c>
      <c r="AO265" s="92" t="str">
        <f aca="false">IF(ISBLANK(C265),"",W265)</f>
        <v/>
      </c>
      <c r="AP265" s="92" t="str">
        <f aca="false">IF(ISBLANK(C265),"",AJ265)</f>
        <v/>
      </c>
      <c r="AQ265" s="92" t="str">
        <f aca="false">IF(ISBLANK(C265),"",AI265)</f>
        <v/>
      </c>
      <c r="AR265" s="93" t="str">
        <f aca="false">IF(ISBLANK(C265),
  "",
IF(AQ265=Constants!$B$11,COUNTA($C$8:$C$507)+2,IF(AQ265=Constants!$B$12,COUNTA($C$8:$C$507)+1,IF(AQ265=Constants!$B$13,COUNTA($C$8:$C$507),AQ265))))</f>
        <v/>
      </c>
      <c r="AS265" s="3"/>
      <c r="AT265" s="94" t="n">
        <f aca="false">IF(OR(ISNUMBER(AQ265),AQ265="DQ",AQ265="P",AQ265="NS"),
    1,
    0
)</f>
        <v>0</v>
      </c>
      <c r="AU265" s="94" t="n">
        <v>258</v>
      </c>
      <c r="AV265" s="94" t="str">
        <f aca="false">IF(ISBLANK($C265),
    "",
   IF(ISNUMBER(AR265),AR265+ROW($B265)/1000,"")
)</f>
        <v/>
      </c>
      <c r="AW265" s="94" t="str">
        <f aca="false">IF(ISNUMBER(AV265), RANK(AV265,AV$8:AV$507,1), "")</f>
        <v/>
      </c>
      <c r="AX265" s="94" t="str">
        <f aca="false">IF(ISBLANK($C265),
    "",
    $B265
)</f>
        <v/>
      </c>
      <c r="AY265" s="94" t="str">
        <f aca="false">IF(ISBLANK($C265),
    "",
    $C265
)</f>
        <v/>
      </c>
      <c r="AZ265" s="94" t="str">
        <f aca="false">IF(ISBLANK($C265),
    "",
    $D265
)</f>
        <v/>
      </c>
      <c r="BA265" s="94" t="str">
        <f aca="false">AO265</f>
        <v/>
      </c>
      <c r="BB265" s="95" t="str">
        <f aca="false">AN265</f>
        <v/>
      </c>
      <c r="BC265" s="94" t="str">
        <f aca="false">IF(ISBLANK($C265),
    "",
    AQ265
)</f>
        <v/>
      </c>
      <c r="BD265" s="96" t="str">
        <f aca="false">IF(AU265&gt;AT$7,
    "",
    VLOOKUP(AU265,AW$8:BC$507,7,FALSE())
)</f>
        <v/>
      </c>
      <c r="BE265" s="97" t="str">
        <f aca="false">IF(AU265&gt;AT$7,
    "",
    VLOOKUP(AU265,AW$8:BC$507,2,FALSE())
)</f>
        <v/>
      </c>
      <c r="BF265" s="97" t="str">
        <f aca="false">IF(AU265&gt;AT$7,
    "",
    VLOOKUP(AU265,AW$8:BC$507,3,FALSE())
)</f>
        <v/>
      </c>
      <c r="BG265" s="97" t="str">
        <f aca="false">IF(AU265&gt;AT$7,
    "",
    VLOOKUP(AU265,AW$8:BC$507,4,FALSE())
)</f>
        <v/>
      </c>
      <c r="BH265" s="97" t="str">
        <f aca="false">IF(AU265&gt;AT$7,
    "",
    VLOOKUP(AU265,AW$8:BC$507,5,FALSE())
)</f>
        <v/>
      </c>
      <c r="BI265" s="98" t="str">
        <f aca="false">IF(AU265&gt;AT$7,
    "",
    VLOOKUP(AU265,AW$8:BC$507,6,FALSE())
)</f>
        <v/>
      </c>
      <c r="BJ265" s="46"/>
    </row>
    <row r="266" customFormat="false" ht="15.75" hidden="false" customHeight="false" outlineLevel="0" collapsed="false">
      <c r="A266" s="3"/>
      <c r="B266" s="108"/>
      <c r="C266" s="70"/>
      <c r="D266" s="49"/>
      <c r="E266" s="109"/>
      <c r="F266" s="72"/>
      <c r="G266" s="109"/>
      <c r="H266" s="74"/>
      <c r="I266" s="104"/>
      <c r="J266" s="74"/>
      <c r="K266" s="74"/>
      <c r="L266" s="55"/>
      <c r="M266" s="55" t="str">
        <f aca="false">IF(ISBLANK($C266),"",IF(ISBLANK(E266),0,E266))</f>
        <v/>
      </c>
      <c r="N266" s="55" t="str">
        <f aca="false">IF(ISBLANK($C266),"",IF(ISBLANK(F266),0,F266))</f>
        <v/>
      </c>
      <c r="O266" s="55" t="e">
        <f aca="false">IF(AND(NOT(ISBLANK($C266)),NOT($T266),COUNTA($E266:$K266)&gt;0),ISBLANK($F266),FALSE())</f>
        <v>#VALUE!</v>
      </c>
      <c r="P266" s="55" t="str">
        <f aca="false">IF(ISBLANK($C266),"",IF(G266=Constants!$B$9, TRUE(), IF(G266=Constants!$B$10, FALSE(), TRUE())))</f>
        <v/>
      </c>
      <c r="Q266" s="55" t="str">
        <f aca="false">IF(ISBLANK($C266),"",IF(H266=Constants!$B$9, TRUE(), IF(H266=Constants!$B$10, FALSE(), TRUE())))</f>
        <v/>
      </c>
      <c r="R266" s="55" t="str">
        <f aca="false">IF(ISBLANK($C266),"",IF(ISBLANK(I266),Constants!$B$3,I266))</f>
        <v/>
      </c>
      <c r="S266" s="55" t="str">
        <f aca="false">IF(ISBLANK($C266),"",IF(ISBLANK(J266),0,MIN(J266,Constants!$B$6)))</f>
        <v/>
      </c>
      <c r="T266" s="55" t="str">
        <f aca="false">IF(ISBLANK($C266),"",IF(K266=Constants!$B$9, TRUE(), IF(K266=Constants!$B$10, FALSE(),  FALSE())))</f>
        <v/>
      </c>
      <c r="U266" s="55" t="str">
        <f aca="false">IF(ISBLANK($C266),"",AND(R266=Constants!$B$4, S266&lt;Constants!$B$6))</f>
        <v/>
      </c>
      <c r="V266" s="55" t="str">
        <f aca="false">IF(ISBLANK(C266), "", IF(T266, Constants!$B$11, IF(COUNTA(E266:K266)=0, Constants!$B$12, IF(NOT(AND(P266,S266&lt;&gt;0)), Constants!$B$13, IF(O266, Constants!$B$15, Constants!$B$14)))))</f>
        <v/>
      </c>
      <c r="W266" s="55" t="str">
        <f aca="false">IF(OR(ISBLANK($C266), SUMPRODUCT(--(P266:T266&lt;&gt;""))=0), "", IF(V266&lt;&gt;Constants!$B$14, V266, IF(AND(NOT(ISBLANK(J266)),P266,Q266,R266&lt;&gt;Constants!$B$2), Constants!$B$7, IF(AND(P266,OR(NOT(Q266),R266=Constants!$B$2)), Constants!$B$8, "Error"))))</f>
        <v/>
      </c>
      <c r="X266" s="56" t="str">
        <f aca="false">IF(OR(W266=Constants!$B$7,W266=Constants!$B$8), MAX(0, MIN(Constants!$B$6, S266))+IF(AND(R266=Constants!$B$4, NOT(U266)), Constants!$B$5, 0), "")</f>
        <v/>
      </c>
      <c r="Y266" s="55" t="str">
        <f aca="false">IF(ISBLANK($C266),"",IF(AND(ISNUMBER(X266),N266&gt;0),X266/N266, "") )</f>
        <v/>
      </c>
      <c r="Z266" s="55" t="str">
        <f aca="false">IF(AND(NOT(ISBLANK($C266)), W266=Constants!$B$7), Y266, "")</f>
        <v/>
      </c>
      <c r="AA266" s="55" t="str">
        <f aca="false">IF(ISNUMBER(Z266), RANK(Z266,Z$8:Z$507), "")</f>
        <v/>
      </c>
      <c r="AB266" s="55" t="str">
        <f aca="false">IF(AND(NOT(ISBLANK($C266)), W266=Constants!$B$8), Y266, "")</f>
        <v/>
      </c>
      <c r="AC266" s="55" t="str">
        <f aca="false">IF(ISNUMBER(AB266), RANK(AB266,AB$8:AB$507), "")</f>
        <v/>
      </c>
      <c r="AD266" s="55" t="str">
        <f aca="false">IF(ISBLANK($C266),"",IF(V266&lt;&gt;Constants!$B$14, V266, IF(W266=Constants!$B$7, AA266, IF(W266=Constants!$B$8, COUNT($AA$8:$AA$507) + AC266, ""))))</f>
        <v/>
      </c>
      <c r="AE266" s="55" t="str">
        <f aca="false">N266</f>
        <v/>
      </c>
      <c r="AF266" s="55" t="str">
        <f aca="false">IF(ISNUMBER(AE266), RANK(AE266,AE$8:AE$507,1), "")</f>
        <v/>
      </c>
      <c r="AG266" s="57" t="str">
        <f aca="false">IF(ISBLANK(C266), "", ABS(M266-S266))</f>
        <v/>
      </c>
      <c r="AH266" s="55" t="str">
        <f aca="false">IF(ISNUMBER(AG266), RANK(AG266,AG$8:AG$507,1), "")</f>
        <v/>
      </c>
      <c r="AI266" s="55" t="str">
        <f aca="false">IF(ISBLANK(C266),"",IF(V266&lt;&gt;Constants!$B$14, V266, RANK(AD266, AD$8:AD$507, 1)+ SUMPRODUCT(--(AD$8:AD$507=AD266),--(AF266&gt;AF$8:AF$507)) + SUMPRODUCT(--(AD$8:AD$507=AD266),--(AF266=AF$8:AF$507),--(AH266&gt;AH$8:AH$507))))</f>
        <v/>
      </c>
      <c r="AJ266" s="55" t="str">
        <f aca="false">IF(ISBLANK(C266),"",IF(V266&lt;&gt;Constants!$B$14, V266, AD266-AI266))</f>
        <v/>
      </c>
      <c r="AK266" s="59"/>
      <c r="AL266" s="60" t="str">
        <f aca="false">IF(ISBLANK($C266),"",IF($V266&lt;&gt;Constants!$B$14,$V266,X266))</f>
        <v/>
      </c>
      <c r="AM266" s="60" t="str">
        <f aca="false">IF(ISBLANK($C266),"",IF($V266&lt;&gt;Constants!$B$14,$V266,N266))</f>
        <v/>
      </c>
      <c r="AN266" s="62" t="str">
        <f aca="false">IF(ISBLANK(C266),"",IF(V266&lt;&gt;Constants!$B$14, V266, IF(W266=Constants!$B$7,Z266,IF(W266=Constants!$B$8,AB266,""))))</f>
        <v/>
      </c>
      <c r="AO266" s="63" t="str">
        <f aca="false">IF(ISBLANK(C266),"",W266)</f>
        <v/>
      </c>
      <c r="AP266" s="63" t="str">
        <f aca="false">IF(ISBLANK(C266),"",AJ266)</f>
        <v/>
      </c>
      <c r="AQ266" s="63" t="str">
        <f aca="false">IF(ISBLANK(C266),"",AI266)</f>
        <v/>
      </c>
      <c r="AR266" s="64" t="str">
        <f aca="false">IF(ISBLANK(C266),
  "",
IF(AQ266=Constants!$B$11,COUNTA($C$8:$C$507)+2,IF(AQ266=Constants!$B$12,COUNTA($C$8:$C$507)+1,IF(AQ266=Constants!$B$13,COUNTA($C$8:$C$507),AQ266))))</f>
        <v/>
      </c>
      <c r="AS266" s="3"/>
      <c r="AT266" s="65" t="n">
        <f aca="false">IF(OR(ISNUMBER(AQ266),AQ266="DQ",AQ266="P",AQ266="NS"),
    1,
    0
)</f>
        <v>0</v>
      </c>
      <c r="AU266" s="65" t="n">
        <v>259</v>
      </c>
      <c r="AV266" s="65" t="str">
        <f aca="false">IF(ISBLANK($C266),
    "",
   IF(ISNUMBER(AR266),AR266+ROW($B266)/1000,"")
)</f>
        <v/>
      </c>
      <c r="AW266" s="65" t="str">
        <f aca="false">IF(ISNUMBER(AV266), RANK(AV266,AV$8:AV$507,1), "")</f>
        <v/>
      </c>
      <c r="AX266" s="65" t="str">
        <f aca="false">IF(ISBLANK($C266),
    "",
    $B266
)</f>
        <v/>
      </c>
      <c r="AY266" s="65" t="str">
        <f aca="false">IF(ISBLANK($C266),
    "",
    $C266
)</f>
        <v/>
      </c>
      <c r="AZ266" s="65" t="str">
        <f aca="false">IF(ISBLANK($C266),
    "",
    $D266
)</f>
        <v/>
      </c>
      <c r="BA266" s="65" t="str">
        <f aca="false">AO266</f>
        <v/>
      </c>
      <c r="BB266" s="66" t="str">
        <f aca="false">AN266</f>
        <v/>
      </c>
      <c r="BC266" s="65" t="str">
        <f aca="false">IF(ISBLANK($C266),
    "",
    AQ266
)</f>
        <v/>
      </c>
      <c r="BD266" s="67" t="str">
        <f aca="false">IF(AU266&gt;AT$7,
    "",
    VLOOKUP(AU266,AW$8:BC$507,7,FALSE())
)</f>
        <v/>
      </c>
      <c r="BE266" s="68" t="str">
        <f aca="false">IF(AU266&gt;AT$7,
    "",
    VLOOKUP(AU266,AW$8:BC$507,2,FALSE())
)</f>
        <v/>
      </c>
      <c r="BF266" s="68" t="str">
        <f aca="false">IF(AU266&gt;AT$7,
    "",
    VLOOKUP(AU266,AW$8:BC$507,3,FALSE())
)</f>
        <v/>
      </c>
      <c r="BG266" s="68" t="str">
        <f aca="false">IF(AU266&gt;AT$7,
    "",
    VLOOKUP(AU266,AW$8:BC$507,4,FALSE())
)</f>
        <v/>
      </c>
      <c r="BH266" s="68" t="str">
        <f aca="false">IF(AU266&gt;AT$7,
    "",
    VLOOKUP(AU266,AW$8:BC$507,5,FALSE())
)</f>
        <v/>
      </c>
      <c r="BI266" s="69" t="str">
        <f aca="false">IF(AU266&gt;AT$7,
    "",
    VLOOKUP(AU266,AW$8:BC$507,6,FALSE())
)</f>
        <v/>
      </c>
      <c r="BJ266" s="46"/>
    </row>
    <row r="267" customFormat="false" ht="15.75" hidden="false" customHeight="false" outlineLevel="0" collapsed="false">
      <c r="A267" s="3"/>
      <c r="B267" s="108"/>
      <c r="C267" s="70"/>
      <c r="D267" s="49"/>
      <c r="E267" s="109"/>
      <c r="F267" s="72"/>
      <c r="G267" s="109"/>
      <c r="H267" s="74"/>
      <c r="I267" s="104"/>
      <c r="J267" s="74"/>
      <c r="K267" s="74"/>
      <c r="L267" s="55"/>
      <c r="M267" s="55" t="str">
        <f aca="false">IF(ISBLANK($C267),"",IF(ISBLANK(E267),0,E267))</f>
        <v/>
      </c>
      <c r="N267" s="55" t="str">
        <f aca="false">IF(ISBLANK($C267),"",IF(ISBLANK(F267),0,F267))</f>
        <v/>
      </c>
      <c r="O267" s="55" t="e">
        <f aca="false">IF(AND(NOT(ISBLANK($C267)),NOT($T267),COUNTA($E267:$K267)&gt;0),ISBLANK($F267),FALSE())</f>
        <v>#VALUE!</v>
      </c>
      <c r="P267" s="55" t="str">
        <f aca="false">IF(ISBLANK($C267),"",IF(G267=Constants!$B$9, TRUE(), IF(G267=Constants!$B$10, FALSE(), TRUE())))</f>
        <v/>
      </c>
      <c r="Q267" s="55" t="str">
        <f aca="false">IF(ISBLANK($C267),"",IF(H267=Constants!$B$9, TRUE(), IF(H267=Constants!$B$10, FALSE(), TRUE())))</f>
        <v/>
      </c>
      <c r="R267" s="55" t="str">
        <f aca="false">IF(ISBLANK($C267),"",IF(ISBLANK(I267),Constants!$B$3,I267))</f>
        <v/>
      </c>
      <c r="S267" s="55" t="str">
        <f aca="false">IF(ISBLANK($C267),"",IF(ISBLANK(J267),0,MIN(J267,Constants!$B$6)))</f>
        <v/>
      </c>
      <c r="T267" s="55" t="str">
        <f aca="false">IF(ISBLANK($C267),"",IF(K267=Constants!$B$9, TRUE(), IF(K267=Constants!$B$10, FALSE(),  FALSE())))</f>
        <v/>
      </c>
      <c r="U267" s="55" t="str">
        <f aca="false">IF(ISBLANK($C267),"",AND(R267=Constants!$B$4, S267&lt;Constants!$B$6))</f>
        <v/>
      </c>
      <c r="V267" s="55" t="str">
        <f aca="false">IF(ISBLANK(C267), "", IF(T267, Constants!$B$11, IF(COUNTA(E267:K267)=0, Constants!$B$12, IF(NOT(AND(P267,S267&lt;&gt;0)), Constants!$B$13, IF(O267, Constants!$B$15, Constants!$B$14)))))</f>
        <v/>
      </c>
      <c r="W267" s="55" t="str">
        <f aca="false">IF(OR(ISBLANK($C267), SUMPRODUCT(--(P267:T267&lt;&gt;""))=0), "", IF(V267&lt;&gt;Constants!$B$14, V267, IF(AND(NOT(ISBLANK(J267)),P267,Q267,R267&lt;&gt;Constants!$B$2), Constants!$B$7, IF(AND(P267,OR(NOT(Q267),R267=Constants!$B$2)), Constants!$B$8, "Error"))))</f>
        <v/>
      </c>
      <c r="X267" s="56" t="str">
        <f aca="false">IF(OR(W267=Constants!$B$7,W267=Constants!$B$8), MAX(0, MIN(Constants!$B$6, S267))+IF(AND(R267=Constants!$B$4, NOT(U267)), Constants!$B$5, 0), "")</f>
        <v/>
      </c>
      <c r="Y267" s="55" t="str">
        <f aca="false">IF(ISBLANK($C267),"",IF(AND(ISNUMBER(X267),N267&gt;0),X267/N267, "") )</f>
        <v/>
      </c>
      <c r="Z267" s="55" t="str">
        <f aca="false">IF(AND(NOT(ISBLANK($C267)), W267=Constants!$B$7), Y267, "")</f>
        <v/>
      </c>
      <c r="AA267" s="55" t="str">
        <f aca="false">IF(ISNUMBER(Z267), RANK(Z267,Z$8:Z$507), "")</f>
        <v/>
      </c>
      <c r="AB267" s="55" t="str">
        <f aca="false">IF(AND(NOT(ISBLANK($C267)), W267=Constants!$B$8), Y267, "")</f>
        <v/>
      </c>
      <c r="AC267" s="55" t="str">
        <f aca="false">IF(ISNUMBER(AB267), RANK(AB267,AB$8:AB$507), "")</f>
        <v/>
      </c>
      <c r="AD267" s="55" t="str">
        <f aca="false">IF(ISBLANK($C267),"",IF(V267&lt;&gt;Constants!$B$14, V267, IF(W267=Constants!$B$7, AA267, IF(W267=Constants!$B$8, COUNT($AA$8:$AA$507) + AC267, ""))))</f>
        <v/>
      </c>
      <c r="AE267" s="55" t="str">
        <f aca="false">N267</f>
        <v/>
      </c>
      <c r="AF267" s="55" t="str">
        <f aca="false">IF(ISNUMBER(AE267), RANK(AE267,AE$8:AE$507,1), "")</f>
        <v/>
      </c>
      <c r="AG267" s="57" t="str">
        <f aca="false">IF(ISBLANK(C267), "", ABS(M267-S267))</f>
        <v/>
      </c>
      <c r="AH267" s="55" t="str">
        <f aca="false">IF(ISNUMBER(AG267), RANK(AG267,AG$8:AG$507,1), "")</f>
        <v/>
      </c>
      <c r="AI267" s="55" t="str">
        <f aca="false">IF(ISBLANK(C267),"",IF(V267&lt;&gt;Constants!$B$14, V267, RANK(AD267, AD$8:AD$507, 1)+ SUMPRODUCT(--(AD$8:AD$507=AD267),--(AF267&gt;AF$8:AF$507)) + SUMPRODUCT(--(AD$8:AD$507=AD267),--(AF267=AF$8:AF$507),--(AH267&gt;AH$8:AH$507))))</f>
        <v/>
      </c>
      <c r="AJ267" s="55" t="str">
        <f aca="false">IF(ISBLANK(C267),"",IF(V267&lt;&gt;Constants!$B$14, V267, AD267-AI267))</f>
        <v/>
      </c>
      <c r="AK267" s="59"/>
      <c r="AL267" s="60" t="str">
        <f aca="false">IF(ISBLANK($C267),"",IF($V267&lt;&gt;Constants!$B$14,$V267,X267))</f>
        <v/>
      </c>
      <c r="AM267" s="60" t="str">
        <f aca="false">IF(ISBLANK($C267),"",IF($V267&lt;&gt;Constants!$B$14,$V267,N267))</f>
        <v/>
      </c>
      <c r="AN267" s="62" t="str">
        <f aca="false">IF(ISBLANK(C267),"",IF(V267&lt;&gt;Constants!$B$14, V267, IF(W267=Constants!$B$7,Z267,IF(W267=Constants!$B$8,AB267,""))))</f>
        <v/>
      </c>
      <c r="AO267" s="63" t="str">
        <f aca="false">IF(ISBLANK(C267),"",W267)</f>
        <v/>
      </c>
      <c r="AP267" s="63" t="str">
        <f aca="false">IF(ISBLANK(C267),"",AJ267)</f>
        <v/>
      </c>
      <c r="AQ267" s="63" t="str">
        <f aca="false">IF(ISBLANK(C267),"",AI267)</f>
        <v/>
      </c>
      <c r="AR267" s="64" t="str">
        <f aca="false">IF(ISBLANK(C267),
  "",
IF(AQ267=Constants!$B$11,COUNTA($C$8:$C$507)+2,IF(AQ267=Constants!$B$12,COUNTA($C$8:$C$507)+1,IF(AQ267=Constants!$B$13,COUNTA($C$8:$C$507),AQ267))))</f>
        <v/>
      </c>
      <c r="AS267" s="3"/>
      <c r="AT267" s="65" t="n">
        <f aca="false">IF(OR(ISNUMBER(AQ267),AQ267="DQ",AQ267="P",AQ267="NS"),
    1,
    0
)</f>
        <v>0</v>
      </c>
      <c r="AU267" s="65" t="n">
        <v>260</v>
      </c>
      <c r="AV267" s="65" t="str">
        <f aca="false">IF(ISBLANK($C267),
    "",
   IF(ISNUMBER(AR267),AR267+ROW($B267)/1000,"")
)</f>
        <v/>
      </c>
      <c r="AW267" s="65" t="str">
        <f aca="false">IF(ISNUMBER(AV267), RANK(AV267,AV$8:AV$507,1), "")</f>
        <v/>
      </c>
      <c r="AX267" s="65" t="str">
        <f aca="false">IF(ISBLANK($C267),
    "",
    $B267
)</f>
        <v/>
      </c>
      <c r="AY267" s="65" t="str">
        <f aca="false">IF(ISBLANK($C267),
    "",
    $C267
)</f>
        <v/>
      </c>
      <c r="AZ267" s="65" t="str">
        <f aca="false">IF(ISBLANK($C267),
    "",
    $D267
)</f>
        <v/>
      </c>
      <c r="BA267" s="65" t="str">
        <f aca="false">AO267</f>
        <v/>
      </c>
      <c r="BB267" s="66" t="str">
        <f aca="false">AN267</f>
        <v/>
      </c>
      <c r="BC267" s="65" t="str">
        <f aca="false">IF(ISBLANK($C267),
    "",
    AQ267
)</f>
        <v/>
      </c>
      <c r="BD267" s="67" t="str">
        <f aca="false">IF(AU267&gt;AT$7,
    "",
    VLOOKUP(AU267,AW$8:BC$507,7,FALSE())
)</f>
        <v/>
      </c>
      <c r="BE267" s="68" t="str">
        <f aca="false">IF(AU267&gt;AT$7,
    "",
    VLOOKUP(AU267,AW$8:BC$507,2,FALSE())
)</f>
        <v/>
      </c>
      <c r="BF267" s="68" t="str">
        <f aca="false">IF(AU267&gt;AT$7,
    "",
    VLOOKUP(AU267,AW$8:BC$507,3,FALSE())
)</f>
        <v/>
      </c>
      <c r="BG267" s="68" t="str">
        <f aca="false">IF(AU267&gt;AT$7,
    "",
    VLOOKUP(AU267,AW$8:BC$507,4,FALSE())
)</f>
        <v/>
      </c>
      <c r="BH267" s="68" t="str">
        <f aca="false">IF(AU267&gt;AT$7,
    "",
    VLOOKUP(AU267,AW$8:BC$507,5,FALSE())
)</f>
        <v/>
      </c>
      <c r="BI267" s="69" t="str">
        <f aca="false">IF(AU267&gt;AT$7,
    "",
    VLOOKUP(AU267,AW$8:BC$507,6,FALSE())
)</f>
        <v/>
      </c>
      <c r="BJ267" s="46"/>
    </row>
    <row r="268" customFormat="false" ht="15.75" hidden="false" customHeight="false" outlineLevel="0" collapsed="false">
      <c r="A268" s="3"/>
      <c r="B268" s="108"/>
      <c r="C268" s="70"/>
      <c r="D268" s="49"/>
      <c r="E268" s="109"/>
      <c r="F268" s="72"/>
      <c r="G268" s="109"/>
      <c r="H268" s="74"/>
      <c r="I268" s="104"/>
      <c r="J268" s="74"/>
      <c r="K268" s="74"/>
      <c r="L268" s="55"/>
      <c r="M268" s="55" t="str">
        <f aca="false">IF(ISBLANK($C268),"",IF(ISBLANK(E268),0,E268))</f>
        <v/>
      </c>
      <c r="N268" s="55" t="str">
        <f aca="false">IF(ISBLANK($C268),"",IF(ISBLANK(F268),0,F268))</f>
        <v/>
      </c>
      <c r="O268" s="55" t="e">
        <f aca="false">IF(AND(NOT(ISBLANK($C268)),NOT($T268),COUNTA($E268:$K268)&gt;0),ISBLANK($F268),FALSE())</f>
        <v>#VALUE!</v>
      </c>
      <c r="P268" s="55" t="str">
        <f aca="false">IF(ISBLANK($C268),"",IF(G268=Constants!$B$9, TRUE(), IF(G268=Constants!$B$10, FALSE(), TRUE())))</f>
        <v/>
      </c>
      <c r="Q268" s="55" t="str">
        <f aca="false">IF(ISBLANK($C268),"",IF(H268=Constants!$B$9, TRUE(), IF(H268=Constants!$B$10, FALSE(), TRUE())))</f>
        <v/>
      </c>
      <c r="R268" s="55" t="str">
        <f aca="false">IF(ISBLANK($C268),"",IF(ISBLANK(I268),Constants!$B$3,I268))</f>
        <v/>
      </c>
      <c r="S268" s="55" t="str">
        <f aca="false">IF(ISBLANK($C268),"",IF(ISBLANK(J268),0,MIN(J268,Constants!$B$6)))</f>
        <v/>
      </c>
      <c r="T268" s="55" t="str">
        <f aca="false">IF(ISBLANK($C268),"",IF(K268=Constants!$B$9, TRUE(), IF(K268=Constants!$B$10, FALSE(),  FALSE())))</f>
        <v/>
      </c>
      <c r="U268" s="55" t="str">
        <f aca="false">IF(ISBLANK($C268),"",AND(R268=Constants!$B$4, S268&lt;Constants!$B$6))</f>
        <v/>
      </c>
      <c r="V268" s="55" t="str">
        <f aca="false">IF(ISBLANK(C268), "", IF(T268, Constants!$B$11, IF(COUNTA(E268:K268)=0, Constants!$B$12, IF(NOT(AND(P268,S268&lt;&gt;0)), Constants!$B$13, IF(O268, Constants!$B$15, Constants!$B$14)))))</f>
        <v/>
      </c>
      <c r="W268" s="55" t="str">
        <f aca="false">IF(OR(ISBLANK($C268), SUMPRODUCT(--(P268:T268&lt;&gt;""))=0), "", IF(V268&lt;&gt;Constants!$B$14, V268, IF(AND(NOT(ISBLANK(J268)),P268,Q268,R268&lt;&gt;Constants!$B$2), Constants!$B$7, IF(AND(P268,OR(NOT(Q268),R268=Constants!$B$2)), Constants!$B$8, "Error"))))</f>
        <v/>
      </c>
      <c r="X268" s="56" t="str">
        <f aca="false">IF(OR(W268=Constants!$B$7,W268=Constants!$B$8), MAX(0, MIN(Constants!$B$6, S268))+IF(AND(R268=Constants!$B$4, NOT(U268)), Constants!$B$5, 0), "")</f>
        <v/>
      </c>
      <c r="Y268" s="55" t="str">
        <f aca="false">IF(ISBLANK($C268),"",IF(AND(ISNUMBER(X268),N268&gt;0),X268/N268, "") )</f>
        <v/>
      </c>
      <c r="Z268" s="55" t="str">
        <f aca="false">IF(AND(NOT(ISBLANK($C268)), W268=Constants!$B$7), Y268, "")</f>
        <v/>
      </c>
      <c r="AA268" s="55" t="str">
        <f aca="false">IF(ISNUMBER(Z268), RANK(Z268,Z$8:Z$507), "")</f>
        <v/>
      </c>
      <c r="AB268" s="55" t="str">
        <f aca="false">IF(AND(NOT(ISBLANK($C268)), W268=Constants!$B$8), Y268, "")</f>
        <v/>
      </c>
      <c r="AC268" s="55" t="str">
        <f aca="false">IF(ISNUMBER(AB268), RANK(AB268,AB$8:AB$507), "")</f>
        <v/>
      </c>
      <c r="AD268" s="55" t="str">
        <f aca="false">IF(ISBLANK($C268),"",IF(V268&lt;&gt;Constants!$B$14, V268, IF(W268=Constants!$B$7, AA268, IF(W268=Constants!$B$8, COUNT($AA$8:$AA$507) + AC268, ""))))</f>
        <v/>
      </c>
      <c r="AE268" s="55" t="str">
        <f aca="false">N268</f>
        <v/>
      </c>
      <c r="AF268" s="55" t="str">
        <f aca="false">IF(ISNUMBER(AE268), RANK(AE268,AE$8:AE$507,1), "")</f>
        <v/>
      </c>
      <c r="AG268" s="57" t="str">
        <f aca="false">IF(ISBLANK(C268), "", ABS(M268-S268))</f>
        <v/>
      </c>
      <c r="AH268" s="55" t="str">
        <f aca="false">IF(ISNUMBER(AG268), RANK(AG268,AG$8:AG$507,1), "")</f>
        <v/>
      </c>
      <c r="AI268" s="55" t="str">
        <f aca="false">IF(ISBLANK(C268),"",IF(V268&lt;&gt;Constants!$B$14, V268, RANK(AD268, AD$8:AD$507, 1)+ SUMPRODUCT(--(AD$8:AD$507=AD268),--(AF268&gt;AF$8:AF$507)) + SUMPRODUCT(--(AD$8:AD$507=AD268),--(AF268=AF$8:AF$507),--(AH268&gt;AH$8:AH$507))))</f>
        <v/>
      </c>
      <c r="AJ268" s="55" t="str">
        <f aca="false">IF(ISBLANK(C268),"",IF(V268&lt;&gt;Constants!$B$14, V268, AD268-AI268))</f>
        <v/>
      </c>
      <c r="AK268" s="59"/>
      <c r="AL268" s="60" t="str">
        <f aca="false">IF(ISBLANK($C268),"",IF($V268&lt;&gt;Constants!$B$14,$V268,X268))</f>
        <v/>
      </c>
      <c r="AM268" s="60" t="str">
        <f aca="false">IF(ISBLANK($C268),"",IF($V268&lt;&gt;Constants!$B$14,$V268,N268))</f>
        <v/>
      </c>
      <c r="AN268" s="62" t="str">
        <f aca="false">IF(ISBLANK(C268),"",IF(V268&lt;&gt;Constants!$B$14, V268, IF(W268=Constants!$B$7,Z268,IF(W268=Constants!$B$8,AB268,""))))</f>
        <v/>
      </c>
      <c r="AO268" s="63" t="str">
        <f aca="false">IF(ISBLANK(C268),"",W268)</f>
        <v/>
      </c>
      <c r="AP268" s="63" t="str">
        <f aca="false">IF(ISBLANK(C268),"",AJ268)</f>
        <v/>
      </c>
      <c r="AQ268" s="63" t="str">
        <f aca="false">IF(ISBLANK(C268),"",AI268)</f>
        <v/>
      </c>
      <c r="AR268" s="64" t="str">
        <f aca="false">IF(ISBLANK(C268),
  "",
IF(AQ268=Constants!$B$11,COUNTA($C$8:$C$507)+2,IF(AQ268=Constants!$B$12,COUNTA($C$8:$C$507)+1,IF(AQ268=Constants!$B$13,COUNTA($C$8:$C$507),AQ268))))</f>
        <v/>
      </c>
      <c r="AS268" s="3"/>
      <c r="AT268" s="65" t="n">
        <f aca="false">IF(OR(ISNUMBER(AQ268),AQ268="DQ",AQ268="P",AQ268="NS"),
    1,
    0
)</f>
        <v>0</v>
      </c>
      <c r="AU268" s="65" t="n">
        <v>261</v>
      </c>
      <c r="AV268" s="65" t="str">
        <f aca="false">IF(ISBLANK($C268),
    "",
   IF(ISNUMBER(AR268),AR268+ROW($B268)/1000,"")
)</f>
        <v/>
      </c>
      <c r="AW268" s="65" t="str">
        <f aca="false">IF(ISNUMBER(AV268), RANK(AV268,AV$8:AV$507,1), "")</f>
        <v/>
      </c>
      <c r="AX268" s="65" t="str">
        <f aca="false">IF(ISBLANK($C268),
    "",
    $B268
)</f>
        <v/>
      </c>
      <c r="AY268" s="65" t="str">
        <f aca="false">IF(ISBLANK($C268),
    "",
    $C268
)</f>
        <v/>
      </c>
      <c r="AZ268" s="65" t="str">
        <f aca="false">IF(ISBLANK($C268),
    "",
    $D268
)</f>
        <v/>
      </c>
      <c r="BA268" s="65" t="str">
        <f aca="false">AO268</f>
        <v/>
      </c>
      <c r="BB268" s="66" t="str">
        <f aca="false">AN268</f>
        <v/>
      </c>
      <c r="BC268" s="65" t="str">
        <f aca="false">IF(ISBLANK($C268),
    "",
    AQ268
)</f>
        <v/>
      </c>
      <c r="BD268" s="67" t="str">
        <f aca="false">IF(AU268&gt;AT$7,
    "",
    VLOOKUP(AU268,AW$8:BC$507,7,FALSE())
)</f>
        <v/>
      </c>
      <c r="BE268" s="68" t="str">
        <f aca="false">IF(AU268&gt;AT$7,
    "",
    VLOOKUP(AU268,AW$8:BC$507,2,FALSE())
)</f>
        <v/>
      </c>
      <c r="BF268" s="68" t="str">
        <f aca="false">IF(AU268&gt;AT$7,
    "",
    VLOOKUP(AU268,AW$8:BC$507,3,FALSE())
)</f>
        <v/>
      </c>
      <c r="BG268" s="68" t="str">
        <f aca="false">IF(AU268&gt;AT$7,
    "",
    VLOOKUP(AU268,AW$8:BC$507,4,FALSE())
)</f>
        <v/>
      </c>
      <c r="BH268" s="68" t="str">
        <f aca="false">IF(AU268&gt;AT$7,
    "",
    VLOOKUP(AU268,AW$8:BC$507,5,FALSE())
)</f>
        <v/>
      </c>
      <c r="BI268" s="69" t="str">
        <f aca="false">IF(AU268&gt;AT$7,
    "",
    VLOOKUP(AU268,AW$8:BC$507,6,FALSE())
)</f>
        <v/>
      </c>
      <c r="BJ268" s="46"/>
    </row>
    <row r="269" customFormat="false" ht="15.75" hidden="false" customHeight="false" outlineLevel="0" collapsed="false">
      <c r="A269" s="3"/>
      <c r="B269" s="105"/>
      <c r="C269" s="106"/>
      <c r="D269" s="99"/>
      <c r="E269" s="110"/>
      <c r="F269" s="107"/>
      <c r="G269" s="110"/>
      <c r="H269" s="103"/>
      <c r="I269" s="102"/>
      <c r="J269" s="103"/>
      <c r="K269" s="103"/>
      <c r="L269" s="85"/>
      <c r="M269" s="85" t="str">
        <f aca="false">IF(ISBLANK($C269),"",IF(ISBLANK(E269),0,E269))</f>
        <v/>
      </c>
      <c r="N269" s="85" t="str">
        <f aca="false">IF(ISBLANK($C269),"",IF(ISBLANK(F269),0,F269))</f>
        <v/>
      </c>
      <c r="O269" s="86" t="e">
        <f aca="false">IF(AND(NOT(ISBLANK($C269)),NOT($T269),COUNTA($E269:$K269)&gt;0),ISBLANK($F269),FALSE())</f>
        <v>#VALUE!</v>
      </c>
      <c r="P269" s="85" t="str">
        <f aca="false">IF(ISBLANK($C269),"",IF(G269=Constants!$B$9, TRUE(), IF(G269=Constants!$B$10, FALSE(), TRUE())))</f>
        <v/>
      </c>
      <c r="Q269" s="85" t="str">
        <f aca="false">IF(ISBLANK($C269),"",IF(H269=Constants!$B$9, TRUE(), IF(H269=Constants!$B$10, FALSE(), TRUE())))</f>
        <v/>
      </c>
      <c r="R269" s="85" t="str">
        <f aca="false">IF(ISBLANK($C269),"",IF(ISBLANK(I269),Constants!$B$3,I269))</f>
        <v/>
      </c>
      <c r="S269" s="85" t="str">
        <f aca="false">IF(ISBLANK($C269),"",IF(ISBLANK(J269),0,MIN(J269,Constants!$B$6)))</f>
        <v/>
      </c>
      <c r="T269" s="85" t="str">
        <f aca="false">IF(ISBLANK($C269),"",IF(K269=Constants!$B$9, TRUE(), IF(K269=Constants!$B$10, FALSE(),  FALSE())))</f>
        <v/>
      </c>
      <c r="U269" s="85" t="str">
        <f aca="false">IF(ISBLANK($C269),"",AND(R269=Constants!$B$4, S269&lt;Constants!$B$6))</f>
        <v/>
      </c>
      <c r="V269" s="85" t="str">
        <f aca="false">IF(ISBLANK(C269), "", IF(T269, Constants!$B$11, IF(COUNTA(E269:K269)=0, Constants!$B$12, IF(NOT(AND(P269,S269&lt;&gt;0)), Constants!$B$13, IF(O269, Constants!$B$15, Constants!$B$14)))))</f>
        <v/>
      </c>
      <c r="W269" s="85" t="str">
        <f aca="false">IF(OR(ISBLANK($C269), SUMPRODUCT(--(P269:T269&lt;&gt;""))=0), "", IF(V269&lt;&gt;Constants!$B$14, V269, IF(AND(NOT(ISBLANK(J269)),P269,Q269,R269&lt;&gt;Constants!$B$2), Constants!$B$7, IF(AND(P269,OR(NOT(Q269),R269=Constants!$B$2)), Constants!$B$8, "Error"))))</f>
        <v/>
      </c>
      <c r="X269" s="87" t="str">
        <f aca="false">IF(OR(W269=Constants!$B$7,W269=Constants!$B$8), MAX(0, MIN(Constants!$B$6, S269))+IF(AND(R269=Constants!$B$4, NOT(U269)), Constants!$B$5, 0), "")</f>
        <v/>
      </c>
      <c r="Y269" s="85" t="str">
        <f aca="false">IF(ISBLANK($C269),"",IF(AND(ISNUMBER(X269),N269&gt;0),X269/N269, "") )</f>
        <v/>
      </c>
      <c r="Z269" s="85" t="str">
        <f aca="false">IF(AND(NOT(ISBLANK($C269)), W269=Constants!$B$7), Y269, "")</f>
        <v/>
      </c>
      <c r="AA269" s="85" t="str">
        <f aca="false">IF(ISNUMBER(Z269), RANK(Z269,Z$8:Z$507), "")</f>
        <v/>
      </c>
      <c r="AB269" s="85" t="str">
        <f aca="false">IF(AND(NOT(ISBLANK($C269)), W269=Constants!$B$8), Y269, "")</f>
        <v/>
      </c>
      <c r="AC269" s="85" t="str">
        <f aca="false">IF(ISNUMBER(AB269), RANK(AB269,AB$8:AB$507), "")</f>
        <v/>
      </c>
      <c r="AD269" s="85" t="str">
        <f aca="false">IF(ISBLANK($C269),"",IF(V269&lt;&gt;Constants!$B$14, V269, IF(W269=Constants!$B$7, AA269, IF(W269=Constants!$B$8, COUNT($AA$8:$AA$507) + AC269, ""))))</f>
        <v/>
      </c>
      <c r="AE269" s="85" t="str">
        <f aca="false">N269</f>
        <v/>
      </c>
      <c r="AF269" s="85" t="str">
        <f aca="false">IF(ISNUMBER(AE269), RANK(AE269,AE$8:AE$507,1), "")</f>
        <v/>
      </c>
      <c r="AG269" s="88" t="str">
        <f aca="false">IF(ISBLANK(C269), "", ABS(M269-S269))</f>
        <v/>
      </c>
      <c r="AH269" s="85" t="str">
        <f aca="false">IF(ISNUMBER(AG269), RANK(AG269,AG$8:AG$507,1), "")</f>
        <v/>
      </c>
      <c r="AI269" s="85" t="str">
        <f aca="false">IF(ISBLANK(C269),"",IF(V269&lt;&gt;Constants!$B$14, V269, RANK(AD269, AD$8:AD$507, 1)+ SUMPRODUCT(--(AD$8:AD$507=AD269),--(AF269&gt;AF$8:AF$507)) + SUMPRODUCT(--(AD$8:AD$507=AD269),--(AF269=AF$8:AF$507),--(AH269&gt;AH$8:AH$507))))</f>
        <v/>
      </c>
      <c r="AJ269" s="85" t="str">
        <f aca="false">IF(ISBLANK(C269),"",IF(V269&lt;&gt;Constants!$B$14, V269, AD269-AI269))</f>
        <v/>
      </c>
      <c r="AK269" s="89"/>
      <c r="AL269" s="90" t="str">
        <f aca="false">IF(ISBLANK($C269),"",IF($V269&lt;&gt;Constants!$B$14,$V269,X269))</f>
        <v/>
      </c>
      <c r="AM269" s="90" t="str">
        <f aca="false">IF(ISBLANK($C269),"",IF($V269&lt;&gt;Constants!$B$14,$V269,N269))</f>
        <v/>
      </c>
      <c r="AN269" s="91" t="str">
        <f aca="false">IF(ISBLANK(C269),"",IF(V269&lt;&gt;Constants!$B$14, V269, IF(W269=Constants!$B$7,Z269,IF(W269=Constants!$B$8,AB269,""))))</f>
        <v/>
      </c>
      <c r="AO269" s="92" t="str">
        <f aca="false">IF(ISBLANK(C269),"",W269)</f>
        <v/>
      </c>
      <c r="AP269" s="92" t="str">
        <f aca="false">IF(ISBLANK(C269),"",AJ269)</f>
        <v/>
      </c>
      <c r="AQ269" s="92" t="str">
        <f aca="false">IF(ISBLANK(C269),"",AI269)</f>
        <v/>
      </c>
      <c r="AR269" s="93" t="str">
        <f aca="false">IF(ISBLANK(C269),
  "",
IF(AQ269=Constants!$B$11,COUNTA($C$8:$C$507)+2,IF(AQ269=Constants!$B$12,COUNTA($C$8:$C$507)+1,IF(AQ269=Constants!$B$13,COUNTA($C$8:$C$507),AQ269))))</f>
        <v/>
      </c>
      <c r="AS269" s="3"/>
      <c r="AT269" s="94" t="n">
        <f aca="false">IF(OR(ISNUMBER(AQ269),AQ269="DQ",AQ269="P",AQ269="NS"),
    1,
    0
)</f>
        <v>0</v>
      </c>
      <c r="AU269" s="94" t="n">
        <v>262</v>
      </c>
      <c r="AV269" s="94" t="str">
        <f aca="false">IF(ISBLANK($C269),
    "",
   IF(ISNUMBER(AR269),AR269+ROW($B269)/1000,"")
)</f>
        <v/>
      </c>
      <c r="AW269" s="94" t="str">
        <f aca="false">IF(ISNUMBER(AV269), RANK(AV269,AV$8:AV$507,1), "")</f>
        <v/>
      </c>
      <c r="AX269" s="94" t="str">
        <f aca="false">IF(ISBLANK($C269),
    "",
    $B269
)</f>
        <v/>
      </c>
      <c r="AY269" s="94" t="str">
        <f aca="false">IF(ISBLANK($C269),
    "",
    $C269
)</f>
        <v/>
      </c>
      <c r="AZ269" s="94" t="str">
        <f aca="false">IF(ISBLANK($C269),
    "",
    $D269
)</f>
        <v/>
      </c>
      <c r="BA269" s="94" t="str">
        <f aca="false">AO269</f>
        <v/>
      </c>
      <c r="BB269" s="95" t="str">
        <f aca="false">AN269</f>
        <v/>
      </c>
      <c r="BC269" s="94" t="str">
        <f aca="false">IF(ISBLANK($C269),
    "",
    AQ269
)</f>
        <v/>
      </c>
      <c r="BD269" s="96" t="str">
        <f aca="false">IF(AU269&gt;AT$7,
    "",
    VLOOKUP(AU269,AW$8:BC$507,7,FALSE())
)</f>
        <v/>
      </c>
      <c r="BE269" s="97" t="str">
        <f aca="false">IF(AU269&gt;AT$7,
    "",
    VLOOKUP(AU269,AW$8:BC$507,2,FALSE())
)</f>
        <v/>
      </c>
      <c r="BF269" s="97" t="str">
        <f aca="false">IF(AU269&gt;AT$7,
    "",
    VLOOKUP(AU269,AW$8:BC$507,3,FALSE())
)</f>
        <v/>
      </c>
      <c r="BG269" s="97" t="str">
        <f aca="false">IF(AU269&gt;AT$7,
    "",
    VLOOKUP(AU269,AW$8:BC$507,4,FALSE())
)</f>
        <v/>
      </c>
      <c r="BH269" s="97" t="str">
        <f aca="false">IF(AU269&gt;AT$7,
    "",
    VLOOKUP(AU269,AW$8:BC$507,5,FALSE())
)</f>
        <v/>
      </c>
      <c r="BI269" s="98" t="str">
        <f aca="false">IF(AU269&gt;AT$7,
    "",
    VLOOKUP(AU269,AW$8:BC$507,6,FALSE())
)</f>
        <v/>
      </c>
      <c r="BJ269" s="46"/>
    </row>
    <row r="270" customFormat="false" ht="15.75" hidden="false" customHeight="false" outlineLevel="0" collapsed="false">
      <c r="A270" s="3"/>
      <c r="B270" s="105"/>
      <c r="C270" s="106"/>
      <c r="D270" s="99"/>
      <c r="E270" s="110"/>
      <c r="F270" s="107"/>
      <c r="G270" s="110"/>
      <c r="H270" s="103"/>
      <c r="I270" s="102"/>
      <c r="J270" s="103"/>
      <c r="K270" s="103"/>
      <c r="L270" s="85"/>
      <c r="M270" s="85" t="str">
        <f aca="false">IF(ISBLANK($C270),"",IF(ISBLANK(E270),0,E270))</f>
        <v/>
      </c>
      <c r="N270" s="85" t="str">
        <f aca="false">IF(ISBLANK($C270),"",IF(ISBLANK(F270),0,F270))</f>
        <v/>
      </c>
      <c r="O270" s="86" t="e">
        <f aca="false">IF(AND(NOT(ISBLANK($C270)),NOT($T270),COUNTA($E270:$K270)&gt;0),ISBLANK($F270),FALSE())</f>
        <v>#VALUE!</v>
      </c>
      <c r="P270" s="85" t="str">
        <f aca="false">IF(ISBLANK($C270),"",IF(G270=Constants!$B$9, TRUE(), IF(G270=Constants!$B$10, FALSE(), TRUE())))</f>
        <v/>
      </c>
      <c r="Q270" s="85" t="str">
        <f aca="false">IF(ISBLANK($C270),"",IF(H270=Constants!$B$9, TRUE(), IF(H270=Constants!$B$10, FALSE(), TRUE())))</f>
        <v/>
      </c>
      <c r="R270" s="85" t="str">
        <f aca="false">IF(ISBLANK($C270),"",IF(ISBLANK(I270),Constants!$B$3,I270))</f>
        <v/>
      </c>
      <c r="S270" s="85" t="str">
        <f aca="false">IF(ISBLANK($C270),"",IF(ISBLANK(J270),0,MIN(J270,Constants!$B$6)))</f>
        <v/>
      </c>
      <c r="T270" s="85" t="str">
        <f aca="false">IF(ISBLANK($C270),"",IF(K270=Constants!$B$9, TRUE(), IF(K270=Constants!$B$10, FALSE(),  FALSE())))</f>
        <v/>
      </c>
      <c r="U270" s="85" t="str">
        <f aca="false">IF(ISBLANK($C270),"",AND(R270=Constants!$B$4, S270&lt;Constants!$B$6))</f>
        <v/>
      </c>
      <c r="V270" s="85" t="str">
        <f aca="false">IF(ISBLANK(C270), "", IF(T270, Constants!$B$11, IF(COUNTA(E270:K270)=0, Constants!$B$12, IF(NOT(AND(P270,S270&lt;&gt;0)), Constants!$B$13, IF(O270, Constants!$B$15, Constants!$B$14)))))</f>
        <v/>
      </c>
      <c r="W270" s="85" t="str">
        <f aca="false">IF(OR(ISBLANK($C270), SUMPRODUCT(--(P270:T270&lt;&gt;""))=0), "", IF(V270&lt;&gt;Constants!$B$14, V270, IF(AND(NOT(ISBLANK(J270)),P270,Q270,R270&lt;&gt;Constants!$B$2), Constants!$B$7, IF(AND(P270,OR(NOT(Q270),R270=Constants!$B$2)), Constants!$B$8, "Error"))))</f>
        <v/>
      </c>
      <c r="X270" s="87" t="str">
        <f aca="false">IF(OR(W270=Constants!$B$7,W270=Constants!$B$8), MAX(0, MIN(Constants!$B$6, S270))+IF(AND(R270=Constants!$B$4, NOT(U270)), Constants!$B$5, 0), "")</f>
        <v/>
      </c>
      <c r="Y270" s="85" t="str">
        <f aca="false">IF(ISBLANK($C270),"",IF(AND(ISNUMBER(X270),N270&gt;0),X270/N270, "") )</f>
        <v/>
      </c>
      <c r="Z270" s="85" t="str">
        <f aca="false">IF(AND(NOT(ISBLANK($C270)), W270=Constants!$B$7), Y270, "")</f>
        <v/>
      </c>
      <c r="AA270" s="85" t="str">
        <f aca="false">IF(ISNUMBER(Z270), RANK(Z270,Z$8:Z$507), "")</f>
        <v/>
      </c>
      <c r="AB270" s="85" t="str">
        <f aca="false">IF(AND(NOT(ISBLANK($C270)), W270=Constants!$B$8), Y270, "")</f>
        <v/>
      </c>
      <c r="AC270" s="85" t="str">
        <f aca="false">IF(ISNUMBER(AB270), RANK(AB270,AB$8:AB$507), "")</f>
        <v/>
      </c>
      <c r="AD270" s="85" t="str">
        <f aca="false">IF(ISBLANK($C270),"",IF(V270&lt;&gt;Constants!$B$14, V270, IF(W270=Constants!$B$7, AA270, IF(W270=Constants!$B$8, COUNT($AA$8:$AA$507) + AC270, ""))))</f>
        <v/>
      </c>
      <c r="AE270" s="85" t="str">
        <f aca="false">N270</f>
        <v/>
      </c>
      <c r="AF270" s="85" t="str">
        <f aca="false">IF(ISNUMBER(AE270), RANK(AE270,AE$8:AE$507,1), "")</f>
        <v/>
      </c>
      <c r="AG270" s="88" t="str">
        <f aca="false">IF(ISBLANK(C270), "", ABS(M270-S270))</f>
        <v/>
      </c>
      <c r="AH270" s="85" t="str">
        <f aca="false">IF(ISNUMBER(AG270), RANK(AG270,AG$8:AG$507,1), "")</f>
        <v/>
      </c>
      <c r="AI270" s="85" t="str">
        <f aca="false">IF(ISBLANK(C270),"",IF(V270&lt;&gt;Constants!$B$14, V270, RANK(AD270, AD$8:AD$507, 1)+ SUMPRODUCT(--(AD$8:AD$507=AD270),--(AF270&gt;AF$8:AF$507)) + SUMPRODUCT(--(AD$8:AD$507=AD270),--(AF270=AF$8:AF$507),--(AH270&gt;AH$8:AH$507))))</f>
        <v/>
      </c>
      <c r="AJ270" s="85" t="str">
        <f aca="false">IF(ISBLANK(C270),"",IF(V270&lt;&gt;Constants!$B$14, V270, AD270-AI270))</f>
        <v/>
      </c>
      <c r="AK270" s="89"/>
      <c r="AL270" s="90" t="str">
        <f aca="false">IF(ISBLANK($C270),"",IF($V270&lt;&gt;Constants!$B$14,$V270,X270))</f>
        <v/>
      </c>
      <c r="AM270" s="90" t="str">
        <f aca="false">IF(ISBLANK($C270),"",IF($V270&lt;&gt;Constants!$B$14,$V270,N270))</f>
        <v/>
      </c>
      <c r="AN270" s="91" t="str">
        <f aca="false">IF(ISBLANK(C270),"",IF(V270&lt;&gt;Constants!$B$14, V270, IF(W270=Constants!$B$7,Z270,IF(W270=Constants!$B$8,AB270,""))))</f>
        <v/>
      </c>
      <c r="AO270" s="92" t="str">
        <f aca="false">IF(ISBLANK(C270),"",W270)</f>
        <v/>
      </c>
      <c r="AP270" s="92" t="str">
        <f aca="false">IF(ISBLANK(C270),"",AJ270)</f>
        <v/>
      </c>
      <c r="AQ270" s="92" t="str">
        <f aca="false">IF(ISBLANK(C270),"",AI270)</f>
        <v/>
      </c>
      <c r="AR270" s="93" t="str">
        <f aca="false">IF(ISBLANK(C270),
  "",
IF(AQ270=Constants!$B$11,COUNTA($C$8:$C$507)+2,IF(AQ270=Constants!$B$12,COUNTA($C$8:$C$507)+1,IF(AQ270=Constants!$B$13,COUNTA($C$8:$C$507),AQ270))))</f>
        <v/>
      </c>
      <c r="AS270" s="3"/>
      <c r="AT270" s="94" t="n">
        <f aca="false">IF(OR(ISNUMBER(AQ270),AQ270="DQ",AQ270="P",AQ270="NS"),
    1,
    0
)</f>
        <v>0</v>
      </c>
      <c r="AU270" s="94" t="n">
        <v>263</v>
      </c>
      <c r="AV270" s="94" t="str">
        <f aca="false">IF(ISBLANK($C270),
    "",
   IF(ISNUMBER(AR270),AR270+ROW($B270)/1000,"")
)</f>
        <v/>
      </c>
      <c r="AW270" s="94" t="str">
        <f aca="false">IF(ISNUMBER(AV270), RANK(AV270,AV$8:AV$507,1), "")</f>
        <v/>
      </c>
      <c r="AX270" s="94" t="str">
        <f aca="false">IF(ISBLANK($C270),
    "",
    $B270
)</f>
        <v/>
      </c>
      <c r="AY270" s="94" t="str">
        <f aca="false">IF(ISBLANK($C270),
    "",
    $C270
)</f>
        <v/>
      </c>
      <c r="AZ270" s="94" t="str">
        <f aca="false">IF(ISBLANK($C270),
    "",
    $D270
)</f>
        <v/>
      </c>
      <c r="BA270" s="94" t="str">
        <f aca="false">AO270</f>
        <v/>
      </c>
      <c r="BB270" s="95" t="str">
        <f aca="false">AN270</f>
        <v/>
      </c>
      <c r="BC270" s="94" t="str">
        <f aca="false">IF(ISBLANK($C270),
    "",
    AQ270
)</f>
        <v/>
      </c>
      <c r="BD270" s="96" t="str">
        <f aca="false">IF(AU270&gt;AT$7,
    "",
    VLOOKUP(AU270,AW$8:BC$507,7,FALSE())
)</f>
        <v/>
      </c>
      <c r="BE270" s="97" t="str">
        <f aca="false">IF(AU270&gt;AT$7,
    "",
    VLOOKUP(AU270,AW$8:BC$507,2,FALSE())
)</f>
        <v/>
      </c>
      <c r="BF270" s="97" t="str">
        <f aca="false">IF(AU270&gt;AT$7,
    "",
    VLOOKUP(AU270,AW$8:BC$507,3,FALSE())
)</f>
        <v/>
      </c>
      <c r="BG270" s="97" t="str">
        <f aca="false">IF(AU270&gt;AT$7,
    "",
    VLOOKUP(AU270,AW$8:BC$507,4,FALSE())
)</f>
        <v/>
      </c>
      <c r="BH270" s="97" t="str">
        <f aca="false">IF(AU270&gt;AT$7,
    "",
    VLOOKUP(AU270,AW$8:BC$507,5,FALSE())
)</f>
        <v/>
      </c>
      <c r="BI270" s="98" t="str">
        <f aca="false">IF(AU270&gt;AT$7,
    "",
    VLOOKUP(AU270,AW$8:BC$507,6,FALSE())
)</f>
        <v/>
      </c>
      <c r="BJ270" s="46"/>
    </row>
    <row r="271" customFormat="false" ht="15.75" hidden="false" customHeight="false" outlineLevel="0" collapsed="false">
      <c r="A271" s="3"/>
      <c r="B271" s="105"/>
      <c r="C271" s="106"/>
      <c r="D271" s="99"/>
      <c r="E271" s="110"/>
      <c r="F271" s="107"/>
      <c r="G271" s="110"/>
      <c r="H271" s="103"/>
      <c r="I271" s="102"/>
      <c r="J271" s="103"/>
      <c r="K271" s="103"/>
      <c r="L271" s="85"/>
      <c r="M271" s="85" t="str">
        <f aca="false">IF(ISBLANK($C271),"",IF(ISBLANK(E271),0,E271))</f>
        <v/>
      </c>
      <c r="N271" s="85" t="str">
        <f aca="false">IF(ISBLANK($C271),"",IF(ISBLANK(F271),0,F271))</f>
        <v/>
      </c>
      <c r="O271" s="86" t="e">
        <f aca="false">IF(AND(NOT(ISBLANK($C271)),NOT($T271),COUNTA($E271:$K271)&gt;0),ISBLANK($F271),FALSE())</f>
        <v>#VALUE!</v>
      </c>
      <c r="P271" s="85" t="str">
        <f aca="false">IF(ISBLANK($C271),"",IF(G271=Constants!$B$9, TRUE(), IF(G271=Constants!$B$10, FALSE(), TRUE())))</f>
        <v/>
      </c>
      <c r="Q271" s="85" t="str">
        <f aca="false">IF(ISBLANK($C271),"",IF(H271=Constants!$B$9, TRUE(), IF(H271=Constants!$B$10, FALSE(), TRUE())))</f>
        <v/>
      </c>
      <c r="R271" s="85" t="str">
        <f aca="false">IF(ISBLANK($C271),"",IF(ISBLANK(I271),Constants!$B$3,I271))</f>
        <v/>
      </c>
      <c r="S271" s="85" t="str">
        <f aca="false">IF(ISBLANK($C271),"",IF(ISBLANK(J271),0,MIN(J271,Constants!$B$6)))</f>
        <v/>
      </c>
      <c r="T271" s="85" t="str">
        <f aca="false">IF(ISBLANK($C271),"",IF(K271=Constants!$B$9, TRUE(), IF(K271=Constants!$B$10, FALSE(),  FALSE())))</f>
        <v/>
      </c>
      <c r="U271" s="85" t="str">
        <f aca="false">IF(ISBLANK($C271),"",AND(R271=Constants!$B$4, S271&lt;Constants!$B$6))</f>
        <v/>
      </c>
      <c r="V271" s="85" t="str">
        <f aca="false">IF(ISBLANK(C271), "", IF(T271, Constants!$B$11, IF(COUNTA(E271:K271)=0, Constants!$B$12, IF(NOT(AND(P271,S271&lt;&gt;0)), Constants!$B$13, IF(O271, Constants!$B$15, Constants!$B$14)))))</f>
        <v/>
      </c>
      <c r="W271" s="85" t="str">
        <f aca="false">IF(OR(ISBLANK($C271), SUMPRODUCT(--(P271:T271&lt;&gt;""))=0), "", IF(V271&lt;&gt;Constants!$B$14, V271, IF(AND(NOT(ISBLANK(J271)),P271,Q271,R271&lt;&gt;Constants!$B$2), Constants!$B$7, IF(AND(P271,OR(NOT(Q271),R271=Constants!$B$2)), Constants!$B$8, "Error"))))</f>
        <v/>
      </c>
      <c r="X271" s="87" t="str">
        <f aca="false">IF(OR(W271=Constants!$B$7,W271=Constants!$B$8), MAX(0, MIN(Constants!$B$6, S271))+IF(AND(R271=Constants!$B$4, NOT(U271)), Constants!$B$5, 0), "")</f>
        <v/>
      </c>
      <c r="Y271" s="85" t="str">
        <f aca="false">IF(ISBLANK($C271),"",IF(AND(ISNUMBER(X271),N271&gt;0),X271/N271, "") )</f>
        <v/>
      </c>
      <c r="Z271" s="85" t="str">
        <f aca="false">IF(AND(NOT(ISBLANK($C271)), W271=Constants!$B$7), Y271, "")</f>
        <v/>
      </c>
      <c r="AA271" s="85" t="str">
        <f aca="false">IF(ISNUMBER(Z271), RANK(Z271,Z$8:Z$507), "")</f>
        <v/>
      </c>
      <c r="AB271" s="85" t="str">
        <f aca="false">IF(AND(NOT(ISBLANK($C271)), W271=Constants!$B$8), Y271, "")</f>
        <v/>
      </c>
      <c r="AC271" s="85" t="str">
        <f aca="false">IF(ISNUMBER(AB271), RANK(AB271,AB$8:AB$507), "")</f>
        <v/>
      </c>
      <c r="AD271" s="85" t="str">
        <f aca="false">IF(ISBLANK($C271),"",IF(V271&lt;&gt;Constants!$B$14, V271, IF(W271=Constants!$B$7, AA271, IF(W271=Constants!$B$8, COUNT($AA$8:$AA$507) + AC271, ""))))</f>
        <v/>
      </c>
      <c r="AE271" s="85" t="str">
        <f aca="false">N271</f>
        <v/>
      </c>
      <c r="AF271" s="85" t="str">
        <f aca="false">IF(ISNUMBER(AE271), RANK(AE271,AE$8:AE$507,1), "")</f>
        <v/>
      </c>
      <c r="AG271" s="88" t="str">
        <f aca="false">IF(ISBLANK(C271), "", ABS(M271-S271))</f>
        <v/>
      </c>
      <c r="AH271" s="85" t="str">
        <f aca="false">IF(ISNUMBER(AG271), RANK(AG271,AG$8:AG$507,1), "")</f>
        <v/>
      </c>
      <c r="AI271" s="85" t="str">
        <f aca="false">IF(ISBLANK(C271),"",IF(V271&lt;&gt;Constants!$B$14, V271, RANK(AD271, AD$8:AD$507, 1)+ SUMPRODUCT(--(AD$8:AD$507=AD271),--(AF271&gt;AF$8:AF$507)) + SUMPRODUCT(--(AD$8:AD$507=AD271),--(AF271=AF$8:AF$507),--(AH271&gt;AH$8:AH$507))))</f>
        <v/>
      </c>
      <c r="AJ271" s="85" t="str">
        <f aca="false">IF(ISBLANK(C271),"",IF(V271&lt;&gt;Constants!$B$14, V271, AD271-AI271))</f>
        <v/>
      </c>
      <c r="AK271" s="89"/>
      <c r="AL271" s="90" t="str">
        <f aca="false">IF(ISBLANK($C271),"",IF($V271&lt;&gt;Constants!$B$14,$V271,X271))</f>
        <v/>
      </c>
      <c r="AM271" s="90" t="str">
        <f aca="false">IF(ISBLANK($C271),"",IF($V271&lt;&gt;Constants!$B$14,$V271,N271))</f>
        <v/>
      </c>
      <c r="AN271" s="91" t="str">
        <f aca="false">IF(ISBLANK(C271),"",IF(V271&lt;&gt;Constants!$B$14, V271, IF(W271=Constants!$B$7,Z271,IF(W271=Constants!$B$8,AB271,""))))</f>
        <v/>
      </c>
      <c r="AO271" s="92" t="str">
        <f aca="false">IF(ISBLANK(C271),"",W271)</f>
        <v/>
      </c>
      <c r="AP271" s="92" t="str">
        <f aca="false">IF(ISBLANK(C271),"",AJ271)</f>
        <v/>
      </c>
      <c r="AQ271" s="92" t="str">
        <f aca="false">IF(ISBLANK(C271),"",AI271)</f>
        <v/>
      </c>
      <c r="AR271" s="93" t="str">
        <f aca="false">IF(ISBLANK(C271),
  "",
IF(AQ271=Constants!$B$11,COUNTA($C$8:$C$507)+2,IF(AQ271=Constants!$B$12,COUNTA($C$8:$C$507)+1,IF(AQ271=Constants!$B$13,COUNTA($C$8:$C$507),AQ271))))</f>
        <v/>
      </c>
      <c r="AS271" s="3"/>
      <c r="AT271" s="94" t="n">
        <f aca="false">IF(OR(ISNUMBER(AQ271),AQ271="DQ",AQ271="P",AQ271="NS"),
    1,
    0
)</f>
        <v>0</v>
      </c>
      <c r="AU271" s="94" t="n">
        <v>264</v>
      </c>
      <c r="AV271" s="94" t="str">
        <f aca="false">IF(ISBLANK($C271),
    "",
   IF(ISNUMBER(AR271),AR271+ROW($B271)/1000,"")
)</f>
        <v/>
      </c>
      <c r="AW271" s="94" t="str">
        <f aca="false">IF(ISNUMBER(AV271), RANK(AV271,AV$8:AV$507,1), "")</f>
        <v/>
      </c>
      <c r="AX271" s="94" t="str">
        <f aca="false">IF(ISBLANK($C271),
    "",
    $B271
)</f>
        <v/>
      </c>
      <c r="AY271" s="94" t="str">
        <f aca="false">IF(ISBLANK($C271),
    "",
    $C271
)</f>
        <v/>
      </c>
      <c r="AZ271" s="94" t="str">
        <f aca="false">IF(ISBLANK($C271),
    "",
    $D271
)</f>
        <v/>
      </c>
      <c r="BA271" s="94" t="str">
        <f aca="false">AO271</f>
        <v/>
      </c>
      <c r="BB271" s="95" t="str">
        <f aca="false">AN271</f>
        <v/>
      </c>
      <c r="BC271" s="94" t="str">
        <f aca="false">IF(ISBLANK($C271),
    "",
    AQ271
)</f>
        <v/>
      </c>
      <c r="BD271" s="96" t="str">
        <f aca="false">IF(AU271&gt;AT$7,
    "",
    VLOOKUP(AU271,AW$8:BC$507,7,FALSE())
)</f>
        <v/>
      </c>
      <c r="BE271" s="97" t="str">
        <f aca="false">IF(AU271&gt;AT$7,
    "",
    VLOOKUP(AU271,AW$8:BC$507,2,FALSE())
)</f>
        <v/>
      </c>
      <c r="BF271" s="97" t="str">
        <f aca="false">IF(AU271&gt;AT$7,
    "",
    VLOOKUP(AU271,AW$8:BC$507,3,FALSE())
)</f>
        <v/>
      </c>
      <c r="BG271" s="97" t="str">
        <f aca="false">IF(AU271&gt;AT$7,
    "",
    VLOOKUP(AU271,AW$8:BC$507,4,FALSE())
)</f>
        <v/>
      </c>
      <c r="BH271" s="97" t="str">
        <f aca="false">IF(AU271&gt;AT$7,
    "",
    VLOOKUP(AU271,AW$8:BC$507,5,FALSE())
)</f>
        <v/>
      </c>
      <c r="BI271" s="98" t="str">
        <f aca="false">IF(AU271&gt;AT$7,
    "",
    VLOOKUP(AU271,AW$8:BC$507,6,FALSE())
)</f>
        <v/>
      </c>
      <c r="BJ271" s="46"/>
    </row>
    <row r="272" customFormat="false" ht="15.75" hidden="false" customHeight="false" outlineLevel="0" collapsed="false">
      <c r="A272" s="3"/>
      <c r="B272" s="108"/>
      <c r="C272" s="70"/>
      <c r="D272" s="49"/>
      <c r="E272" s="109"/>
      <c r="F272" s="72"/>
      <c r="G272" s="109"/>
      <c r="H272" s="74"/>
      <c r="I272" s="104"/>
      <c r="J272" s="74"/>
      <c r="K272" s="74"/>
      <c r="L272" s="55"/>
      <c r="M272" s="55" t="str">
        <f aca="false">IF(ISBLANK($C272),"",IF(ISBLANK(E272),0,E272))</f>
        <v/>
      </c>
      <c r="N272" s="55" t="str">
        <f aca="false">IF(ISBLANK($C272),"",IF(ISBLANK(F272),0,F272))</f>
        <v/>
      </c>
      <c r="O272" s="55" t="e">
        <f aca="false">IF(AND(NOT(ISBLANK($C272)),NOT($T272),COUNTA($E272:$K272)&gt;0),ISBLANK($F272),FALSE())</f>
        <v>#VALUE!</v>
      </c>
      <c r="P272" s="55" t="str">
        <f aca="false">IF(ISBLANK($C272),"",IF(G272=Constants!$B$9, TRUE(), IF(G272=Constants!$B$10, FALSE(), TRUE())))</f>
        <v/>
      </c>
      <c r="Q272" s="55" t="str">
        <f aca="false">IF(ISBLANK($C272),"",IF(H272=Constants!$B$9, TRUE(), IF(H272=Constants!$B$10, FALSE(), TRUE())))</f>
        <v/>
      </c>
      <c r="R272" s="55" t="str">
        <f aca="false">IF(ISBLANK($C272),"",IF(ISBLANK(I272),Constants!$B$3,I272))</f>
        <v/>
      </c>
      <c r="S272" s="55" t="str">
        <f aca="false">IF(ISBLANK($C272),"",IF(ISBLANK(J272),0,MIN(J272,Constants!$B$6)))</f>
        <v/>
      </c>
      <c r="T272" s="55" t="str">
        <f aca="false">IF(ISBLANK($C272),"",IF(K272=Constants!$B$9, TRUE(), IF(K272=Constants!$B$10, FALSE(),  FALSE())))</f>
        <v/>
      </c>
      <c r="U272" s="55" t="str">
        <f aca="false">IF(ISBLANK($C272),"",AND(R272=Constants!$B$4, S272&lt;Constants!$B$6))</f>
        <v/>
      </c>
      <c r="V272" s="55" t="str">
        <f aca="false">IF(ISBLANK(C272), "", IF(T272, Constants!$B$11, IF(COUNTA(E272:K272)=0, Constants!$B$12, IF(NOT(AND(P272,S272&lt;&gt;0)), Constants!$B$13, IF(O272, Constants!$B$15, Constants!$B$14)))))</f>
        <v/>
      </c>
      <c r="W272" s="55" t="str">
        <f aca="false">IF(OR(ISBLANK($C272), SUMPRODUCT(--(P272:T272&lt;&gt;""))=0), "", IF(V272&lt;&gt;Constants!$B$14, V272, IF(AND(NOT(ISBLANK(J272)),P272,Q272,R272&lt;&gt;Constants!$B$2), Constants!$B$7, IF(AND(P272,OR(NOT(Q272),R272=Constants!$B$2)), Constants!$B$8, "Error"))))</f>
        <v/>
      </c>
      <c r="X272" s="56" t="str">
        <f aca="false">IF(OR(W272=Constants!$B$7,W272=Constants!$B$8), MAX(0, MIN(Constants!$B$6, S272))+IF(AND(R272=Constants!$B$4, NOT(U272)), Constants!$B$5, 0), "")</f>
        <v/>
      </c>
      <c r="Y272" s="55" t="str">
        <f aca="false">IF(ISBLANK($C272),"",IF(AND(ISNUMBER(X272),N272&gt;0),X272/N272, "") )</f>
        <v/>
      </c>
      <c r="Z272" s="55" t="str">
        <f aca="false">IF(AND(NOT(ISBLANK($C272)), W272=Constants!$B$7), Y272, "")</f>
        <v/>
      </c>
      <c r="AA272" s="55" t="str">
        <f aca="false">IF(ISNUMBER(Z272), RANK(Z272,Z$8:Z$507), "")</f>
        <v/>
      </c>
      <c r="AB272" s="55" t="str">
        <f aca="false">IF(AND(NOT(ISBLANK($C272)), W272=Constants!$B$8), Y272, "")</f>
        <v/>
      </c>
      <c r="AC272" s="55" t="str">
        <f aca="false">IF(ISNUMBER(AB272), RANK(AB272,AB$8:AB$507), "")</f>
        <v/>
      </c>
      <c r="AD272" s="55" t="str">
        <f aca="false">IF(ISBLANK($C272),"",IF(V272&lt;&gt;Constants!$B$14, V272, IF(W272=Constants!$B$7, AA272, IF(W272=Constants!$B$8, COUNT($AA$8:$AA$507) + AC272, ""))))</f>
        <v/>
      </c>
      <c r="AE272" s="55" t="str">
        <f aca="false">N272</f>
        <v/>
      </c>
      <c r="AF272" s="55" t="str">
        <f aca="false">IF(ISNUMBER(AE272), RANK(AE272,AE$8:AE$507,1), "")</f>
        <v/>
      </c>
      <c r="AG272" s="57" t="str">
        <f aca="false">IF(ISBLANK(C272), "", ABS(M272-S272))</f>
        <v/>
      </c>
      <c r="AH272" s="55" t="str">
        <f aca="false">IF(ISNUMBER(AG272), RANK(AG272,AG$8:AG$507,1), "")</f>
        <v/>
      </c>
      <c r="AI272" s="55" t="str">
        <f aca="false">IF(ISBLANK(C272),"",IF(V272&lt;&gt;Constants!$B$14, V272, RANK(AD272, AD$8:AD$507, 1)+ SUMPRODUCT(--(AD$8:AD$507=AD272),--(AF272&gt;AF$8:AF$507)) + SUMPRODUCT(--(AD$8:AD$507=AD272),--(AF272=AF$8:AF$507),--(AH272&gt;AH$8:AH$507))))</f>
        <v/>
      </c>
      <c r="AJ272" s="55" t="str">
        <f aca="false">IF(ISBLANK(C272),"",IF(V272&lt;&gt;Constants!$B$14, V272, AD272-AI272))</f>
        <v/>
      </c>
      <c r="AK272" s="59"/>
      <c r="AL272" s="60" t="str">
        <f aca="false">IF(ISBLANK($C272),"",IF($V272&lt;&gt;Constants!$B$14,$V272,X272))</f>
        <v/>
      </c>
      <c r="AM272" s="60" t="str">
        <f aca="false">IF(ISBLANK($C272),"",IF($V272&lt;&gt;Constants!$B$14,$V272,N272))</f>
        <v/>
      </c>
      <c r="AN272" s="62" t="str">
        <f aca="false">IF(ISBLANK(C272),"",IF(V272&lt;&gt;Constants!$B$14, V272, IF(W272=Constants!$B$7,Z272,IF(W272=Constants!$B$8,AB272,""))))</f>
        <v/>
      </c>
      <c r="AO272" s="63" t="str">
        <f aca="false">IF(ISBLANK(C272),"",W272)</f>
        <v/>
      </c>
      <c r="AP272" s="63" t="str">
        <f aca="false">IF(ISBLANK(C272),"",AJ272)</f>
        <v/>
      </c>
      <c r="AQ272" s="63" t="str">
        <f aca="false">IF(ISBLANK(C272),"",AI272)</f>
        <v/>
      </c>
      <c r="AR272" s="64" t="str">
        <f aca="false">IF(ISBLANK(C272),
  "",
IF(AQ272=Constants!$B$11,COUNTA($C$8:$C$507)+2,IF(AQ272=Constants!$B$12,COUNTA($C$8:$C$507)+1,IF(AQ272=Constants!$B$13,COUNTA($C$8:$C$507),AQ272))))</f>
        <v/>
      </c>
      <c r="AS272" s="3"/>
      <c r="AT272" s="65" t="n">
        <f aca="false">IF(OR(ISNUMBER(AQ272),AQ272="DQ",AQ272="P",AQ272="NS"),
    1,
    0
)</f>
        <v>0</v>
      </c>
      <c r="AU272" s="65" t="n">
        <v>265</v>
      </c>
      <c r="AV272" s="65" t="str">
        <f aca="false">IF(ISBLANK($C272),
    "",
   IF(ISNUMBER(AR272),AR272+ROW($B272)/1000,"")
)</f>
        <v/>
      </c>
      <c r="AW272" s="65" t="str">
        <f aca="false">IF(ISNUMBER(AV272), RANK(AV272,AV$8:AV$507,1), "")</f>
        <v/>
      </c>
      <c r="AX272" s="65" t="str">
        <f aca="false">IF(ISBLANK($C272),
    "",
    $B272
)</f>
        <v/>
      </c>
      <c r="AY272" s="65" t="str">
        <f aca="false">IF(ISBLANK($C272),
    "",
    $C272
)</f>
        <v/>
      </c>
      <c r="AZ272" s="65" t="str">
        <f aca="false">IF(ISBLANK($C272),
    "",
    $D272
)</f>
        <v/>
      </c>
      <c r="BA272" s="65" t="str">
        <f aca="false">AO272</f>
        <v/>
      </c>
      <c r="BB272" s="66" t="str">
        <f aca="false">AN272</f>
        <v/>
      </c>
      <c r="BC272" s="65" t="str">
        <f aca="false">IF(ISBLANK($C272),
    "",
    AQ272
)</f>
        <v/>
      </c>
      <c r="BD272" s="67" t="str">
        <f aca="false">IF(AU272&gt;AT$7,
    "",
    VLOOKUP(AU272,AW$8:BC$507,7,FALSE())
)</f>
        <v/>
      </c>
      <c r="BE272" s="68" t="str">
        <f aca="false">IF(AU272&gt;AT$7,
    "",
    VLOOKUP(AU272,AW$8:BC$507,2,FALSE())
)</f>
        <v/>
      </c>
      <c r="BF272" s="68" t="str">
        <f aca="false">IF(AU272&gt;AT$7,
    "",
    VLOOKUP(AU272,AW$8:BC$507,3,FALSE())
)</f>
        <v/>
      </c>
      <c r="BG272" s="68" t="str">
        <f aca="false">IF(AU272&gt;AT$7,
    "",
    VLOOKUP(AU272,AW$8:BC$507,4,FALSE())
)</f>
        <v/>
      </c>
      <c r="BH272" s="68" t="str">
        <f aca="false">IF(AU272&gt;AT$7,
    "",
    VLOOKUP(AU272,AW$8:BC$507,5,FALSE())
)</f>
        <v/>
      </c>
      <c r="BI272" s="69" t="str">
        <f aca="false">IF(AU272&gt;AT$7,
    "",
    VLOOKUP(AU272,AW$8:BC$507,6,FALSE())
)</f>
        <v/>
      </c>
      <c r="BJ272" s="46"/>
    </row>
    <row r="273" customFormat="false" ht="15.75" hidden="false" customHeight="false" outlineLevel="0" collapsed="false">
      <c r="A273" s="3"/>
      <c r="B273" s="108"/>
      <c r="C273" s="70"/>
      <c r="D273" s="49"/>
      <c r="E273" s="109"/>
      <c r="F273" s="72"/>
      <c r="G273" s="109"/>
      <c r="H273" s="74"/>
      <c r="I273" s="104"/>
      <c r="J273" s="74"/>
      <c r="K273" s="74"/>
      <c r="L273" s="55"/>
      <c r="M273" s="55" t="str">
        <f aca="false">IF(ISBLANK($C273),"",IF(ISBLANK(E273),0,E273))</f>
        <v/>
      </c>
      <c r="N273" s="55" t="str">
        <f aca="false">IF(ISBLANK($C273),"",IF(ISBLANK(F273),0,F273))</f>
        <v/>
      </c>
      <c r="O273" s="55" t="e">
        <f aca="false">IF(AND(NOT(ISBLANK($C273)),NOT($T273),COUNTA($E273:$K273)&gt;0),ISBLANK($F273),FALSE())</f>
        <v>#VALUE!</v>
      </c>
      <c r="P273" s="55" t="str">
        <f aca="false">IF(ISBLANK($C273),"",IF(G273=Constants!$B$9, TRUE(), IF(G273=Constants!$B$10, FALSE(), TRUE())))</f>
        <v/>
      </c>
      <c r="Q273" s="55" t="str">
        <f aca="false">IF(ISBLANK($C273),"",IF(H273=Constants!$B$9, TRUE(), IF(H273=Constants!$B$10, FALSE(), TRUE())))</f>
        <v/>
      </c>
      <c r="R273" s="55" t="str">
        <f aca="false">IF(ISBLANK($C273),"",IF(ISBLANK(I273),Constants!$B$3,I273))</f>
        <v/>
      </c>
      <c r="S273" s="55" t="str">
        <f aca="false">IF(ISBLANK($C273),"",IF(ISBLANK(J273),0,MIN(J273,Constants!$B$6)))</f>
        <v/>
      </c>
      <c r="T273" s="55" t="str">
        <f aca="false">IF(ISBLANK($C273),"",IF(K273=Constants!$B$9, TRUE(), IF(K273=Constants!$B$10, FALSE(),  FALSE())))</f>
        <v/>
      </c>
      <c r="U273" s="55" t="str">
        <f aca="false">IF(ISBLANK($C273),"",AND(R273=Constants!$B$4, S273&lt;Constants!$B$6))</f>
        <v/>
      </c>
      <c r="V273" s="55" t="str">
        <f aca="false">IF(ISBLANK(C273), "", IF(T273, Constants!$B$11, IF(COUNTA(E273:K273)=0, Constants!$B$12, IF(NOT(AND(P273,S273&lt;&gt;0)), Constants!$B$13, IF(O273, Constants!$B$15, Constants!$B$14)))))</f>
        <v/>
      </c>
      <c r="W273" s="55" t="str">
        <f aca="false">IF(OR(ISBLANK($C273), SUMPRODUCT(--(P273:T273&lt;&gt;""))=0), "", IF(V273&lt;&gt;Constants!$B$14, V273, IF(AND(NOT(ISBLANK(J273)),P273,Q273,R273&lt;&gt;Constants!$B$2), Constants!$B$7, IF(AND(P273,OR(NOT(Q273),R273=Constants!$B$2)), Constants!$B$8, "Error"))))</f>
        <v/>
      </c>
      <c r="X273" s="56" t="str">
        <f aca="false">IF(OR(W273=Constants!$B$7,W273=Constants!$B$8), MAX(0, MIN(Constants!$B$6, S273))+IF(AND(R273=Constants!$B$4, NOT(U273)), Constants!$B$5, 0), "")</f>
        <v/>
      </c>
      <c r="Y273" s="55" t="str">
        <f aca="false">IF(ISBLANK($C273),"",IF(AND(ISNUMBER(X273),N273&gt;0),X273/N273, "") )</f>
        <v/>
      </c>
      <c r="Z273" s="55" t="str">
        <f aca="false">IF(AND(NOT(ISBLANK($C273)), W273=Constants!$B$7), Y273, "")</f>
        <v/>
      </c>
      <c r="AA273" s="55" t="str">
        <f aca="false">IF(ISNUMBER(Z273), RANK(Z273,Z$8:Z$507), "")</f>
        <v/>
      </c>
      <c r="AB273" s="55" t="str">
        <f aca="false">IF(AND(NOT(ISBLANK($C273)), W273=Constants!$B$8), Y273, "")</f>
        <v/>
      </c>
      <c r="AC273" s="55" t="str">
        <f aca="false">IF(ISNUMBER(AB273), RANK(AB273,AB$8:AB$507), "")</f>
        <v/>
      </c>
      <c r="AD273" s="55" t="str">
        <f aca="false">IF(ISBLANK($C273),"",IF(V273&lt;&gt;Constants!$B$14, V273, IF(W273=Constants!$B$7, AA273, IF(W273=Constants!$B$8, COUNT($AA$8:$AA$507) + AC273, ""))))</f>
        <v/>
      </c>
      <c r="AE273" s="55" t="str">
        <f aca="false">N273</f>
        <v/>
      </c>
      <c r="AF273" s="55" t="str">
        <f aca="false">IF(ISNUMBER(AE273), RANK(AE273,AE$8:AE$507,1), "")</f>
        <v/>
      </c>
      <c r="AG273" s="57" t="str">
        <f aca="false">IF(ISBLANK(C273), "", ABS(M273-S273))</f>
        <v/>
      </c>
      <c r="AH273" s="55" t="str">
        <f aca="false">IF(ISNUMBER(AG273), RANK(AG273,AG$8:AG$507,1), "")</f>
        <v/>
      </c>
      <c r="AI273" s="55" t="str">
        <f aca="false">IF(ISBLANK(C273),"",IF(V273&lt;&gt;Constants!$B$14, V273, RANK(AD273, AD$8:AD$507, 1)+ SUMPRODUCT(--(AD$8:AD$507=AD273),--(AF273&gt;AF$8:AF$507)) + SUMPRODUCT(--(AD$8:AD$507=AD273),--(AF273=AF$8:AF$507),--(AH273&gt;AH$8:AH$507))))</f>
        <v/>
      </c>
      <c r="AJ273" s="55" t="str">
        <f aca="false">IF(ISBLANK(C273),"",IF(V273&lt;&gt;Constants!$B$14, V273, AD273-AI273))</f>
        <v/>
      </c>
      <c r="AK273" s="59"/>
      <c r="AL273" s="60" t="str">
        <f aca="false">IF(ISBLANK($C273),"",IF($V273&lt;&gt;Constants!$B$14,$V273,X273))</f>
        <v/>
      </c>
      <c r="AM273" s="60" t="str">
        <f aca="false">IF(ISBLANK($C273),"",IF($V273&lt;&gt;Constants!$B$14,$V273,N273))</f>
        <v/>
      </c>
      <c r="AN273" s="62" t="str">
        <f aca="false">IF(ISBLANK(C273),"",IF(V273&lt;&gt;Constants!$B$14, V273, IF(W273=Constants!$B$7,Z273,IF(W273=Constants!$B$8,AB273,""))))</f>
        <v/>
      </c>
      <c r="AO273" s="63" t="str">
        <f aca="false">IF(ISBLANK(C273),"",W273)</f>
        <v/>
      </c>
      <c r="AP273" s="63" t="str">
        <f aca="false">IF(ISBLANK(C273),"",AJ273)</f>
        <v/>
      </c>
      <c r="AQ273" s="63" t="str">
        <f aca="false">IF(ISBLANK(C273),"",AI273)</f>
        <v/>
      </c>
      <c r="AR273" s="64" t="str">
        <f aca="false">IF(ISBLANK(C273),
  "",
IF(AQ273=Constants!$B$11,COUNTA($C$8:$C$507)+2,IF(AQ273=Constants!$B$12,COUNTA($C$8:$C$507)+1,IF(AQ273=Constants!$B$13,COUNTA($C$8:$C$507),AQ273))))</f>
        <v/>
      </c>
      <c r="AS273" s="3"/>
      <c r="AT273" s="65" t="n">
        <f aca="false">IF(OR(ISNUMBER(AQ273),AQ273="DQ",AQ273="P",AQ273="NS"),
    1,
    0
)</f>
        <v>0</v>
      </c>
      <c r="AU273" s="65" t="n">
        <v>266</v>
      </c>
      <c r="AV273" s="65" t="str">
        <f aca="false">IF(ISBLANK($C273),
    "",
   IF(ISNUMBER(AR273),AR273+ROW($B273)/1000,"")
)</f>
        <v/>
      </c>
      <c r="AW273" s="65" t="str">
        <f aca="false">IF(ISNUMBER(AV273), RANK(AV273,AV$8:AV$507,1), "")</f>
        <v/>
      </c>
      <c r="AX273" s="65" t="str">
        <f aca="false">IF(ISBLANK($C273),
    "",
    $B273
)</f>
        <v/>
      </c>
      <c r="AY273" s="65" t="str">
        <f aca="false">IF(ISBLANK($C273),
    "",
    $C273
)</f>
        <v/>
      </c>
      <c r="AZ273" s="65" t="str">
        <f aca="false">IF(ISBLANK($C273),
    "",
    $D273
)</f>
        <v/>
      </c>
      <c r="BA273" s="65" t="str">
        <f aca="false">AO273</f>
        <v/>
      </c>
      <c r="BB273" s="66" t="str">
        <f aca="false">AN273</f>
        <v/>
      </c>
      <c r="BC273" s="65" t="str">
        <f aca="false">IF(ISBLANK($C273),
    "",
    AQ273
)</f>
        <v/>
      </c>
      <c r="BD273" s="67" t="str">
        <f aca="false">IF(AU273&gt;AT$7,
    "",
    VLOOKUP(AU273,AW$8:BC$507,7,FALSE())
)</f>
        <v/>
      </c>
      <c r="BE273" s="68" t="str">
        <f aca="false">IF(AU273&gt;AT$7,
    "",
    VLOOKUP(AU273,AW$8:BC$507,2,FALSE())
)</f>
        <v/>
      </c>
      <c r="BF273" s="68" t="str">
        <f aca="false">IF(AU273&gt;AT$7,
    "",
    VLOOKUP(AU273,AW$8:BC$507,3,FALSE())
)</f>
        <v/>
      </c>
      <c r="BG273" s="68" t="str">
        <f aca="false">IF(AU273&gt;AT$7,
    "",
    VLOOKUP(AU273,AW$8:BC$507,4,FALSE())
)</f>
        <v/>
      </c>
      <c r="BH273" s="68" t="str">
        <f aca="false">IF(AU273&gt;AT$7,
    "",
    VLOOKUP(AU273,AW$8:BC$507,5,FALSE())
)</f>
        <v/>
      </c>
      <c r="BI273" s="69" t="str">
        <f aca="false">IF(AU273&gt;AT$7,
    "",
    VLOOKUP(AU273,AW$8:BC$507,6,FALSE())
)</f>
        <v/>
      </c>
      <c r="BJ273" s="46"/>
    </row>
    <row r="274" customFormat="false" ht="15.75" hidden="false" customHeight="false" outlineLevel="0" collapsed="false">
      <c r="A274" s="3"/>
      <c r="B274" s="108"/>
      <c r="C274" s="70"/>
      <c r="D274" s="49"/>
      <c r="E274" s="109"/>
      <c r="F274" s="72"/>
      <c r="G274" s="109"/>
      <c r="H274" s="74"/>
      <c r="I274" s="104"/>
      <c r="J274" s="74"/>
      <c r="K274" s="74"/>
      <c r="L274" s="55"/>
      <c r="M274" s="55" t="str">
        <f aca="false">IF(ISBLANK($C274),"",IF(ISBLANK(E274),0,E274))</f>
        <v/>
      </c>
      <c r="N274" s="55" t="str">
        <f aca="false">IF(ISBLANK($C274),"",IF(ISBLANK(F274),0,F274))</f>
        <v/>
      </c>
      <c r="O274" s="55" t="e">
        <f aca="false">IF(AND(NOT(ISBLANK($C274)),NOT($T274),COUNTA($E274:$K274)&gt;0),ISBLANK($F274),FALSE())</f>
        <v>#VALUE!</v>
      </c>
      <c r="P274" s="55" t="str">
        <f aca="false">IF(ISBLANK($C274),"",IF(G274=Constants!$B$9, TRUE(), IF(G274=Constants!$B$10, FALSE(), TRUE())))</f>
        <v/>
      </c>
      <c r="Q274" s="55" t="str">
        <f aca="false">IF(ISBLANK($C274),"",IF(H274=Constants!$B$9, TRUE(), IF(H274=Constants!$B$10, FALSE(), TRUE())))</f>
        <v/>
      </c>
      <c r="R274" s="55" t="str">
        <f aca="false">IF(ISBLANK($C274),"",IF(ISBLANK(I274),Constants!$B$3,I274))</f>
        <v/>
      </c>
      <c r="S274" s="55" t="str">
        <f aca="false">IF(ISBLANK($C274),"",IF(ISBLANK(J274),0,MIN(J274,Constants!$B$6)))</f>
        <v/>
      </c>
      <c r="T274" s="55" t="str">
        <f aca="false">IF(ISBLANK($C274),"",IF(K274=Constants!$B$9, TRUE(), IF(K274=Constants!$B$10, FALSE(),  FALSE())))</f>
        <v/>
      </c>
      <c r="U274" s="55" t="str">
        <f aca="false">IF(ISBLANK($C274),"",AND(R274=Constants!$B$4, S274&lt;Constants!$B$6))</f>
        <v/>
      </c>
      <c r="V274" s="55" t="str">
        <f aca="false">IF(ISBLANK(C274), "", IF(T274, Constants!$B$11, IF(COUNTA(E274:K274)=0, Constants!$B$12, IF(NOT(AND(P274,S274&lt;&gt;0)), Constants!$B$13, IF(O274, Constants!$B$15, Constants!$B$14)))))</f>
        <v/>
      </c>
      <c r="W274" s="55" t="str">
        <f aca="false">IF(OR(ISBLANK($C274), SUMPRODUCT(--(P274:T274&lt;&gt;""))=0), "", IF(V274&lt;&gt;Constants!$B$14, V274, IF(AND(NOT(ISBLANK(J274)),P274,Q274,R274&lt;&gt;Constants!$B$2), Constants!$B$7, IF(AND(P274,OR(NOT(Q274),R274=Constants!$B$2)), Constants!$B$8, "Error"))))</f>
        <v/>
      </c>
      <c r="X274" s="56" t="str">
        <f aca="false">IF(OR(W274=Constants!$B$7,W274=Constants!$B$8), MAX(0, MIN(Constants!$B$6, S274))+IF(AND(R274=Constants!$B$4, NOT(U274)), Constants!$B$5, 0), "")</f>
        <v/>
      </c>
      <c r="Y274" s="55" t="str">
        <f aca="false">IF(ISBLANK($C274),"",IF(AND(ISNUMBER(X274),N274&gt;0),X274/N274, "") )</f>
        <v/>
      </c>
      <c r="Z274" s="55" t="str">
        <f aca="false">IF(AND(NOT(ISBLANK($C274)), W274=Constants!$B$7), Y274, "")</f>
        <v/>
      </c>
      <c r="AA274" s="55" t="str">
        <f aca="false">IF(ISNUMBER(Z274), RANK(Z274,Z$8:Z$507), "")</f>
        <v/>
      </c>
      <c r="AB274" s="55" t="str">
        <f aca="false">IF(AND(NOT(ISBLANK($C274)), W274=Constants!$B$8), Y274, "")</f>
        <v/>
      </c>
      <c r="AC274" s="55" t="str">
        <f aca="false">IF(ISNUMBER(AB274), RANK(AB274,AB$8:AB$507), "")</f>
        <v/>
      </c>
      <c r="AD274" s="55" t="str">
        <f aca="false">IF(ISBLANK($C274),"",IF(V274&lt;&gt;Constants!$B$14, V274, IF(W274=Constants!$B$7, AA274, IF(W274=Constants!$B$8, COUNT($AA$8:$AA$507) + AC274, ""))))</f>
        <v/>
      </c>
      <c r="AE274" s="55" t="str">
        <f aca="false">N274</f>
        <v/>
      </c>
      <c r="AF274" s="55" t="str">
        <f aca="false">IF(ISNUMBER(AE274), RANK(AE274,AE$8:AE$507,1), "")</f>
        <v/>
      </c>
      <c r="AG274" s="57" t="str">
        <f aca="false">IF(ISBLANK(C274), "", ABS(M274-S274))</f>
        <v/>
      </c>
      <c r="AH274" s="55" t="str">
        <f aca="false">IF(ISNUMBER(AG274), RANK(AG274,AG$8:AG$507,1), "")</f>
        <v/>
      </c>
      <c r="AI274" s="55" t="str">
        <f aca="false">IF(ISBLANK(C274),"",IF(V274&lt;&gt;Constants!$B$14, V274, RANK(AD274, AD$8:AD$507, 1)+ SUMPRODUCT(--(AD$8:AD$507=AD274),--(AF274&gt;AF$8:AF$507)) + SUMPRODUCT(--(AD$8:AD$507=AD274),--(AF274=AF$8:AF$507),--(AH274&gt;AH$8:AH$507))))</f>
        <v/>
      </c>
      <c r="AJ274" s="55" t="str">
        <f aca="false">IF(ISBLANK(C274),"",IF(V274&lt;&gt;Constants!$B$14, V274, AD274-AI274))</f>
        <v/>
      </c>
      <c r="AK274" s="59"/>
      <c r="AL274" s="60" t="str">
        <f aca="false">IF(ISBLANK($C274),"",IF($V274&lt;&gt;Constants!$B$14,$V274,X274))</f>
        <v/>
      </c>
      <c r="AM274" s="60" t="str">
        <f aca="false">IF(ISBLANK($C274),"",IF($V274&lt;&gt;Constants!$B$14,$V274,N274))</f>
        <v/>
      </c>
      <c r="AN274" s="62" t="str">
        <f aca="false">IF(ISBLANK(C274),"",IF(V274&lt;&gt;Constants!$B$14, V274, IF(W274=Constants!$B$7,Z274,IF(W274=Constants!$B$8,AB274,""))))</f>
        <v/>
      </c>
      <c r="AO274" s="63" t="str">
        <f aca="false">IF(ISBLANK(C274),"",W274)</f>
        <v/>
      </c>
      <c r="AP274" s="63" t="str">
        <f aca="false">IF(ISBLANK(C274),"",AJ274)</f>
        <v/>
      </c>
      <c r="AQ274" s="63" t="str">
        <f aca="false">IF(ISBLANK(C274),"",AI274)</f>
        <v/>
      </c>
      <c r="AR274" s="64" t="str">
        <f aca="false">IF(ISBLANK(C274),
  "",
IF(AQ274=Constants!$B$11,COUNTA($C$8:$C$507)+2,IF(AQ274=Constants!$B$12,COUNTA($C$8:$C$507)+1,IF(AQ274=Constants!$B$13,COUNTA($C$8:$C$507),AQ274))))</f>
        <v/>
      </c>
      <c r="AS274" s="3"/>
      <c r="AT274" s="65" t="n">
        <f aca="false">IF(OR(ISNUMBER(AQ274),AQ274="DQ",AQ274="P",AQ274="NS"),
    1,
    0
)</f>
        <v>0</v>
      </c>
      <c r="AU274" s="65" t="n">
        <v>267</v>
      </c>
      <c r="AV274" s="65" t="str">
        <f aca="false">IF(ISBLANK($C274),
    "",
   IF(ISNUMBER(AR274),AR274+ROW($B274)/1000,"")
)</f>
        <v/>
      </c>
      <c r="AW274" s="65" t="str">
        <f aca="false">IF(ISNUMBER(AV274), RANK(AV274,AV$8:AV$507,1), "")</f>
        <v/>
      </c>
      <c r="AX274" s="65" t="str">
        <f aca="false">IF(ISBLANK($C274),
    "",
    $B274
)</f>
        <v/>
      </c>
      <c r="AY274" s="65" t="str">
        <f aca="false">IF(ISBLANK($C274),
    "",
    $C274
)</f>
        <v/>
      </c>
      <c r="AZ274" s="65" t="str">
        <f aca="false">IF(ISBLANK($C274),
    "",
    $D274
)</f>
        <v/>
      </c>
      <c r="BA274" s="65" t="str">
        <f aca="false">AO274</f>
        <v/>
      </c>
      <c r="BB274" s="66" t="str">
        <f aca="false">AN274</f>
        <v/>
      </c>
      <c r="BC274" s="65" t="str">
        <f aca="false">IF(ISBLANK($C274),
    "",
    AQ274
)</f>
        <v/>
      </c>
      <c r="BD274" s="67" t="str">
        <f aca="false">IF(AU274&gt;AT$7,
    "",
    VLOOKUP(AU274,AW$8:BC$507,7,FALSE())
)</f>
        <v/>
      </c>
      <c r="BE274" s="68" t="str">
        <f aca="false">IF(AU274&gt;AT$7,
    "",
    VLOOKUP(AU274,AW$8:BC$507,2,FALSE())
)</f>
        <v/>
      </c>
      <c r="BF274" s="68" t="str">
        <f aca="false">IF(AU274&gt;AT$7,
    "",
    VLOOKUP(AU274,AW$8:BC$507,3,FALSE())
)</f>
        <v/>
      </c>
      <c r="BG274" s="68" t="str">
        <f aca="false">IF(AU274&gt;AT$7,
    "",
    VLOOKUP(AU274,AW$8:BC$507,4,FALSE())
)</f>
        <v/>
      </c>
      <c r="BH274" s="68" t="str">
        <f aca="false">IF(AU274&gt;AT$7,
    "",
    VLOOKUP(AU274,AW$8:BC$507,5,FALSE())
)</f>
        <v/>
      </c>
      <c r="BI274" s="69" t="str">
        <f aca="false">IF(AU274&gt;AT$7,
    "",
    VLOOKUP(AU274,AW$8:BC$507,6,FALSE())
)</f>
        <v/>
      </c>
      <c r="BJ274" s="46"/>
    </row>
    <row r="275" customFormat="false" ht="15.75" hidden="false" customHeight="false" outlineLevel="0" collapsed="false">
      <c r="A275" s="3"/>
      <c r="B275" s="105"/>
      <c r="C275" s="106"/>
      <c r="D275" s="99"/>
      <c r="E275" s="110"/>
      <c r="F275" s="107"/>
      <c r="G275" s="110"/>
      <c r="H275" s="103"/>
      <c r="I275" s="102"/>
      <c r="J275" s="103"/>
      <c r="K275" s="103"/>
      <c r="L275" s="85"/>
      <c r="M275" s="85" t="str">
        <f aca="false">IF(ISBLANK($C275),"",IF(ISBLANK(E275),0,E275))</f>
        <v/>
      </c>
      <c r="N275" s="85" t="str">
        <f aca="false">IF(ISBLANK($C275),"",IF(ISBLANK(F275),0,F275))</f>
        <v/>
      </c>
      <c r="O275" s="86" t="e">
        <f aca="false">IF(AND(NOT(ISBLANK($C275)),NOT($T275),COUNTA($E275:$K275)&gt;0),ISBLANK($F275),FALSE())</f>
        <v>#VALUE!</v>
      </c>
      <c r="P275" s="85" t="str">
        <f aca="false">IF(ISBLANK($C275),"",IF(G275=Constants!$B$9, TRUE(), IF(G275=Constants!$B$10, FALSE(), TRUE())))</f>
        <v/>
      </c>
      <c r="Q275" s="85" t="str">
        <f aca="false">IF(ISBLANK($C275),"",IF(H275=Constants!$B$9, TRUE(), IF(H275=Constants!$B$10, FALSE(), TRUE())))</f>
        <v/>
      </c>
      <c r="R275" s="85" t="str">
        <f aca="false">IF(ISBLANK($C275),"",IF(ISBLANK(I275),Constants!$B$3,I275))</f>
        <v/>
      </c>
      <c r="S275" s="85" t="str">
        <f aca="false">IF(ISBLANK($C275),"",IF(ISBLANK(J275),0,MIN(J275,Constants!$B$6)))</f>
        <v/>
      </c>
      <c r="T275" s="85" t="str">
        <f aca="false">IF(ISBLANK($C275),"",IF(K275=Constants!$B$9, TRUE(), IF(K275=Constants!$B$10, FALSE(),  FALSE())))</f>
        <v/>
      </c>
      <c r="U275" s="85" t="str">
        <f aca="false">IF(ISBLANK($C275),"",AND(R275=Constants!$B$4, S275&lt;Constants!$B$6))</f>
        <v/>
      </c>
      <c r="V275" s="85" t="str">
        <f aca="false">IF(ISBLANK(C275), "", IF(T275, Constants!$B$11, IF(COUNTA(E275:K275)=0, Constants!$B$12, IF(NOT(AND(P275,S275&lt;&gt;0)), Constants!$B$13, IF(O275, Constants!$B$15, Constants!$B$14)))))</f>
        <v/>
      </c>
      <c r="W275" s="85" t="str">
        <f aca="false">IF(OR(ISBLANK($C275), SUMPRODUCT(--(P275:T275&lt;&gt;""))=0), "", IF(V275&lt;&gt;Constants!$B$14, V275, IF(AND(NOT(ISBLANK(J275)),P275,Q275,R275&lt;&gt;Constants!$B$2), Constants!$B$7, IF(AND(P275,OR(NOT(Q275),R275=Constants!$B$2)), Constants!$B$8, "Error"))))</f>
        <v/>
      </c>
      <c r="X275" s="87" t="str">
        <f aca="false">IF(OR(W275=Constants!$B$7,W275=Constants!$B$8), MAX(0, MIN(Constants!$B$6, S275))+IF(AND(R275=Constants!$B$4, NOT(U275)), Constants!$B$5, 0), "")</f>
        <v/>
      </c>
      <c r="Y275" s="85" t="str">
        <f aca="false">IF(ISBLANK($C275),"",IF(AND(ISNUMBER(X275),N275&gt;0),X275/N275, "") )</f>
        <v/>
      </c>
      <c r="Z275" s="85" t="str">
        <f aca="false">IF(AND(NOT(ISBLANK($C275)), W275=Constants!$B$7), Y275, "")</f>
        <v/>
      </c>
      <c r="AA275" s="85" t="str">
        <f aca="false">IF(ISNUMBER(Z275), RANK(Z275,Z$8:Z$507), "")</f>
        <v/>
      </c>
      <c r="AB275" s="85" t="str">
        <f aca="false">IF(AND(NOT(ISBLANK($C275)), W275=Constants!$B$8), Y275, "")</f>
        <v/>
      </c>
      <c r="AC275" s="85" t="str">
        <f aca="false">IF(ISNUMBER(AB275), RANK(AB275,AB$8:AB$507), "")</f>
        <v/>
      </c>
      <c r="AD275" s="85" t="str">
        <f aca="false">IF(ISBLANK($C275),"",IF(V275&lt;&gt;Constants!$B$14, V275, IF(W275=Constants!$B$7, AA275, IF(W275=Constants!$B$8, COUNT($AA$8:$AA$507) + AC275, ""))))</f>
        <v/>
      </c>
      <c r="AE275" s="85" t="str">
        <f aca="false">N275</f>
        <v/>
      </c>
      <c r="AF275" s="85" t="str">
        <f aca="false">IF(ISNUMBER(AE275), RANK(AE275,AE$8:AE$507,1), "")</f>
        <v/>
      </c>
      <c r="AG275" s="88" t="str">
        <f aca="false">IF(ISBLANK(C275), "", ABS(M275-S275))</f>
        <v/>
      </c>
      <c r="AH275" s="85" t="str">
        <f aca="false">IF(ISNUMBER(AG275), RANK(AG275,AG$8:AG$507,1), "")</f>
        <v/>
      </c>
      <c r="AI275" s="85" t="str">
        <f aca="false">IF(ISBLANK(C275),"",IF(V275&lt;&gt;Constants!$B$14, V275, RANK(AD275, AD$8:AD$507, 1)+ SUMPRODUCT(--(AD$8:AD$507=AD275),--(AF275&gt;AF$8:AF$507)) + SUMPRODUCT(--(AD$8:AD$507=AD275),--(AF275=AF$8:AF$507),--(AH275&gt;AH$8:AH$507))))</f>
        <v/>
      </c>
      <c r="AJ275" s="85" t="str">
        <f aca="false">IF(ISBLANK(C275),"",IF(V275&lt;&gt;Constants!$B$14, V275, AD275-AI275))</f>
        <v/>
      </c>
      <c r="AK275" s="89"/>
      <c r="AL275" s="90" t="str">
        <f aca="false">IF(ISBLANK($C275),"",IF($V275&lt;&gt;Constants!$B$14,$V275,X275))</f>
        <v/>
      </c>
      <c r="AM275" s="90" t="str">
        <f aca="false">IF(ISBLANK($C275),"",IF($V275&lt;&gt;Constants!$B$14,$V275,N275))</f>
        <v/>
      </c>
      <c r="AN275" s="91" t="str">
        <f aca="false">IF(ISBLANK(C275),"",IF(V275&lt;&gt;Constants!$B$14, V275, IF(W275=Constants!$B$7,Z275,IF(W275=Constants!$B$8,AB275,""))))</f>
        <v/>
      </c>
      <c r="AO275" s="92" t="str">
        <f aca="false">IF(ISBLANK(C275),"",W275)</f>
        <v/>
      </c>
      <c r="AP275" s="92" t="str">
        <f aca="false">IF(ISBLANK(C275),"",AJ275)</f>
        <v/>
      </c>
      <c r="AQ275" s="92" t="str">
        <f aca="false">IF(ISBLANK(C275),"",AI275)</f>
        <v/>
      </c>
      <c r="AR275" s="93" t="str">
        <f aca="false">IF(ISBLANK(C275),
  "",
IF(AQ275=Constants!$B$11,COUNTA($C$8:$C$507)+2,IF(AQ275=Constants!$B$12,COUNTA($C$8:$C$507)+1,IF(AQ275=Constants!$B$13,COUNTA($C$8:$C$507),AQ275))))</f>
        <v/>
      </c>
      <c r="AS275" s="3"/>
      <c r="AT275" s="94" t="n">
        <f aca="false">IF(OR(ISNUMBER(AQ275),AQ275="DQ",AQ275="P",AQ275="NS"),
    1,
    0
)</f>
        <v>0</v>
      </c>
      <c r="AU275" s="94" t="n">
        <v>268</v>
      </c>
      <c r="AV275" s="94" t="str">
        <f aca="false">IF(ISBLANK($C275),
    "",
   IF(ISNUMBER(AR275),AR275+ROW($B275)/1000,"")
)</f>
        <v/>
      </c>
      <c r="AW275" s="94" t="str">
        <f aca="false">IF(ISNUMBER(AV275), RANK(AV275,AV$8:AV$507,1), "")</f>
        <v/>
      </c>
      <c r="AX275" s="94" t="str">
        <f aca="false">IF(ISBLANK($C275),
    "",
    $B275
)</f>
        <v/>
      </c>
      <c r="AY275" s="94" t="str">
        <f aca="false">IF(ISBLANK($C275),
    "",
    $C275
)</f>
        <v/>
      </c>
      <c r="AZ275" s="94" t="str">
        <f aca="false">IF(ISBLANK($C275),
    "",
    $D275
)</f>
        <v/>
      </c>
      <c r="BA275" s="94" t="str">
        <f aca="false">AO275</f>
        <v/>
      </c>
      <c r="BB275" s="95" t="str">
        <f aca="false">AN275</f>
        <v/>
      </c>
      <c r="BC275" s="94" t="str">
        <f aca="false">IF(ISBLANK($C275),
    "",
    AQ275
)</f>
        <v/>
      </c>
      <c r="BD275" s="96" t="str">
        <f aca="false">IF(AU275&gt;AT$7,
    "",
    VLOOKUP(AU275,AW$8:BC$507,7,FALSE())
)</f>
        <v/>
      </c>
      <c r="BE275" s="97" t="str">
        <f aca="false">IF(AU275&gt;AT$7,
    "",
    VLOOKUP(AU275,AW$8:BC$507,2,FALSE())
)</f>
        <v/>
      </c>
      <c r="BF275" s="97" t="str">
        <f aca="false">IF(AU275&gt;AT$7,
    "",
    VLOOKUP(AU275,AW$8:BC$507,3,FALSE())
)</f>
        <v/>
      </c>
      <c r="BG275" s="97" t="str">
        <f aca="false">IF(AU275&gt;AT$7,
    "",
    VLOOKUP(AU275,AW$8:BC$507,4,FALSE())
)</f>
        <v/>
      </c>
      <c r="BH275" s="97" t="str">
        <f aca="false">IF(AU275&gt;AT$7,
    "",
    VLOOKUP(AU275,AW$8:BC$507,5,FALSE())
)</f>
        <v/>
      </c>
      <c r="BI275" s="98" t="str">
        <f aca="false">IF(AU275&gt;AT$7,
    "",
    VLOOKUP(AU275,AW$8:BC$507,6,FALSE())
)</f>
        <v/>
      </c>
      <c r="BJ275" s="46"/>
    </row>
    <row r="276" customFormat="false" ht="15.75" hidden="false" customHeight="false" outlineLevel="0" collapsed="false">
      <c r="A276" s="3"/>
      <c r="B276" s="105"/>
      <c r="C276" s="106"/>
      <c r="D276" s="99"/>
      <c r="E276" s="110"/>
      <c r="F276" s="107"/>
      <c r="G276" s="110"/>
      <c r="H276" s="103"/>
      <c r="I276" s="102"/>
      <c r="J276" s="103"/>
      <c r="K276" s="103"/>
      <c r="L276" s="85"/>
      <c r="M276" s="85" t="str">
        <f aca="false">IF(ISBLANK($C276),"",IF(ISBLANK(E276),0,E276))</f>
        <v/>
      </c>
      <c r="N276" s="85" t="str">
        <f aca="false">IF(ISBLANK($C276),"",IF(ISBLANK(F276),0,F276))</f>
        <v/>
      </c>
      <c r="O276" s="86" t="e">
        <f aca="false">IF(AND(NOT(ISBLANK($C276)),NOT($T276),COUNTA($E276:$K276)&gt;0),ISBLANK($F276),FALSE())</f>
        <v>#VALUE!</v>
      </c>
      <c r="P276" s="85" t="str">
        <f aca="false">IF(ISBLANK($C276),"",IF(G276=Constants!$B$9, TRUE(), IF(G276=Constants!$B$10, FALSE(), TRUE())))</f>
        <v/>
      </c>
      <c r="Q276" s="85" t="str">
        <f aca="false">IF(ISBLANK($C276),"",IF(H276=Constants!$B$9, TRUE(), IF(H276=Constants!$B$10, FALSE(), TRUE())))</f>
        <v/>
      </c>
      <c r="R276" s="85" t="str">
        <f aca="false">IF(ISBLANK($C276),"",IF(ISBLANK(I276),Constants!$B$3,I276))</f>
        <v/>
      </c>
      <c r="S276" s="85" t="str">
        <f aca="false">IF(ISBLANK($C276),"",IF(ISBLANK(J276),0,MIN(J276,Constants!$B$6)))</f>
        <v/>
      </c>
      <c r="T276" s="85" t="str">
        <f aca="false">IF(ISBLANK($C276),"",IF(K276=Constants!$B$9, TRUE(), IF(K276=Constants!$B$10, FALSE(),  FALSE())))</f>
        <v/>
      </c>
      <c r="U276" s="85" t="str">
        <f aca="false">IF(ISBLANK($C276),"",AND(R276=Constants!$B$4, S276&lt;Constants!$B$6))</f>
        <v/>
      </c>
      <c r="V276" s="85" t="str">
        <f aca="false">IF(ISBLANK(C276), "", IF(T276, Constants!$B$11, IF(COUNTA(E276:K276)=0, Constants!$B$12, IF(NOT(AND(P276,S276&lt;&gt;0)), Constants!$B$13, IF(O276, Constants!$B$15, Constants!$B$14)))))</f>
        <v/>
      </c>
      <c r="W276" s="85" t="str">
        <f aca="false">IF(OR(ISBLANK($C276), SUMPRODUCT(--(P276:T276&lt;&gt;""))=0), "", IF(V276&lt;&gt;Constants!$B$14, V276, IF(AND(NOT(ISBLANK(J276)),P276,Q276,R276&lt;&gt;Constants!$B$2), Constants!$B$7, IF(AND(P276,OR(NOT(Q276),R276=Constants!$B$2)), Constants!$B$8, "Error"))))</f>
        <v/>
      </c>
      <c r="X276" s="87" t="str">
        <f aca="false">IF(OR(W276=Constants!$B$7,W276=Constants!$B$8), MAX(0, MIN(Constants!$B$6, S276))+IF(AND(R276=Constants!$B$4, NOT(U276)), Constants!$B$5, 0), "")</f>
        <v/>
      </c>
      <c r="Y276" s="85" t="str">
        <f aca="false">IF(ISBLANK($C276),"",IF(AND(ISNUMBER(X276),N276&gt;0),X276/N276, "") )</f>
        <v/>
      </c>
      <c r="Z276" s="85" t="str">
        <f aca="false">IF(AND(NOT(ISBLANK($C276)), W276=Constants!$B$7), Y276, "")</f>
        <v/>
      </c>
      <c r="AA276" s="85" t="str">
        <f aca="false">IF(ISNUMBER(Z276), RANK(Z276,Z$8:Z$507), "")</f>
        <v/>
      </c>
      <c r="AB276" s="85" t="str">
        <f aca="false">IF(AND(NOT(ISBLANK($C276)), W276=Constants!$B$8), Y276, "")</f>
        <v/>
      </c>
      <c r="AC276" s="85" t="str">
        <f aca="false">IF(ISNUMBER(AB276), RANK(AB276,AB$8:AB$507), "")</f>
        <v/>
      </c>
      <c r="AD276" s="85" t="str">
        <f aca="false">IF(ISBLANK($C276),"",IF(V276&lt;&gt;Constants!$B$14, V276, IF(W276=Constants!$B$7, AA276, IF(W276=Constants!$B$8, COUNT($AA$8:$AA$507) + AC276, ""))))</f>
        <v/>
      </c>
      <c r="AE276" s="85" t="str">
        <f aca="false">N276</f>
        <v/>
      </c>
      <c r="AF276" s="85" t="str">
        <f aca="false">IF(ISNUMBER(AE276), RANK(AE276,AE$8:AE$507,1), "")</f>
        <v/>
      </c>
      <c r="AG276" s="88" t="str">
        <f aca="false">IF(ISBLANK(C276), "", ABS(M276-S276))</f>
        <v/>
      </c>
      <c r="AH276" s="85" t="str">
        <f aca="false">IF(ISNUMBER(AG276), RANK(AG276,AG$8:AG$507,1), "")</f>
        <v/>
      </c>
      <c r="AI276" s="85" t="str">
        <f aca="false">IF(ISBLANK(C276),"",IF(V276&lt;&gt;Constants!$B$14, V276, RANK(AD276, AD$8:AD$507, 1)+ SUMPRODUCT(--(AD$8:AD$507=AD276),--(AF276&gt;AF$8:AF$507)) + SUMPRODUCT(--(AD$8:AD$507=AD276),--(AF276=AF$8:AF$507),--(AH276&gt;AH$8:AH$507))))</f>
        <v/>
      </c>
      <c r="AJ276" s="85" t="str">
        <f aca="false">IF(ISBLANK(C276),"",IF(V276&lt;&gt;Constants!$B$14, V276, AD276-AI276))</f>
        <v/>
      </c>
      <c r="AK276" s="89"/>
      <c r="AL276" s="90" t="str">
        <f aca="false">IF(ISBLANK($C276),"",IF($V276&lt;&gt;Constants!$B$14,$V276,X276))</f>
        <v/>
      </c>
      <c r="AM276" s="90" t="str">
        <f aca="false">IF(ISBLANK($C276),"",IF($V276&lt;&gt;Constants!$B$14,$V276,N276))</f>
        <v/>
      </c>
      <c r="AN276" s="91" t="str">
        <f aca="false">IF(ISBLANK(C276),"",IF(V276&lt;&gt;Constants!$B$14, V276, IF(W276=Constants!$B$7,Z276,IF(W276=Constants!$B$8,AB276,""))))</f>
        <v/>
      </c>
      <c r="AO276" s="92" t="str">
        <f aca="false">IF(ISBLANK(C276),"",W276)</f>
        <v/>
      </c>
      <c r="AP276" s="92" t="str">
        <f aca="false">IF(ISBLANK(C276),"",AJ276)</f>
        <v/>
      </c>
      <c r="AQ276" s="92" t="str">
        <f aca="false">IF(ISBLANK(C276),"",AI276)</f>
        <v/>
      </c>
      <c r="AR276" s="93" t="str">
        <f aca="false">IF(ISBLANK(C276),
  "",
IF(AQ276=Constants!$B$11,COUNTA($C$8:$C$507)+2,IF(AQ276=Constants!$B$12,COUNTA($C$8:$C$507)+1,IF(AQ276=Constants!$B$13,COUNTA($C$8:$C$507),AQ276))))</f>
        <v/>
      </c>
      <c r="AS276" s="3"/>
      <c r="AT276" s="94" t="n">
        <f aca="false">IF(OR(ISNUMBER(AQ276),AQ276="DQ",AQ276="P",AQ276="NS"),
    1,
    0
)</f>
        <v>0</v>
      </c>
      <c r="AU276" s="94" t="n">
        <v>269</v>
      </c>
      <c r="AV276" s="94" t="str">
        <f aca="false">IF(ISBLANK($C276),
    "",
   IF(ISNUMBER(AR276),AR276+ROW($B276)/1000,"")
)</f>
        <v/>
      </c>
      <c r="AW276" s="94" t="str">
        <f aca="false">IF(ISNUMBER(AV276), RANK(AV276,AV$8:AV$507,1), "")</f>
        <v/>
      </c>
      <c r="AX276" s="94" t="str">
        <f aca="false">IF(ISBLANK($C276),
    "",
    $B276
)</f>
        <v/>
      </c>
      <c r="AY276" s="94" t="str">
        <f aca="false">IF(ISBLANK($C276),
    "",
    $C276
)</f>
        <v/>
      </c>
      <c r="AZ276" s="94" t="str">
        <f aca="false">IF(ISBLANK($C276),
    "",
    $D276
)</f>
        <v/>
      </c>
      <c r="BA276" s="94" t="str">
        <f aca="false">AO276</f>
        <v/>
      </c>
      <c r="BB276" s="95" t="str">
        <f aca="false">AN276</f>
        <v/>
      </c>
      <c r="BC276" s="94" t="str">
        <f aca="false">IF(ISBLANK($C276),
    "",
    AQ276
)</f>
        <v/>
      </c>
      <c r="BD276" s="96" t="str">
        <f aca="false">IF(AU276&gt;AT$7,
    "",
    VLOOKUP(AU276,AW$8:BC$507,7,FALSE())
)</f>
        <v/>
      </c>
      <c r="BE276" s="97" t="str">
        <f aca="false">IF(AU276&gt;AT$7,
    "",
    VLOOKUP(AU276,AW$8:BC$507,2,FALSE())
)</f>
        <v/>
      </c>
      <c r="BF276" s="97" t="str">
        <f aca="false">IF(AU276&gt;AT$7,
    "",
    VLOOKUP(AU276,AW$8:BC$507,3,FALSE())
)</f>
        <v/>
      </c>
      <c r="BG276" s="97" t="str">
        <f aca="false">IF(AU276&gt;AT$7,
    "",
    VLOOKUP(AU276,AW$8:BC$507,4,FALSE())
)</f>
        <v/>
      </c>
      <c r="BH276" s="97" t="str">
        <f aca="false">IF(AU276&gt;AT$7,
    "",
    VLOOKUP(AU276,AW$8:BC$507,5,FALSE())
)</f>
        <v/>
      </c>
      <c r="BI276" s="98" t="str">
        <f aca="false">IF(AU276&gt;AT$7,
    "",
    VLOOKUP(AU276,AW$8:BC$507,6,FALSE())
)</f>
        <v/>
      </c>
      <c r="BJ276" s="46"/>
    </row>
    <row r="277" customFormat="false" ht="15.75" hidden="false" customHeight="false" outlineLevel="0" collapsed="false">
      <c r="A277" s="3"/>
      <c r="B277" s="105"/>
      <c r="C277" s="106"/>
      <c r="D277" s="99"/>
      <c r="E277" s="110"/>
      <c r="F277" s="107"/>
      <c r="G277" s="110"/>
      <c r="H277" s="103"/>
      <c r="I277" s="102"/>
      <c r="J277" s="103"/>
      <c r="K277" s="103"/>
      <c r="L277" s="85"/>
      <c r="M277" s="85" t="str">
        <f aca="false">IF(ISBLANK($C277),"",IF(ISBLANK(E277),0,E277))</f>
        <v/>
      </c>
      <c r="N277" s="85" t="str">
        <f aca="false">IF(ISBLANK($C277),"",IF(ISBLANK(F277),0,F277))</f>
        <v/>
      </c>
      <c r="O277" s="86" t="e">
        <f aca="false">IF(AND(NOT(ISBLANK($C277)),NOT($T277),COUNTA($E277:$K277)&gt;0),ISBLANK($F277),FALSE())</f>
        <v>#VALUE!</v>
      </c>
      <c r="P277" s="85" t="str">
        <f aca="false">IF(ISBLANK($C277),"",IF(G277=Constants!$B$9, TRUE(), IF(G277=Constants!$B$10, FALSE(), TRUE())))</f>
        <v/>
      </c>
      <c r="Q277" s="85" t="str">
        <f aca="false">IF(ISBLANK($C277),"",IF(H277=Constants!$B$9, TRUE(), IF(H277=Constants!$B$10, FALSE(), TRUE())))</f>
        <v/>
      </c>
      <c r="R277" s="85" t="str">
        <f aca="false">IF(ISBLANK($C277),"",IF(ISBLANK(I277),Constants!$B$3,I277))</f>
        <v/>
      </c>
      <c r="S277" s="85" t="str">
        <f aca="false">IF(ISBLANK($C277),"",IF(ISBLANK(J277),0,MIN(J277,Constants!$B$6)))</f>
        <v/>
      </c>
      <c r="T277" s="85" t="str">
        <f aca="false">IF(ISBLANK($C277),"",IF(K277=Constants!$B$9, TRUE(), IF(K277=Constants!$B$10, FALSE(),  FALSE())))</f>
        <v/>
      </c>
      <c r="U277" s="85" t="str">
        <f aca="false">IF(ISBLANK($C277),"",AND(R277=Constants!$B$4, S277&lt;Constants!$B$6))</f>
        <v/>
      </c>
      <c r="V277" s="85" t="str">
        <f aca="false">IF(ISBLANK(C277), "", IF(T277, Constants!$B$11, IF(COUNTA(E277:K277)=0, Constants!$B$12, IF(NOT(AND(P277,S277&lt;&gt;0)), Constants!$B$13, IF(O277, Constants!$B$15, Constants!$B$14)))))</f>
        <v/>
      </c>
      <c r="W277" s="85" t="str">
        <f aca="false">IF(OR(ISBLANK($C277), SUMPRODUCT(--(P277:T277&lt;&gt;""))=0), "", IF(V277&lt;&gt;Constants!$B$14, V277, IF(AND(NOT(ISBLANK(J277)),P277,Q277,R277&lt;&gt;Constants!$B$2), Constants!$B$7, IF(AND(P277,OR(NOT(Q277),R277=Constants!$B$2)), Constants!$B$8, "Error"))))</f>
        <v/>
      </c>
      <c r="X277" s="87" t="str">
        <f aca="false">IF(OR(W277=Constants!$B$7,W277=Constants!$B$8), MAX(0, MIN(Constants!$B$6, S277))+IF(AND(R277=Constants!$B$4, NOT(U277)), Constants!$B$5, 0), "")</f>
        <v/>
      </c>
      <c r="Y277" s="85" t="str">
        <f aca="false">IF(ISBLANK($C277),"",IF(AND(ISNUMBER(X277),N277&gt;0),X277/N277, "") )</f>
        <v/>
      </c>
      <c r="Z277" s="85" t="str">
        <f aca="false">IF(AND(NOT(ISBLANK($C277)), W277=Constants!$B$7), Y277, "")</f>
        <v/>
      </c>
      <c r="AA277" s="85" t="str">
        <f aca="false">IF(ISNUMBER(Z277), RANK(Z277,Z$8:Z$507), "")</f>
        <v/>
      </c>
      <c r="AB277" s="85" t="str">
        <f aca="false">IF(AND(NOT(ISBLANK($C277)), W277=Constants!$B$8), Y277, "")</f>
        <v/>
      </c>
      <c r="AC277" s="85" t="str">
        <f aca="false">IF(ISNUMBER(AB277), RANK(AB277,AB$8:AB$507), "")</f>
        <v/>
      </c>
      <c r="AD277" s="85" t="str">
        <f aca="false">IF(ISBLANK($C277),"",IF(V277&lt;&gt;Constants!$B$14, V277, IF(W277=Constants!$B$7, AA277, IF(W277=Constants!$B$8, COUNT($AA$8:$AA$507) + AC277, ""))))</f>
        <v/>
      </c>
      <c r="AE277" s="85" t="str">
        <f aca="false">N277</f>
        <v/>
      </c>
      <c r="AF277" s="85" t="str">
        <f aca="false">IF(ISNUMBER(AE277), RANK(AE277,AE$8:AE$507,1), "")</f>
        <v/>
      </c>
      <c r="AG277" s="88" t="str">
        <f aca="false">IF(ISBLANK(C277), "", ABS(M277-S277))</f>
        <v/>
      </c>
      <c r="AH277" s="85" t="str">
        <f aca="false">IF(ISNUMBER(AG277), RANK(AG277,AG$8:AG$507,1), "")</f>
        <v/>
      </c>
      <c r="AI277" s="85" t="str">
        <f aca="false">IF(ISBLANK(C277),"",IF(V277&lt;&gt;Constants!$B$14, V277, RANK(AD277, AD$8:AD$507, 1)+ SUMPRODUCT(--(AD$8:AD$507=AD277),--(AF277&gt;AF$8:AF$507)) + SUMPRODUCT(--(AD$8:AD$507=AD277),--(AF277=AF$8:AF$507),--(AH277&gt;AH$8:AH$507))))</f>
        <v/>
      </c>
      <c r="AJ277" s="85" t="str">
        <f aca="false">IF(ISBLANK(C277),"",IF(V277&lt;&gt;Constants!$B$14, V277, AD277-AI277))</f>
        <v/>
      </c>
      <c r="AK277" s="89"/>
      <c r="AL277" s="90" t="str">
        <f aca="false">IF(ISBLANK($C277),"",IF($V277&lt;&gt;Constants!$B$14,$V277,X277))</f>
        <v/>
      </c>
      <c r="AM277" s="90" t="str">
        <f aca="false">IF(ISBLANK($C277),"",IF($V277&lt;&gt;Constants!$B$14,$V277,N277))</f>
        <v/>
      </c>
      <c r="AN277" s="91" t="str">
        <f aca="false">IF(ISBLANK(C277),"",IF(V277&lt;&gt;Constants!$B$14, V277, IF(W277=Constants!$B$7,Z277,IF(W277=Constants!$B$8,AB277,""))))</f>
        <v/>
      </c>
      <c r="AO277" s="92" t="str">
        <f aca="false">IF(ISBLANK(C277),"",W277)</f>
        <v/>
      </c>
      <c r="AP277" s="92" t="str">
        <f aca="false">IF(ISBLANK(C277),"",AJ277)</f>
        <v/>
      </c>
      <c r="AQ277" s="92" t="str">
        <f aca="false">IF(ISBLANK(C277),"",AI277)</f>
        <v/>
      </c>
      <c r="AR277" s="93" t="str">
        <f aca="false">IF(ISBLANK(C277),
  "",
IF(AQ277=Constants!$B$11,COUNTA($C$8:$C$507)+2,IF(AQ277=Constants!$B$12,COUNTA($C$8:$C$507)+1,IF(AQ277=Constants!$B$13,COUNTA($C$8:$C$507),AQ277))))</f>
        <v/>
      </c>
      <c r="AS277" s="3"/>
      <c r="AT277" s="94" t="n">
        <f aca="false">IF(OR(ISNUMBER(AQ277),AQ277="DQ",AQ277="P",AQ277="NS"),
    1,
    0
)</f>
        <v>0</v>
      </c>
      <c r="AU277" s="94" t="n">
        <v>270</v>
      </c>
      <c r="AV277" s="94" t="str">
        <f aca="false">IF(ISBLANK($C277),
    "",
   IF(ISNUMBER(AR277),AR277+ROW($B277)/1000,"")
)</f>
        <v/>
      </c>
      <c r="AW277" s="94" t="str">
        <f aca="false">IF(ISNUMBER(AV277), RANK(AV277,AV$8:AV$507,1), "")</f>
        <v/>
      </c>
      <c r="AX277" s="94" t="str">
        <f aca="false">IF(ISBLANK($C277),
    "",
    $B277
)</f>
        <v/>
      </c>
      <c r="AY277" s="94" t="str">
        <f aca="false">IF(ISBLANK($C277),
    "",
    $C277
)</f>
        <v/>
      </c>
      <c r="AZ277" s="94" t="str">
        <f aca="false">IF(ISBLANK($C277),
    "",
    $D277
)</f>
        <v/>
      </c>
      <c r="BA277" s="94" t="str">
        <f aca="false">AO277</f>
        <v/>
      </c>
      <c r="BB277" s="95" t="str">
        <f aca="false">AN277</f>
        <v/>
      </c>
      <c r="BC277" s="94" t="str">
        <f aca="false">IF(ISBLANK($C277),
    "",
    AQ277
)</f>
        <v/>
      </c>
      <c r="BD277" s="96" t="str">
        <f aca="false">IF(AU277&gt;AT$7,
    "",
    VLOOKUP(AU277,AW$8:BC$507,7,FALSE())
)</f>
        <v/>
      </c>
      <c r="BE277" s="97" t="str">
        <f aca="false">IF(AU277&gt;AT$7,
    "",
    VLOOKUP(AU277,AW$8:BC$507,2,FALSE())
)</f>
        <v/>
      </c>
      <c r="BF277" s="97" t="str">
        <f aca="false">IF(AU277&gt;AT$7,
    "",
    VLOOKUP(AU277,AW$8:BC$507,3,FALSE())
)</f>
        <v/>
      </c>
      <c r="BG277" s="97" t="str">
        <f aca="false">IF(AU277&gt;AT$7,
    "",
    VLOOKUP(AU277,AW$8:BC$507,4,FALSE())
)</f>
        <v/>
      </c>
      <c r="BH277" s="97" t="str">
        <f aca="false">IF(AU277&gt;AT$7,
    "",
    VLOOKUP(AU277,AW$8:BC$507,5,FALSE())
)</f>
        <v/>
      </c>
      <c r="BI277" s="98" t="str">
        <f aca="false">IF(AU277&gt;AT$7,
    "",
    VLOOKUP(AU277,AW$8:BC$507,6,FALSE())
)</f>
        <v/>
      </c>
      <c r="BJ277" s="46"/>
    </row>
    <row r="278" customFormat="false" ht="15.75" hidden="false" customHeight="false" outlineLevel="0" collapsed="false">
      <c r="A278" s="3"/>
      <c r="B278" s="108"/>
      <c r="C278" s="70"/>
      <c r="D278" s="49"/>
      <c r="E278" s="109"/>
      <c r="F278" s="72"/>
      <c r="G278" s="109"/>
      <c r="H278" s="74"/>
      <c r="I278" s="104"/>
      <c r="J278" s="74"/>
      <c r="K278" s="74"/>
      <c r="L278" s="55"/>
      <c r="M278" s="55" t="str">
        <f aca="false">IF(ISBLANK($C278),"",IF(ISBLANK(E278),0,E278))</f>
        <v/>
      </c>
      <c r="N278" s="55" t="str">
        <f aca="false">IF(ISBLANK($C278),"",IF(ISBLANK(F278),0,F278))</f>
        <v/>
      </c>
      <c r="O278" s="55" t="e">
        <f aca="false">IF(AND(NOT(ISBLANK($C278)),NOT($T278),COUNTA($E278:$K278)&gt;0),ISBLANK($F278),FALSE())</f>
        <v>#VALUE!</v>
      </c>
      <c r="P278" s="55" t="str">
        <f aca="false">IF(ISBLANK($C278),"",IF(G278=Constants!$B$9, TRUE(), IF(G278=Constants!$B$10, FALSE(), TRUE())))</f>
        <v/>
      </c>
      <c r="Q278" s="55" t="str">
        <f aca="false">IF(ISBLANK($C278),"",IF(H278=Constants!$B$9, TRUE(), IF(H278=Constants!$B$10, FALSE(), TRUE())))</f>
        <v/>
      </c>
      <c r="R278" s="55" t="str">
        <f aca="false">IF(ISBLANK($C278),"",IF(ISBLANK(I278),Constants!$B$3,I278))</f>
        <v/>
      </c>
      <c r="S278" s="55" t="str">
        <f aca="false">IF(ISBLANK($C278),"",IF(ISBLANK(J278),0,MIN(J278,Constants!$B$6)))</f>
        <v/>
      </c>
      <c r="T278" s="55" t="str">
        <f aca="false">IF(ISBLANK($C278),"",IF(K278=Constants!$B$9, TRUE(), IF(K278=Constants!$B$10, FALSE(),  FALSE())))</f>
        <v/>
      </c>
      <c r="U278" s="55" t="str">
        <f aca="false">IF(ISBLANK($C278),"",AND(R278=Constants!$B$4, S278&lt;Constants!$B$6))</f>
        <v/>
      </c>
      <c r="V278" s="55" t="str">
        <f aca="false">IF(ISBLANK(C278), "", IF(T278, Constants!$B$11, IF(COUNTA(E278:K278)=0, Constants!$B$12, IF(NOT(AND(P278,S278&lt;&gt;0)), Constants!$B$13, IF(O278, Constants!$B$15, Constants!$B$14)))))</f>
        <v/>
      </c>
      <c r="W278" s="55" t="str">
        <f aca="false">IF(OR(ISBLANK($C278), SUMPRODUCT(--(P278:T278&lt;&gt;""))=0), "", IF(V278&lt;&gt;Constants!$B$14, V278, IF(AND(NOT(ISBLANK(J278)),P278,Q278,R278&lt;&gt;Constants!$B$2), Constants!$B$7, IF(AND(P278,OR(NOT(Q278),R278=Constants!$B$2)), Constants!$B$8, "Error"))))</f>
        <v/>
      </c>
      <c r="X278" s="56" t="str">
        <f aca="false">IF(OR(W278=Constants!$B$7,W278=Constants!$B$8), MAX(0, MIN(Constants!$B$6, S278))+IF(AND(R278=Constants!$B$4, NOT(U278)), Constants!$B$5, 0), "")</f>
        <v/>
      </c>
      <c r="Y278" s="55" t="str">
        <f aca="false">IF(ISBLANK($C278),"",IF(AND(ISNUMBER(X278),N278&gt;0),X278/N278, "") )</f>
        <v/>
      </c>
      <c r="Z278" s="55" t="str">
        <f aca="false">IF(AND(NOT(ISBLANK($C278)), W278=Constants!$B$7), Y278, "")</f>
        <v/>
      </c>
      <c r="AA278" s="55" t="str">
        <f aca="false">IF(ISNUMBER(Z278), RANK(Z278,Z$8:Z$507), "")</f>
        <v/>
      </c>
      <c r="AB278" s="55" t="str">
        <f aca="false">IF(AND(NOT(ISBLANK($C278)), W278=Constants!$B$8), Y278, "")</f>
        <v/>
      </c>
      <c r="AC278" s="55" t="str">
        <f aca="false">IF(ISNUMBER(AB278), RANK(AB278,AB$8:AB$507), "")</f>
        <v/>
      </c>
      <c r="AD278" s="55" t="str">
        <f aca="false">IF(ISBLANK($C278),"",IF(V278&lt;&gt;Constants!$B$14, V278, IF(W278=Constants!$B$7, AA278, IF(W278=Constants!$B$8, COUNT($AA$8:$AA$507) + AC278, ""))))</f>
        <v/>
      </c>
      <c r="AE278" s="55" t="str">
        <f aca="false">N278</f>
        <v/>
      </c>
      <c r="AF278" s="55" t="str">
        <f aca="false">IF(ISNUMBER(AE278), RANK(AE278,AE$8:AE$507,1), "")</f>
        <v/>
      </c>
      <c r="AG278" s="57" t="str">
        <f aca="false">IF(ISBLANK(C278), "", ABS(M278-S278))</f>
        <v/>
      </c>
      <c r="AH278" s="55" t="str">
        <f aca="false">IF(ISNUMBER(AG278), RANK(AG278,AG$8:AG$507,1), "")</f>
        <v/>
      </c>
      <c r="AI278" s="55" t="str">
        <f aca="false">IF(ISBLANK(C278),"",IF(V278&lt;&gt;Constants!$B$14, V278, RANK(AD278, AD$8:AD$507, 1)+ SUMPRODUCT(--(AD$8:AD$507=AD278),--(AF278&gt;AF$8:AF$507)) + SUMPRODUCT(--(AD$8:AD$507=AD278),--(AF278=AF$8:AF$507),--(AH278&gt;AH$8:AH$507))))</f>
        <v/>
      </c>
      <c r="AJ278" s="55" t="str">
        <f aca="false">IF(ISBLANK(C278),"",IF(V278&lt;&gt;Constants!$B$14, V278, AD278-AI278))</f>
        <v/>
      </c>
      <c r="AK278" s="59"/>
      <c r="AL278" s="60" t="str">
        <f aca="false">IF(ISBLANK($C278),"",IF($V278&lt;&gt;Constants!$B$14,$V278,X278))</f>
        <v/>
      </c>
      <c r="AM278" s="60" t="str">
        <f aca="false">IF(ISBLANK($C278),"",IF($V278&lt;&gt;Constants!$B$14,$V278,N278))</f>
        <v/>
      </c>
      <c r="AN278" s="62" t="str">
        <f aca="false">IF(ISBLANK(C278),"",IF(V278&lt;&gt;Constants!$B$14, V278, IF(W278=Constants!$B$7,Z278,IF(W278=Constants!$B$8,AB278,""))))</f>
        <v/>
      </c>
      <c r="AO278" s="63" t="str">
        <f aca="false">IF(ISBLANK(C278),"",W278)</f>
        <v/>
      </c>
      <c r="AP278" s="63" t="str">
        <f aca="false">IF(ISBLANK(C278),"",AJ278)</f>
        <v/>
      </c>
      <c r="AQ278" s="63" t="str">
        <f aca="false">IF(ISBLANK(C278),"",AI278)</f>
        <v/>
      </c>
      <c r="AR278" s="64" t="str">
        <f aca="false">IF(ISBLANK(C278),
  "",
IF(AQ278=Constants!$B$11,COUNTA($C$8:$C$507)+2,IF(AQ278=Constants!$B$12,COUNTA($C$8:$C$507)+1,IF(AQ278=Constants!$B$13,COUNTA($C$8:$C$507),AQ278))))</f>
        <v/>
      </c>
      <c r="AS278" s="3"/>
      <c r="AT278" s="65" t="n">
        <f aca="false">IF(OR(ISNUMBER(AQ278),AQ278="DQ",AQ278="P",AQ278="NS"),
    1,
    0
)</f>
        <v>0</v>
      </c>
      <c r="AU278" s="65" t="n">
        <v>271</v>
      </c>
      <c r="AV278" s="65" t="str">
        <f aca="false">IF(ISBLANK($C278),
    "",
   IF(ISNUMBER(AR278),AR278+ROW($B278)/1000,"")
)</f>
        <v/>
      </c>
      <c r="AW278" s="65" t="str">
        <f aca="false">IF(ISNUMBER(AV278), RANK(AV278,AV$8:AV$507,1), "")</f>
        <v/>
      </c>
      <c r="AX278" s="65" t="str">
        <f aca="false">IF(ISBLANK($C278),
    "",
    $B278
)</f>
        <v/>
      </c>
      <c r="AY278" s="65" t="str">
        <f aca="false">IF(ISBLANK($C278),
    "",
    $C278
)</f>
        <v/>
      </c>
      <c r="AZ278" s="65" t="str">
        <f aca="false">IF(ISBLANK($C278),
    "",
    $D278
)</f>
        <v/>
      </c>
      <c r="BA278" s="65" t="str">
        <f aca="false">AO278</f>
        <v/>
      </c>
      <c r="BB278" s="66" t="str">
        <f aca="false">AN278</f>
        <v/>
      </c>
      <c r="BC278" s="65" t="str">
        <f aca="false">IF(ISBLANK($C278),
    "",
    AQ278
)</f>
        <v/>
      </c>
      <c r="BD278" s="67" t="str">
        <f aca="false">IF(AU278&gt;AT$7,
    "",
    VLOOKUP(AU278,AW$8:BC$507,7,FALSE())
)</f>
        <v/>
      </c>
      <c r="BE278" s="68" t="str">
        <f aca="false">IF(AU278&gt;AT$7,
    "",
    VLOOKUP(AU278,AW$8:BC$507,2,FALSE())
)</f>
        <v/>
      </c>
      <c r="BF278" s="68" t="str">
        <f aca="false">IF(AU278&gt;AT$7,
    "",
    VLOOKUP(AU278,AW$8:BC$507,3,FALSE())
)</f>
        <v/>
      </c>
      <c r="BG278" s="68" t="str">
        <f aca="false">IF(AU278&gt;AT$7,
    "",
    VLOOKUP(AU278,AW$8:BC$507,4,FALSE())
)</f>
        <v/>
      </c>
      <c r="BH278" s="68" t="str">
        <f aca="false">IF(AU278&gt;AT$7,
    "",
    VLOOKUP(AU278,AW$8:BC$507,5,FALSE())
)</f>
        <v/>
      </c>
      <c r="BI278" s="69" t="str">
        <f aca="false">IF(AU278&gt;AT$7,
    "",
    VLOOKUP(AU278,AW$8:BC$507,6,FALSE())
)</f>
        <v/>
      </c>
      <c r="BJ278" s="46"/>
    </row>
    <row r="279" customFormat="false" ht="15.75" hidden="false" customHeight="false" outlineLevel="0" collapsed="false">
      <c r="A279" s="3"/>
      <c r="B279" s="108"/>
      <c r="C279" s="70"/>
      <c r="D279" s="49"/>
      <c r="E279" s="109"/>
      <c r="F279" s="72"/>
      <c r="G279" s="109"/>
      <c r="H279" s="74"/>
      <c r="I279" s="104"/>
      <c r="J279" s="74"/>
      <c r="K279" s="74"/>
      <c r="L279" s="55"/>
      <c r="M279" s="55" t="str">
        <f aca="false">IF(ISBLANK($C279),"",IF(ISBLANK(E279),0,E279))</f>
        <v/>
      </c>
      <c r="N279" s="55" t="str">
        <f aca="false">IF(ISBLANK($C279),"",IF(ISBLANK(F279),0,F279))</f>
        <v/>
      </c>
      <c r="O279" s="55" t="e">
        <f aca="false">IF(AND(NOT(ISBLANK($C279)),NOT($T279),COUNTA($E279:$K279)&gt;0),ISBLANK($F279),FALSE())</f>
        <v>#VALUE!</v>
      </c>
      <c r="P279" s="55" t="str">
        <f aca="false">IF(ISBLANK($C279),"",IF(G279=Constants!$B$9, TRUE(), IF(G279=Constants!$B$10, FALSE(), TRUE())))</f>
        <v/>
      </c>
      <c r="Q279" s="55" t="str">
        <f aca="false">IF(ISBLANK($C279),"",IF(H279=Constants!$B$9, TRUE(), IF(H279=Constants!$B$10, FALSE(), TRUE())))</f>
        <v/>
      </c>
      <c r="R279" s="55" t="str">
        <f aca="false">IF(ISBLANK($C279),"",IF(ISBLANK(I279),Constants!$B$3,I279))</f>
        <v/>
      </c>
      <c r="S279" s="55" t="str">
        <f aca="false">IF(ISBLANK($C279),"",IF(ISBLANK(J279),0,MIN(J279,Constants!$B$6)))</f>
        <v/>
      </c>
      <c r="T279" s="55" t="str">
        <f aca="false">IF(ISBLANK($C279),"",IF(K279=Constants!$B$9, TRUE(), IF(K279=Constants!$B$10, FALSE(),  FALSE())))</f>
        <v/>
      </c>
      <c r="U279" s="55" t="str">
        <f aca="false">IF(ISBLANK($C279),"",AND(R279=Constants!$B$4, S279&lt;Constants!$B$6))</f>
        <v/>
      </c>
      <c r="V279" s="55" t="str">
        <f aca="false">IF(ISBLANK(C279), "", IF(T279, Constants!$B$11, IF(COUNTA(E279:K279)=0, Constants!$B$12, IF(NOT(AND(P279,S279&lt;&gt;0)), Constants!$B$13, IF(O279, Constants!$B$15, Constants!$B$14)))))</f>
        <v/>
      </c>
      <c r="W279" s="55" t="str">
        <f aca="false">IF(OR(ISBLANK($C279), SUMPRODUCT(--(P279:T279&lt;&gt;""))=0), "", IF(V279&lt;&gt;Constants!$B$14, V279, IF(AND(NOT(ISBLANK(J279)),P279,Q279,R279&lt;&gt;Constants!$B$2), Constants!$B$7, IF(AND(P279,OR(NOT(Q279),R279=Constants!$B$2)), Constants!$B$8, "Error"))))</f>
        <v/>
      </c>
      <c r="X279" s="56" t="str">
        <f aca="false">IF(OR(W279=Constants!$B$7,W279=Constants!$B$8), MAX(0, MIN(Constants!$B$6, S279))+IF(AND(R279=Constants!$B$4, NOT(U279)), Constants!$B$5, 0), "")</f>
        <v/>
      </c>
      <c r="Y279" s="55" t="str">
        <f aca="false">IF(ISBLANK($C279),"",IF(AND(ISNUMBER(X279),N279&gt;0),X279/N279, "") )</f>
        <v/>
      </c>
      <c r="Z279" s="55" t="str">
        <f aca="false">IF(AND(NOT(ISBLANK($C279)), W279=Constants!$B$7), Y279, "")</f>
        <v/>
      </c>
      <c r="AA279" s="55" t="str">
        <f aca="false">IF(ISNUMBER(Z279), RANK(Z279,Z$8:Z$507), "")</f>
        <v/>
      </c>
      <c r="AB279" s="55" t="str">
        <f aca="false">IF(AND(NOT(ISBLANK($C279)), W279=Constants!$B$8), Y279, "")</f>
        <v/>
      </c>
      <c r="AC279" s="55" t="str">
        <f aca="false">IF(ISNUMBER(AB279), RANK(AB279,AB$8:AB$507), "")</f>
        <v/>
      </c>
      <c r="AD279" s="55" t="str">
        <f aca="false">IF(ISBLANK($C279),"",IF(V279&lt;&gt;Constants!$B$14, V279, IF(W279=Constants!$B$7, AA279, IF(W279=Constants!$B$8, COUNT($AA$8:$AA$507) + AC279, ""))))</f>
        <v/>
      </c>
      <c r="AE279" s="55" t="str">
        <f aca="false">N279</f>
        <v/>
      </c>
      <c r="AF279" s="55" t="str">
        <f aca="false">IF(ISNUMBER(AE279), RANK(AE279,AE$8:AE$507,1), "")</f>
        <v/>
      </c>
      <c r="AG279" s="57" t="str">
        <f aca="false">IF(ISBLANK(C279), "", ABS(M279-S279))</f>
        <v/>
      </c>
      <c r="AH279" s="55" t="str">
        <f aca="false">IF(ISNUMBER(AG279), RANK(AG279,AG$8:AG$507,1), "")</f>
        <v/>
      </c>
      <c r="AI279" s="55" t="str">
        <f aca="false">IF(ISBLANK(C279),"",IF(V279&lt;&gt;Constants!$B$14, V279, RANK(AD279, AD$8:AD$507, 1)+ SUMPRODUCT(--(AD$8:AD$507=AD279),--(AF279&gt;AF$8:AF$507)) + SUMPRODUCT(--(AD$8:AD$507=AD279),--(AF279=AF$8:AF$507),--(AH279&gt;AH$8:AH$507))))</f>
        <v/>
      </c>
      <c r="AJ279" s="55" t="str">
        <f aca="false">IF(ISBLANK(C279),"",IF(V279&lt;&gt;Constants!$B$14, V279, AD279-AI279))</f>
        <v/>
      </c>
      <c r="AK279" s="59"/>
      <c r="AL279" s="60" t="str">
        <f aca="false">IF(ISBLANK($C279),"",IF($V279&lt;&gt;Constants!$B$14,$V279,X279))</f>
        <v/>
      </c>
      <c r="AM279" s="60" t="str">
        <f aca="false">IF(ISBLANK($C279),"",IF($V279&lt;&gt;Constants!$B$14,$V279,N279))</f>
        <v/>
      </c>
      <c r="AN279" s="62" t="str">
        <f aca="false">IF(ISBLANK(C279),"",IF(V279&lt;&gt;Constants!$B$14, V279, IF(W279=Constants!$B$7,Z279,IF(W279=Constants!$B$8,AB279,""))))</f>
        <v/>
      </c>
      <c r="AO279" s="63" t="str">
        <f aca="false">IF(ISBLANK(C279),"",W279)</f>
        <v/>
      </c>
      <c r="AP279" s="63" t="str">
        <f aca="false">IF(ISBLANK(C279),"",AJ279)</f>
        <v/>
      </c>
      <c r="AQ279" s="63" t="str">
        <f aca="false">IF(ISBLANK(C279),"",AI279)</f>
        <v/>
      </c>
      <c r="AR279" s="64" t="str">
        <f aca="false">IF(ISBLANK(C279),
  "",
IF(AQ279=Constants!$B$11,COUNTA($C$8:$C$507)+2,IF(AQ279=Constants!$B$12,COUNTA($C$8:$C$507)+1,IF(AQ279=Constants!$B$13,COUNTA($C$8:$C$507),AQ279))))</f>
        <v/>
      </c>
      <c r="AS279" s="3"/>
      <c r="AT279" s="65" t="n">
        <f aca="false">IF(OR(ISNUMBER(AQ279),AQ279="DQ",AQ279="P",AQ279="NS"),
    1,
    0
)</f>
        <v>0</v>
      </c>
      <c r="AU279" s="65" t="n">
        <v>272</v>
      </c>
      <c r="AV279" s="65" t="str">
        <f aca="false">IF(ISBLANK($C279),
    "",
   IF(ISNUMBER(AR279),AR279+ROW($B279)/1000,"")
)</f>
        <v/>
      </c>
      <c r="AW279" s="65" t="str">
        <f aca="false">IF(ISNUMBER(AV279), RANK(AV279,AV$8:AV$507,1), "")</f>
        <v/>
      </c>
      <c r="AX279" s="65" t="str">
        <f aca="false">IF(ISBLANK($C279),
    "",
    $B279
)</f>
        <v/>
      </c>
      <c r="AY279" s="65" t="str">
        <f aca="false">IF(ISBLANK($C279),
    "",
    $C279
)</f>
        <v/>
      </c>
      <c r="AZ279" s="65" t="str">
        <f aca="false">IF(ISBLANK($C279),
    "",
    $D279
)</f>
        <v/>
      </c>
      <c r="BA279" s="65" t="str">
        <f aca="false">AO279</f>
        <v/>
      </c>
      <c r="BB279" s="66" t="str">
        <f aca="false">AN279</f>
        <v/>
      </c>
      <c r="BC279" s="65" t="str">
        <f aca="false">IF(ISBLANK($C279),
    "",
    AQ279
)</f>
        <v/>
      </c>
      <c r="BD279" s="67" t="str">
        <f aca="false">IF(AU279&gt;AT$7,
    "",
    VLOOKUP(AU279,AW$8:BC$507,7,FALSE())
)</f>
        <v/>
      </c>
      <c r="BE279" s="68" t="str">
        <f aca="false">IF(AU279&gt;AT$7,
    "",
    VLOOKUP(AU279,AW$8:BC$507,2,FALSE())
)</f>
        <v/>
      </c>
      <c r="BF279" s="68" t="str">
        <f aca="false">IF(AU279&gt;AT$7,
    "",
    VLOOKUP(AU279,AW$8:BC$507,3,FALSE())
)</f>
        <v/>
      </c>
      <c r="BG279" s="68" t="str">
        <f aca="false">IF(AU279&gt;AT$7,
    "",
    VLOOKUP(AU279,AW$8:BC$507,4,FALSE())
)</f>
        <v/>
      </c>
      <c r="BH279" s="68" t="str">
        <f aca="false">IF(AU279&gt;AT$7,
    "",
    VLOOKUP(AU279,AW$8:BC$507,5,FALSE())
)</f>
        <v/>
      </c>
      <c r="BI279" s="69" t="str">
        <f aca="false">IF(AU279&gt;AT$7,
    "",
    VLOOKUP(AU279,AW$8:BC$507,6,FALSE())
)</f>
        <v/>
      </c>
      <c r="BJ279" s="46"/>
    </row>
    <row r="280" customFormat="false" ht="15.75" hidden="false" customHeight="false" outlineLevel="0" collapsed="false">
      <c r="A280" s="3"/>
      <c r="B280" s="108"/>
      <c r="C280" s="70"/>
      <c r="D280" s="49"/>
      <c r="E280" s="109"/>
      <c r="F280" s="72"/>
      <c r="G280" s="109"/>
      <c r="H280" s="74"/>
      <c r="I280" s="104"/>
      <c r="J280" s="74"/>
      <c r="K280" s="74"/>
      <c r="L280" s="55"/>
      <c r="M280" s="55" t="str">
        <f aca="false">IF(ISBLANK($C280),"",IF(ISBLANK(E280),0,E280))</f>
        <v/>
      </c>
      <c r="N280" s="55" t="str">
        <f aca="false">IF(ISBLANK($C280),"",IF(ISBLANK(F280),0,F280))</f>
        <v/>
      </c>
      <c r="O280" s="55" t="e">
        <f aca="false">IF(AND(NOT(ISBLANK($C280)),NOT($T280),COUNTA($E280:$K280)&gt;0),ISBLANK($F280),FALSE())</f>
        <v>#VALUE!</v>
      </c>
      <c r="P280" s="55" t="str">
        <f aca="false">IF(ISBLANK($C280),"",IF(G280=Constants!$B$9, TRUE(), IF(G280=Constants!$B$10, FALSE(), TRUE())))</f>
        <v/>
      </c>
      <c r="Q280" s="55" t="str">
        <f aca="false">IF(ISBLANK($C280),"",IF(H280=Constants!$B$9, TRUE(), IF(H280=Constants!$B$10, FALSE(), TRUE())))</f>
        <v/>
      </c>
      <c r="R280" s="55" t="str">
        <f aca="false">IF(ISBLANK($C280),"",IF(ISBLANK(I280),Constants!$B$3,I280))</f>
        <v/>
      </c>
      <c r="S280" s="55" t="str">
        <f aca="false">IF(ISBLANK($C280),"",IF(ISBLANK(J280),0,MIN(J280,Constants!$B$6)))</f>
        <v/>
      </c>
      <c r="T280" s="55" t="str">
        <f aca="false">IF(ISBLANK($C280),"",IF(K280=Constants!$B$9, TRUE(), IF(K280=Constants!$B$10, FALSE(),  FALSE())))</f>
        <v/>
      </c>
      <c r="U280" s="55" t="str">
        <f aca="false">IF(ISBLANK($C280),"",AND(R280=Constants!$B$4, S280&lt;Constants!$B$6))</f>
        <v/>
      </c>
      <c r="V280" s="55" t="str">
        <f aca="false">IF(ISBLANK(C280), "", IF(T280, Constants!$B$11, IF(COUNTA(E280:K280)=0, Constants!$B$12, IF(NOT(AND(P280,S280&lt;&gt;0)), Constants!$B$13, IF(O280, Constants!$B$15, Constants!$B$14)))))</f>
        <v/>
      </c>
      <c r="W280" s="55" t="str">
        <f aca="false">IF(OR(ISBLANK($C280), SUMPRODUCT(--(P280:T280&lt;&gt;""))=0), "", IF(V280&lt;&gt;Constants!$B$14, V280, IF(AND(NOT(ISBLANK(J280)),P280,Q280,R280&lt;&gt;Constants!$B$2), Constants!$B$7, IF(AND(P280,OR(NOT(Q280),R280=Constants!$B$2)), Constants!$B$8, "Error"))))</f>
        <v/>
      </c>
      <c r="X280" s="56" t="str">
        <f aca="false">IF(OR(W280=Constants!$B$7,W280=Constants!$B$8), MAX(0, MIN(Constants!$B$6, S280))+IF(AND(R280=Constants!$B$4, NOT(U280)), Constants!$B$5, 0), "")</f>
        <v/>
      </c>
      <c r="Y280" s="55" t="str">
        <f aca="false">IF(ISBLANK($C280),"",IF(AND(ISNUMBER(X280),N280&gt;0),X280/N280, "") )</f>
        <v/>
      </c>
      <c r="Z280" s="55" t="str">
        <f aca="false">IF(AND(NOT(ISBLANK($C280)), W280=Constants!$B$7), Y280, "")</f>
        <v/>
      </c>
      <c r="AA280" s="55" t="str">
        <f aca="false">IF(ISNUMBER(Z280), RANK(Z280,Z$8:Z$507), "")</f>
        <v/>
      </c>
      <c r="AB280" s="55" t="str">
        <f aca="false">IF(AND(NOT(ISBLANK($C280)), W280=Constants!$B$8), Y280, "")</f>
        <v/>
      </c>
      <c r="AC280" s="55" t="str">
        <f aca="false">IF(ISNUMBER(AB280), RANK(AB280,AB$8:AB$507), "")</f>
        <v/>
      </c>
      <c r="AD280" s="55" t="str">
        <f aca="false">IF(ISBLANK($C280),"",IF(V280&lt;&gt;Constants!$B$14, V280, IF(W280=Constants!$B$7, AA280, IF(W280=Constants!$B$8, COUNT($AA$8:$AA$507) + AC280, ""))))</f>
        <v/>
      </c>
      <c r="AE280" s="55" t="str">
        <f aca="false">N280</f>
        <v/>
      </c>
      <c r="AF280" s="55" t="str">
        <f aca="false">IF(ISNUMBER(AE280), RANK(AE280,AE$8:AE$507,1), "")</f>
        <v/>
      </c>
      <c r="AG280" s="57" t="str">
        <f aca="false">IF(ISBLANK(C280), "", ABS(M280-S280))</f>
        <v/>
      </c>
      <c r="AH280" s="55" t="str">
        <f aca="false">IF(ISNUMBER(AG280), RANK(AG280,AG$8:AG$507,1), "")</f>
        <v/>
      </c>
      <c r="AI280" s="55" t="str">
        <f aca="false">IF(ISBLANK(C280),"",IF(V280&lt;&gt;Constants!$B$14, V280, RANK(AD280, AD$8:AD$507, 1)+ SUMPRODUCT(--(AD$8:AD$507=AD280),--(AF280&gt;AF$8:AF$507)) + SUMPRODUCT(--(AD$8:AD$507=AD280),--(AF280=AF$8:AF$507),--(AH280&gt;AH$8:AH$507))))</f>
        <v/>
      </c>
      <c r="AJ280" s="55" t="str">
        <f aca="false">IF(ISBLANK(C280),"",IF(V280&lt;&gt;Constants!$B$14, V280, AD280-AI280))</f>
        <v/>
      </c>
      <c r="AK280" s="59"/>
      <c r="AL280" s="60" t="str">
        <f aca="false">IF(ISBLANK($C280),"",IF($V280&lt;&gt;Constants!$B$14,$V280,X280))</f>
        <v/>
      </c>
      <c r="AM280" s="60" t="str">
        <f aca="false">IF(ISBLANK($C280),"",IF($V280&lt;&gt;Constants!$B$14,$V280,N280))</f>
        <v/>
      </c>
      <c r="AN280" s="62" t="str">
        <f aca="false">IF(ISBLANK(C280),"",IF(V280&lt;&gt;Constants!$B$14, V280, IF(W280=Constants!$B$7,Z280,IF(W280=Constants!$B$8,AB280,""))))</f>
        <v/>
      </c>
      <c r="AO280" s="63" t="str">
        <f aca="false">IF(ISBLANK(C280),"",W280)</f>
        <v/>
      </c>
      <c r="AP280" s="63" t="str">
        <f aca="false">IF(ISBLANK(C280),"",AJ280)</f>
        <v/>
      </c>
      <c r="AQ280" s="63" t="str">
        <f aca="false">IF(ISBLANK(C280),"",AI280)</f>
        <v/>
      </c>
      <c r="AR280" s="64" t="str">
        <f aca="false">IF(ISBLANK(C280),
  "",
IF(AQ280=Constants!$B$11,COUNTA($C$8:$C$507)+2,IF(AQ280=Constants!$B$12,COUNTA($C$8:$C$507)+1,IF(AQ280=Constants!$B$13,COUNTA($C$8:$C$507),AQ280))))</f>
        <v/>
      </c>
      <c r="AS280" s="3"/>
      <c r="AT280" s="65" t="n">
        <f aca="false">IF(OR(ISNUMBER(AQ280),AQ280="DQ",AQ280="P",AQ280="NS"),
    1,
    0
)</f>
        <v>0</v>
      </c>
      <c r="AU280" s="65" t="n">
        <v>273</v>
      </c>
      <c r="AV280" s="65" t="str">
        <f aca="false">IF(ISBLANK($C280),
    "",
   IF(ISNUMBER(AR280),AR280+ROW($B280)/1000,"")
)</f>
        <v/>
      </c>
      <c r="AW280" s="65" t="str">
        <f aca="false">IF(ISNUMBER(AV280), RANK(AV280,AV$8:AV$507,1), "")</f>
        <v/>
      </c>
      <c r="AX280" s="65" t="str">
        <f aca="false">IF(ISBLANK($C280),
    "",
    $B280
)</f>
        <v/>
      </c>
      <c r="AY280" s="65" t="str">
        <f aca="false">IF(ISBLANK($C280),
    "",
    $C280
)</f>
        <v/>
      </c>
      <c r="AZ280" s="65" t="str">
        <f aca="false">IF(ISBLANK($C280),
    "",
    $D280
)</f>
        <v/>
      </c>
      <c r="BA280" s="65" t="str">
        <f aca="false">AO280</f>
        <v/>
      </c>
      <c r="BB280" s="66" t="str">
        <f aca="false">AN280</f>
        <v/>
      </c>
      <c r="BC280" s="65" t="str">
        <f aca="false">IF(ISBLANK($C280),
    "",
    AQ280
)</f>
        <v/>
      </c>
      <c r="BD280" s="67" t="str">
        <f aca="false">IF(AU280&gt;AT$7,
    "",
    VLOOKUP(AU280,AW$8:BC$507,7,FALSE())
)</f>
        <v/>
      </c>
      <c r="BE280" s="68" t="str">
        <f aca="false">IF(AU280&gt;AT$7,
    "",
    VLOOKUP(AU280,AW$8:BC$507,2,FALSE())
)</f>
        <v/>
      </c>
      <c r="BF280" s="68" t="str">
        <f aca="false">IF(AU280&gt;AT$7,
    "",
    VLOOKUP(AU280,AW$8:BC$507,3,FALSE())
)</f>
        <v/>
      </c>
      <c r="BG280" s="68" t="str">
        <f aca="false">IF(AU280&gt;AT$7,
    "",
    VLOOKUP(AU280,AW$8:BC$507,4,FALSE())
)</f>
        <v/>
      </c>
      <c r="BH280" s="68" t="str">
        <f aca="false">IF(AU280&gt;AT$7,
    "",
    VLOOKUP(AU280,AW$8:BC$507,5,FALSE())
)</f>
        <v/>
      </c>
      <c r="BI280" s="69" t="str">
        <f aca="false">IF(AU280&gt;AT$7,
    "",
    VLOOKUP(AU280,AW$8:BC$507,6,FALSE())
)</f>
        <v/>
      </c>
      <c r="BJ280" s="46"/>
    </row>
    <row r="281" customFormat="false" ht="15.75" hidden="false" customHeight="false" outlineLevel="0" collapsed="false">
      <c r="A281" s="3"/>
      <c r="B281" s="105"/>
      <c r="C281" s="106"/>
      <c r="D281" s="99"/>
      <c r="E281" s="110"/>
      <c r="F281" s="107"/>
      <c r="G281" s="110"/>
      <c r="H281" s="103"/>
      <c r="I281" s="102"/>
      <c r="J281" s="103"/>
      <c r="K281" s="103"/>
      <c r="L281" s="85"/>
      <c r="M281" s="85" t="str">
        <f aca="false">IF(ISBLANK($C281),"",IF(ISBLANK(E281),0,E281))</f>
        <v/>
      </c>
      <c r="N281" s="85" t="str">
        <f aca="false">IF(ISBLANK($C281),"",IF(ISBLANK(F281),0,F281))</f>
        <v/>
      </c>
      <c r="O281" s="86" t="e">
        <f aca="false">IF(AND(NOT(ISBLANK($C281)),NOT($T281),COUNTA($E281:$K281)&gt;0),ISBLANK($F281),FALSE())</f>
        <v>#VALUE!</v>
      </c>
      <c r="P281" s="85" t="str">
        <f aca="false">IF(ISBLANK($C281),"",IF(G281=Constants!$B$9, TRUE(), IF(G281=Constants!$B$10, FALSE(), TRUE())))</f>
        <v/>
      </c>
      <c r="Q281" s="85" t="str">
        <f aca="false">IF(ISBLANK($C281),"",IF(H281=Constants!$B$9, TRUE(), IF(H281=Constants!$B$10, FALSE(), TRUE())))</f>
        <v/>
      </c>
      <c r="R281" s="85" t="str">
        <f aca="false">IF(ISBLANK($C281),"",IF(ISBLANK(I281),Constants!$B$3,I281))</f>
        <v/>
      </c>
      <c r="S281" s="85" t="str">
        <f aca="false">IF(ISBLANK($C281),"",IF(ISBLANK(J281),0,MIN(J281,Constants!$B$6)))</f>
        <v/>
      </c>
      <c r="T281" s="85" t="str">
        <f aca="false">IF(ISBLANK($C281),"",IF(K281=Constants!$B$9, TRUE(), IF(K281=Constants!$B$10, FALSE(),  FALSE())))</f>
        <v/>
      </c>
      <c r="U281" s="85" t="str">
        <f aca="false">IF(ISBLANK($C281),"",AND(R281=Constants!$B$4, S281&lt;Constants!$B$6))</f>
        <v/>
      </c>
      <c r="V281" s="85" t="str">
        <f aca="false">IF(ISBLANK(C281), "", IF(T281, Constants!$B$11, IF(COUNTA(E281:K281)=0, Constants!$B$12, IF(NOT(AND(P281,S281&lt;&gt;0)), Constants!$B$13, IF(O281, Constants!$B$15, Constants!$B$14)))))</f>
        <v/>
      </c>
      <c r="W281" s="85" t="str">
        <f aca="false">IF(OR(ISBLANK($C281), SUMPRODUCT(--(P281:T281&lt;&gt;""))=0), "", IF(V281&lt;&gt;Constants!$B$14, V281, IF(AND(NOT(ISBLANK(J281)),P281,Q281,R281&lt;&gt;Constants!$B$2), Constants!$B$7, IF(AND(P281,OR(NOT(Q281),R281=Constants!$B$2)), Constants!$B$8, "Error"))))</f>
        <v/>
      </c>
      <c r="X281" s="87" t="str">
        <f aca="false">IF(OR(W281=Constants!$B$7,W281=Constants!$B$8), MAX(0, MIN(Constants!$B$6, S281))+IF(AND(R281=Constants!$B$4, NOT(U281)), Constants!$B$5, 0), "")</f>
        <v/>
      </c>
      <c r="Y281" s="85" t="str">
        <f aca="false">IF(ISBLANK($C281),"",IF(AND(ISNUMBER(X281),N281&gt;0),X281/N281, "") )</f>
        <v/>
      </c>
      <c r="Z281" s="85" t="str">
        <f aca="false">IF(AND(NOT(ISBLANK($C281)), W281=Constants!$B$7), Y281, "")</f>
        <v/>
      </c>
      <c r="AA281" s="85" t="str">
        <f aca="false">IF(ISNUMBER(Z281), RANK(Z281,Z$8:Z$507), "")</f>
        <v/>
      </c>
      <c r="AB281" s="85" t="str">
        <f aca="false">IF(AND(NOT(ISBLANK($C281)), W281=Constants!$B$8), Y281, "")</f>
        <v/>
      </c>
      <c r="AC281" s="85" t="str">
        <f aca="false">IF(ISNUMBER(AB281), RANK(AB281,AB$8:AB$507), "")</f>
        <v/>
      </c>
      <c r="AD281" s="85" t="str">
        <f aca="false">IF(ISBLANK($C281),"",IF(V281&lt;&gt;Constants!$B$14, V281, IF(W281=Constants!$B$7, AA281, IF(W281=Constants!$B$8, COUNT($AA$8:$AA$507) + AC281, ""))))</f>
        <v/>
      </c>
      <c r="AE281" s="85" t="str">
        <f aca="false">N281</f>
        <v/>
      </c>
      <c r="AF281" s="85" t="str">
        <f aca="false">IF(ISNUMBER(AE281), RANK(AE281,AE$8:AE$507,1), "")</f>
        <v/>
      </c>
      <c r="AG281" s="88" t="str">
        <f aca="false">IF(ISBLANK(C281), "", ABS(M281-S281))</f>
        <v/>
      </c>
      <c r="AH281" s="85" t="str">
        <f aca="false">IF(ISNUMBER(AG281), RANK(AG281,AG$8:AG$507,1), "")</f>
        <v/>
      </c>
      <c r="AI281" s="85" t="str">
        <f aca="false">IF(ISBLANK(C281),"",IF(V281&lt;&gt;Constants!$B$14, V281, RANK(AD281, AD$8:AD$507, 1)+ SUMPRODUCT(--(AD$8:AD$507=AD281),--(AF281&gt;AF$8:AF$507)) + SUMPRODUCT(--(AD$8:AD$507=AD281),--(AF281=AF$8:AF$507),--(AH281&gt;AH$8:AH$507))))</f>
        <v/>
      </c>
      <c r="AJ281" s="85" t="str">
        <f aca="false">IF(ISBLANK(C281),"",IF(V281&lt;&gt;Constants!$B$14, V281, AD281-AI281))</f>
        <v/>
      </c>
      <c r="AK281" s="89"/>
      <c r="AL281" s="90" t="str">
        <f aca="false">IF(ISBLANK($C281),"",IF($V281&lt;&gt;Constants!$B$14,$V281,X281))</f>
        <v/>
      </c>
      <c r="AM281" s="90" t="str">
        <f aca="false">IF(ISBLANK($C281),"",IF($V281&lt;&gt;Constants!$B$14,$V281,N281))</f>
        <v/>
      </c>
      <c r="AN281" s="91" t="str">
        <f aca="false">IF(ISBLANK(C281),"",IF(V281&lt;&gt;Constants!$B$14, V281, IF(W281=Constants!$B$7,Z281,IF(W281=Constants!$B$8,AB281,""))))</f>
        <v/>
      </c>
      <c r="AO281" s="92" t="str">
        <f aca="false">IF(ISBLANK(C281),"",W281)</f>
        <v/>
      </c>
      <c r="AP281" s="92" t="str">
        <f aca="false">IF(ISBLANK(C281),"",AJ281)</f>
        <v/>
      </c>
      <c r="AQ281" s="92" t="str">
        <f aca="false">IF(ISBLANK(C281),"",AI281)</f>
        <v/>
      </c>
      <c r="AR281" s="93" t="str">
        <f aca="false">IF(ISBLANK(C281),
  "",
IF(AQ281=Constants!$B$11,COUNTA($C$8:$C$507)+2,IF(AQ281=Constants!$B$12,COUNTA($C$8:$C$507)+1,IF(AQ281=Constants!$B$13,COUNTA($C$8:$C$507),AQ281))))</f>
        <v/>
      </c>
      <c r="AS281" s="3"/>
      <c r="AT281" s="94" t="n">
        <f aca="false">IF(OR(ISNUMBER(AQ281),AQ281="DQ",AQ281="P",AQ281="NS"),
    1,
    0
)</f>
        <v>0</v>
      </c>
      <c r="AU281" s="94" t="n">
        <v>274</v>
      </c>
      <c r="AV281" s="94" t="str">
        <f aca="false">IF(ISBLANK($C281),
    "",
   IF(ISNUMBER(AR281),AR281+ROW($B281)/1000,"")
)</f>
        <v/>
      </c>
      <c r="AW281" s="94" t="str">
        <f aca="false">IF(ISNUMBER(AV281), RANK(AV281,AV$8:AV$507,1), "")</f>
        <v/>
      </c>
      <c r="AX281" s="94" t="str">
        <f aca="false">IF(ISBLANK($C281),
    "",
    $B281
)</f>
        <v/>
      </c>
      <c r="AY281" s="94" t="str">
        <f aca="false">IF(ISBLANK($C281),
    "",
    $C281
)</f>
        <v/>
      </c>
      <c r="AZ281" s="94" t="str">
        <f aca="false">IF(ISBLANK($C281),
    "",
    $D281
)</f>
        <v/>
      </c>
      <c r="BA281" s="94" t="str">
        <f aca="false">AO281</f>
        <v/>
      </c>
      <c r="BB281" s="95" t="str">
        <f aca="false">AN281</f>
        <v/>
      </c>
      <c r="BC281" s="94" t="str">
        <f aca="false">IF(ISBLANK($C281),
    "",
    AQ281
)</f>
        <v/>
      </c>
      <c r="BD281" s="96" t="str">
        <f aca="false">IF(AU281&gt;AT$7,
    "",
    VLOOKUP(AU281,AW$8:BC$507,7,FALSE())
)</f>
        <v/>
      </c>
      <c r="BE281" s="97" t="str">
        <f aca="false">IF(AU281&gt;AT$7,
    "",
    VLOOKUP(AU281,AW$8:BC$507,2,FALSE())
)</f>
        <v/>
      </c>
      <c r="BF281" s="97" t="str">
        <f aca="false">IF(AU281&gt;AT$7,
    "",
    VLOOKUP(AU281,AW$8:BC$507,3,FALSE())
)</f>
        <v/>
      </c>
      <c r="BG281" s="97" t="str">
        <f aca="false">IF(AU281&gt;AT$7,
    "",
    VLOOKUP(AU281,AW$8:BC$507,4,FALSE())
)</f>
        <v/>
      </c>
      <c r="BH281" s="97" t="str">
        <f aca="false">IF(AU281&gt;AT$7,
    "",
    VLOOKUP(AU281,AW$8:BC$507,5,FALSE())
)</f>
        <v/>
      </c>
      <c r="BI281" s="98" t="str">
        <f aca="false">IF(AU281&gt;AT$7,
    "",
    VLOOKUP(AU281,AW$8:BC$507,6,FALSE())
)</f>
        <v/>
      </c>
      <c r="BJ281" s="46"/>
    </row>
    <row r="282" customFormat="false" ht="15.75" hidden="false" customHeight="false" outlineLevel="0" collapsed="false">
      <c r="A282" s="3"/>
      <c r="B282" s="105"/>
      <c r="C282" s="106"/>
      <c r="D282" s="99"/>
      <c r="E282" s="110"/>
      <c r="F282" s="107"/>
      <c r="G282" s="110"/>
      <c r="H282" s="103"/>
      <c r="I282" s="102"/>
      <c r="J282" s="103"/>
      <c r="K282" s="103"/>
      <c r="L282" s="85"/>
      <c r="M282" s="85" t="str">
        <f aca="false">IF(ISBLANK($C282),"",IF(ISBLANK(E282),0,E282))</f>
        <v/>
      </c>
      <c r="N282" s="85" t="str">
        <f aca="false">IF(ISBLANK($C282),"",IF(ISBLANK(F282),0,F282))</f>
        <v/>
      </c>
      <c r="O282" s="86" t="e">
        <f aca="false">IF(AND(NOT(ISBLANK($C282)),NOT($T282),COUNTA($E282:$K282)&gt;0),ISBLANK($F282),FALSE())</f>
        <v>#VALUE!</v>
      </c>
      <c r="P282" s="85" t="str">
        <f aca="false">IF(ISBLANK($C282),"",IF(G282=Constants!$B$9, TRUE(), IF(G282=Constants!$B$10, FALSE(), TRUE())))</f>
        <v/>
      </c>
      <c r="Q282" s="85" t="str">
        <f aca="false">IF(ISBLANK($C282),"",IF(H282=Constants!$B$9, TRUE(), IF(H282=Constants!$B$10, FALSE(), TRUE())))</f>
        <v/>
      </c>
      <c r="R282" s="85" t="str">
        <f aca="false">IF(ISBLANK($C282),"",IF(ISBLANK(I282),Constants!$B$3,I282))</f>
        <v/>
      </c>
      <c r="S282" s="85" t="str">
        <f aca="false">IF(ISBLANK($C282),"",IF(ISBLANK(J282),0,MIN(J282,Constants!$B$6)))</f>
        <v/>
      </c>
      <c r="T282" s="85" t="str">
        <f aca="false">IF(ISBLANK($C282),"",IF(K282=Constants!$B$9, TRUE(), IF(K282=Constants!$B$10, FALSE(),  FALSE())))</f>
        <v/>
      </c>
      <c r="U282" s="85" t="str">
        <f aca="false">IF(ISBLANK($C282),"",AND(R282=Constants!$B$4, S282&lt;Constants!$B$6))</f>
        <v/>
      </c>
      <c r="V282" s="85" t="str">
        <f aca="false">IF(ISBLANK(C282), "", IF(T282, Constants!$B$11, IF(COUNTA(E282:K282)=0, Constants!$B$12, IF(NOT(AND(P282,S282&lt;&gt;0)), Constants!$B$13, IF(O282, Constants!$B$15, Constants!$B$14)))))</f>
        <v/>
      </c>
      <c r="W282" s="85" t="str">
        <f aca="false">IF(OR(ISBLANK($C282), SUMPRODUCT(--(P282:T282&lt;&gt;""))=0), "", IF(V282&lt;&gt;Constants!$B$14, V282, IF(AND(NOT(ISBLANK(J282)),P282,Q282,R282&lt;&gt;Constants!$B$2), Constants!$B$7, IF(AND(P282,OR(NOT(Q282),R282=Constants!$B$2)), Constants!$B$8, "Error"))))</f>
        <v/>
      </c>
      <c r="X282" s="87" t="str">
        <f aca="false">IF(OR(W282=Constants!$B$7,W282=Constants!$B$8), MAX(0, MIN(Constants!$B$6, S282))+IF(AND(R282=Constants!$B$4, NOT(U282)), Constants!$B$5, 0), "")</f>
        <v/>
      </c>
      <c r="Y282" s="85" t="str">
        <f aca="false">IF(ISBLANK($C282),"",IF(AND(ISNUMBER(X282),N282&gt;0),X282/N282, "") )</f>
        <v/>
      </c>
      <c r="Z282" s="85" t="str">
        <f aca="false">IF(AND(NOT(ISBLANK($C282)), W282=Constants!$B$7), Y282, "")</f>
        <v/>
      </c>
      <c r="AA282" s="85" t="str">
        <f aca="false">IF(ISNUMBER(Z282), RANK(Z282,Z$8:Z$507), "")</f>
        <v/>
      </c>
      <c r="AB282" s="85" t="str">
        <f aca="false">IF(AND(NOT(ISBLANK($C282)), W282=Constants!$B$8), Y282, "")</f>
        <v/>
      </c>
      <c r="AC282" s="85" t="str">
        <f aca="false">IF(ISNUMBER(AB282), RANK(AB282,AB$8:AB$507), "")</f>
        <v/>
      </c>
      <c r="AD282" s="85" t="str">
        <f aca="false">IF(ISBLANK($C282),"",IF(V282&lt;&gt;Constants!$B$14, V282, IF(W282=Constants!$B$7, AA282, IF(W282=Constants!$B$8, COUNT($AA$8:$AA$507) + AC282, ""))))</f>
        <v/>
      </c>
      <c r="AE282" s="85" t="str">
        <f aca="false">N282</f>
        <v/>
      </c>
      <c r="AF282" s="85" t="str">
        <f aca="false">IF(ISNUMBER(AE282), RANK(AE282,AE$8:AE$507,1), "")</f>
        <v/>
      </c>
      <c r="AG282" s="88" t="str">
        <f aca="false">IF(ISBLANK(C282), "", ABS(M282-S282))</f>
        <v/>
      </c>
      <c r="AH282" s="85" t="str">
        <f aca="false">IF(ISNUMBER(AG282), RANK(AG282,AG$8:AG$507,1), "")</f>
        <v/>
      </c>
      <c r="AI282" s="85" t="str">
        <f aca="false">IF(ISBLANK(C282),"",IF(V282&lt;&gt;Constants!$B$14, V282, RANK(AD282, AD$8:AD$507, 1)+ SUMPRODUCT(--(AD$8:AD$507=AD282),--(AF282&gt;AF$8:AF$507)) + SUMPRODUCT(--(AD$8:AD$507=AD282),--(AF282=AF$8:AF$507),--(AH282&gt;AH$8:AH$507))))</f>
        <v/>
      </c>
      <c r="AJ282" s="85" t="str">
        <f aca="false">IF(ISBLANK(C282),"",IF(V282&lt;&gt;Constants!$B$14, V282, AD282-AI282))</f>
        <v/>
      </c>
      <c r="AK282" s="89"/>
      <c r="AL282" s="90" t="str">
        <f aca="false">IF(ISBLANK($C282),"",IF($V282&lt;&gt;Constants!$B$14,$V282,X282))</f>
        <v/>
      </c>
      <c r="AM282" s="90" t="str">
        <f aca="false">IF(ISBLANK($C282),"",IF($V282&lt;&gt;Constants!$B$14,$V282,N282))</f>
        <v/>
      </c>
      <c r="AN282" s="91" t="str">
        <f aca="false">IF(ISBLANK(C282),"",IF(V282&lt;&gt;Constants!$B$14, V282, IF(W282=Constants!$B$7,Z282,IF(W282=Constants!$B$8,AB282,""))))</f>
        <v/>
      </c>
      <c r="AO282" s="92" t="str">
        <f aca="false">IF(ISBLANK(C282),"",W282)</f>
        <v/>
      </c>
      <c r="AP282" s="92" t="str">
        <f aca="false">IF(ISBLANK(C282),"",AJ282)</f>
        <v/>
      </c>
      <c r="AQ282" s="92" t="str">
        <f aca="false">IF(ISBLANK(C282),"",AI282)</f>
        <v/>
      </c>
      <c r="AR282" s="93" t="str">
        <f aca="false">IF(ISBLANK(C282),
  "",
IF(AQ282=Constants!$B$11,COUNTA($C$8:$C$507)+2,IF(AQ282=Constants!$B$12,COUNTA($C$8:$C$507)+1,IF(AQ282=Constants!$B$13,COUNTA($C$8:$C$507),AQ282))))</f>
        <v/>
      </c>
      <c r="AS282" s="3"/>
      <c r="AT282" s="94" t="n">
        <f aca="false">IF(OR(ISNUMBER(AQ282),AQ282="DQ",AQ282="P",AQ282="NS"),
    1,
    0
)</f>
        <v>0</v>
      </c>
      <c r="AU282" s="94" t="n">
        <v>275</v>
      </c>
      <c r="AV282" s="94" t="str">
        <f aca="false">IF(ISBLANK($C282),
    "",
   IF(ISNUMBER(AR282),AR282+ROW($B282)/1000,"")
)</f>
        <v/>
      </c>
      <c r="AW282" s="94" t="str">
        <f aca="false">IF(ISNUMBER(AV282), RANK(AV282,AV$8:AV$507,1), "")</f>
        <v/>
      </c>
      <c r="AX282" s="94" t="str">
        <f aca="false">IF(ISBLANK($C282),
    "",
    $B282
)</f>
        <v/>
      </c>
      <c r="AY282" s="94" t="str">
        <f aca="false">IF(ISBLANK($C282),
    "",
    $C282
)</f>
        <v/>
      </c>
      <c r="AZ282" s="94" t="str">
        <f aca="false">IF(ISBLANK($C282),
    "",
    $D282
)</f>
        <v/>
      </c>
      <c r="BA282" s="94" t="str">
        <f aca="false">AO282</f>
        <v/>
      </c>
      <c r="BB282" s="95" t="str">
        <f aca="false">AN282</f>
        <v/>
      </c>
      <c r="BC282" s="94" t="str">
        <f aca="false">IF(ISBLANK($C282),
    "",
    AQ282
)</f>
        <v/>
      </c>
      <c r="BD282" s="96" t="str">
        <f aca="false">IF(AU282&gt;AT$7,
    "",
    VLOOKUP(AU282,AW$8:BC$507,7,FALSE())
)</f>
        <v/>
      </c>
      <c r="BE282" s="97" t="str">
        <f aca="false">IF(AU282&gt;AT$7,
    "",
    VLOOKUP(AU282,AW$8:BC$507,2,FALSE())
)</f>
        <v/>
      </c>
      <c r="BF282" s="97" t="str">
        <f aca="false">IF(AU282&gt;AT$7,
    "",
    VLOOKUP(AU282,AW$8:BC$507,3,FALSE())
)</f>
        <v/>
      </c>
      <c r="BG282" s="97" t="str">
        <f aca="false">IF(AU282&gt;AT$7,
    "",
    VLOOKUP(AU282,AW$8:BC$507,4,FALSE())
)</f>
        <v/>
      </c>
      <c r="BH282" s="97" t="str">
        <f aca="false">IF(AU282&gt;AT$7,
    "",
    VLOOKUP(AU282,AW$8:BC$507,5,FALSE())
)</f>
        <v/>
      </c>
      <c r="BI282" s="98" t="str">
        <f aca="false">IF(AU282&gt;AT$7,
    "",
    VLOOKUP(AU282,AW$8:BC$507,6,FALSE())
)</f>
        <v/>
      </c>
      <c r="BJ282" s="46"/>
    </row>
    <row r="283" customFormat="false" ht="15.75" hidden="false" customHeight="false" outlineLevel="0" collapsed="false">
      <c r="A283" s="3"/>
      <c r="B283" s="105"/>
      <c r="C283" s="106"/>
      <c r="D283" s="99"/>
      <c r="E283" s="110"/>
      <c r="F283" s="107"/>
      <c r="G283" s="110"/>
      <c r="H283" s="103"/>
      <c r="I283" s="102"/>
      <c r="J283" s="103"/>
      <c r="K283" s="103"/>
      <c r="L283" s="85"/>
      <c r="M283" s="85" t="str">
        <f aca="false">IF(ISBLANK($C283),"",IF(ISBLANK(E283),0,E283))</f>
        <v/>
      </c>
      <c r="N283" s="85" t="str">
        <f aca="false">IF(ISBLANK($C283),"",IF(ISBLANK(F283),0,F283))</f>
        <v/>
      </c>
      <c r="O283" s="86" t="e">
        <f aca="false">IF(AND(NOT(ISBLANK($C283)),NOT($T283),COUNTA($E283:$K283)&gt;0),ISBLANK($F283),FALSE())</f>
        <v>#VALUE!</v>
      </c>
      <c r="P283" s="85" t="str">
        <f aca="false">IF(ISBLANK($C283),"",IF(G283=Constants!$B$9, TRUE(), IF(G283=Constants!$B$10, FALSE(), TRUE())))</f>
        <v/>
      </c>
      <c r="Q283" s="85" t="str">
        <f aca="false">IF(ISBLANK($C283),"",IF(H283=Constants!$B$9, TRUE(), IF(H283=Constants!$B$10, FALSE(), TRUE())))</f>
        <v/>
      </c>
      <c r="R283" s="85" t="str">
        <f aca="false">IF(ISBLANK($C283),"",IF(ISBLANK(I283),Constants!$B$3,I283))</f>
        <v/>
      </c>
      <c r="S283" s="85" t="str">
        <f aca="false">IF(ISBLANK($C283),"",IF(ISBLANK(J283),0,MIN(J283,Constants!$B$6)))</f>
        <v/>
      </c>
      <c r="T283" s="85" t="str">
        <f aca="false">IF(ISBLANK($C283),"",IF(K283=Constants!$B$9, TRUE(), IF(K283=Constants!$B$10, FALSE(),  FALSE())))</f>
        <v/>
      </c>
      <c r="U283" s="85" t="str">
        <f aca="false">IF(ISBLANK($C283),"",AND(R283=Constants!$B$4, S283&lt;Constants!$B$6))</f>
        <v/>
      </c>
      <c r="V283" s="85" t="str">
        <f aca="false">IF(ISBLANK(C283), "", IF(T283, Constants!$B$11, IF(COUNTA(E283:K283)=0, Constants!$B$12, IF(NOT(AND(P283,S283&lt;&gt;0)), Constants!$B$13, IF(O283, Constants!$B$15, Constants!$B$14)))))</f>
        <v/>
      </c>
      <c r="W283" s="85" t="str">
        <f aca="false">IF(OR(ISBLANK($C283), SUMPRODUCT(--(P283:T283&lt;&gt;""))=0), "", IF(V283&lt;&gt;Constants!$B$14, V283, IF(AND(NOT(ISBLANK(J283)),P283,Q283,R283&lt;&gt;Constants!$B$2), Constants!$B$7, IF(AND(P283,OR(NOT(Q283),R283=Constants!$B$2)), Constants!$B$8, "Error"))))</f>
        <v/>
      </c>
      <c r="X283" s="87" t="str">
        <f aca="false">IF(OR(W283=Constants!$B$7,W283=Constants!$B$8), MAX(0, MIN(Constants!$B$6, S283))+IF(AND(R283=Constants!$B$4, NOT(U283)), Constants!$B$5, 0), "")</f>
        <v/>
      </c>
      <c r="Y283" s="85" t="str">
        <f aca="false">IF(ISBLANK($C283),"",IF(AND(ISNUMBER(X283),N283&gt;0),X283/N283, "") )</f>
        <v/>
      </c>
      <c r="Z283" s="85" t="str">
        <f aca="false">IF(AND(NOT(ISBLANK($C283)), W283=Constants!$B$7), Y283, "")</f>
        <v/>
      </c>
      <c r="AA283" s="85" t="str">
        <f aca="false">IF(ISNUMBER(Z283), RANK(Z283,Z$8:Z$507), "")</f>
        <v/>
      </c>
      <c r="AB283" s="85" t="str">
        <f aca="false">IF(AND(NOT(ISBLANK($C283)), W283=Constants!$B$8), Y283, "")</f>
        <v/>
      </c>
      <c r="AC283" s="85" t="str">
        <f aca="false">IF(ISNUMBER(AB283), RANK(AB283,AB$8:AB$507), "")</f>
        <v/>
      </c>
      <c r="AD283" s="85" t="str">
        <f aca="false">IF(ISBLANK($C283),"",IF(V283&lt;&gt;Constants!$B$14, V283, IF(W283=Constants!$B$7, AA283, IF(W283=Constants!$B$8, COUNT($AA$8:$AA$507) + AC283, ""))))</f>
        <v/>
      </c>
      <c r="AE283" s="85" t="str">
        <f aca="false">N283</f>
        <v/>
      </c>
      <c r="AF283" s="85" t="str">
        <f aca="false">IF(ISNUMBER(AE283), RANK(AE283,AE$8:AE$507,1), "")</f>
        <v/>
      </c>
      <c r="AG283" s="88" t="str">
        <f aca="false">IF(ISBLANK(C283), "", ABS(M283-S283))</f>
        <v/>
      </c>
      <c r="AH283" s="85" t="str">
        <f aca="false">IF(ISNUMBER(AG283), RANK(AG283,AG$8:AG$507,1), "")</f>
        <v/>
      </c>
      <c r="AI283" s="85" t="str">
        <f aca="false">IF(ISBLANK(C283),"",IF(V283&lt;&gt;Constants!$B$14, V283, RANK(AD283, AD$8:AD$507, 1)+ SUMPRODUCT(--(AD$8:AD$507=AD283),--(AF283&gt;AF$8:AF$507)) + SUMPRODUCT(--(AD$8:AD$507=AD283),--(AF283=AF$8:AF$507),--(AH283&gt;AH$8:AH$507))))</f>
        <v/>
      </c>
      <c r="AJ283" s="85" t="str">
        <f aca="false">IF(ISBLANK(C283),"",IF(V283&lt;&gt;Constants!$B$14, V283, AD283-AI283))</f>
        <v/>
      </c>
      <c r="AK283" s="89"/>
      <c r="AL283" s="90" t="str">
        <f aca="false">IF(ISBLANK($C283),"",IF($V283&lt;&gt;Constants!$B$14,$V283,X283))</f>
        <v/>
      </c>
      <c r="AM283" s="90" t="str">
        <f aca="false">IF(ISBLANK($C283),"",IF($V283&lt;&gt;Constants!$B$14,$V283,N283))</f>
        <v/>
      </c>
      <c r="AN283" s="91" t="str">
        <f aca="false">IF(ISBLANK(C283),"",IF(V283&lt;&gt;Constants!$B$14, V283, IF(W283=Constants!$B$7,Z283,IF(W283=Constants!$B$8,AB283,""))))</f>
        <v/>
      </c>
      <c r="AO283" s="92" t="str">
        <f aca="false">IF(ISBLANK(C283),"",W283)</f>
        <v/>
      </c>
      <c r="AP283" s="92" t="str">
        <f aca="false">IF(ISBLANK(C283),"",AJ283)</f>
        <v/>
      </c>
      <c r="AQ283" s="92" t="str">
        <f aca="false">IF(ISBLANK(C283),"",AI283)</f>
        <v/>
      </c>
      <c r="AR283" s="93" t="str">
        <f aca="false">IF(ISBLANK(C283),
  "",
IF(AQ283=Constants!$B$11,COUNTA($C$8:$C$507)+2,IF(AQ283=Constants!$B$12,COUNTA($C$8:$C$507)+1,IF(AQ283=Constants!$B$13,COUNTA($C$8:$C$507),AQ283))))</f>
        <v/>
      </c>
      <c r="AS283" s="3"/>
      <c r="AT283" s="94" t="n">
        <f aca="false">IF(OR(ISNUMBER(AQ283),AQ283="DQ",AQ283="P",AQ283="NS"),
    1,
    0
)</f>
        <v>0</v>
      </c>
      <c r="AU283" s="94" t="n">
        <v>276</v>
      </c>
      <c r="AV283" s="94" t="str">
        <f aca="false">IF(ISBLANK($C283),
    "",
   IF(ISNUMBER(AR283),AR283+ROW($B283)/1000,"")
)</f>
        <v/>
      </c>
      <c r="AW283" s="94" t="str">
        <f aca="false">IF(ISNUMBER(AV283), RANK(AV283,AV$8:AV$507,1), "")</f>
        <v/>
      </c>
      <c r="AX283" s="94" t="str">
        <f aca="false">IF(ISBLANK($C283),
    "",
    $B283
)</f>
        <v/>
      </c>
      <c r="AY283" s="94" t="str">
        <f aca="false">IF(ISBLANK($C283),
    "",
    $C283
)</f>
        <v/>
      </c>
      <c r="AZ283" s="94" t="str">
        <f aca="false">IF(ISBLANK($C283),
    "",
    $D283
)</f>
        <v/>
      </c>
      <c r="BA283" s="94" t="str">
        <f aca="false">AO283</f>
        <v/>
      </c>
      <c r="BB283" s="95" t="str">
        <f aca="false">AN283</f>
        <v/>
      </c>
      <c r="BC283" s="94" t="str">
        <f aca="false">IF(ISBLANK($C283),
    "",
    AQ283
)</f>
        <v/>
      </c>
      <c r="BD283" s="96" t="str">
        <f aca="false">IF(AU283&gt;AT$7,
    "",
    VLOOKUP(AU283,AW$8:BC$507,7,FALSE())
)</f>
        <v/>
      </c>
      <c r="BE283" s="97" t="str">
        <f aca="false">IF(AU283&gt;AT$7,
    "",
    VLOOKUP(AU283,AW$8:BC$507,2,FALSE())
)</f>
        <v/>
      </c>
      <c r="BF283" s="97" t="str">
        <f aca="false">IF(AU283&gt;AT$7,
    "",
    VLOOKUP(AU283,AW$8:BC$507,3,FALSE())
)</f>
        <v/>
      </c>
      <c r="BG283" s="97" t="str">
        <f aca="false">IF(AU283&gt;AT$7,
    "",
    VLOOKUP(AU283,AW$8:BC$507,4,FALSE())
)</f>
        <v/>
      </c>
      <c r="BH283" s="97" t="str">
        <f aca="false">IF(AU283&gt;AT$7,
    "",
    VLOOKUP(AU283,AW$8:BC$507,5,FALSE())
)</f>
        <v/>
      </c>
      <c r="BI283" s="98" t="str">
        <f aca="false">IF(AU283&gt;AT$7,
    "",
    VLOOKUP(AU283,AW$8:BC$507,6,FALSE())
)</f>
        <v/>
      </c>
      <c r="BJ283" s="46"/>
    </row>
    <row r="284" customFormat="false" ht="15.75" hidden="false" customHeight="false" outlineLevel="0" collapsed="false">
      <c r="A284" s="3"/>
      <c r="B284" s="108"/>
      <c r="C284" s="70"/>
      <c r="D284" s="49"/>
      <c r="E284" s="109"/>
      <c r="F284" s="72"/>
      <c r="G284" s="109"/>
      <c r="H284" s="74"/>
      <c r="I284" s="104"/>
      <c r="J284" s="74"/>
      <c r="K284" s="74"/>
      <c r="L284" s="55"/>
      <c r="M284" s="55" t="str">
        <f aca="false">IF(ISBLANK($C284),"",IF(ISBLANK(E284),0,E284))</f>
        <v/>
      </c>
      <c r="N284" s="55" t="str">
        <f aca="false">IF(ISBLANK($C284),"",IF(ISBLANK(F284),0,F284))</f>
        <v/>
      </c>
      <c r="O284" s="55" t="e">
        <f aca="false">IF(AND(NOT(ISBLANK($C284)),NOT($T284),COUNTA($E284:$K284)&gt;0),ISBLANK($F284),FALSE())</f>
        <v>#VALUE!</v>
      </c>
      <c r="P284" s="55" t="str">
        <f aca="false">IF(ISBLANK($C284),"",IF(G284=Constants!$B$9, TRUE(), IF(G284=Constants!$B$10, FALSE(), TRUE())))</f>
        <v/>
      </c>
      <c r="Q284" s="55" t="str">
        <f aca="false">IF(ISBLANK($C284),"",IF(H284=Constants!$B$9, TRUE(), IF(H284=Constants!$B$10, FALSE(), TRUE())))</f>
        <v/>
      </c>
      <c r="R284" s="55" t="str">
        <f aca="false">IF(ISBLANK($C284),"",IF(ISBLANK(I284),Constants!$B$3,I284))</f>
        <v/>
      </c>
      <c r="S284" s="55" t="str">
        <f aca="false">IF(ISBLANK($C284),"",IF(ISBLANK(J284),0,MIN(J284,Constants!$B$6)))</f>
        <v/>
      </c>
      <c r="T284" s="55" t="str">
        <f aca="false">IF(ISBLANK($C284),"",IF(K284=Constants!$B$9, TRUE(), IF(K284=Constants!$B$10, FALSE(),  FALSE())))</f>
        <v/>
      </c>
      <c r="U284" s="55" t="str">
        <f aca="false">IF(ISBLANK($C284),"",AND(R284=Constants!$B$4, S284&lt;Constants!$B$6))</f>
        <v/>
      </c>
      <c r="V284" s="55" t="str">
        <f aca="false">IF(ISBLANK(C284), "", IF(T284, Constants!$B$11, IF(COUNTA(E284:K284)=0, Constants!$B$12, IF(NOT(AND(P284,S284&lt;&gt;0)), Constants!$B$13, IF(O284, Constants!$B$15, Constants!$B$14)))))</f>
        <v/>
      </c>
      <c r="W284" s="55" t="str">
        <f aca="false">IF(OR(ISBLANK($C284), SUMPRODUCT(--(P284:T284&lt;&gt;""))=0), "", IF(V284&lt;&gt;Constants!$B$14, V284, IF(AND(NOT(ISBLANK(J284)),P284,Q284,R284&lt;&gt;Constants!$B$2), Constants!$B$7, IF(AND(P284,OR(NOT(Q284),R284=Constants!$B$2)), Constants!$B$8, "Error"))))</f>
        <v/>
      </c>
      <c r="X284" s="56" t="str">
        <f aca="false">IF(OR(W284=Constants!$B$7,W284=Constants!$B$8), MAX(0, MIN(Constants!$B$6, S284))+IF(AND(R284=Constants!$B$4, NOT(U284)), Constants!$B$5, 0), "")</f>
        <v/>
      </c>
      <c r="Y284" s="55" t="str">
        <f aca="false">IF(ISBLANK($C284),"",IF(AND(ISNUMBER(X284),N284&gt;0),X284/N284, "") )</f>
        <v/>
      </c>
      <c r="Z284" s="55" t="str">
        <f aca="false">IF(AND(NOT(ISBLANK($C284)), W284=Constants!$B$7), Y284, "")</f>
        <v/>
      </c>
      <c r="AA284" s="55" t="str">
        <f aca="false">IF(ISNUMBER(Z284), RANK(Z284,Z$8:Z$507), "")</f>
        <v/>
      </c>
      <c r="AB284" s="55" t="str">
        <f aca="false">IF(AND(NOT(ISBLANK($C284)), W284=Constants!$B$8), Y284, "")</f>
        <v/>
      </c>
      <c r="AC284" s="55" t="str">
        <f aca="false">IF(ISNUMBER(AB284), RANK(AB284,AB$8:AB$507), "")</f>
        <v/>
      </c>
      <c r="AD284" s="55" t="str">
        <f aca="false">IF(ISBLANK($C284),"",IF(V284&lt;&gt;Constants!$B$14, V284, IF(W284=Constants!$B$7, AA284, IF(W284=Constants!$B$8, COUNT($AA$8:$AA$507) + AC284, ""))))</f>
        <v/>
      </c>
      <c r="AE284" s="55" t="str">
        <f aca="false">N284</f>
        <v/>
      </c>
      <c r="AF284" s="55" t="str">
        <f aca="false">IF(ISNUMBER(AE284), RANK(AE284,AE$8:AE$507,1), "")</f>
        <v/>
      </c>
      <c r="AG284" s="57" t="str">
        <f aca="false">IF(ISBLANK(C284), "", ABS(M284-S284))</f>
        <v/>
      </c>
      <c r="AH284" s="55" t="str">
        <f aca="false">IF(ISNUMBER(AG284), RANK(AG284,AG$8:AG$507,1), "")</f>
        <v/>
      </c>
      <c r="AI284" s="55" t="str">
        <f aca="false">IF(ISBLANK(C284),"",IF(V284&lt;&gt;Constants!$B$14, V284, RANK(AD284, AD$8:AD$507, 1)+ SUMPRODUCT(--(AD$8:AD$507=AD284),--(AF284&gt;AF$8:AF$507)) + SUMPRODUCT(--(AD$8:AD$507=AD284),--(AF284=AF$8:AF$507),--(AH284&gt;AH$8:AH$507))))</f>
        <v/>
      </c>
      <c r="AJ284" s="55" t="str">
        <f aca="false">IF(ISBLANK(C284),"",IF(V284&lt;&gt;Constants!$B$14, V284, AD284-AI284))</f>
        <v/>
      </c>
      <c r="AK284" s="59"/>
      <c r="AL284" s="60" t="str">
        <f aca="false">IF(ISBLANK($C284),"",IF($V284&lt;&gt;Constants!$B$14,$V284,X284))</f>
        <v/>
      </c>
      <c r="AM284" s="60" t="str">
        <f aca="false">IF(ISBLANK($C284),"",IF($V284&lt;&gt;Constants!$B$14,$V284,N284))</f>
        <v/>
      </c>
      <c r="AN284" s="62" t="str">
        <f aca="false">IF(ISBLANK(C284),"",IF(V284&lt;&gt;Constants!$B$14, V284, IF(W284=Constants!$B$7,Z284,IF(W284=Constants!$B$8,AB284,""))))</f>
        <v/>
      </c>
      <c r="AO284" s="63" t="str">
        <f aca="false">IF(ISBLANK(C284),"",W284)</f>
        <v/>
      </c>
      <c r="AP284" s="63" t="str">
        <f aca="false">IF(ISBLANK(C284),"",AJ284)</f>
        <v/>
      </c>
      <c r="AQ284" s="63" t="str">
        <f aca="false">IF(ISBLANK(C284),"",AI284)</f>
        <v/>
      </c>
      <c r="AR284" s="64" t="str">
        <f aca="false">IF(ISBLANK(C284),
  "",
IF(AQ284=Constants!$B$11,COUNTA($C$8:$C$507)+2,IF(AQ284=Constants!$B$12,COUNTA($C$8:$C$507)+1,IF(AQ284=Constants!$B$13,COUNTA($C$8:$C$507),AQ284))))</f>
        <v/>
      </c>
      <c r="AS284" s="3"/>
      <c r="AT284" s="65" t="n">
        <f aca="false">IF(OR(ISNUMBER(AQ284),AQ284="DQ",AQ284="P",AQ284="NS"),
    1,
    0
)</f>
        <v>0</v>
      </c>
      <c r="AU284" s="65" t="n">
        <v>277</v>
      </c>
      <c r="AV284" s="65" t="str">
        <f aca="false">IF(ISBLANK($C284),
    "",
   IF(ISNUMBER(AR284),AR284+ROW($B284)/1000,"")
)</f>
        <v/>
      </c>
      <c r="AW284" s="65" t="str">
        <f aca="false">IF(ISNUMBER(AV284), RANK(AV284,AV$8:AV$507,1), "")</f>
        <v/>
      </c>
      <c r="AX284" s="65" t="str">
        <f aca="false">IF(ISBLANK($C284),
    "",
    $B284
)</f>
        <v/>
      </c>
      <c r="AY284" s="65" t="str">
        <f aca="false">IF(ISBLANK($C284),
    "",
    $C284
)</f>
        <v/>
      </c>
      <c r="AZ284" s="65" t="str">
        <f aca="false">IF(ISBLANK($C284),
    "",
    $D284
)</f>
        <v/>
      </c>
      <c r="BA284" s="65" t="str">
        <f aca="false">AO284</f>
        <v/>
      </c>
      <c r="BB284" s="66" t="str">
        <f aca="false">AN284</f>
        <v/>
      </c>
      <c r="BC284" s="65" t="str">
        <f aca="false">IF(ISBLANK($C284),
    "",
    AQ284
)</f>
        <v/>
      </c>
      <c r="BD284" s="67" t="str">
        <f aca="false">IF(AU284&gt;AT$7,
    "",
    VLOOKUP(AU284,AW$8:BC$507,7,FALSE())
)</f>
        <v/>
      </c>
      <c r="BE284" s="68" t="str">
        <f aca="false">IF(AU284&gt;AT$7,
    "",
    VLOOKUP(AU284,AW$8:BC$507,2,FALSE())
)</f>
        <v/>
      </c>
      <c r="BF284" s="68" t="str">
        <f aca="false">IF(AU284&gt;AT$7,
    "",
    VLOOKUP(AU284,AW$8:BC$507,3,FALSE())
)</f>
        <v/>
      </c>
      <c r="BG284" s="68" t="str">
        <f aca="false">IF(AU284&gt;AT$7,
    "",
    VLOOKUP(AU284,AW$8:BC$507,4,FALSE())
)</f>
        <v/>
      </c>
      <c r="BH284" s="68" t="str">
        <f aca="false">IF(AU284&gt;AT$7,
    "",
    VLOOKUP(AU284,AW$8:BC$507,5,FALSE())
)</f>
        <v/>
      </c>
      <c r="BI284" s="69" t="str">
        <f aca="false">IF(AU284&gt;AT$7,
    "",
    VLOOKUP(AU284,AW$8:BC$507,6,FALSE())
)</f>
        <v/>
      </c>
      <c r="BJ284" s="46"/>
    </row>
    <row r="285" customFormat="false" ht="15.75" hidden="false" customHeight="false" outlineLevel="0" collapsed="false">
      <c r="A285" s="3"/>
      <c r="B285" s="108"/>
      <c r="C285" s="70"/>
      <c r="D285" s="49"/>
      <c r="E285" s="109"/>
      <c r="F285" s="72"/>
      <c r="G285" s="109"/>
      <c r="H285" s="74"/>
      <c r="I285" s="104"/>
      <c r="J285" s="74"/>
      <c r="K285" s="74"/>
      <c r="L285" s="55"/>
      <c r="M285" s="55" t="str">
        <f aca="false">IF(ISBLANK($C285),"",IF(ISBLANK(E285),0,E285))</f>
        <v/>
      </c>
      <c r="N285" s="55" t="str">
        <f aca="false">IF(ISBLANK($C285),"",IF(ISBLANK(F285),0,F285))</f>
        <v/>
      </c>
      <c r="O285" s="55" t="e">
        <f aca="false">IF(AND(NOT(ISBLANK($C285)),NOT($T285),COUNTA($E285:$K285)&gt;0),ISBLANK($F285),FALSE())</f>
        <v>#VALUE!</v>
      </c>
      <c r="P285" s="55" t="str">
        <f aca="false">IF(ISBLANK($C285),"",IF(G285=Constants!$B$9, TRUE(), IF(G285=Constants!$B$10, FALSE(), TRUE())))</f>
        <v/>
      </c>
      <c r="Q285" s="55" t="str">
        <f aca="false">IF(ISBLANK($C285),"",IF(H285=Constants!$B$9, TRUE(), IF(H285=Constants!$B$10, FALSE(), TRUE())))</f>
        <v/>
      </c>
      <c r="R285" s="55" t="str">
        <f aca="false">IF(ISBLANK($C285),"",IF(ISBLANK(I285),Constants!$B$3,I285))</f>
        <v/>
      </c>
      <c r="S285" s="55" t="str">
        <f aca="false">IF(ISBLANK($C285),"",IF(ISBLANK(J285),0,MIN(J285,Constants!$B$6)))</f>
        <v/>
      </c>
      <c r="T285" s="55" t="str">
        <f aca="false">IF(ISBLANK($C285),"",IF(K285=Constants!$B$9, TRUE(), IF(K285=Constants!$B$10, FALSE(),  FALSE())))</f>
        <v/>
      </c>
      <c r="U285" s="55" t="str">
        <f aca="false">IF(ISBLANK($C285),"",AND(R285=Constants!$B$4, S285&lt;Constants!$B$6))</f>
        <v/>
      </c>
      <c r="V285" s="55" t="str">
        <f aca="false">IF(ISBLANK(C285), "", IF(T285, Constants!$B$11, IF(COUNTA(E285:K285)=0, Constants!$B$12, IF(NOT(AND(P285,S285&lt;&gt;0)), Constants!$B$13, IF(O285, Constants!$B$15, Constants!$B$14)))))</f>
        <v/>
      </c>
      <c r="W285" s="55" t="str">
        <f aca="false">IF(OR(ISBLANK($C285), SUMPRODUCT(--(P285:T285&lt;&gt;""))=0), "", IF(V285&lt;&gt;Constants!$B$14, V285, IF(AND(NOT(ISBLANK(J285)),P285,Q285,R285&lt;&gt;Constants!$B$2), Constants!$B$7, IF(AND(P285,OR(NOT(Q285),R285=Constants!$B$2)), Constants!$B$8, "Error"))))</f>
        <v/>
      </c>
      <c r="X285" s="56" t="str">
        <f aca="false">IF(OR(W285=Constants!$B$7,W285=Constants!$B$8), MAX(0, MIN(Constants!$B$6, S285))+IF(AND(R285=Constants!$B$4, NOT(U285)), Constants!$B$5, 0), "")</f>
        <v/>
      </c>
      <c r="Y285" s="55" t="str">
        <f aca="false">IF(ISBLANK($C285),"",IF(AND(ISNUMBER(X285),N285&gt;0),X285/N285, "") )</f>
        <v/>
      </c>
      <c r="Z285" s="55" t="str">
        <f aca="false">IF(AND(NOT(ISBLANK($C285)), W285=Constants!$B$7), Y285, "")</f>
        <v/>
      </c>
      <c r="AA285" s="55" t="str">
        <f aca="false">IF(ISNUMBER(Z285), RANK(Z285,Z$8:Z$507), "")</f>
        <v/>
      </c>
      <c r="AB285" s="55" t="str">
        <f aca="false">IF(AND(NOT(ISBLANK($C285)), W285=Constants!$B$8), Y285, "")</f>
        <v/>
      </c>
      <c r="AC285" s="55" t="str">
        <f aca="false">IF(ISNUMBER(AB285), RANK(AB285,AB$8:AB$507), "")</f>
        <v/>
      </c>
      <c r="AD285" s="55" t="str">
        <f aca="false">IF(ISBLANK($C285),"",IF(V285&lt;&gt;Constants!$B$14, V285, IF(W285=Constants!$B$7, AA285, IF(W285=Constants!$B$8, COUNT($AA$8:$AA$507) + AC285, ""))))</f>
        <v/>
      </c>
      <c r="AE285" s="55" t="str">
        <f aca="false">N285</f>
        <v/>
      </c>
      <c r="AF285" s="55" t="str">
        <f aca="false">IF(ISNUMBER(AE285), RANK(AE285,AE$8:AE$507,1), "")</f>
        <v/>
      </c>
      <c r="AG285" s="57" t="str">
        <f aca="false">IF(ISBLANK(C285), "", ABS(M285-S285))</f>
        <v/>
      </c>
      <c r="AH285" s="55" t="str">
        <f aca="false">IF(ISNUMBER(AG285), RANK(AG285,AG$8:AG$507,1), "")</f>
        <v/>
      </c>
      <c r="AI285" s="55" t="str">
        <f aca="false">IF(ISBLANK(C285),"",IF(V285&lt;&gt;Constants!$B$14, V285, RANK(AD285, AD$8:AD$507, 1)+ SUMPRODUCT(--(AD$8:AD$507=AD285),--(AF285&gt;AF$8:AF$507)) + SUMPRODUCT(--(AD$8:AD$507=AD285),--(AF285=AF$8:AF$507),--(AH285&gt;AH$8:AH$507))))</f>
        <v/>
      </c>
      <c r="AJ285" s="55" t="str">
        <f aca="false">IF(ISBLANK(C285),"",IF(V285&lt;&gt;Constants!$B$14, V285, AD285-AI285))</f>
        <v/>
      </c>
      <c r="AK285" s="59"/>
      <c r="AL285" s="60" t="str">
        <f aca="false">IF(ISBLANK($C285),"",IF($V285&lt;&gt;Constants!$B$14,$V285,X285))</f>
        <v/>
      </c>
      <c r="AM285" s="60" t="str">
        <f aca="false">IF(ISBLANK($C285),"",IF($V285&lt;&gt;Constants!$B$14,$V285,N285))</f>
        <v/>
      </c>
      <c r="AN285" s="62" t="str">
        <f aca="false">IF(ISBLANK(C285),"",IF(V285&lt;&gt;Constants!$B$14, V285, IF(W285=Constants!$B$7,Z285,IF(W285=Constants!$B$8,AB285,""))))</f>
        <v/>
      </c>
      <c r="AO285" s="63" t="str">
        <f aca="false">IF(ISBLANK(C285),"",W285)</f>
        <v/>
      </c>
      <c r="AP285" s="63" t="str">
        <f aca="false">IF(ISBLANK(C285),"",AJ285)</f>
        <v/>
      </c>
      <c r="AQ285" s="63" t="str">
        <f aca="false">IF(ISBLANK(C285),"",AI285)</f>
        <v/>
      </c>
      <c r="AR285" s="64" t="str">
        <f aca="false">IF(ISBLANK(C285),
  "",
IF(AQ285=Constants!$B$11,COUNTA($C$8:$C$507)+2,IF(AQ285=Constants!$B$12,COUNTA($C$8:$C$507)+1,IF(AQ285=Constants!$B$13,COUNTA($C$8:$C$507),AQ285))))</f>
        <v/>
      </c>
      <c r="AS285" s="3"/>
      <c r="AT285" s="65" t="n">
        <f aca="false">IF(OR(ISNUMBER(AQ285),AQ285="DQ",AQ285="P",AQ285="NS"),
    1,
    0
)</f>
        <v>0</v>
      </c>
      <c r="AU285" s="65" t="n">
        <v>278</v>
      </c>
      <c r="AV285" s="65" t="str">
        <f aca="false">IF(ISBLANK($C285),
    "",
   IF(ISNUMBER(AR285),AR285+ROW($B285)/1000,"")
)</f>
        <v/>
      </c>
      <c r="AW285" s="65" t="str">
        <f aca="false">IF(ISNUMBER(AV285), RANK(AV285,AV$8:AV$507,1), "")</f>
        <v/>
      </c>
      <c r="AX285" s="65" t="str">
        <f aca="false">IF(ISBLANK($C285),
    "",
    $B285
)</f>
        <v/>
      </c>
      <c r="AY285" s="65" t="str">
        <f aca="false">IF(ISBLANK($C285),
    "",
    $C285
)</f>
        <v/>
      </c>
      <c r="AZ285" s="65" t="str">
        <f aca="false">IF(ISBLANK($C285),
    "",
    $D285
)</f>
        <v/>
      </c>
      <c r="BA285" s="65" t="str">
        <f aca="false">AO285</f>
        <v/>
      </c>
      <c r="BB285" s="66" t="str">
        <f aca="false">AN285</f>
        <v/>
      </c>
      <c r="BC285" s="65" t="str">
        <f aca="false">IF(ISBLANK($C285),
    "",
    AQ285
)</f>
        <v/>
      </c>
      <c r="BD285" s="67" t="str">
        <f aca="false">IF(AU285&gt;AT$7,
    "",
    VLOOKUP(AU285,AW$8:BC$507,7,FALSE())
)</f>
        <v/>
      </c>
      <c r="BE285" s="68" t="str">
        <f aca="false">IF(AU285&gt;AT$7,
    "",
    VLOOKUP(AU285,AW$8:BC$507,2,FALSE())
)</f>
        <v/>
      </c>
      <c r="BF285" s="68" t="str">
        <f aca="false">IF(AU285&gt;AT$7,
    "",
    VLOOKUP(AU285,AW$8:BC$507,3,FALSE())
)</f>
        <v/>
      </c>
      <c r="BG285" s="68" t="str">
        <f aca="false">IF(AU285&gt;AT$7,
    "",
    VLOOKUP(AU285,AW$8:BC$507,4,FALSE())
)</f>
        <v/>
      </c>
      <c r="BH285" s="68" t="str">
        <f aca="false">IF(AU285&gt;AT$7,
    "",
    VLOOKUP(AU285,AW$8:BC$507,5,FALSE())
)</f>
        <v/>
      </c>
      <c r="BI285" s="69" t="str">
        <f aca="false">IF(AU285&gt;AT$7,
    "",
    VLOOKUP(AU285,AW$8:BC$507,6,FALSE())
)</f>
        <v/>
      </c>
      <c r="BJ285" s="46"/>
    </row>
    <row r="286" customFormat="false" ht="15.75" hidden="false" customHeight="false" outlineLevel="0" collapsed="false">
      <c r="A286" s="3"/>
      <c r="B286" s="108"/>
      <c r="C286" s="70"/>
      <c r="D286" s="49"/>
      <c r="E286" s="109"/>
      <c r="F286" s="72"/>
      <c r="G286" s="109"/>
      <c r="H286" s="74"/>
      <c r="I286" s="104"/>
      <c r="J286" s="74"/>
      <c r="K286" s="74"/>
      <c r="L286" s="55"/>
      <c r="M286" s="55" t="str">
        <f aca="false">IF(ISBLANK($C286),"",IF(ISBLANK(E286),0,E286))</f>
        <v/>
      </c>
      <c r="N286" s="55" t="str">
        <f aca="false">IF(ISBLANK($C286),"",IF(ISBLANK(F286),0,F286))</f>
        <v/>
      </c>
      <c r="O286" s="55" t="e">
        <f aca="false">IF(AND(NOT(ISBLANK($C286)),NOT($T286),COUNTA($E286:$K286)&gt;0),ISBLANK($F286),FALSE())</f>
        <v>#VALUE!</v>
      </c>
      <c r="P286" s="55" t="str">
        <f aca="false">IF(ISBLANK($C286),"",IF(G286=Constants!$B$9, TRUE(), IF(G286=Constants!$B$10, FALSE(), TRUE())))</f>
        <v/>
      </c>
      <c r="Q286" s="55" t="str">
        <f aca="false">IF(ISBLANK($C286),"",IF(H286=Constants!$B$9, TRUE(), IF(H286=Constants!$B$10, FALSE(), TRUE())))</f>
        <v/>
      </c>
      <c r="R286" s="55" t="str">
        <f aca="false">IF(ISBLANK($C286),"",IF(ISBLANK(I286),Constants!$B$3,I286))</f>
        <v/>
      </c>
      <c r="S286" s="55" t="str">
        <f aca="false">IF(ISBLANK($C286),"",IF(ISBLANK(J286),0,MIN(J286,Constants!$B$6)))</f>
        <v/>
      </c>
      <c r="T286" s="55" t="str">
        <f aca="false">IF(ISBLANK($C286),"",IF(K286=Constants!$B$9, TRUE(), IF(K286=Constants!$B$10, FALSE(),  FALSE())))</f>
        <v/>
      </c>
      <c r="U286" s="55" t="str">
        <f aca="false">IF(ISBLANK($C286),"",AND(R286=Constants!$B$4, S286&lt;Constants!$B$6))</f>
        <v/>
      </c>
      <c r="V286" s="55" t="str">
        <f aca="false">IF(ISBLANK(C286), "", IF(T286, Constants!$B$11, IF(COUNTA(E286:K286)=0, Constants!$B$12, IF(NOT(AND(P286,S286&lt;&gt;0)), Constants!$B$13, IF(O286, Constants!$B$15, Constants!$B$14)))))</f>
        <v/>
      </c>
      <c r="W286" s="55" t="str">
        <f aca="false">IF(OR(ISBLANK($C286), SUMPRODUCT(--(P286:T286&lt;&gt;""))=0), "", IF(V286&lt;&gt;Constants!$B$14, V286, IF(AND(NOT(ISBLANK(J286)),P286,Q286,R286&lt;&gt;Constants!$B$2), Constants!$B$7, IF(AND(P286,OR(NOT(Q286),R286=Constants!$B$2)), Constants!$B$8, "Error"))))</f>
        <v/>
      </c>
      <c r="X286" s="56" t="str">
        <f aca="false">IF(OR(W286=Constants!$B$7,W286=Constants!$B$8), MAX(0, MIN(Constants!$B$6, S286))+IF(AND(R286=Constants!$B$4, NOT(U286)), Constants!$B$5, 0), "")</f>
        <v/>
      </c>
      <c r="Y286" s="55" t="str">
        <f aca="false">IF(ISBLANK($C286),"",IF(AND(ISNUMBER(X286),N286&gt;0),X286/N286, "") )</f>
        <v/>
      </c>
      <c r="Z286" s="55" t="str">
        <f aca="false">IF(AND(NOT(ISBLANK($C286)), W286=Constants!$B$7), Y286, "")</f>
        <v/>
      </c>
      <c r="AA286" s="55" t="str">
        <f aca="false">IF(ISNUMBER(Z286), RANK(Z286,Z$8:Z$507), "")</f>
        <v/>
      </c>
      <c r="AB286" s="55" t="str">
        <f aca="false">IF(AND(NOT(ISBLANK($C286)), W286=Constants!$B$8), Y286, "")</f>
        <v/>
      </c>
      <c r="AC286" s="55" t="str">
        <f aca="false">IF(ISNUMBER(AB286), RANK(AB286,AB$8:AB$507), "")</f>
        <v/>
      </c>
      <c r="AD286" s="55" t="str">
        <f aca="false">IF(ISBLANK($C286),"",IF(V286&lt;&gt;Constants!$B$14, V286, IF(W286=Constants!$B$7, AA286, IF(W286=Constants!$B$8, COUNT($AA$8:$AA$507) + AC286, ""))))</f>
        <v/>
      </c>
      <c r="AE286" s="55" t="str">
        <f aca="false">N286</f>
        <v/>
      </c>
      <c r="AF286" s="55" t="str">
        <f aca="false">IF(ISNUMBER(AE286), RANK(AE286,AE$8:AE$507,1), "")</f>
        <v/>
      </c>
      <c r="AG286" s="57" t="str">
        <f aca="false">IF(ISBLANK(C286), "", ABS(M286-S286))</f>
        <v/>
      </c>
      <c r="AH286" s="55" t="str">
        <f aca="false">IF(ISNUMBER(AG286), RANK(AG286,AG$8:AG$507,1), "")</f>
        <v/>
      </c>
      <c r="AI286" s="55" t="str">
        <f aca="false">IF(ISBLANK(C286),"",IF(V286&lt;&gt;Constants!$B$14, V286, RANK(AD286, AD$8:AD$507, 1)+ SUMPRODUCT(--(AD$8:AD$507=AD286),--(AF286&gt;AF$8:AF$507)) + SUMPRODUCT(--(AD$8:AD$507=AD286),--(AF286=AF$8:AF$507),--(AH286&gt;AH$8:AH$507))))</f>
        <v/>
      </c>
      <c r="AJ286" s="55" t="str">
        <f aca="false">IF(ISBLANK(C286),"",IF(V286&lt;&gt;Constants!$B$14, V286, AD286-AI286))</f>
        <v/>
      </c>
      <c r="AK286" s="59"/>
      <c r="AL286" s="60" t="str">
        <f aca="false">IF(ISBLANK($C286),"",IF($V286&lt;&gt;Constants!$B$14,$V286,X286))</f>
        <v/>
      </c>
      <c r="AM286" s="60" t="str">
        <f aca="false">IF(ISBLANK($C286),"",IF($V286&lt;&gt;Constants!$B$14,$V286,N286))</f>
        <v/>
      </c>
      <c r="AN286" s="62" t="str">
        <f aca="false">IF(ISBLANK(C286),"",IF(V286&lt;&gt;Constants!$B$14, V286, IF(W286=Constants!$B$7,Z286,IF(W286=Constants!$B$8,AB286,""))))</f>
        <v/>
      </c>
      <c r="AO286" s="63" t="str">
        <f aca="false">IF(ISBLANK(C286),"",W286)</f>
        <v/>
      </c>
      <c r="AP286" s="63" t="str">
        <f aca="false">IF(ISBLANK(C286),"",AJ286)</f>
        <v/>
      </c>
      <c r="AQ286" s="63" t="str">
        <f aca="false">IF(ISBLANK(C286),"",AI286)</f>
        <v/>
      </c>
      <c r="AR286" s="64" t="str">
        <f aca="false">IF(ISBLANK(C286),
  "",
IF(AQ286=Constants!$B$11,COUNTA($C$8:$C$507)+2,IF(AQ286=Constants!$B$12,COUNTA($C$8:$C$507)+1,IF(AQ286=Constants!$B$13,COUNTA($C$8:$C$507),AQ286))))</f>
        <v/>
      </c>
      <c r="AS286" s="3"/>
      <c r="AT286" s="65" t="n">
        <f aca="false">IF(OR(ISNUMBER(AQ286),AQ286="DQ",AQ286="P",AQ286="NS"),
    1,
    0
)</f>
        <v>0</v>
      </c>
      <c r="AU286" s="65" t="n">
        <v>279</v>
      </c>
      <c r="AV286" s="65" t="str">
        <f aca="false">IF(ISBLANK($C286),
    "",
   IF(ISNUMBER(AR286),AR286+ROW($B286)/1000,"")
)</f>
        <v/>
      </c>
      <c r="AW286" s="65" t="str">
        <f aca="false">IF(ISNUMBER(AV286), RANK(AV286,AV$8:AV$507,1), "")</f>
        <v/>
      </c>
      <c r="AX286" s="65" t="str">
        <f aca="false">IF(ISBLANK($C286),
    "",
    $B286
)</f>
        <v/>
      </c>
      <c r="AY286" s="65" t="str">
        <f aca="false">IF(ISBLANK($C286),
    "",
    $C286
)</f>
        <v/>
      </c>
      <c r="AZ286" s="65" t="str">
        <f aca="false">IF(ISBLANK($C286),
    "",
    $D286
)</f>
        <v/>
      </c>
      <c r="BA286" s="65" t="str">
        <f aca="false">AO286</f>
        <v/>
      </c>
      <c r="BB286" s="66" t="str">
        <f aca="false">AN286</f>
        <v/>
      </c>
      <c r="BC286" s="65" t="str">
        <f aca="false">IF(ISBLANK($C286),
    "",
    AQ286
)</f>
        <v/>
      </c>
      <c r="BD286" s="67" t="str">
        <f aca="false">IF(AU286&gt;AT$7,
    "",
    VLOOKUP(AU286,AW$8:BC$507,7,FALSE())
)</f>
        <v/>
      </c>
      <c r="BE286" s="68" t="str">
        <f aca="false">IF(AU286&gt;AT$7,
    "",
    VLOOKUP(AU286,AW$8:BC$507,2,FALSE())
)</f>
        <v/>
      </c>
      <c r="BF286" s="68" t="str">
        <f aca="false">IF(AU286&gt;AT$7,
    "",
    VLOOKUP(AU286,AW$8:BC$507,3,FALSE())
)</f>
        <v/>
      </c>
      <c r="BG286" s="68" t="str">
        <f aca="false">IF(AU286&gt;AT$7,
    "",
    VLOOKUP(AU286,AW$8:BC$507,4,FALSE())
)</f>
        <v/>
      </c>
      <c r="BH286" s="68" t="str">
        <f aca="false">IF(AU286&gt;AT$7,
    "",
    VLOOKUP(AU286,AW$8:BC$507,5,FALSE())
)</f>
        <v/>
      </c>
      <c r="BI286" s="69" t="str">
        <f aca="false">IF(AU286&gt;AT$7,
    "",
    VLOOKUP(AU286,AW$8:BC$507,6,FALSE())
)</f>
        <v/>
      </c>
      <c r="BJ286" s="46"/>
    </row>
    <row r="287" customFormat="false" ht="15.75" hidden="false" customHeight="false" outlineLevel="0" collapsed="false">
      <c r="A287" s="3"/>
      <c r="B287" s="105"/>
      <c r="C287" s="106"/>
      <c r="D287" s="99"/>
      <c r="E287" s="110"/>
      <c r="F287" s="107"/>
      <c r="G287" s="110"/>
      <c r="H287" s="103"/>
      <c r="I287" s="102"/>
      <c r="J287" s="103"/>
      <c r="K287" s="103"/>
      <c r="L287" s="85"/>
      <c r="M287" s="85" t="str">
        <f aca="false">IF(ISBLANK($C287),"",IF(ISBLANK(E287),0,E287))</f>
        <v/>
      </c>
      <c r="N287" s="85" t="str">
        <f aca="false">IF(ISBLANK($C287),"",IF(ISBLANK(F287),0,F287))</f>
        <v/>
      </c>
      <c r="O287" s="86" t="e">
        <f aca="false">IF(AND(NOT(ISBLANK($C287)),NOT($T287),COUNTA($E287:$K287)&gt;0),ISBLANK($F287),FALSE())</f>
        <v>#VALUE!</v>
      </c>
      <c r="P287" s="85" t="str">
        <f aca="false">IF(ISBLANK($C287),"",IF(G287=Constants!$B$9, TRUE(), IF(G287=Constants!$B$10, FALSE(), TRUE())))</f>
        <v/>
      </c>
      <c r="Q287" s="85" t="str">
        <f aca="false">IF(ISBLANK($C287),"",IF(H287=Constants!$B$9, TRUE(), IF(H287=Constants!$B$10, FALSE(), TRUE())))</f>
        <v/>
      </c>
      <c r="R287" s="85" t="str">
        <f aca="false">IF(ISBLANK($C287),"",IF(ISBLANK(I287),Constants!$B$3,I287))</f>
        <v/>
      </c>
      <c r="S287" s="85" t="str">
        <f aca="false">IF(ISBLANK($C287),"",IF(ISBLANK(J287),0,MIN(J287,Constants!$B$6)))</f>
        <v/>
      </c>
      <c r="T287" s="85" t="str">
        <f aca="false">IF(ISBLANK($C287),"",IF(K287=Constants!$B$9, TRUE(), IF(K287=Constants!$B$10, FALSE(),  FALSE())))</f>
        <v/>
      </c>
      <c r="U287" s="85" t="str">
        <f aca="false">IF(ISBLANK($C287),"",AND(R287=Constants!$B$4, S287&lt;Constants!$B$6))</f>
        <v/>
      </c>
      <c r="V287" s="85" t="str">
        <f aca="false">IF(ISBLANK(C287), "", IF(T287, Constants!$B$11, IF(COUNTA(E287:K287)=0, Constants!$B$12, IF(NOT(AND(P287,S287&lt;&gt;0)), Constants!$B$13, IF(O287, Constants!$B$15, Constants!$B$14)))))</f>
        <v/>
      </c>
      <c r="W287" s="85" t="str">
        <f aca="false">IF(OR(ISBLANK($C287), SUMPRODUCT(--(P287:T287&lt;&gt;""))=0), "", IF(V287&lt;&gt;Constants!$B$14, V287, IF(AND(NOT(ISBLANK(J287)),P287,Q287,R287&lt;&gt;Constants!$B$2), Constants!$B$7, IF(AND(P287,OR(NOT(Q287),R287=Constants!$B$2)), Constants!$B$8, "Error"))))</f>
        <v/>
      </c>
      <c r="X287" s="87" t="str">
        <f aca="false">IF(OR(W287=Constants!$B$7,W287=Constants!$B$8), MAX(0, MIN(Constants!$B$6, S287))+IF(AND(R287=Constants!$B$4, NOT(U287)), Constants!$B$5, 0), "")</f>
        <v/>
      </c>
      <c r="Y287" s="85" t="str">
        <f aca="false">IF(ISBLANK($C287),"",IF(AND(ISNUMBER(X287),N287&gt;0),X287/N287, "") )</f>
        <v/>
      </c>
      <c r="Z287" s="85" t="str">
        <f aca="false">IF(AND(NOT(ISBLANK($C287)), W287=Constants!$B$7), Y287, "")</f>
        <v/>
      </c>
      <c r="AA287" s="85" t="str">
        <f aca="false">IF(ISNUMBER(Z287), RANK(Z287,Z$8:Z$507), "")</f>
        <v/>
      </c>
      <c r="AB287" s="85" t="str">
        <f aca="false">IF(AND(NOT(ISBLANK($C287)), W287=Constants!$B$8), Y287, "")</f>
        <v/>
      </c>
      <c r="AC287" s="85" t="str">
        <f aca="false">IF(ISNUMBER(AB287), RANK(AB287,AB$8:AB$507), "")</f>
        <v/>
      </c>
      <c r="AD287" s="85" t="str">
        <f aca="false">IF(ISBLANK($C287),"",IF(V287&lt;&gt;Constants!$B$14, V287, IF(W287=Constants!$B$7, AA287, IF(W287=Constants!$B$8, COUNT($AA$8:$AA$507) + AC287, ""))))</f>
        <v/>
      </c>
      <c r="AE287" s="85" t="str">
        <f aca="false">N287</f>
        <v/>
      </c>
      <c r="AF287" s="85" t="str">
        <f aca="false">IF(ISNUMBER(AE287), RANK(AE287,AE$8:AE$507,1), "")</f>
        <v/>
      </c>
      <c r="AG287" s="88" t="str">
        <f aca="false">IF(ISBLANK(C287), "", ABS(M287-S287))</f>
        <v/>
      </c>
      <c r="AH287" s="85" t="str">
        <f aca="false">IF(ISNUMBER(AG287), RANK(AG287,AG$8:AG$507,1), "")</f>
        <v/>
      </c>
      <c r="AI287" s="85" t="str">
        <f aca="false">IF(ISBLANK(C287),"",IF(V287&lt;&gt;Constants!$B$14, V287, RANK(AD287, AD$8:AD$507, 1)+ SUMPRODUCT(--(AD$8:AD$507=AD287),--(AF287&gt;AF$8:AF$507)) + SUMPRODUCT(--(AD$8:AD$507=AD287),--(AF287=AF$8:AF$507),--(AH287&gt;AH$8:AH$507))))</f>
        <v/>
      </c>
      <c r="AJ287" s="85" t="str">
        <f aca="false">IF(ISBLANK(C287),"",IF(V287&lt;&gt;Constants!$B$14, V287, AD287-AI287))</f>
        <v/>
      </c>
      <c r="AK287" s="89"/>
      <c r="AL287" s="90" t="str">
        <f aca="false">IF(ISBLANK($C287),"",IF($V287&lt;&gt;Constants!$B$14,$V287,X287))</f>
        <v/>
      </c>
      <c r="AM287" s="90" t="str">
        <f aca="false">IF(ISBLANK($C287),"",IF($V287&lt;&gt;Constants!$B$14,$V287,N287))</f>
        <v/>
      </c>
      <c r="AN287" s="91" t="str">
        <f aca="false">IF(ISBLANK(C287),"",IF(V287&lt;&gt;Constants!$B$14, V287, IF(W287=Constants!$B$7,Z287,IF(W287=Constants!$B$8,AB287,""))))</f>
        <v/>
      </c>
      <c r="AO287" s="92" t="str">
        <f aca="false">IF(ISBLANK(C287),"",W287)</f>
        <v/>
      </c>
      <c r="AP287" s="92" t="str">
        <f aca="false">IF(ISBLANK(C287),"",AJ287)</f>
        <v/>
      </c>
      <c r="AQ287" s="92" t="str">
        <f aca="false">IF(ISBLANK(C287),"",AI287)</f>
        <v/>
      </c>
      <c r="AR287" s="93" t="str">
        <f aca="false">IF(ISBLANK(C287),
  "",
IF(AQ287=Constants!$B$11,COUNTA($C$8:$C$507)+2,IF(AQ287=Constants!$B$12,COUNTA($C$8:$C$507)+1,IF(AQ287=Constants!$B$13,COUNTA($C$8:$C$507),AQ287))))</f>
        <v/>
      </c>
      <c r="AS287" s="3"/>
      <c r="AT287" s="94" t="n">
        <f aca="false">IF(OR(ISNUMBER(AQ287),AQ287="DQ",AQ287="P",AQ287="NS"),
    1,
    0
)</f>
        <v>0</v>
      </c>
      <c r="AU287" s="94" t="n">
        <v>280</v>
      </c>
      <c r="AV287" s="94" t="str">
        <f aca="false">IF(ISBLANK($C287),
    "",
   IF(ISNUMBER(AR287),AR287+ROW($B287)/1000,"")
)</f>
        <v/>
      </c>
      <c r="AW287" s="94" t="str">
        <f aca="false">IF(ISNUMBER(AV287), RANK(AV287,AV$8:AV$507,1), "")</f>
        <v/>
      </c>
      <c r="AX287" s="94" t="str">
        <f aca="false">IF(ISBLANK($C287),
    "",
    $B287
)</f>
        <v/>
      </c>
      <c r="AY287" s="94" t="str">
        <f aca="false">IF(ISBLANK($C287),
    "",
    $C287
)</f>
        <v/>
      </c>
      <c r="AZ287" s="94" t="str">
        <f aca="false">IF(ISBLANK($C287),
    "",
    $D287
)</f>
        <v/>
      </c>
      <c r="BA287" s="94" t="str">
        <f aca="false">AO287</f>
        <v/>
      </c>
      <c r="BB287" s="95" t="str">
        <f aca="false">AN287</f>
        <v/>
      </c>
      <c r="BC287" s="94" t="str">
        <f aca="false">IF(ISBLANK($C287),
    "",
    AQ287
)</f>
        <v/>
      </c>
      <c r="BD287" s="96" t="str">
        <f aca="false">IF(AU287&gt;AT$7,
    "",
    VLOOKUP(AU287,AW$8:BC$507,7,FALSE())
)</f>
        <v/>
      </c>
      <c r="BE287" s="97" t="str">
        <f aca="false">IF(AU287&gt;AT$7,
    "",
    VLOOKUP(AU287,AW$8:BC$507,2,FALSE())
)</f>
        <v/>
      </c>
      <c r="BF287" s="97" t="str">
        <f aca="false">IF(AU287&gt;AT$7,
    "",
    VLOOKUP(AU287,AW$8:BC$507,3,FALSE())
)</f>
        <v/>
      </c>
      <c r="BG287" s="97" t="str">
        <f aca="false">IF(AU287&gt;AT$7,
    "",
    VLOOKUP(AU287,AW$8:BC$507,4,FALSE())
)</f>
        <v/>
      </c>
      <c r="BH287" s="97" t="str">
        <f aca="false">IF(AU287&gt;AT$7,
    "",
    VLOOKUP(AU287,AW$8:BC$507,5,FALSE())
)</f>
        <v/>
      </c>
      <c r="BI287" s="98" t="str">
        <f aca="false">IF(AU287&gt;AT$7,
    "",
    VLOOKUP(AU287,AW$8:BC$507,6,FALSE())
)</f>
        <v/>
      </c>
      <c r="BJ287" s="46"/>
    </row>
    <row r="288" customFormat="false" ht="15.75" hidden="false" customHeight="false" outlineLevel="0" collapsed="false">
      <c r="A288" s="3"/>
      <c r="B288" s="105"/>
      <c r="C288" s="106"/>
      <c r="D288" s="99"/>
      <c r="E288" s="110"/>
      <c r="F288" s="107"/>
      <c r="G288" s="110"/>
      <c r="H288" s="103"/>
      <c r="I288" s="102"/>
      <c r="J288" s="103"/>
      <c r="K288" s="103"/>
      <c r="L288" s="85"/>
      <c r="M288" s="85" t="str">
        <f aca="false">IF(ISBLANK($C288),"",IF(ISBLANK(E288),0,E288))</f>
        <v/>
      </c>
      <c r="N288" s="85" t="str">
        <f aca="false">IF(ISBLANK($C288),"",IF(ISBLANK(F288),0,F288))</f>
        <v/>
      </c>
      <c r="O288" s="86" t="e">
        <f aca="false">IF(AND(NOT(ISBLANK($C288)),NOT($T288),COUNTA($E288:$K288)&gt;0),ISBLANK($F288),FALSE())</f>
        <v>#VALUE!</v>
      </c>
      <c r="P288" s="85" t="str">
        <f aca="false">IF(ISBLANK($C288),"",IF(G288=Constants!$B$9, TRUE(), IF(G288=Constants!$B$10, FALSE(), TRUE())))</f>
        <v/>
      </c>
      <c r="Q288" s="85" t="str">
        <f aca="false">IF(ISBLANK($C288),"",IF(H288=Constants!$B$9, TRUE(), IF(H288=Constants!$B$10, FALSE(), TRUE())))</f>
        <v/>
      </c>
      <c r="R288" s="85" t="str">
        <f aca="false">IF(ISBLANK($C288),"",IF(ISBLANK(I288),Constants!$B$3,I288))</f>
        <v/>
      </c>
      <c r="S288" s="85" t="str">
        <f aca="false">IF(ISBLANK($C288),"",IF(ISBLANK(J288),0,MIN(J288,Constants!$B$6)))</f>
        <v/>
      </c>
      <c r="T288" s="85" t="str">
        <f aca="false">IF(ISBLANK($C288),"",IF(K288=Constants!$B$9, TRUE(), IF(K288=Constants!$B$10, FALSE(),  FALSE())))</f>
        <v/>
      </c>
      <c r="U288" s="85" t="str">
        <f aca="false">IF(ISBLANK($C288),"",AND(R288=Constants!$B$4, S288&lt;Constants!$B$6))</f>
        <v/>
      </c>
      <c r="V288" s="85" t="str">
        <f aca="false">IF(ISBLANK(C288), "", IF(T288, Constants!$B$11, IF(COUNTA(E288:K288)=0, Constants!$B$12, IF(NOT(AND(P288,S288&lt;&gt;0)), Constants!$B$13, IF(O288, Constants!$B$15, Constants!$B$14)))))</f>
        <v/>
      </c>
      <c r="W288" s="85" t="str">
        <f aca="false">IF(OR(ISBLANK($C288), SUMPRODUCT(--(P288:T288&lt;&gt;""))=0), "", IF(V288&lt;&gt;Constants!$B$14, V288, IF(AND(NOT(ISBLANK(J288)),P288,Q288,R288&lt;&gt;Constants!$B$2), Constants!$B$7, IF(AND(P288,OR(NOT(Q288),R288=Constants!$B$2)), Constants!$B$8, "Error"))))</f>
        <v/>
      </c>
      <c r="X288" s="87" t="str">
        <f aca="false">IF(OR(W288=Constants!$B$7,W288=Constants!$B$8), MAX(0, MIN(Constants!$B$6, S288))+IF(AND(R288=Constants!$B$4, NOT(U288)), Constants!$B$5, 0), "")</f>
        <v/>
      </c>
      <c r="Y288" s="85" t="str">
        <f aca="false">IF(ISBLANK($C288),"",IF(AND(ISNUMBER(X288),N288&gt;0),X288/N288, "") )</f>
        <v/>
      </c>
      <c r="Z288" s="85" t="str">
        <f aca="false">IF(AND(NOT(ISBLANK($C288)), W288=Constants!$B$7), Y288, "")</f>
        <v/>
      </c>
      <c r="AA288" s="85" t="str">
        <f aca="false">IF(ISNUMBER(Z288), RANK(Z288,Z$8:Z$507), "")</f>
        <v/>
      </c>
      <c r="AB288" s="85" t="str">
        <f aca="false">IF(AND(NOT(ISBLANK($C288)), W288=Constants!$B$8), Y288, "")</f>
        <v/>
      </c>
      <c r="AC288" s="85" t="str">
        <f aca="false">IF(ISNUMBER(AB288), RANK(AB288,AB$8:AB$507), "")</f>
        <v/>
      </c>
      <c r="AD288" s="85" t="str">
        <f aca="false">IF(ISBLANK($C288),"",IF(V288&lt;&gt;Constants!$B$14, V288, IF(W288=Constants!$B$7, AA288, IF(W288=Constants!$B$8, COUNT($AA$8:$AA$507) + AC288, ""))))</f>
        <v/>
      </c>
      <c r="AE288" s="85" t="str">
        <f aca="false">N288</f>
        <v/>
      </c>
      <c r="AF288" s="85" t="str">
        <f aca="false">IF(ISNUMBER(AE288), RANK(AE288,AE$8:AE$507,1), "")</f>
        <v/>
      </c>
      <c r="AG288" s="88" t="str">
        <f aca="false">IF(ISBLANK(C288), "", ABS(M288-S288))</f>
        <v/>
      </c>
      <c r="AH288" s="85" t="str">
        <f aca="false">IF(ISNUMBER(AG288), RANK(AG288,AG$8:AG$507,1), "")</f>
        <v/>
      </c>
      <c r="AI288" s="85" t="str">
        <f aca="false">IF(ISBLANK(C288),"",IF(V288&lt;&gt;Constants!$B$14, V288, RANK(AD288, AD$8:AD$507, 1)+ SUMPRODUCT(--(AD$8:AD$507=AD288),--(AF288&gt;AF$8:AF$507)) + SUMPRODUCT(--(AD$8:AD$507=AD288),--(AF288=AF$8:AF$507),--(AH288&gt;AH$8:AH$507))))</f>
        <v/>
      </c>
      <c r="AJ288" s="85" t="str">
        <f aca="false">IF(ISBLANK(C288),"",IF(V288&lt;&gt;Constants!$B$14, V288, AD288-AI288))</f>
        <v/>
      </c>
      <c r="AK288" s="89"/>
      <c r="AL288" s="90" t="str">
        <f aca="false">IF(ISBLANK($C288),"",IF($V288&lt;&gt;Constants!$B$14,$V288,X288))</f>
        <v/>
      </c>
      <c r="AM288" s="90" t="str">
        <f aca="false">IF(ISBLANK($C288),"",IF($V288&lt;&gt;Constants!$B$14,$V288,N288))</f>
        <v/>
      </c>
      <c r="AN288" s="91" t="str">
        <f aca="false">IF(ISBLANK(C288),"",IF(V288&lt;&gt;Constants!$B$14, V288, IF(W288=Constants!$B$7,Z288,IF(W288=Constants!$B$8,AB288,""))))</f>
        <v/>
      </c>
      <c r="AO288" s="92" t="str">
        <f aca="false">IF(ISBLANK(C288),"",W288)</f>
        <v/>
      </c>
      <c r="AP288" s="92" t="str">
        <f aca="false">IF(ISBLANK(C288),"",AJ288)</f>
        <v/>
      </c>
      <c r="AQ288" s="92" t="str">
        <f aca="false">IF(ISBLANK(C288),"",AI288)</f>
        <v/>
      </c>
      <c r="AR288" s="93" t="str">
        <f aca="false">IF(ISBLANK(C288),
  "",
IF(AQ288=Constants!$B$11,COUNTA($C$8:$C$507)+2,IF(AQ288=Constants!$B$12,COUNTA($C$8:$C$507)+1,IF(AQ288=Constants!$B$13,COUNTA($C$8:$C$507),AQ288))))</f>
        <v/>
      </c>
      <c r="AS288" s="3"/>
      <c r="AT288" s="94" t="n">
        <f aca="false">IF(OR(ISNUMBER(AQ288),AQ288="DQ",AQ288="P",AQ288="NS"),
    1,
    0
)</f>
        <v>0</v>
      </c>
      <c r="AU288" s="94" t="n">
        <v>281</v>
      </c>
      <c r="AV288" s="94" t="str">
        <f aca="false">IF(ISBLANK($C288),
    "",
   IF(ISNUMBER(AR288),AR288+ROW($B288)/1000,"")
)</f>
        <v/>
      </c>
      <c r="AW288" s="94" t="str">
        <f aca="false">IF(ISNUMBER(AV288), RANK(AV288,AV$8:AV$507,1), "")</f>
        <v/>
      </c>
      <c r="AX288" s="94" t="str">
        <f aca="false">IF(ISBLANK($C288),
    "",
    $B288
)</f>
        <v/>
      </c>
      <c r="AY288" s="94" t="str">
        <f aca="false">IF(ISBLANK($C288),
    "",
    $C288
)</f>
        <v/>
      </c>
      <c r="AZ288" s="94" t="str">
        <f aca="false">IF(ISBLANK($C288),
    "",
    $D288
)</f>
        <v/>
      </c>
      <c r="BA288" s="94" t="str">
        <f aca="false">AO288</f>
        <v/>
      </c>
      <c r="BB288" s="95" t="str">
        <f aca="false">AN288</f>
        <v/>
      </c>
      <c r="BC288" s="94" t="str">
        <f aca="false">IF(ISBLANK($C288),
    "",
    AQ288
)</f>
        <v/>
      </c>
      <c r="BD288" s="96" t="str">
        <f aca="false">IF(AU288&gt;AT$7,
    "",
    VLOOKUP(AU288,AW$8:BC$507,7,FALSE())
)</f>
        <v/>
      </c>
      <c r="BE288" s="97" t="str">
        <f aca="false">IF(AU288&gt;AT$7,
    "",
    VLOOKUP(AU288,AW$8:BC$507,2,FALSE())
)</f>
        <v/>
      </c>
      <c r="BF288" s="97" t="str">
        <f aca="false">IF(AU288&gt;AT$7,
    "",
    VLOOKUP(AU288,AW$8:BC$507,3,FALSE())
)</f>
        <v/>
      </c>
      <c r="BG288" s="97" t="str">
        <f aca="false">IF(AU288&gt;AT$7,
    "",
    VLOOKUP(AU288,AW$8:BC$507,4,FALSE())
)</f>
        <v/>
      </c>
      <c r="BH288" s="97" t="str">
        <f aca="false">IF(AU288&gt;AT$7,
    "",
    VLOOKUP(AU288,AW$8:BC$507,5,FALSE())
)</f>
        <v/>
      </c>
      <c r="BI288" s="98" t="str">
        <f aca="false">IF(AU288&gt;AT$7,
    "",
    VLOOKUP(AU288,AW$8:BC$507,6,FALSE())
)</f>
        <v/>
      </c>
      <c r="BJ288" s="46"/>
    </row>
    <row r="289" customFormat="false" ht="15.75" hidden="false" customHeight="false" outlineLevel="0" collapsed="false">
      <c r="A289" s="3"/>
      <c r="B289" s="105"/>
      <c r="C289" s="106"/>
      <c r="D289" s="99"/>
      <c r="E289" s="110"/>
      <c r="F289" s="107"/>
      <c r="G289" s="110"/>
      <c r="H289" s="103"/>
      <c r="I289" s="102"/>
      <c r="J289" s="103"/>
      <c r="K289" s="103"/>
      <c r="L289" s="85"/>
      <c r="M289" s="85" t="str">
        <f aca="false">IF(ISBLANK($C289),"",IF(ISBLANK(E289),0,E289))</f>
        <v/>
      </c>
      <c r="N289" s="85" t="str">
        <f aca="false">IF(ISBLANK($C289),"",IF(ISBLANK(F289),0,F289))</f>
        <v/>
      </c>
      <c r="O289" s="86" t="e">
        <f aca="false">IF(AND(NOT(ISBLANK($C289)),NOT($T289),COUNTA($E289:$K289)&gt;0),ISBLANK($F289),FALSE())</f>
        <v>#VALUE!</v>
      </c>
      <c r="P289" s="85" t="str">
        <f aca="false">IF(ISBLANK($C289),"",IF(G289=Constants!$B$9, TRUE(), IF(G289=Constants!$B$10, FALSE(), TRUE())))</f>
        <v/>
      </c>
      <c r="Q289" s="85" t="str">
        <f aca="false">IF(ISBLANK($C289),"",IF(H289=Constants!$B$9, TRUE(), IF(H289=Constants!$B$10, FALSE(), TRUE())))</f>
        <v/>
      </c>
      <c r="R289" s="85" t="str">
        <f aca="false">IF(ISBLANK($C289),"",IF(ISBLANK(I289),Constants!$B$3,I289))</f>
        <v/>
      </c>
      <c r="S289" s="85" t="str">
        <f aca="false">IF(ISBLANK($C289),"",IF(ISBLANK(J289),0,MIN(J289,Constants!$B$6)))</f>
        <v/>
      </c>
      <c r="T289" s="85" t="str">
        <f aca="false">IF(ISBLANK($C289),"",IF(K289=Constants!$B$9, TRUE(), IF(K289=Constants!$B$10, FALSE(),  FALSE())))</f>
        <v/>
      </c>
      <c r="U289" s="85" t="str">
        <f aca="false">IF(ISBLANK($C289),"",AND(R289=Constants!$B$4, S289&lt;Constants!$B$6))</f>
        <v/>
      </c>
      <c r="V289" s="85" t="str">
        <f aca="false">IF(ISBLANK(C289), "", IF(T289, Constants!$B$11, IF(COUNTA(E289:K289)=0, Constants!$B$12, IF(NOT(AND(P289,S289&lt;&gt;0)), Constants!$B$13, IF(O289, Constants!$B$15, Constants!$B$14)))))</f>
        <v/>
      </c>
      <c r="W289" s="85" t="str">
        <f aca="false">IF(OR(ISBLANK($C289), SUMPRODUCT(--(P289:T289&lt;&gt;""))=0), "", IF(V289&lt;&gt;Constants!$B$14, V289, IF(AND(NOT(ISBLANK(J289)),P289,Q289,R289&lt;&gt;Constants!$B$2), Constants!$B$7, IF(AND(P289,OR(NOT(Q289),R289=Constants!$B$2)), Constants!$B$8, "Error"))))</f>
        <v/>
      </c>
      <c r="X289" s="87" t="str">
        <f aca="false">IF(OR(W289=Constants!$B$7,W289=Constants!$B$8), MAX(0, MIN(Constants!$B$6, S289))+IF(AND(R289=Constants!$B$4, NOT(U289)), Constants!$B$5, 0), "")</f>
        <v/>
      </c>
      <c r="Y289" s="85" t="str">
        <f aca="false">IF(ISBLANK($C289),"",IF(AND(ISNUMBER(X289),N289&gt;0),X289/N289, "") )</f>
        <v/>
      </c>
      <c r="Z289" s="85" t="str">
        <f aca="false">IF(AND(NOT(ISBLANK($C289)), W289=Constants!$B$7), Y289, "")</f>
        <v/>
      </c>
      <c r="AA289" s="85" t="str">
        <f aca="false">IF(ISNUMBER(Z289), RANK(Z289,Z$8:Z$507), "")</f>
        <v/>
      </c>
      <c r="AB289" s="85" t="str">
        <f aca="false">IF(AND(NOT(ISBLANK($C289)), W289=Constants!$B$8), Y289, "")</f>
        <v/>
      </c>
      <c r="AC289" s="85" t="str">
        <f aca="false">IF(ISNUMBER(AB289), RANK(AB289,AB$8:AB$507), "")</f>
        <v/>
      </c>
      <c r="AD289" s="85" t="str">
        <f aca="false">IF(ISBLANK($C289),"",IF(V289&lt;&gt;Constants!$B$14, V289, IF(W289=Constants!$B$7, AA289, IF(W289=Constants!$B$8, COUNT($AA$8:$AA$507) + AC289, ""))))</f>
        <v/>
      </c>
      <c r="AE289" s="85" t="str">
        <f aca="false">N289</f>
        <v/>
      </c>
      <c r="AF289" s="85" t="str">
        <f aca="false">IF(ISNUMBER(AE289), RANK(AE289,AE$8:AE$507,1), "")</f>
        <v/>
      </c>
      <c r="AG289" s="88" t="str">
        <f aca="false">IF(ISBLANK(C289), "", ABS(M289-S289))</f>
        <v/>
      </c>
      <c r="AH289" s="85" t="str">
        <f aca="false">IF(ISNUMBER(AG289), RANK(AG289,AG$8:AG$507,1), "")</f>
        <v/>
      </c>
      <c r="AI289" s="85" t="str">
        <f aca="false">IF(ISBLANK(C289),"",IF(V289&lt;&gt;Constants!$B$14, V289, RANK(AD289, AD$8:AD$507, 1)+ SUMPRODUCT(--(AD$8:AD$507=AD289),--(AF289&gt;AF$8:AF$507)) + SUMPRODUCT(--(AD$8:AD$507=AD289),--(AF289=AF$8:AF$507),--(AH289&gt;AH$8:AH$507))))</f>
        <v/>
      </c>
      <c r="AJ289" s="85" t="str">
        <f aca="false">IF(ISBLANK(C289),"",IF(V289&lt;&gt;Constants!$B$14, V289, AD289-AI289))</f>
        <v/>
      </c>
      <c r="AK289" s="89"/>
      <c r="AL289" s="90" t="str">
        <f aca="false">IF(ISBLANK($C289),"",IF($V289&lt;&gt;Constants!$B$14,$V289,X289))</f>
        <v/>
      </c>
      <c r="AM289" s="90" t="str">
        <f aca="false">IF(ISBLANK($C289),"",IF($V289&lt;&gt;Constants!$B$14,$V289,N289))</f>
        <v/>
      </c>
      <c r="AN289" s="91" t="str">
        <f aca="false">IF(ISBLANK(C289),"",IF(V289&lt;&gt;Constants!$B$14, V289, IF(W289=Constants!$B$7,Z289,IF(W289=Constants!$B$8,AB289,""))))</f>
        <v/>
      </c>
      <c r="AO289" s="92" t="str">
        <f aca="false">IF(ISBLANK(C289),"",W289)</f>
        <v/>
      </c>
      <c r="AP289" s="92" t="str">
        <f aca="false">IF(ISBLANK(C289),"",AJ289)</f>
        <v/>
      </c>
      <c r="AQ289" s="92" t="str">
        <f aca="false">IF(ISBLANK(C289),"",AI289)</f>
        <v/>
      </c>
      <c r="AR289" s="93" t="str">
        <f aca="false">IF(ISBLANK(C289),
  "",
IF(AQ289=Constants!$B$11,COUNTA($C$8:$C$507)+2,IF(AQ289=Constants!$B$12,COUNTA($C$8:$C$507)+1,IF(AQ289=Constants!$B$13,COUNTA($C$8:$C$507),AQ289))))</f>
        <v/>
      </c>
      <c r="AS289" s="3"/>
      <c r="AT289" s="94" t="n">
        <f aca="false">IF(OR(ISNUMBER(AQ289),AQ289="DQ",AQ289="P",AQ289="NS"),
    1,
    0
)</f>
        <v>0</v>
      </c>
      <c r="AU289" s="94" t="n">
        <v>282</v>
      </c>
      <c r="AV289" s="94" t="str">
        <f aca="false">IF(ISBLANK($C289),
    "",
   IF(ISNUMBER(AR289),AR289+ROW($B289)/1000,"")
)</f>
        <v/>
      </c>
      <c r="AW289" s="94" t="str">
        <f aca="false">IF(ISNUMBER(AV289), RANK(AV289,AV$8:AV$507,1), "")</f>
        <v/>
      </c>
      <c r="AX289" s="94" t="str">
        <f aca="false">IF(ISBLANK($C289),
    "",
    $B289
)</f>
        <v/>
      </c>
      <c r="AY289" s="94" t="str">
        <f aca="false">IF(ISBLANK($C289),
    "",
    $C289
)</f>
        <v/>
      </c>
      <c r="AZ289" s="94" t="str">
        <f aca="false">IF(ISBLANK($C289),
    "",
    $D289
)</f>
        <v/>
      </c>
      <c r="BA289" s="94" t="str">
        <f aca="false">AO289</f>
        <v/>
      </c>
      <c r="BB289" s="95" t="str">
        <f aca="false">AN289</f>
        <v/>
      </c>
      <c r="BC289" s="94" t="str">
        <f aca="false">IF(ISBLANK($C289),
    "",
    AQ289
)</f>
        <v/>
      </c>
      <c r="BD289" s="96" t="str">
        <f aca="false">IF(AU289&gt;AT$7,
    "",
    VLOOKUP(AU289,AW$8:BC$507,7,FALSE())
)</f>
        <v/>
      </c>
      <c r="BE289" s="97" t="str">
        <f aca="false">IF(AU289&gt;AT$7,
    "",
    VLOOKUP(AU289,AW$8:BC$507,2,FALSE())
)</f>
        <v/>
      </c>
      <c r="BF289" s="97" t="str">
        <f aca="false">IF(AU289&gt;AT$7,
    "",
    VLOOKUP(AU289,AW$8:BC$507,3,FALSE())
)</f>
        <v/>
      </c>
      <c r="BG289" s="97" t="str">
        <f aca="false">IF(AU289&gt;AT$7,
    "",
    VLOOKUP(AU289,AW$8:BC$507,4,FALSE())
)</f>
        <v/>
      </c>
      <c r="BH289" s="97" t="str">
        <f aca="false">IF(AU289&gt;AT$7,
    "",
    VLOOKUP(AU289,AW$8:BC$507,5,FALSE())
)</f>
        <v/>
      </c>
      <c r="BI289" s="98" t="str">
        <f aca="false">IF(AU289&gt;AT$7,
    "",
    VLOOKUP(AU289,AW$8:BC$507,6,FALSE())
)</f>
        <v/>
      </c>
      <c r="BJ289" s="46"/>
    </row>
    <row r="290" customFormat="false" ht="15.75" hidden="false" customHeight="false" outlineLevel="0" collapsed="false">
      <c r="A290" s="3"/>
      <c r="B290" s="108"/>
      <c r="C290" s="70"/>
      <c r="D290" s="49"/>
      <c r="E290" s="109"/>
      <c r="F290" s="72"/>
      <c r="G290" s="109"/>
      <c r="H290" s="74"/>
      <c r="I290" s="104"/>
      <c r="J290" s="74"/>
      <c r="K290" s="74"/>
      <c r="L290" s="55"/>
      <c r="M290" s="55" t="str">
        <f aca="false">IF(ISBLANK($C290),"",IF(ISBLANK(E290),0,E290))</f>
        <v/>
      </c>
      <c r="N290" s="55" t="str">
        <f aca="false">IF(ISBLANK($C290),"",IF(ISBLANK(F290),0,F290))</f>
        <v/>
      </c>
      <c r="O290" s="55" t="e">
        <f aca="false">IF(AND(NOT(ISBLANK($C290)),NOT($T290),COUNTA($E290:$K290)&gt;0),ISBLANK($F290),FALSE())</f>
        <v>#VALUE!</v>
      </c>
      <c r="P290" s="55" t="str">
        <f aca="false">IF(ISBLANK($C290),"",IF(G290=Constants!$B$9, TRUE(), IF(G290=Constants!$B$10, FALSE(), TRUE())))</f>
        <v/>
      </c>
      <c r="Q290" s="55" t="str">
        <f aca="false">IF(ISBLANK($C290),"",IF(H290=Constants!$B$9, TRUE(), IF(H290=Constants!$B$10, FALSE(), TRUE())))</f>
        <v/>
      </c>
      <c r="R290" s="55" t="str">
        <f aca="false">IF(ISBLANK($C290),"",IF(ISBLANK(I290),Constants!$B$3,I290))</f>
        <v/>
      </c>
      <c r="S290" s="55" t="str">
        <f aca="false">IF(ISBLANK($C290),"",IF(ISBLANK(J290),0,MIN(J290,Constants!$B$6)))</f>
        <v/>
      </c>
      <c r="T290" s="55" t="str">
        <f aca="false">IF(ISBLANK($C290),"",IF(K290=Constants!$B$9, TRUE(), IF(K290=Constants!$B$10, FALSE(),  FALSE())))</f>
        <v/>
      </c>
      <c r="U290" s="55" t="str">
        <f aca="false">IF(ISBLANK($C290),"",AND(R290=Constants!$B$4, S290&lt;Constants!$B$6))</f>
        <v/>
      </c>
      <c r="V290" s="55" t="str">
        <f aca="false">IF(ISBLANK(C290), "", IF(T290, Constants!$B$11, IF(COUNTA(E290:K290)=0, Constants!$B$12, IF(NOT(AND(P290,S290&lt;&gt;0)), Constants!$B$13, IF(O290, Constants!$B$15, Constants!$B$14)))))</f>
        <v/>
      </c>
      <c r="W290" s="55" t="str">
        <f aca="false">IF(OR(ISBLANK($C290), SUMPRODUCT(--(P290:T290&lt;&gt;""))=0), "", IF(V290&lt;&gt;Constants!$B$14, V290, IF(AND(NOT(ISBLANK(J290)),P290,Q290,R290&lt;&gt;Constants!$B$2), Constants!$B$7, IF(AND(P290,OR(NOT(Q290),R290=Constants!$B$2)), Constants!$B$8, "Error"))))</f>
        <v/>
      </c>
      <c r="X290" s="56" t="str">
        <f aca="false">IF(OR(W290=Constants!$B$7,W290=Constants!$B$8), MAX(0, MIN(Constants!$B$6, S290))+IF(AND(R290=Constants!$B$4, NOT(U290)), Constants!$B$5, 0), "")</f>
        <v/>
      </c>
      <c r="Y290" s="55" t="str">
        <f aca="false">IF(ISBLANK($C290),"",IF(AND(ISNUMBER(X290),N290&gt;0),X290/N290, "") )</f>
        <v/>
      </c>
      <c r="Z290" s="55" t="str">
        <f aca="false">IF(AND(NOT(ISBLANK($C290)), W290=Constants!$B$7), Y290, "")</f>
        <v/>
      </c>
      <c r="AA290" s="55" t="str">
        <f aca="false">IF(ISNUMBER(Z290), RANK(Z290,Z$8:Z$507), "")</f>
        <v/>
      </c>
      <c r="AB290" s="55" t="str">
        <f aca="false">IF(AND(NOT(ISBLANK($C290)), W290=Constants!$B$8), Y290, "")</f>
        <v/>
      </c>
      <c r="AC290" s="55" t="str">
        <f aca="false">IF(ISNUMBER(AB290), RANK(AB290,AB$8:AB$507), "")</f>
        <v/>
      </c>
      <c r="AD290" s="55" t="str">
        <f aca="false">IF(ISBLANK($C290),"",IF(V290&lt;&gt;Constants!$B$14, V290, IF(W290=Constants!$B$7, AA290, IF(W290=Constants!$B$8, COUNT($AA$8:$AA$507) + AC290, ""))))</f>
        <v/>
      </c>
      <c r="AE290" s="55" t="str">
        <f aca="false">N290</f>
        <v/>
      </c>
      <c r="AF290" s="55" t="str">
        <f aca="false">IF(ISNUMBER(AE290), RANK(AE290,AE$8:AE$507,1), "")</f>
        <v/>
      </c>
      <c r="AG290" s="57" t="str">
        <f aca="false">IF(ISBLANK(C290), "", ABS(M290-S290))</f>
        <v/>
      </c>
      <c r="AH290" s="55" t="str">
        <f aca="false">IF(ISNUMBER(AG290), RANK(AG290,AG$8:AG$507,1), "")</f>
        <v/>
      </c>
      <c r="AI290" s="55" t="str">
        <f aca="false">IF(ISBLANK(C290),"",IF(V290&lt;&gt;Constants!$B$14, V290, RANK(AD290, AD$8:AD$507, 1)+ SUMPRODUCT(--(AD$8:AD$507=AD290),--(AF290&gt;AF$8:AF$507)) + SUMPRODUCT(--(AD$8:AD$507=AD290),--(AF290=AF$8:AF$507),--(AH290&gt;AH$8:AH$507))))</f>
        <v/>
      </c>
      <c r="AJ290" s="55" t="str">
        <f aca="false">IF(ISBLANK(C290),"",IF(V290&lt;&gt;Constants!$B$14, V290, AD290-AI290))</f>
        <v/>
      </c>
      <c r="AK290" s="59"/>
      <c r="AL290" s="60" t="str">
        <f aca="false">IF(ISBLANK($C290),"",IF($V290&lt;&gt;Constants!$B$14,$V290,X290))</f>
        <v/>
      </c>
      <c r="AM290" s="60" t="str">
        <f aca="false">IF(ISBLANK($C290),"",IF($V290&lt;&gt;Constants!$B$14,$V290,N290))</f>
        <v/>
      </c>
      <c r="AN290" s="62" t="str">
        <f aca="false">IF(ISBLANK(C290),"",IF(V290&lt;&gt;Constants!$B$14, V290, IF(W290=Constants!$B$7,Z290,IF(W290=Constants!$B$8,AB290,""))))</f>
        <v/>
      </c>
      <c r="AO290" s="63" t="str">
        <f aca="false">IF(ISBLANK(C290),"",W290)</f>
        <v/>
      </c>
      <c r="AP290" s="63" t="str">
        <f aca="false">IF(ISBLANK(C290),"",AJ290)</f>
        <v/>
      </c>
      <c r="AQ290" s="63" t="str">
        <f aca="false">IF(ISBLANK(C290),"",AI290)</f>
        <v/>
      </c>
      <c r="AR290" s="64" t="str">
        <f aca="false">IF(ISBLANK(C290),
  "",
IF(AQ290=Constants!$B$11,COUNTA($C$8:$C$507)+2,IF(AQ290=Constants!$B$12,COUNTA($C$8:$C$507)+1,IF(AQ290=Constants!$B$13,COUNTA($C$8:$C$507),AQ290))))</f>
        <v/>
      </c>
      <c r="AS290" s="3"/>
      <c r="AT290" s="65" t="n">
        <f aca="false">IF(OR(ISNUMBER(AQ290),AQ290="DQ",AQ290="P",AQ290="NS"),
    1,
    0
)</f>
        <v>0</v>
      </c>
      <c r="AU290" s="65" t="n">
        <v>283</v>
      </c>
      <c r="AV290" s="65" t="str">
        <f aca="false">IF(ISBLANK($C290),
    "",
   IF(ISNUMBER(AR290),AR290+ROW($B290)/1000,"")
)</f>
        <v/>
      </c>
      <c r="AW290" s="65" t="str">
        <f aca="false">IF(ISNUMBER(AV290), RANK(AV290,AV$8:AV$507,1), "")</f>
        <v/>
      </c>
      <c r="AX290" s="65" t="str">
        <f aca="false">IF(ISBLANK($C290),
    "",
    $B290
)</f>
        <v/>
      </c>
      <c r="AY290" s="65" t="str">
        <f aca="false">IF(ISBLANK($C290),
    "",
    $C290
)</f>
        <v/>
      </c>
      <c r="AZ290" s="65" t="str">
        <f aca="false">IF(ISBLANK($C290),
    "",
    $D290
)</f>
        <v/>
      </c>
      <c r="BA290" s="65" t="str">
        <f aca="false">AO290</f>
        <v/>
      </c>
      <c r="BB290" s="66" t="str">
        <f aca="false">AN290</f>
        <v/>
      </c>
      <c r="BC290" s="65" t="str">
        <f aca="false">IF(ISBLANK($C290),
    "",
    AQ290
)</f>
        <v/>
      </c>
      <c r="BD290" s="67" t="str">
        <f aca="false">IF(AU290&gt;AT$7,
    "",
    VLOOKUP(AU290,AW$8:BC$507,7,FALSE())
)</f>
        <v/>
      </c>
      <c r="BE290" s="68" t="str">
        <f aca="false">IF(AU290&gt;AT$7,
    "",
    VLOOKUP(AU290,AW$8:BC$507,2,FALSE())
)</f>
        <v/>
      </c>
      <c r="BF290" s="68" t="str">
        <f aca="false">IF(AU290&gt;AT$7,
    "",
    VLOOKUP(AU290,AW$8:BC$507,3,FALSE())
)</f>
        <v/>
      </c>
      <c r="BG290" s="68" t="str">
        <f aca="false">IF(AU290&gt;AT$7,
    "",
    VLOOKUP(AU290,AW$8:BC$507,4,FALSE())
)</f>
        <v/>
      </c>
      <c r="BH290" s="68" t="str">
        <f aca="false">IF(AU290&gt;AT$7,
    "",
    VLOOKUP(AU290,AW$8:BC$507,5,FALSE())
)</f>
        <v/>
      </c>
      <c r="BI290" s="69" t="str">
        <f aca="false">IF(AU290&gt;AT$7,
    "",
    VLOOKUP(AU290,AW$8:BC$507,6,FALSE())
)</f>
        <v/>
      </c>
      <c r="BJ290" s="46"/>
    </row>
    <row r="291" customFormat="false" ht="15.75" hidden="false" customHeight="false" outlineLevel="0" collapsed="false">
      <c r="A291" s="3"/>
      <c r="B291" s="108"/>
      <c r="C291" s="70"/>
      <c r="D291" s="49"/>
      <c r="E291" s="109"/>
      <c r="F291" s="72"/>
      <c r="G291" s="109"/>
      <c r="H291" s="74"/>
      <c r="I291" s="104"/>
      <c r="J291" s="74"/>
      <c r="K291" s="74"/>
      <c r="L291" s="55"/>
      <c r="M291" s="55" t="str">
        <f aca="false">IF(ISBLANK($C291),"",IF(ISBLANK(E291),0,E291))</f>
        <v/>
      </c>
      <c r="N291" s="55" t="str">
        <f aca="false">IF(ISBLANK($C291),"",IF(ISBLANK(F291),0,F291))</f>
        <v/>
      </c>
      <c r="O291" s="55" t="e">
        <f aca="false">IF(AND(NOT(ISBLANK($C291)),NOT($T291),COUNTA($E291:$K291)&gt;0),ISBLANK($F291),FALSE())</f>
        <v>#VALUE!</v>
      </c>
      <c r="P291" s="55" t="str">
        <f aca="false">IF(ISBLANK($C291),"",IF(G291=Constants!$B$9, TRUE(), IF(G291=Constants!$B$10, FALSE(), TRUE())))</f>
        <v/>
      </c>
      <c r="Q291" s="55" t="str">
        <f aca="false">IF(ISBLANK($C291),"",IF(H291=Constants!$B$9, TRUE(), IF(H291=Constants!$B$10, FALSE(), TRUE())))</f>
        <v/>
      </c>
      <c r="R291" s="55" t="str">
        <f aca="false">IF(ISBLANK($C291),"",IF(ISBLANK(I291),Constants!$B$3,I291))</f>
        <v/>
      </c>
      <c r="S291" s="55" t="str">
        <f aca="false">IF(ISBLANK($C291),"",IF(ISBLANK(J291),0,MIN(J291,Constants!$B$6)))</f>
        <v/>
      </c>
      <c r="T291" s="55" t="str">
        <f aca="false">IF(ISBLANK($C291),"",IF(K291=Constants!$B$9, TRUE(), IF(K291=Constants!$B$10, FALSE(),  FALSE())))</f>
        <v/>
      </c>
      <c r="U291" s="55" t="str">
        <f aca="false">IF(ISBLANK($C291),"",AND(R291=Constants!$B$4, S291&lt;Constants!$B$6))</f>
        <v/>
      </c>
      <c r="V291" s="55" t="str">
        <f aca="false">IF(ISBLANK(C291), "", IF(T291, Constants!$B$11, IF(COUNTA(E291:K291)=0, Constants!$B$12, IF(NOT(AND(P291,S291&lt;&gt;0)), Constants!$B$13, IF(O291, Constants!$B$15, Constants!$B$14)))))</f>
        <v/>
      </c>
      <c r="W291" s="55" t="str">
        <f aca="false">IF(OR(ISBLANK($C291), SUMPRODUCT(--(P291:T291&lt;&gt;""))=0), "", IF(V291&lt;&gt;Constants!$B$14, V291, IF(AND(NOT(ISBLANK(J291)),P291,Q291,R291&lt;&gt;Constants!$B$2), Constants!$B$7, IF(AND(P291,OR(NOT(Q291),R291=Constants!$B$2)), Constants!$B$8, "Error"))))</f>
        <v/>
      </c>
      <c r="X291" s="56" t="str">
        <f aca="false">IF(OR(W291=Constants!$B$7,W291=Constants!$B$8), MAX(0, MIN(Constants!$B$6, S291))+IF(AND(R291=Constants!$B$4, NOT(U291)), Constants!$B$5, 0), "")</f>
        <v/>
      </c>
      <c r="Y291" s="55" t="str">
        <f aca="false">IF(ISBLANK($C291),"",IF(AND(ISNUMBER(X291),N291&gt;0),X291/N291, "") )</f>
        <v/>
      </c>
      <c r="Z291" s="55" t="str">
        <f aca="false">IF(AND(NOT(ISBLANK($C291)), W291=Constants!$B$7), Y291, "")</f>
        <v/>
      </c>
      <c r="AA291" s="55" t="str">
        <f aca="false">IF(ISNUMBER(Z291), RANK(Z291,Z$8:Z$507), "")</f>
        <v/>
      </c>
      <c r="AB291" s="55" t="str">
        <f aca="false">IF(AND(NOT(ISBLANK($C291)), W291=Constants!$B$8), Y291, "")</f>
        <v/>
      </c>
      <c r="AC291" s="55" t="str">
        <f aca="false">IF(ISNUMBER(AB291), RANK(AB291,AB$8:AB$507), "")</f>
        <v/>
      </c>
      <c r="AD291" s="55" t="str">
        <f aca="false">IF(ISBLANK($C291),"",IF(V291&lt;&gt;Constants!$B$14, V291, IF(W291=Constants!$B$7, AA291, IF(W291=Constants!$B$8, COUNT($AA$8:$AA$507) + AC291, ""))))</f>
        <v/>
      </c>
      <c r="AE291" s="55" t="str">
        <f aca="false">N291</f>
        <v/>
      </c>
      <c r="AF291" s="55" t="str">
        <f aca="false">IF(ISNUMBER(AE291), RANK(AE291,AE$8:AE$507,1), "")</f>
        <v/>
      </c>
      <c r="AG291" s="57" t="str">
        <f aca="false">IF(ISBLANK(C291), "", ABS(M291-S291))</f>
        <v/>
      </c>
      <c r="AH291" s="55" t="str">
        <f aca="false">IF(ISNUMBER(AG291), RANK(AG291,AG$8:AG$507,1), "")</f>
        <v/>
      </c>
      <c r="AI291" s="55" t="str">
        <f aca="false">IF(ISBLANK(C291),"",IF(V291&lt;&gt;Constants!$B$14, V291, RANK(AD291, AD$8:AD$507, 1)+ SUMPRODUCT(--(AD$8:AD$507=AD291),--(AF291&gt;AF$8:AF$507)) + SUMPRODUCT(--(AD$8:AD$507=AD291),--(AF291=AF$8:AF$507),--(AH291&gt;AH$8:AH$507))))</f>
        <v/>
      </c>
      <c r="AJ291" s="55" t="str">
        <f aca="false">IF(ISBLANK(C291),"",IF(V291&lt;&gt;Constants!$B$14, V291, AD291-AI291))</f>
        <v/>
      </c>
      <c r="AK291" s="59"/>
      <c r="AL291" s="60" t="str">
        <f aca="false">IF(ISBLANK($C291),"",IF($V291&lt;&gt;Constants!$B$14,$V291,X291))</f>
        <v/>
      </c>
      <c r="AM291" s="60" t="str">
        <f aca="false">IF(ISBLANK($C291),"",IF($V291&lt;&gt;Constants!$B$14,$V291,N291))</f>
        <v/>
      </c>
      <c r="AN291" s="62" t="str">
        <f aca="false">IF(ISBLANK(C291),"",IF(V291&lt;&gt;Constants!$B$14, V291, IF(W291=Constants!$B$7,Z291,IF(W291=Constants!$B$8,AB291,""))))</f>
        <v/>
      </c>
      <c r="AO291" s="63" t="str">
        <f aca="false">IF(ISBLANK(C291),"",W291)</f>
        <v/>
      </c>
      <c r="AP291" s="63" t="str">
        <f aca="false">IF(ISBLANK(C291),"",AJ291)</f>
        <v/>
      </c>
      <c r="AQ291" s="63" t="str">
        <f aca="false">IF(ISBLANK(C291),"",AI291)</f>
        <v/>
      </c>
      <c r="AR291" s="64" t="str">
        <f aca="false">IF(ISBLANK(C291),
  "",
IF(AQ291=Constants!$B$11,COUNTA($C$8:$C$507)+2,IF(AQ291=Constants!$B$12,COUNTA($C$8:$C$507)+1,IF(AQ291=Constants!$B$13,COUNTA($C$8:$C$507),AQ291))))</f>
        <v/>
      </c>
      <c r="AS291" s="3"/>
      <c r="AT291" s="65" t="n">
        <f aca="false">IF(OR(ISNUMBER(AQ291),AQ291="DQ",AQ291="P",AQ291="NS"),
    1,
    0
)</f>
        <v>0</v>
      </c>
      <c r="AU291" s="65" t="n">
        <v>284</v>
      </c>
      <c r="AV291" s="65" t="str">
        <f aca="false">IF(ISBLANK($C291),
    "",
   IF(ISNUMBER(AR291),AR291+ROW($B291)/1000,"")
)</f>
        <v/>
      </c>
      <c r="AW291" s="65" t="str">
        <f aca="false">IF(ISNUMBER(AV291), RANK(AV291,AV$8:AV$507,1), "")</f>
        <v/>
      </c>
      <c r="AX291" s="65" t="str">
        <f aca="false">IF(ISBLANK($C291),
    "",
    $B291
)</f>
        <v/>
      </c>
      <c r="AY291" s="65" t="str">
        <f aca="false">IF(ISBLANK($C291),
    "",
    $C291
)</f>
        <v/>
      </c>
      <c r="AZ291" s="65" t="str">
        <f aca="false">IF(ISBLANK($C291),
    "",
    $D291
)</f>
        <v/>
      </c>
      <c r="BA291" s="65" t="str">
        <f aca="false">AO291</f>
        <v/>
      </c>
      <c r="BB291" s="66" t="str">
        <f aca="false">AN291</f>
        <v/>
      </c>
      <c r="BC291" s="65" t="str">
        <f aca="false">IF(ISBLANK($C291),
    "",
    AQ291
)</f>
        <v/>
      </c>
      <c r="BD291" s="67" t="str">
        <f aca="false">IF(AU291&gt;AT$7,
    "",
    VLOOKUP(AU291,AW$8:BC$507,7,FALSE())
)</f>
        <v/>
      </c>
      <c r="BE291" s="68" t="str">
        <f aca="false">IF(AU291&gt;AT$7,
    "",
    VLOOKUP(AU291,AW$8:BC$507,2,FALSE())
)</f>
        <v/>
      </c>
      <c r="BF291" s="68" t="str">
        <f aca="false">IF(AU291&gt;AT$7,
    "",
    VLOOKUP(AU291,AW$8:BC$507,3,FALSE())
)</f>
        <v/>
      </c>
      <c r="BG291" s="68" t="str">
        <f aca="false">IF(AU291&gt;AT$7,
    "",
    VLOOKUP(AU291,AW$8:BC$507,4,FALSE())
)</f>
        <v/>
      </c>
      <c r="BH291" s="68" t="str">
        <f aca="false">IF(AU291&gt;AT$7,
    "",
    VLOOKUP(AU291,AW$8:BC$507,5,FALSE())
)</f>
        <v/>
      </c>
      <c r="BI291" s="69" t="str">
        <f aca="false">IF(AU291&gt;AT$7,
    "",
    VLOOKUP(AU291,AW$8:BC$507,6,FALSE())
)</f>
        <v/>
      </c>
      <c r="BJ291" s="46"/>
    </row>
    <row r="292" customFormat="false" ht="15.75" hidden="false" customHeight="false" outlineLevel="0" collapsed="false">
      <c r="A292" s="3"/>
      <c r="B292" s="108"/>
      <c r="C292" s="70"/>
      <c r="D292" s="49"/>
      <c r="E292" s="109"/>
      <c r="F292" s="72"/>
      <c r="G292" s="109"/>
      <c r="H292" s="74"/>
      <c r="I292" s="104"/>
      <c r="J292" s="74"/>
      <c r="K292" s="74"/>
      <c r="L292" s="55"/>
      <c r="M292" s="55" t="str">
        <f aca="false">IF(ISBLANK($C292),"",IF(ISBLANK(E292),0,E292))</f>
        <v/>
      </c>
      <c r="N292" s="55" t="str">
        <f aca="false">IF(ISBLANK($C292),"",IF(ISBLANK(F292),0,F292))</f>
        <v/>
      </c>
      <c r="O292" s="55" t="e">
        <f aca="false">IF(AND(NOT(ISBLANK($C292)),NOT($T292),COUNTA($E292:$K292)&gt;0),ISBLANK($F292),FALSE())</f>
        <v>#VALUE!</v>
      </c>
      <c r="P292" s="55" t="str">
        <f aca="false">IF(ISBLANK($C292),"",IF(G292=Constants!$B$9, TRUE(), IF(G292=Constants!$B$10, FALSE(), TRUE())))</f>
        <v/>
      </c>
      <c r="Q292" s="55" t="str">
        <f aca="false">IF(ISBLANK($C292),"",IF(H292=Constants!$B$9, TRUE(), IF(H292=Constants!$B$10, FALSE(), TRUE())))</f>
        <v/>
      </c>
      <c r="R292" s="55" t="str">
        <f aca="false">IF(ISBLANK($C292),"",IF(ISBLANK(I292),Constants!$B$3,I292))</f>
        <v/>
      </c>
      <c r="S292" s="55" t="str">
        <f aca="false">IF(ISBLANK($C292),"",IF(ISBLANK(J292),0,MIN(J292,Constants!$B$6)))</f>
        <v/>
      </c>
      <c r="T292" s="55" t="str">
        <f aca="false">IF(ISBLANK($C292),"",IF(K292=Constants!$B$9, TRUE(), IF(K292=Constants!$B$10, FALSE(),  FALSE())))</f>
        <v/>
      </c>
      <c r="U292" s="55" t="str">
        <f aca="false">IF(ISBLANK($C292),"",AND(R292=Constants!$B$4, S292&lt;Constants!$B$6))</f>
        <v/>
      </c>
      <c r="V292" s="55" t="str">
        <f aca="false">IF(ISBLANK(C292), "", IF(T292, Constants!$B$11, IF(COUNTA(E292:K292)=0, Constants!$B$12, IF(NOT(AND(P292,S292&lt;&gt;0)), Constants!$B$13, IF(O292, Constants!$B$15, Constants!$B$14)))))</f>
        <v/>
      </c>
      <c r="W292" s="55" t="str">
        <f aca="false">IF(OR(ISBLANK($C292), SUMPRODUCT(--(P292:T292&lt;&gt;""))=0), "", IF(V292&lt;&gt;Constants!$B$14, V292, IF(AND(NOT(ISBLANK(J292)),P292,Q292,R292&lt;&gt;Constants!$B$2), Constants!$B$7, IF(AND(P292,OR(NOT(Q292),R292=Constants!$B$2)), Constants!$B$8, "Error"))))</f>
        <v/>
      </c>
      <c r="X292" s="56" t="str">
        <f aca="false">IF(OR(W292=Constants!$B$7,W292=Constants!$B$8), MAX(0, MIN(Constants!$B$6, S292))+IF(AND(R292=Constants!$B$4, NOT(U292)), Constants!$B$5, 0), "")</f>
        <v/>
      </c>
      <c r="Y292" s="55" t="str">
        <f aca="false">IF(ISBLANK($C292),"",IF(AND(ISNUMBER(X292),N292&gt;0),X292/N292, "") )</f>
        <v/>
      </c>
      <c r="Z292" s="55" t="str">
        <f aca="false">IF(AND(NOT(ISBLANK($C292)), W292=Constants!$B$7), Y292, "")</f>
        <v/>
      </c>
      <c r="AA292" s="55" t="str">
        <f aca="false">IF(ISNUMBER(Z292), RANK(Z292,Z$8:Z$507), "")</f>
        <v/>
      </c>
      <c r="AB292" s="55" t="str">
        <f aca="false">IF(AND(NOT(ISBLANK($C292)), W292=Constants!$B$8), Y292, "")</f>
        <v/>
      </c>
      <c r="AC292" s="55" t="str">
        <f aca="false">IF(ISNUMBER(AB292), RANK(AB292,AB$8:AB$507), "")</f>
        <v/>
      </c>
      <c r="AD292" s="55" t="str">
        <f aca="false">IF(ISBLANK($C292),"",IF(V292&lt;&gt;Constants!$B$14, V292, IF(W292=Constants!$B$7, AA292, IF(W292=Constants!$B$8, COUNT($AA$8:$AA$507) + AC292, ""))))</f>
        <v/>
      </c>
      <c r="AE292" s="55" t="str">
        <f aca="false">N292</f>
        <v/>
      </c>
      <c r="AF292" s="55" t="str">
        <f aca="false">IF(ISNUMBER(AE292), RANK(AE292,AE$8:AE$507,1), "")</f>
        <v/>
      </c>
      <c r="AG292" s="57" t="str">
        <f aca="false">IF(ISBLANK(C292), "", ABS(M292-S292))</f>
        <v/>
      </c>
      <c r="AH292" s="55" t="str">
        <f aca="false">IF(ISNUMBER(AG292), RANK(AG292,AG$8:AG$507,1), "")</f>
        <v/>
      </c>
      <c r="AI292" s="55" t="str">
        <f aca="false">IF(ISBLANK(C292),"",IF(V292&lt;&gt;Constants!$B$14, V292, RANK(AD292, AD$8:AD$507, 1)+ SUMPRODUCT(--(AD$8:AD$507=AD292),--(AF292&gt;AF$8:AF$507)) + SUMPRODUCT(--(AD$8:AD$507=AD292),--(AF292=AF$8:AF$507),--(AH292&gt;AH$8:AH$507))))</f>
        <v/>
      </c>
      <c r="AJ292" s="55" t="str">
        <f aca="false">IF(ISBLANK(C292),"",IF(V292&lt;&gt;Constants!$B$14, V292, AD292-AI292))</f>
        <v/>
      </c>
      <c r="AK292" s="59"/>
      <c r="AL292" s="60" t="str">
        <f aca="false">IF(ISBLANK($C292),"",IF($V292&lt;&gt;Constants!$B$14,$V292,X292))</f>
        <v/>
      </c>
      <c r="AM292" s="60" t="str">
        <f aca="false">IF(ISBLANK($C292),"",IF($V292&lt;&gt;Constants!$B$14,$V292,N292))</f>
        <v/>
      </c>
      <c r="AN292" s="62" t="str">
        <f aca="false">IF(ISBLANK(C292),"",IF(V292&lt;&gt;Constants!$B$14, V292, IF(W292=Constants!$B$7,Z292,IF(W292=Constants!$B$8,AB292,""))))</f>
        <v/>
      </c>
      <c r="AO292" s="63" t="str">
        <f aca="false">IF(ISBLANK(C292),"",W292)</f>
        <v/>
      </c>
      <c r="AP292" s="63" t="str">
        <f aca="false">IF(ISBLANK(C292),"",AJ292)</f>
        <v/>
      </c>
      <c r="AQ292" s="63" t="str">
        <f aca="false">IF(ISBLANK(C292),"",AI292)</f>
        <v/>
      </c>
      <c r="AR292" s="64" t="str">
        <f aca="false">IF(ISBLANK(C292),
  "",
IF(AQ292=Constants!$B$11,COUNTA($C$8:$C$507)+2,IF(AQ292=Constants!$B$12,COUNTA($C$8:$C$507)+1,IF(AQ292=Constants!$B$13,COUNTA($C$8:$C$507),AQ292))))</f>
        <v/>
      </c>
      <c r="AS292" s="3"/>
      <c r="AT292" s="65" t="n">
        <f aca="false">IF(OR(ISNUMBER(AQ292),AQ292="DQ",AQ292="P",AQ292="NS"),
    1,
    0
)</f>
        <v>0</v>
      </c>
      <c r="AU292" s="65" t="n">
        <v>285</v>
      </c>
      <c r="AV292" s="65" t="str">
        <f aca="false">IF(ISBLANK($C292),
    "",
   IF(ISNUMBER(AR292),AR292+ROW($B292)/1000,"")
)</f>
        <v/>
      </c>
      <c r="AW292" s="65" t="str">
        <f aca="false">IF(ISNUMBER(AV292), RANK(AV292,AV$8:AV$507,1), "")</f>
        <v/>
      </c>
      <c r="AX292" s="65" t="str">
        <f aca="false">IF(ISBLANK($C292),
    "",
    $B292
)</f>
        <v/>
      </c>
      <c r="AY292" s="65" t="str">
        <f aca="false">IF(ISBLANK($C292),
    "",
    $C292
)</f>
        <v/>
      </c>
      <c r="AZ292" s="65" t="str">
        <f aca="false">IF(ISBLANK($C292),
    "",
    $D292
)</f>
        <v/>
      </c>
      <c r="BA292" s="65" t="str">
        <f aca="false">AO292</f>
        <v/>
      </c>
      <c r="BB292" s="66" t="str">
        <f aca="false">AN292</f>
        <v/>
      </c>
      <c r="BC292" s="65" t="str">
        <f aca="false">IF(ISBLANK($C292),
    "",
    AQ292
)</f>
        <v/>
      </c>
      <c r="BD292" s="67" t="str">
        <f aca="false">IF(AU292&gt;AT$7,
    "",
    VLOOKUP(AU292,AW$8:BC$507,7,FALSE())
)</f>
        <v/>
      </c>
      <c r="BE292" s="68" t="str">
        <f aca="false">IF(AU292&gt;AT$7,
    "",
    VLOOKUP(AU292,AW$8:BC$507,2,FALSE())
)</f>
        <v/>
      </c>
      <c r="BF292" s="68" t="str">
        <f aca="false">IF(AU292&gt;AT$7,
    "",
    VLOOKUP(AU292,AW$8:BC$507,3,FALSE())
)</f>
        <v/>
      </c>
      <c r="BG292" s="68" t="str">
        <f aca="false">IF(AU292&gt;AT$7,
    "",
    VLOOKUP(AU292,AW$8:BC$507,4,FALSE())
)</f>
        <v/>
      </c>
      <c r="BH292" s="68" t="str">
        <f aca="false">IF(AU292&gt;AT$7,
    "",
    VLOOKUP(AU292,AW$8:BC$507,5,FALSE())
)</f>
        <v/>
      </c>
      <c r="BI292" s="69" t="str">
        <f aca="false">IF(AU292&gt;AT$7,
    "",
    VLOOKUP(AU292,AW$8:BC$507,6,FALSE())
)</f>
        <v/>
      </c>
      <c r="BJ292" s="46"/>
    </row>
    <row r="293" customFormat="false" ht="15.75" hidden="false" customHeight="false" outlineLevel="0" collapsed="false">
      <c r="A293" s="3"/>
      <c r="B293" s="105"/>
      <c r="C293" s="106"/>
      <c r="D293" s="99"/>
      <c r="E293" s="110"/>
      <c r="F293" s="107"/>
      <c r="G293" s="110"/>
      <c r="H293" s="103"/>
      <c r="I293" s="102"/>
      <c r="J293" s="103"/>
      <c r="K293" s="103"/>
      <c r="L293" s="85"/>
      <c r="M293" s="85" t="str">
        <f aca="false">IF(ISBLANK($C293),"",IF(ISBLANK(E293),0,E293))</f>
        <v/>
      </c>
      <c r="N293" s="85" t="str">
        <f aca="false">IF(ISBLANK($C293),"",IF(ISBLANK(F293),0,F293))</f>
        <v/>
      </c>
      <c r="O293" s="86" t="e">
        <f aca="false">IF(AND(NOT(ISBLANK($C293)),NOT($T293),COUNTA($E293:$K293)&gt;0),ISBLANK($F293),FALSE())</f>
        <v>#VALUE!</v>
      </c>
      <c r="P293" s="85" t="str">
        <f aca="false">IF(ISBLANK($C293),"",IF(G293=Constants!$B$9, TRUE(), IF(G293=Constants!$B$10, FALSE(), TRUE())))</f>
        <v/>
      </c>
      <c r="Q293" s="85" t="str">
        <f aca="false">IF(ISBLANK($C293),"",IF(H293=Constants!$B$9, TRUE(), IF(H293=Constants!$B$10, FALSE(), TRUE())))</f>
        <v/>
      </c>
      <c r="R293" s="85" t="str">
        <f aca="false">IF(ISBLANK($C293),"",IF(ISBLANK(I293),Constants!$B$3,I293))</f>
        <v/>
      </c>
      <c r="S293" s="85" t="str">
        <f aca="false">IF(ISBLANK($C293),"",IF(ISBLANK(J293),0,MIN(J293,Constants!$B$6)))</f>
        <v/>
      </c>
      <c r="T293" s="85" t="str">
        <f aca="false">IF(ISBLANK($C293),"",IF(K293=Constants!$B$9, TRUE(), IF(K293=Constants!$B$10, FALSE(),  FALSE())))</f>
        <v/>
      </c>
      <c r="U293" s="85" t="str">
        <f aca="false">IF(ISBLANK($C293),"",AND(R293=Constants!$B$4, S293&lt;Constants!$B$6))</f>
        <v/>
      </c>
      <c r="V293" s="85" t="str">
        <f aca="false">IF(ISBLANK(C293), "", IF(T293, Constants!$B$11, IF(COUNTA(E293:K293)=0, Constants!$B$12, IF(NOT(AND(P293,S293&lt;&gt;0)), Constants!$B$13, IF(O293, Constants!$B$15, Constants!$B$14)))))</f>
        <v/>
      </c>
      <c r="W293" s="85" t="str">
        <f aca="false">IF(OR(ISBLANK($C293), SUMPRODUCT(--(P293:T293&lt;&gt;""))=0), "", IF(V293&lt;&gt;Constants!$B$14, V293, IF(AND(NOT(ISBLANK(J293)),P293,Q293,R293&lt;&gt;Constants!$B$2), Constants!$B$7, IF(AND(P293,OR(NOT(Q293),R293=Constants!$B$2)), Constants!$B$8, "Error"))))</f>
        <v/>
      </c>
      <c r="X293" s="87" t="str">
        <f aca="false">IF(OR(W293=Constants!$B$7,W293=Constants!$B$8), MAX(0, MIN(Constants!$B$6, S293))+IF(AND(R293=Constants!$B$4, NOT(U293)), Constants!$B$5, 0), "")</f>
        <v/>
      </c>
      <c r="Y293" s="85" t="str">
        <f aca="false">IF(ISBLANK($C293),"",IF(AND(ISNUMBER(X293),N293&gt;0),X293/N293, "") )</f>
        <v/>
      </c>
      <c r="Z293" s="85" t="str">
        <f aca="false">IF(AND(NOT(ISBLANK($C293)), W293=Constants!$B$7), Y293, "")</f>
        <v/>
      </c>
      <c r="AA293" s="85" t="str">
        <f aca="false">IF(ISNUMBER(Z293), RANK(Z293,Z$8:Z$507), "")</f>
        <v/>
      </c>
      <c r="AB293" s="85" t="str">
        <f aca="false">IF(AND(NOT(ISBLANK($C293)), W293=Constants!$B$8), Y293, "")</f>
        <v/>
      </c>
      <c r="AC293" s="85" t="str">
        <f aca="false">IF(ISNUMBER(AB293), RANK(AB293,AB$8:AB$507), "")</f>
        <v/>
      </c>
      <c r="AD293" s="85" t="str">
        <f aca="false">IF(ISBLANK($C293),"",IF(V293&lt;&gt;Constants!$B$14, V293, IF(W293=Constants!$B$7, AA293, IF(W293=Constants!$B$8, COUNT($AA$8:$AA$507) + AC293, ""))))</f>
        <v/>
      </c>
      <c r="AE293" s="85" t="str">
        <f aca="false">N293</f>
        <v/>
      </c>
      <c r="AF293" s="85" t="str">
        <f aca="false">IF(ISNUMBER(AE293), RANK(AE293,AE$8:AE$507,1), "")</f>
        <v/>
      </c>
      <c r="AG293" s="88" t="str">
        <f aca="false">IF(ISBLANK(C293), "", ABS(M293-S293))</f>
        <v/>
      </c>
      <c r="AH293" s="85" t="str">
        <f aca="false">IF(ISNUMBER(AG293), RANK(AG293,AG$8:AG$507,1), "")</f>
        <v/>
      </c>
      <c r="AI293" s="85" t="str">
        <f aca="false">IF(ISBLANK(C293),"",IF(V293&lt;&gt;Constants!$B$14, V293, RANK(AD293, AD$8:AD$507, 1)+ SUMPRODUCT(--(AD$8:AD$507=AD293),--(AF293&gt;AF$8:AF$507)) + SUMPRODUCT(--(AD$8:AD$507=AD293),--(AF293=AF$8:AF$507),--(AH293&gt;AH$8:AH$507))))</f>
        <v/>
      </c>
      <c r="AJ293" s="85" t="str">
        <f aca="false">IF(ISBLANK(C293),"",IF(V293&lt;&gt;Constants!$B$14, V293, AD293-AI293))</f>
        <v/>
      </c>
      <c r="AK293" s="89"/>
      <c r="AL293" s="90" t="str">
        <f aca="false">IF(ISBLANK($C293),"",IF($V293&lt;&gt;Constants!$B$14,$V293,X293))</f>
        <v/>
      </c>
      <c r="AM293" s="90" t="str">
        <f aca="false">IF(ISBLANK($C293),"",IF($V293&lt;&gt;Constants!$B$14,$V293,N293))</f>
        <v/>
      </c>
      <c r="AN293" s="91" t="str">
        <f aca="false">IF(ISBLANK(C293),"",IF(V293&lt;&gt;Constants!$B$14, V293, IF(W293=Constants!$B$7,Z293,IF(W293=Constants!$B$8,AB293,""))))</f>
        <v/>
      </c>
      <c r="AO293" s="92" t="str">
        <f aca="false">IF(ISBLANK(C293),"",W293)</f>
        <v/>
      </c>
      <c r="AP293" s="92" t="str">
        <f aca="false">IF(ISBLANK(C293),"",AJ293)</f>
        <v/>
      </c>
      <c r="AQ293" s="92" t="str">
        <f aca="false">IF(ISBLANK(C293),"",AI293)</f>
        <v/>
      </c>
      <c r="AR293" s="93" t="str">
        <f aca="false">IF(ISBLANK(C293),
  "",
IF(AQ293=Constants!$B$11,COUNTA($C$8:$C$507)+2,IF(AQ293=Constants!$B$12,COUNTA($C$8:$C$507)+1,IF(AQ293=Constants!$B$13,COUNTA($C$8:$C$507),AQ293))))</f>
        <v/>
      </c>
      <c r="AS293" s="3"/>
      <c r="AT293" s="94" t="n">
        <f aca="false">IF(OR(ISNUMBER(AQ293),AQ293="DQ",AQ293="P",AQ293="NS"),
    1,
    0
)</f>
        <v>0</v>
      </c>
      <c r="AU293" s="94" t="n">
        <v>286</v>
      </c>
      <c r="AV293" s="94" t="str">
        <f aca="false">IF(ISBLANK($C293),
    "",
   IF(ISNUMBER(AR293),AR293+ROW($B293)/1000,"")
)</f>
        <v/>
      </c>
      <c r="AW293" s="94" t="str">
        <f aca="false">IF(ISNUMBER(AV293), RANK(AV293,AV$8:AV$507,1), "")</f>
        <v/>
      </c>
      <c r="AX293" s="94" t="str">
        <f aca="false">IF(ISBLANK($C293),
    "",
    $B293
)</f>
        <v/>
      </c>
      <c r="AY293" s="94" t="str">
        <f aca="false">IF(ISBLANK($C293),
    "",
    $C293
)</f>
        <v/>
      </c>
      <c r="AZ293" s="94" t="str">
        <f aca="false">IF(ISBLANK($C293),
    "",
    $D293
)</f>
        <v/>
      </c>
      <c r="BA293" s="94" t="str">
        <f aca="false">AO293</f>
        <v/>
      </c>
      <c r="BB293" s="95" t="str">
        <f aca="false">AN293</f>
        <v/>
      </c>
      <c r="BC293" s="94" t="str">
        <f aca="false">IF(ISBLANK($C293),
    "",
    AQ293
)</f>
        <v/>
      </c>
      <c r="BD293" s="96" t="str">
        <f aca="false">IF(AU293&gt;AT$7,
    "",
    VLOOKUP(AU293,AW$8:BC$507,7,FALSE())
)</f>
        <v/>
      </c>
      <c r="BE293" s="97" t="str">
        <f aca="false">IF(AU293&gt;AT$7,
    "",
    VLOOKUP(AU293,AW$8:BC$507,2,FALSE())
)</f>
        <v/>
      </c>
      <c r="BF293" s="97" t="str">
        <f aca="false">IF(AU293&gt;AT$7,
    "",
    VLOOKUP(AU293,AW$8:BC$507,3,FALSE())
)</f>
        <v/>
      </c>
      <c r="BG293" s="97" t="str">
        <f aca="false">IF(AU293&gt;AT$7,
    "",
    VLOOKUP(AU293,AW$8:BC$507,4,FALSE())
)</f>
        <v/>
      </c>
      <c r="BH293" s="97" t="str">
        <f aca="false">IF(AU293&gt;AT$7,
    "",
    VLOOKUP(AU293,AW$8:BC$507,5,FALSE())
)</f>
        <v/>
      </c>
      <c r="BI293" s="98" t="str">
        <f aca="false">IF(AU293&gt;AT$7,
    "",
    VLOOKUP(AU293,AW$8:BC$507,6,FALSE())
)</f>
        <v/>
      </c>
      <c r="BJ293" s="46"/>
    </row>
    <row r="294" customFormat="false" ht="15.75" hidden="false" customHeight="false" outlineLevel="0" collapsed="false">
      <c r="A294" s="3"/>
      <c r="B294" s="105"/>
      <c r="C294" s="106"/>
      <c r="D294" s="99"/>
      <c r="E294" s="110"/>
      <c r="F294" s="107"/>
      <c r="G294" s="110"/>
      <c r="H294" s="103"/>
      <c r="I294" s="102"/>
      <c r="J294" s="103"/>
      <c r="K294" s="103"/>
      <c r="L294" s="85"/>
      <c r="M294" s="85" t="str">
        <f aca="false">IF(ISBLANK($C294),"",IF(ISBLANK(E294),0,E294))</f>
        <v/>
      </c>
      <c r="N294" s="85" t="str">
        <f aca="false">IF(ISBLANK($C294),"",IF(ISBLANK(F294),0,F294))</f>
        <v/>
      </c>
      <c r="O294" s="86" t="e">
        <f aca="false">IF(AND(NOT(ISBLANK($C294)),NOT($T294),COUNTA($E294:$K294)&gt;0),ISBLANK($F294),FALSE())</f>
        <v>#VALUE!</v>
      </c>
      <c r="P294" s="85" t="str">
        <f aca="false">IF(ISBLANK($C294),"",IF(G294=Constants!$B$9, TRUE(), IF(G294=Constants!$B$10, FALSE(), TRUE())))</f>
        <v/>
      </c>
      <c r="Q294" s="85" t="str">
        <f aca="false">IF(ISBLANK($C294),"",IF(H294=Constants!$B$9, TRUE(), IF(H294=Constants!$B$10, FALSE(), TRUE())))</f>
        <v/>
      </c>
      <c r="R294" s="85" t="str">
        <f aca="false">IF(ISBLANK($C294),"",IF(ISBLANK(I294),Constants!$B$3,I294))</f>
        <v/>
      </c>
      <c r="S294" s="85" t="str">
        <f aca="false">IF(ISBLANK($C294),"",IF(ISBLANK(J294),0,MIN(J294,Constants!$B$6)))</f>
        <v/>
      </c>
      <c r="T294" s="85" t="str">
        <f aca="false">IF(ISBLANK($C294),"",IF(K294=Constants!$B$9, TRUE(), IF(K294=Constants!$B$10, FALSE(),  FALSE())))</f>
        <v/>
      </c>
      <c r="U294" s="85" t="str">
        <f aca="false">IF(ISBLANK($C294),"",AND(R294=Constants!$B$4, S294&lt;Constants!$B$6))</f>
        <v/>
      </c>
      <c r="V294" s="85" t="str">
        <f aca="false">IF(ISBLANK(C294), "", IF(T294, Constants!$B$11, IF(COUNTA(E294:K294)=0, Constants!$B$12, IF(NOT(AND(P294,S294&lt;&gt;0)), Constants!$B$13, IF(O294, Constants!$B$15, Constants!$B$14)))))</f>
        <v/>
      </c>
      <c r="W294" s="85" t="str">
        <f aca="false">IF(OR(ISBLANK($C294), SUMPRODUCT(--(P294:T294&lt;&gt;""))=0), "", IF(V294&lt;&gt;Constants!$B$14, V294, IF(AND(NOT(ISBLANK(J294)),P294,Q294,R294&lt;&gt;Constants!$B$2), Constants!$B$7, IF(AND(P294,OR(NOT(Q294),R294=Constants!$B$2)), Constants!$B$8, "Error"))))</f>
        <v/>
      </c>
      <c r="X294" s="87" t="str">
        <f aca="false">IF(OR(W294=Constants!$B$7,W294=Constants!$B$8), MAX(0, MIN(Constants!$B$6, S294))+IF(AND(R294=Constants!$B$4, NOT(U294)), Constants!$B$5, 0), "")</f>
        <v/>
      </c>
      <c r="Y294" s="85" t="str">
        <f aca="false">IF(ISBLANK($C294),"",IF(AND(ISNUMBER(X294),N294&gt;0),X294/N294, "") )</f>
        <v/>
      </c>
      <c r="Z294" s="85" t="str">
        <f aca="false">IF(AND(NOT(ISBLANK($C294)), W294=Constants!$B$7), Y294, "")</f>
        <v/>
      </c>
      <c r="AA294" s="85" t="str">
        <f aca="false">IF(ISNUMBER(Z294), RANK(Z294,Z$8:Z$507), "")</f>
        <v/>
      </c>
      <c r="AB294" s="85" t="str">
        <f aca="false">IF(AND(NOT(ISBLANK($C294)), W294=Constants!$B$8), Y294, "")</f>
        <v/>
      </c>
      <c r="AC294" s="85" t="str">
        <f aca="false">IF(ISNUMBER(AB294), RANK(AB294,AB$8:AB$507), "")</f>
        <v/>
      </c>
      <c r="AD294" s="85" t="str">
        <f aca="false">IF(ISBLANK($C294),"",IF(V294&lt;&gt;Constants!$B$14, V294, IF(W294=Constants!$B$7, AA294, IF(W294=Constants!$B$8, COUNT($AA$8:$AA$507) + AC294, ""))))</f>
        <v/>
      </c>
      <c r="AE294" s="85" t="str">
        <f aca="false">N294</f>
        <v/>
      </c>
      <c r="AF294" s="85" t="str">
        <f aca="false">IF(ISNUMBER(AE294), RANK(AE294,AE$8:AE$507,1), "")</f>
        <v/>
      </c>
      <c r="AG294" s="88" t="str">
        <f aca="false">IF(ISBLANK(C294), "", ABS(M294-S294))</f>
        <v/>
      </c>
      <c r="AH294" s="85" t="str">
        <f aca="false">IF(ISNUMBER(AG294), RANK(AG294,AG$8:AG$507,1), "")</f>
        <v/>
      </c>
      <c r="AI294" s="85" t="str">
        <f aca="false">IF(ISBLANK(C294),"",IF(V294&lt;&gt;Constants!$B$14, V294, RANK(AD294, AD$8:AD$507, 1)+ SUMPRODUCT(--(AD$8:AD$507=AD294),--(AF294&gt;AF$8:AF$507)) + SUMPRODUCT(--(AD$8:AD$507=AD294),--(AF294=AF$8:AF$507),--(AH294&gt;AH$8:AH$507))))</f>
        <v/>
      </c>
      <c r="AJ294" s="85" t="str">
        <f aca="false">IF(ISBLANK(C294),"",IF(V294&lt;&gt;Constants!$B$14, V294, AD294-AI294))</f>
        <v/>
      </c>
      <c r="AK294" s="89"/>
      <c r="AL294" s="90" t="str">
        <f aca="false">IF(ISBLANK($C294),"",IF($V294&lt;&gt;Constants!$B$14,$V294,X294))</f>
        <v/>
      </c>
      <c r="AM294" s="90" t="str">
        <f aca="false">IF(ISBLANK($C294),"",IF($V294&lt;&gt;Constants!$B$14,$V294,N294))</f>
        <v/>
      </c>
      <c r="AN294" s="91" t="str">
        <f aca="false">IF(ISBLANK(C294),"",IF(V294&lt;&gt;Constants!$B$14, V294, IF(W294=Constants!$B$7,Z294,IF(W294=Constants!$B$8,AB294,""))))</f>
        <v/>
      </c>
      <c r="AO294" s="92" t="str">
        <f aca="false">IF(ISBLANK(C294),"",W294)</f>
        <v/>
      </c>
      <c r="AP294" s="92" t="str">
        <f aca="false">IF(ISBLANK(C294),"",AJ294)</f>
        <v/>
      </c>
      <c r="AQ294" s="92" t="str">
        <f aca="false">IF(ISBLANK(C294),"",AI294)</f>
        <v/>
      </c>
      <c r="AR294" s="93" t="str">
        <f aca="false">IF(ISBLANK(C294),
  "",
IF(AQ294=Constants!$B$11,COUNTA($C$8:$C$507)+2,IF(AQ294=Constants!$B$12,COUNTA($C$8:$C$507)+1,IF(AQ294=Constants!$B$13,COUNTA($C$8:$C$507),AQ294))))</f>
        <v/>
      </c>
      <c r="AS294" s="3"/>
      <c r="AT294" s="94" t="n">
        <f aca="false">IF(OR(ISNUMBER(AQ294),AQ294="DQ",AQ294="P",AQ294="NS"),
    1,
    0
)</f>
        <v>0</v>
      </c>
      <c r="AU294" s="94" t="n">
        <v>287</v>
      </c>
      <c r="AV294" s="94" t="str">
        <f aca="false">IF(ISBLANK($C294),
    "",
   IF(ISNUMBER(AR294),AR294+ROW($B294)/1000,"")
)</f>
        <v/>
      </c>
      <c r="AW294" s="94" t="str">
        <f aca="false">IF(ISNUMBER(AV294), RANK(AV294,AV$8:AV$507,1), "")</f>
        <v/>
      </c>
      <c r="AX294" s="94" t="str">
        <f aca="false">IF(ISBLANK($C294),
    "",
    $B294
)</f>
        <v/>
      </c>
      <c r="AY294" s="94" t="str">
        <f aca="false">IF(ISBLANK($C294),
    "",
    $C294
)</f>
        <v/>
      </c>
      <c r="AZ294" s="94" t="str">
        <f aca="false">IF(ISBLANK($C294),
    "",
    $D294
)</f>
        <v/>
      </c>
      <c r="BA294" s="94" t="str">
        <f aca="false">AO294</f>
        <v/>
      </c>
      <c r="BB294" s="95" t="str">
        <f aca="false">AN294</f>
        <v/>
      </c>
      <c r="BC294" s="94" t="str">
        <f aca="false">IF(ISBLANK($C294),
    "",
    AQ294
)</f>
        <v/>
      </c>
      <c r="BD294" s="96" t="str">
        <f aca="false">IF(AU294&gt;AT$7,
    "",
    VLOOKUP(AU294,AW$8:BC$507,7,FALSE())
)</f>
        <v/>
      </c>
      <c r="BE294" s="97" t="str">
        <f aca="false">IF(AU294&gt;AT$7,
    "",
    VLOOKUP(AU294,AW$8:BC$507,2,FALSE())
)</f>
        <v/>
      </c>
      <c r="BF294" s="97" t="str">
        <f aca="false">IF(AU294&gt;AT$7,
    "",
    VLOOKUP(AU294,AW$8:BC$507,3,FALSE())
)</f>
        <v/>
      </c>
      <c r="BG294" s="97" t="str">
        <f aca="false">IF(AU294&gt;AT$7,
    "",
    VLOOKUP(AU294,AW$8:BC$507,4,FALSE())
)</f>
        <v/>
      </c>
      <c r="BH294" s="97" t="str">
        <f aca="false">IF(AU294&gt;AT$7,
    "",
    VLOOKUP(AU294,AW$8:BC$507,5,FALSE())
)</f>
        <v/>
      </c>
      <c r="BI294" s="98" t="str">
        <f aca="false">IF(AU294&gt;AT$7,
    "",
    VLOOKUP(AU294,AW$8:BC$507,6,FALSE())
)</f>
        <v/>
      </c>
      <c r="BJ294" s="46"/>
    </row>
    <row r="295" customFormat="false" ht="15.75" hidden="false" customHeight="false" outlineLevel="0" collapsed="false">
      <c r="A295" s="3"/>
      <c r="B295" s="105"/>
      <c r="C295" s="106"/>
      <c r="D295" s="99"/>
      <c r="E295" s="110"/>
      <c r="F295" s="107"/>
      <c r="G295" s="110"/>
      <c r="H295" s="103"/>
      <c r="I295" s="102"/>
      <c r="J295" s="103"/>
      <c r="K295" s="103"/>
      <c r="L295" s="85"/>
      <c r="M295" s="85" t="str">
        <f aca="false">IF(ISBLANK($C295),"",IF(ISBLANK(E295),0,E295))</f>
        <v/>
      </c>
      <c r="N295" s="85" t="str">
        <f aca="false">IF(ISBLANK($C295),"",IF(ISBLANK(F295),0,F295))</f>
        <v/>
      </c>
      <c r="O295" s="86" t="e">
        <f aca="false">IF(AND(NOT(ISBLANK($C295)),NOT($T295),COUNTA($E295:$K295)&gt;0),ISBLANK($F295),FALSE())</f>
        <v>#VALUE!</v>
      </c>
      <c r="P295" s="85" t="str">
        <f aca="false">IF(ISBLANK($C295),"",IF(G295=Constants!$B$9, TRUE(), IF(G295=Constants!$B$10, FALSE(), TRUE())))</f>
        <v/>
      </c>
      <c r="Q295" s="85" t="str">
        <f aca="false">IF(ISBLANK($C295),"",IF(H295=Constants!$B$9, TRUE(), IF(H295=Constants!$B$10, FALSE(), TRUE())))</f>
        <v/>
      </c>
      <c r="R295" s="85" t="str">
        <f aca="false">IF(ISBLANK($C295),"",IF(ISBLANK(I295),Constants!$B$3,I295))</f>
        <v/>
      </c>
      <c r="S295" s="85" t="str">
        <f aca="false">IF(ISBLANK($C295),"",IF(ISBLANK(J295),0,MIN(J295,Constants!$B$6)))</f>
        <v/>
      </c>
      <c r="T295" s="85" t="str">
        <f aca="false">IF(ISBLANK($C295),"",IF(K295=Constants!$B$9, TRUE(), IF(K295=Constants!$B$10, FALSE(),  FALSE())))</f>
        <v/>
      </c>
      <c r="U295" s="85" t="str">
        <f aca="false">IF(ISBLANK($C295),"",AND(R295=Constants!$B$4, S295&lt;Constants!$B$6))</f>
        <v/>
      </c>
      <c r="V295" s="85" t="str">
        <f aca="false">IF(ISBLANK(C295), "", IF(T295, Constants!$B$11, IF(COUNTA(E295:K295)=0, Constants!$B$12, IF(NOT(AND(P295,S295&lt;&gt;0)), Constants!$B$13, IF(O295, Constants!$B$15, Constants!$B$14)))))</f>
        <v/>
      </c>
      <c r="W295" s="85" t="str">
        <f aca="false">IF(OR(ISBLANK($C295), SUMPRODUCT(--(P295:T295&lt;&gt;""))=0), "", IF(V295&lt;&gt;Constants!$B$14, V295, IF(AND(NOT(ISBLANK(J295)),P295,Q295,R295&lt;&gt;Constants!$B$2), Constants!$B$7, IF(AND(P295,OR(NOT(Q295),R295=Constants!$B$2)), Constants!$B$8, "Error"))))</f>
        <v/>
      </c>
      <c r="X295" s="87" t="str">
        <f aca="false">IF(OR(W295=Constants!$B$7,W295=Constants!$B$8), MAX(0, MIN(Constants!$B$6, S295))+IF(AND(R295=Constants!$B$4, NOT(U295)), Constants!$B$5, 0), "")</f>
        <v/>
      </c>
      <c r="Y295" s="85" t="str">
        <f aca="false">IF(ISBLANK($C295),"",IF(AND(ISNUMBER(X295),N295&gt;0),X295/N295, "") )</f>
        <v/>
      </c>
      <c r="Z295" s="85" t="str">
        <f aca="false">IF(AND(NOT(ISBLANK($C295)), W295=Constants!$B$7), Y295, "")</f>
        <v/>
      </c>
      <c r="AA295" s="85" t="str">
        <f aca="false">IF(ISNUMBER(Z295), RANK(Z295,Z$8:Z$507), "")</f>
        <v/>
      </c>
      <c r="AB295" s="85" t="str">
        <f aca="false">IF(AND(NOT(ISBLANK($C295)), W295=Constants!$B$8), Y295, "")</f>
        <v/>
      </c>
      <c r="AC295" s="85" t="str">
        <f aca="false">IF(ISNUMBER(AB295), RANK(AB295,AB$8:AB$507), "")</f>
        <v/>
      </c>
      <c r="AD295" s="85" t="str">
        <f aca="false">IF(ISBLANK($C295),"",IF(V295&lt;&gt;Constants!$B$14, V295, IF(W295=Constants!$B$7, AA295, IF(W295=Constants!$B$8, COUNT($AA$8:$AA$507) + AC295, ""))))</f>
        <v/>
      </c>
      <c r="AE295" s="85" t="str">
        <f aca="false">N295</f>
        <v/>
      </c>
      <c r="AF295" s="85" t="str">
        <f aca="false">IF(ISNUMBER(AE295), RANK(AE295,AE$8:AE$507,1), "")</f>
        <v/>
      </c>
      <c r="AG295" s="88" t="str">
        <f aca="false">IF(ISBLANK(C295), "", ABS(M295-S295))</f>
        <v/>
      </c>
      <c r="AH295" s="85" t="str">
        <f aca="false">IF(ISNUMBER(AG295), RANK(AG295,AG$8:AG$507,1), "")</f>
        <v/>
      </c>
      <c r="AI295" s="85" t="str">
        <f aca="false">IF(ISBLANK(C295),"",IF(V295&lt;&gt;Constants!$B$14, V295, RANK(AD295, AD$8:AD$507, 1)+ SUMPRODUCT(--(AD$8:AD$507=AD295),--(AF295&gt;AF$8:AF$507)) + SUMPRODUCT(--(AD$8:AD$507=AD295),--(AF295=AF$8:AF$507),--(AH295&gt;AH$8:AH$507))))</f>
        <v/>
      </c>
      <c r="AJ295" s="85" t="str">
        <f aca="false">IF(ISBLANK(C295),"",IF(V295&lt;&gt;Constants!$B$14, V295, AD295-AI295))</f>
        <v/>
      </c>
      <c r="AK295" s="89"/>
      <c r="AL295" s="90" t="str">
        <f aca="false">IF(ISBLANK($C295),"",IF($V295&lt;&gt;Constants!$B$14,$V295,X295))</f>
        <v/>
      </c>
      <c r="AM295" s="90" t="str">
        <f aca="false">IF(ISBLANK($C295),"",IF($V295&lt;&gt;Constants!$B$14,$V295,N295))</f>
        <v/>
      </c>
      <c r="AN295" s="91" t="str">
        <f aca="false">IF(ISBLANK(C295),"",IF(V295&lt;&gt;Constants!$B$14, V295, IF(W295=Constants!$B$7,Z295,IF(W295=Constants!$B$8,AB295,""))))</f>
        <v/>
      </c>
      <c r="AO295" s="92" t="str">
        <f aca="false">IF(ISBLANK(C295),"",W295)</f>
        <v/>
      </c>
      <c r="AP295" s="92" t="str">
        <f aca="false">IF(ISBLANK(C295),"",AJ295)</f>
        <v/>
      </c>
      <c r="AQ295" s="92" t="str">
        <f aca="false">IF(ISBLANK(C295),"",AI295)</f>
        <v/>
      </c>
      <c r="AR295" s="93" t="str">
        <f aca="false">IF(ISBLANK(C295),
  "",
IF(AQ295=Constants!$B$11,COUNTA($C$8:$C$507)+2,IF(AQ295=Constants!$B$12,COUNTA($C$8:$C$507)+1,IF(AQ295=Constants!$B$13,COUNTA($C$8:$C$507),AQ295))))</f>
        <v/>
      </c>
      <c r="AS295" s="3"/>
      <c r="AT295" s="94" t="n">
        <f aca="false">IF(OR(ISNUMBER(AQ295),AQ295="DQ",AQ295="P",AQ295="NS"),
    1,
    0
)</f>
        <v>0</v>
      </c>
      <c r="AU295" s="94" t="n">
        <v>288</v>
      </c>
      <c r="AV295" s="94" t="str">
        <f aca="false">IF(ISBLANK($C295),
    "",
   IF(ISNUMBER(AR295),AR295+ROW($B295)/1000,"")
)</f>
        <v/>
      </c>
      <c r="AW295" s="94" t="str">
        <f aca="false">IF(ISNUMBER(AV295), RANK(AV295,AV$8:AV$507,1), "")</f>
        <v/>
      </c>
      <c r="AX295" s="94" t="str">
        <f aca="false">IF(ISBLANK($C295),
    "",
    $B295
)</f>
        <v/>
      </c>
      <c r="AY295" s="94" t="str">
        <f aca="false">IF(ISBLANK($C295),
    "",
    $C295
)</f>
        <v/>
      </c>
      <c r="AZ295" s="94" t="str">
        <f aca="false">IF(ISBLANK($C295),
    "",
    $D295
)</f>
        <v/>
      </c>
      <c r="BA295" s="94" t="str">
        <f aca="false">AO295</f>
        <v/>
      </c>
      <c r="BB295" s="95" t="str">
        <f aca="false">AN295</f>
        <v/>
      </c>
      <c r="BC295" s="94" t="str">
        <f aca="false">IF(ISBLANK($C295),
    "",
    AQ295
)</f>
        <v/>
      </c>
      <c r="BD295" s="96" t="str">
        <f aca="false">IF(AU295&gt;AT$7,
    "",
    VLOOKUP(AU295,AW$8:BC$507,7,FALSE())
)</f>
        <v/>
      </c>
      <c r="BE295" s="97" t="str">
        <f aca="false">IF(AU295&gt;AT$7,
    "",
    VLOOKUP(AU295,AW$8:BC$507,2,FALSE())
)</f>
        <v/>
      </c>
      <c r="BF295" s="97" t="str">
        <f aca="false">IF(AU295&gt;AT$7,
    "",
    VLOOKUP(AU295,AW$8:BC$507,3,FALSE())
)</f>
        <v/>
      </c>
      <c r="BG295" s="97" t="str">
        <f aca="false">IF(AU295&gt;AT$7,
    "",
    VLOOKUP(AU295,AW$8:BC$507,4,FALSE())
)</f>
        <v/>
      </c>
      <c r="BH295" s="97" t="str">
        <f aca="false">IF(AU295&gt;AT$7,
    "",
    VLOOKUP(AU295,AW$8:BC$507,5,FALSE())
)</f>
        <v/>
      </c>
      <c r="BI295" s="98" t="str">
        <f aca="false">IF(AU295&gt;AT$7,
    "",
    VLOOKUP(AU295,AW$8:BC$507,6,FALSE())
)</f>
        <v/>
      </c>
      <c r="BJ295" s="46"/>
    </row>
    <row r="296" customFormat="false" ht="15.75" hidden="false" customHeight="false" outlineLevel="0" collapsed="false">
      <c r="A296" s="3"/>
      <c r="B296" s="108"/>
      <c r="C296" s="70"/>
      <c r="D296" s="49"/>
      <c r="E296" s="109"/>
      <c r="F296" s="72"/>
      <c r="G296" s="109"/>
      <c r="H296" s="74"/>
      <c r="I296" s="104"/>
      <c r="J296" s="74"/>
      <c r="K296" s="74"/>
      <c r="L296" s="55"/>
      <c r="M296" s="55" t="str">
        <f aca="false">IF(ISBLANK($C296),"",IF(ISBLANK(E296),0,E296))</f>
        <v/>
      </c>
      <c r="N296" s="55" t="str">
        <f aca="false">IF(ISBLANK($C296),"",IF(ISBLANK(F296),0,F296))</f>
        <v/>
      </c>
      <c r="O296" s="55" t="e">
        <f aca="false">IF(AND(NOT(ISBLANK($C296)),NOT($T296),COUNTA($E296:$K296)&gt;0),ISBLANK($F296),FALSE())</f>
        <v>#VALUE!</v>
      </c>
      <c r="P296" s="55" t="str">
        <f aca="false">IF(ISBLANK($C296),"",IF(G296=Constants!$B$9, TRUE(), IF(G296=Constants!$B$10, FALSE(), TRUE())))</f>
        <v/>
      </c>
      <c r="Q296" s="55" t="str">
        <f aca="false">IF(ISBLANK($C296),"",IF(H296=Constants!$B$9, TRUE(), IF(H296=Constants!$B$10, FALSE(), TRUE())))</f>
        <v/>
      </c>
      <c r="R296" s="55" t="str">
        <f aca="false">IF(ISBLANK($C296),"",IF(ISBLANK(I296),Constants!$B$3,I296))</f>
        <v/>
      </c>
      <c r="S296" s="55" t="str">
        <f aca="false">IF(ISBLANK($C296),"",IF(ISBLANK(J296),0,MIN(J296,Constants!$B$6)))</f>
        <v/>
      </c>
      <c r="T296" s="55" t="str">
        <f aca="false">IF(ISBLANK($C296),"",IF(K296=Constants!$B$9, TRUE(), IF(K296=Constants!$B$10, FALSE(),  FALSE())))</f>
        <v/>
      </c>
      <c r="U296" s="55" t="str">
        <f aca="false">IF(ISBLANK($C296),"",AND(R296=Constants!$B$4, S296&lt;Constants!$B$6))</f>
        <v/>
      </c>
      <c r="V296" s="55" t="str">
        <f aca="false">IF(ISBLANK(C296), "", IF(T296, Constants!$B$11, IF(COUNTA(E296:K296)=0, Constants!$B$12, IF(NOT(AND(P296,S296&lt;&gt;0)), Constants!$B$13, IF(O296, Constants!$B$15, Constants!$B$14)))))</f>
        <v/>
      </c>
      <c r="W296" s="55" t="str">
        <f aca="false">IF(OR(ISBLANK($C296), SUMPRODUCT(--(P296:T296&lt;&gt;""))=0), "", IF(V296&lt;&gt;Constants!$B$14, V296, IF(AND(NOT(ISBLANK(J296)),P296,Q296,R296&lt;&gt;Constants!$B$2), Constants!$B$7, IF(AND(P296,OR(NOT(Q296),R296=Constants!$B$2)), Constants!$B$8, "Error"))))</f>
        <v/>
      </c>
      <c r="X296" s="56" t="str">
        <f aca="false">IF(OR(W296=Constants!$B$7,W296=Constants!$B$8), MAX(0, MIN(Constants!$B$6, S296))+IF(AND(R296=Constants!$B$4, NOT(U296)), Constants!$B$5, 0), "")</f>
        <v/>
      </c>
      <c r="Y296" s="55" t="str">
        <f aca="false">IF(ISBLANK($C296),"",IF(AND(ISNUMBER(X296),N296&gt;0),X296/N296, "") )</f>
        <v/>
      </c>
      <c r="Z296" s="55" t="str">
        <f aca="false">IF(AND(NOT(ISBLANK($C296)), W296=Constants!$B$7), Y296, "")</f>
        <v/>
      </c>
      <c r="AA296" s="55" t="str">
        <f aca="false">IF(ISNUMBER(Z296), RANK(Z296,Z$8:Z$507), "")</f>
        <v/>
      </c>
      <c r="AB296" s="55" t="str">
        <f aca="false">IF(AND(NOT(ISBLANK($C296)), W296=Constants!$B$8), Y296, "")</f>
        <v/>
      </c>
      <c r="AC296" s="55" t="str">
        <f aca="false">IF(ISNUMBER(AB296), RANK(AB296,AB$8:AB$507), "")</f>
        <v/>
      </c>
      <c r="AD296" s="55" t="str">
        <f aca="false">IF(ISBLANK($C296),"",IF(V296&lt;&gt;Constants!$B$14, V296, IF(W296=Constants!$B$7, AA296, IF(W296=Constants!$B$8, COUNT($AA$8:$AA$507) + AC296, ""))))</f>
        <v/>
      </c>
      <c r="AE296" s="55" t="str">
        <f aca="false">N296</f>
        <v/>
      </c>
      <c r="AF296" s="55" t="str">
        <f aca="false">IF(ISNUMBER(AE296), RANK(AE296,AE$8:AE$507,1), "")</f>
        <v/>
      </c>
      <c r="AG296" s="57" t="str">
        <f aca="false">IF(ISBLANK(C296), "", ABS(M296-S296))</f>
        <v/>
      </c>
      <c r="AH296" s="55" t="str">
        <f aca="false">IF(ISNUMBER(AG296), RANK(AG296,AG$8:AG$507,1), "")</f>
        <v/>
      </c>
      <c r="AI296" s="55" t="str">
        <f aca="false">IF(ISBLANK(C296),"",IF(V296&lt;&gt;Constants!$B$14, V296, RANK(AD296, AD$8:AD$507, 1)+ SUMPRODUCT(--(AD$8:AD$507=AD296),--(AF296&gt;AF$8:AF$507)) + SUMPRODUCT(--(AD$8:AD$507=AD296),--(AF296=AF$8:AF$507),--(AH296&gt;AH$8:AH$507))))</f>
        <v/>
      </c>
      <c r="AJ296" s="55" t="str">
        <f aca="false">IF(ISBLANK(C296),"",IF(V296&lt;&gt;Constants!$B$14, V296, AD296-AI296))</f>
        <v/>
      </c>
      <c r="AK296" s="59"/>
      <c r="AL296" s="60" t="str">
        <f aca="false">IF(ISBLANK($C296),"",IF($V296&lt;&gt;Constants!$B$14,$V296,X296))</f>
        <v/>
      </c>
      <c r="AM296" s="60" t="str">
        <f aca="false">IF(ISBLANK($C296),"",IF($V296&lt;&gt;Constants!$B$14,$V296,N296))</f>
        <v/>
      </c>
      <c r="AN296" s="62" t="str">
        <f aca="false">IF(ISBLANK(C296),"",IF(V296&lt;&gt;Constants!$B$14, V296, IF(W296=Constants!$B$7,Z296,IF(W296=Constants!$B$8,AB296,""))))</f>
        <v/>
      </c>
      <c r="AO296" s="63" t="str">
        <f aca="false">IF(ISBLANK(C296),"",W296)</f>
        <v/>
      </c>
      <c r="AP296" s="63" t="str">
        <f aca="false">IF(ISBLANK(C296),"",AJ296)</f>
        <v/>
      </c>
      <c r="AQ296" s="63" t="str">
        <f aca="false">IF(ISBLANK(C296),"",AI296)</f>
        <v/>
      </c>
      <c r="AR296" s="64" t="str">
        <f aca="false">IF(ISBLANK(C296),
  "",
IF(AQ296=Constants!$B$11,COUNTA($C$8:$C$507)+2,IF(AQ296=Constants!$B$12,COUNTA($C$8:$C$507)+1,IF(AQ296=Constants!$B$13,COUNTA($C$8:$C$507),AQ296))))</f>
        <v/>
      </c>
      <c r="AS296" s="3"/>
      <c r="AT296" s="65" t="n">
        <f aca="false">IF(OR(ISNUMBER(AQ296),AQ296="DQ",AQ296="P",AQ296="NS"),
    1,
    0
)</f>
        <v>0</v>
      </c>
      <c r="AU296" s="65" t="n">
        <v>289</v>
      </c>
      <c r="AV296" s="65" t="str">
        <f aca="false">IF(ISBLANK($C296),
    "",
   IF(ISNUMBER(AR296),AR296+ROW($B296)/1000,"")
)</f>
        <v/>
      </c>
      <c r="AW296" s="65" t="str">
        <f aca="false">IF(ISNUMBER(AV296), RANK(AV296,AV$8:AV$507,1), "")</f>
        <v/>
      </c>
      <c r="AX296" s="65" t="str">
        <f aca="false">IF(ISBLANK($C296),
    "",
    $B296
)</f>
        <v/>
      </c>
      <c r="AY296" s="65" t="str">
        <f aca="false">IF(ISBLANK($C296),
    "",
    $C296
)</f>
        <v/>
      </c>
      <c r="AZ296" s="65" t="str">
        <f aca="false">IF(ISBLANK($C296),
    "",
    $D296
)</f>
        <v/>
      </c>
      <c r="BA296" s="65" t="str">
        <f aca="false">AO296</f>
        <v/>
      </c>
      <c r="BB296" s="66" t="str">
        <f aca="false">AN296</f>
        <v/>
      </c>
      <c r="BC296" s="65" t="str">
        <f aca="false">IF(ISBLANK($C296),
    "",
    AQ296
)</f>
        <v/>
      </c>
      <c r="BD296" s="67" t="str">
        <f aca="false">IF(AU296&gt;AT$7,
    "",
    VLOOKUP(AU296,AW$8:BC$507,7,FALSE())
)</f>
        <v/>
      </c>
      <c r="BE296" s="68" t="str">
        <f aca="false">IF(AU296&gt;AT$7,
    "",
    VLOOKUP(AU296,AW$8:BC$507,2,FALSE())
)</f>
        <v/>
      </c>
      <c r="BF296" s="68" t="str">
        <f aca="false">IF(AU296&gt;AT$7,
    "",
    VLOOKUP(AU296,AW$8:BC$507,3,FALSE())
)</f>
        <v/>
      </c>
      <c r="BG296" s="68" t="str">
        <f aca="false">IF(AU296&gt;AT$7,
    "",
    VLOOKUP(AU296,AW$8:BC$507,4,FALSE())
)</f>
        <v/>
      </c>
      <c r="BH296" s="68" t="str">
        <f aca="false">IF(AU296&gt;AT$7,
    "",
    VLOOKUP(AU296,AW$8:BC$507,5,FALSE())
)</f>
        <v/>
      </c>
      <c r="BI296" s="69" t="str">
        <f aca="false">IF(AU296&gt;AT$7,
    "",
    VLOOKUP(AU296,AW$8:BC$507,6,FALSE())
)</f>
        <v/>
      </c>
      <c r="BJ296" s="46"/>
    </row>
    <row r="297" customFormat="false" ht="15.75" hidden="false" customHeight="false" outlineLevel="0" collapsed="false">
      <c r="A297" s="3"/>
      <c r="B297" s="108"/>
      <c r="C297" s="70"/>
      <c r="D297" s="49"/>
      <c r="E297" s="109"/>
      <c r="F297" s="72"/>
      <c r="G297" s="109"/>
      <c r="H297" s="74"/>
      <c r="I297" s="104"/>
      <c r="J297" s="74"/>
      <c r="K297" s="74"/>
      <c r="L297" s="55"/>
      <c r="M297" s="55" t="str">
        <f aca="false">IF(ISBLANK($C297),"",IF(ISBLANK(E297),0,E297))</f>
        <v/>
      </c>
      <c r="N297" s="55" t="str">
        <f aca="false">IF(ISBLANK($C297),"",IF(ISBLANK(F297),0,F297))</f>
        <v/>
      </c>
      <c r="O297" s="55" t="e">
        <f aca="false">IF(AND(NOT(ISBLANK($C297)),NOT($T297),COUNTA($E297:$K297)&gt;0),ISBLANK($F297),FALSE())</f>
        <v>#VALUE!</v>
      </c>
      <c r="P297" s="55" t="str">
        <f aca="false">IF(ISBLANK($C297),"",IF(G297=Constants!$B$9, TRUE(), IF(G297=Constants!$B$10, FALSE(), TRUE())))</f>
        <v/>
      </c>
      <c r="Q297" s="55" t="str">
        <f aca="false">IF(ISBLANK($C297),"",IF(H297=Constants!$B$9, TRUE(), IF(H297=Constants!$B$10, FALSE(), TRUE())))</f>
        <v/>
      </c>
      <c r="R297" s="55" t="str">
        <f aca="false">IF(ISBLANK($C297),"",IF(ISBLANK(I297),Constants!$B$3,I297))</f>
        <v/>
      </c>
      <c r="S297" s="55" t="str">
        <f aca="false">IF(ISBLANK($C297),"",IF(ISBLANK(J297),0,MIN(J297,Constants!$B$6)))</f>
        <v/>
      </c>
      <c r="T297" s="55" t="str">
        <f aca="false">IF(ISBLANK($C297),"",IF(K297=Constants!$B$9, TRUE(), IF(K297=Constants!$B$10, FALSE(),  FALSE())))</f>
        <v/>
      </c>
      <c r="U297" s="55" t="str">
        <f aca="false">IF(ISBLANK($C297),"",AND(R297=Constants!$B$4, S297&lt;Constants!$B$6))</f>
        <v/>
      </c>
      <c r="V297" s="55" t="str">
        <f aca="false">IF(ISBLANK(C297), "", IF(T297, Constants!$B$11, IF(COUNTA(E297:K297)=0, Constants!$B$12, IF(NOT(AND(P297,S297&lt;&gt;0)), Constants!$B$13, IF(O297, Constants!$B$15, Constants!$B$14)))))</f>
        <v/>
      </c>
      <c r="W297" s="55" t="str">
        <f aca="false">IF(OR(ISBLANK($C297), SUMPRODUCT(--(P297:T297&lt;&gt;""))=0), "", IF(V297&lt;&gt;Constants!$B$14, V297, IF(AND(NOT(ISBLANK(J297)),P297,Q297,R297&lt;&gt;Constants!$B$2), Constants!$B$7, IF(AND(P297,OR(NOT(Q297),R297=Constants!$B$2)), Constants!$B$8, "Error"))))</f>
        <v/>
      </c>
      <c r="X297" s="56" t="str">
        <f aca="false">IF(OR(W297=Constants!$B$7,W297=Constants!$B$8), MAX(0, MIN(Constants!$B$6, S297))+IF(AND(R297=Constants!$B$4, NOT(U297)), Constants!$B$5, 0), "")</f>
        <v/>
      </c>
      <c r="Y297" s="55" t="str">
        <f aca="false">IF(ISBLANK($C297),"",IF(AND(ISNUMBER(X297),N297&gt;0),X297/N297, "") )</f>
        <v/>
      </c>
      <c r="Z297" s="55" t="str">
        <f aca="false">IF(AND(NOT(ISBLANK($C297)), W297=Constants!$B$7), Y297, "")</f>
        <v/>
      </c>
      <c r="AA297" s="55" t="str">
        <f aca="false">IF(ISNUMBER(Z297), RANK(Z297,Z$8:Z$507), "")</f>
        <v/>
      </c>
      <c r="AB297" s="55" t="str">
        <f aca="false">IF(AND(NOT(ISBLANK($C297)), W297=Constants!$B$8), Y297, "")</f>
        <v/>
      </c>
      <c r="AC297" s="55" t="str">
        <f aca="false">IF(ISNUMBER(AB297), RANK(AB297,AB$8:AB$507), "")</f>
        <v/>
      </c>
      <c r="AD297" s="55" t="str">
        <f aca="false">IF(ISBLANK($C297),"",IF(V297&lt;&gt;Constants!$B$14, V297, IF(W297=Constants!$B$7, AA297, IF(W297=Constants!$B$8, COUNT($AA$8:$AA$507) + AC297, ""))))</f>
        <v/>
      </c>
      <c r="AE297" s="55" t="str">
        <f aca="false">N297</f>
        <v/>
      </c>
      <c r="AF297" s="55" t="str">
        <f aca="false">IF(ISNUMBER(AE297), RANK(AE297,AE$8:AE$507,1), "")</f>
        <v/>
      </c>
      <c r="AG297" s="57" t="str">
        <f aca="false">IF(ISBLANK(C297), "", ABS(M297-S297))</f>
        <v/>
      </c>
      <c r="AH297" s="55" t="str">
        <f aca="false">IF(ISNUMBER(AG297), RANK(AG297,AG$8:AG$507,1), "")</f>
        <v/>
      </c>
      <c r="AI297" s="55" t="str">
        <f aca="false">IF(ISBLANK(C297),"",IF(V297&lt;&gt;Constants!$B$14, V297, RANK(AD297, AD$8:AD$507, 1)+ SUMPRODUCT(--(AD$8:AD$507=AD297),--(AF297&gt;AF$8:AF$507)) + SUMPRODUCT(--(AD$8:AD$507=AD297),--(AF297=AF$8:AF$507),--(AH297&gt;AH$8:AH$507))))</f>
        <v/>
      </c>
      <c r="AJ297" s="55" t="str">
        <f aca="false">IF(ISBLANK(C297),"",IF(V297&lt;&gt;Constants!$B$14, V297, AD297-AI297))</f>
        <v/>
      </c>
      <c r="AK297" s="59"/>
      <c r="AL297" s="60" t="str">
        <f aca="false">IF(ISBLANK($C297),"",IF($V297&lt;&gt;Constants!$B$14,$V297,X297))</f>
        <v/>
      </c>
      <c r="AM297" s="60" t="str">
        <f aca="false">IF(ISBLANK($C297),"",IF($V297&lt;&gt;Constants!$B$14,$V297,N297))</f>
        <v/>
      </c>
      <c r="AN297" s="62" t="str">
        <f aca="false">IF(ISBLANK(C297),"",IF(V297&lt;&gt;Constants!$B$14, V297, IF(W297=Constants!$B$7,Z297,IF(W297=Constants!$B$8,AB297,""))))</f>
        <v/>
      </c>
      <c r="AO297" s="63" t="str">
        <f aca="false">IF(ISBLANK(C297),"",W297)</f>
        <v/>
      </c>
      <c r="AP297" s="63" t="str">
        <f aca="false">IF(ISBLANK(C297),"",AJ297)</f>
        <v/>
      </c>
      <c r="AQ297" s="63" t="str">
        <f aca="false">IF(ISBLANK(C297),"",AI297)</f>
        <v/>
      </c>
      <c r="AR297" s="64" t="str">
        <f aca="false">IF(ISBLANK(C297),
  "",
IF(AQ297=Constants!$B$11,COUNTA($C$8:$C$507)+2,IF(AQ297=Constants!$B$12,COUNTA($C$8:$C$507)+1,IF(AQ297=Constants!$B$13,COUNTA($C$8:$C$507),AQ297))))</f>
        <v/>
      </c>
      <c r="AS297" s="3"/>
      <c r="AT297" s="65" t="n">
        <f aca="false">IF(OR(ISNUMBER(AQ297),AQ297="DQ",AQ297="P",AQ297="NS"),
    1,
    0
)</f>
        <v>0</v>
      </c>
      <c r="AU297" s="65" t="n">
        <v>290</v>
      </c>
      <c r="AV297" s="65" t="str">
        <f aca="false">IF(ISBLANK($C297),
    "",
   IF(ISNUMBER(AR297),AR297+ROW($B297)/1000,"")
)</f>
        <v/>
      </c>
      <c r="AW297" s="65" t="str">
        <f aca="false">IF(ISNUMBER(AV297), RANK(AV297,AV$8:AV$507,1), "")</f>
        <v/>
      </c>
      <c r="AX297" s="65" t="str">
        <f aca="false">IF(ISBLANK($C297),
    "",
    $B297
)</f>
        <v/>
      </c>
      <c r="AY297" s="65" t="str">
        <f aca="false">IF(ISBLANK($C297),
    "",
    $C297
)</f>
        <v/>
      </c>
      <c r="AZ297" s="65" t="str">
        <f aca="false">IF(ISBLANK($C297),
    "",
    $D297
)</f>
        <v/>
      </c>
      <c r="BA297" s="65" t="str">
        <f aca="false">AO297</f>
        <v/>
      </c>
      <c r="BB297" s="66" t="str">
        <f aca="false">AN297</f>
        <v/>
      </c>
      <c r="BC297" s="65" t="str">
        <f aca="false">IF(ISBLANK($C297),
    "",
    AQ297
)</f>
        <v/>
      </c>
      <c r="BD297" s="67" t="str">
        <f aca="false">IF(AU297&gt;AT$7,
    "",
    VLOOKUP(AU297,AW$8:BC$507,7,FALSE())
)</f>
        <v/>
      </c>
      <c r="BE297" s="68" t="str">
        <f aca="false">IF(AU297&gt;AT$7,
    "",
    VLOOKUP(AU297,AW$8:BC$507,2,FALSE())
)</f>
        <v/>
      </c>
      <c r="BF297" s="68" t="str">
        <f aca="false">IF(AU297&gt;AT$7,
    "",
    VLOOKUP(AU297,AW$8:BC$507,3,FALSE())
)</f>
        <v/>
      </c>
      <c r="BG297" s="68" t="str">
        <f aca="false">IF(AU297&gt;AT$7,
    "",
    VLOOKUP(AU297,AW$8:BC$507,4,FALSE())
)</f>
        <v/>
      </c>
      <c r="BH297" s="68" t="str">
        <f aca="false">IF(AU297&gt;AT$7,
    "",
    VLOOKUP(AU297,AW$8:BC$507,5,FALSE())
)</f>
        <v/>
      </c>
      <c r="BI297" s="69" t="str">
        <f aca="false">IF(AU297&gt;AT$7,
    "",
    VLOOKUP(AU297,AW$8:BC$507,6,FALSE())
)</f>
        <v/>
      </c>
      <c r="BJ297" s="46"/>
    </row>
    <row r="298" customFormat="false" ht="15.75" hidden="false" customHeight="false" outlineLevel="0" collapsed="false">
      <c r="A298" s="3"/>
      <c r="B298" s="108"/>
      <c r="C298" s="70"/>
      <c r="D298" s="49"/>
      <c r="E298" s="109"/>
      <c r="F298" s="72"/>
      <c r="G298" s="109"/>
      <c r="H298" s="74"/>
      <c r="I298" s="104"/>
      <c r="J298" s="74"/>
      <c r="K298" s="74"/>
      <c r="L298" s="55"/>
      <c r="M298" s="55" t="str">
        <f aca="false">IF(ISBLANK($C298),"",IF(ISBLANK(E298),0,E298))</f>
        <v/>
      </c>
      <c r="N298" s="55" t="str">
        <f aca="false">IF(ISBLANK($C298),"",IF(ISBLANK(F298),0,F298))</f>
        <v/>
      </c>
      <c r="O298" s="55" t="e">
        <f aca="false">IF(AND(NOT(ISBLANK($C298)),NOT($T298),COUNTA($E298:$K298)&gt;0),ISBLANK($F298),FALSE())</f>
        <v>#VALUE!</v>
      </c>
      <c r="P298" s="55" t="str">
        <f aca="false">IF(ISBLANK($C298),"",IF(G298=Constants!$B$9, TRUE(), IF(G298=Constants!$B$10, FALSE(), TRUE())))</f>
        <v/>
      </c>
      <c r="Q298" s="55" t="str">
        <f aca="false">IF(ISBLANK($C298),"",IF(H298=Constants!$B$9, TRUE(), IF(H298=Constants!$B$10, FALSE(), TRUE())))</f>
        <v/>
      </c>
      <c r="R298" s="55" t="str">
        <f aca="false">IF(ISBLANK($C298),"",IF(ISBLANK(I298),Constants!$B$3,I298))</f>
        <v/>
      </c>
      <c r="S298" s="55" t="str">
        <f aca="false">IF(ISBLANK($C298),"",IF(ISBLANK(J298),0,MIN(J298,Constants!$B$6)))</f>
        <v/>
      </c>
      <c r="T298" s="55" t="str">
        <f aca="false">IF(ISBLANK($C298),"",IF(K298=Constants!$B$9, TRUE(), IF(K298=Constants!$B$10, FALSE(),  FALSE())))</f>
        <v/>
      </c>
      <c r="U298" s="55" t="str">
        <f aca="false">IF(ISBLANK($C298),"",AND(R298=Constants!$B$4, S298&lt;Constants!$B$6))</f>
        <v/>
      </c>
      <c r="V298" s="55" t="str">
        <f aca="false">IF(ISBLANK(C298), "", IF(T298, Constants!$B$11, IF(COUNTA(E298:K298)=0, Constants!$B$12, IF(NOT(AND(P298,S298&lt;&gt;0)), Constants!$B$13, IF(O298, Constants!$B$15, Constants!$B$14)))))</f>
        <v/>
      </c>
      <c r="W298" s="55" t="str">
        <f aca="false">IF(OR(ISBLANK($C298), SUMPRODUCT(--(P298:T298&lt;&gt;""))=0), "", IF(V298&lt;&gt;Constants!$B$14, V298, IF(AND(NOT(ISBLANK(J298)),P298,Q298,R298&lt;&gt;Constants!$B$2), Constants!$B$7, IF(AND(P298,OR(NOT(Q298),R298=Constants!$B$2)), Constants!$B$8, "Error"))))</f>
        <v/>
      </c>
      <c r="X298" s="56" t="str">
        <f aca="false">IF(OR(W298=Constants!$B$7,W298=Constants!$B$8), MAX(0, MIN(Constants!$B$6, S298))+IF(AND(R298=Constants!$B$4, NOT(U298)), Constants!$B$5, 0), "")</f>
        <v/>
      </c>
      <c r="Y298" s="55" t="str">
        <f aca="false">IF(ISBLANK($C298),"",IF(AND(ISNUMBER(X298),N298&gt;0),X298/N298, "") )</f>
        <v/>
      </c>
      <c r="Z298" s="55" t="str">
        <f aca="false">IF(AND(NOT(ISBLANK($C298)), W298=Constants!$B$7), Y298, "")</f>
        <v/>
      </c>
      <c r="AA298" s="55" t="str">
        <f aca="false">IF(ISNUMBER(Z298), RANK(Z298,Z$8:Z$507), "")</f>
        <v/>
      </c>
      <c r="AB298" s="55" t="str">
        <f aca="false">IF(AND(NOT(ISBLANK($C298)), W298=Constants!$B$8), Y298, "")</f>
        <v/>
      </c>
      <c r="AC298" s="55" t="str">
        <f aca="false">IF(ISNUMBER(AB298), RANK(AB298,AB$8:AB$507), "")</f>
        <v/>
      </c>
      <c r="AD298" s="55" t="str">
        <f aca="false">IF(ISBLANK($C298),"",IF(V298&lt;&gt;Constants!$B$14, V298, IF(W298=Constants!$B$7, AA298, IF(W298=Constants!$B$8, COUNT($AA$8:$AA$507) + AC298, ""))))</f>
        <v/>
      </c>
      <c r="AE298" s="55" t="str">
        <f aca="false">N298</f>
        <v/>
      </c>
      <c r="AF298" s="55" t="str">
        <f aca="false">IF(ISNUMBER(AE298), RANK(AE298,AE$8:AE$507,1), "")</f>
        <v/>
      </c>
      <c r="AG298" s="57" t="str">
        <f aca="false">IF(ISBLANK(C298), "", ABS(M298-S298))</f>
        <v/>
      </c>
      <c r="AH298" s="55" t="str">
        <f aca="false">IF(ISNUMBER(AG298), RANK(AG298,AG$8:AG$507,1), "")</f>
        <v/>
      </c>
      <c r="AI298" s="55" t="str">
        <f aca="false">IF(ISBLANK(C298),"",IF(V298&lt;&gt;Constants!$B$14, V298, RANK(AD298, AD$8:AD$507, 1)+ SUMPRODUCT(--(AD$8:AD$507=AD298),--(AF298&gt;AF$8:AF$507)) + SUMPRODUCT(--(AD$8:AD$507=AD298),--(AF298=AF$8:AF$507),--(AH298&gt;AH$8:AH$507))))</f>
        <v/>
      </c>
      <c r="AJ298" s="55" t="str">
        <f aca="false">IF(ISBLANK(C298),"",IF(V298&lt;&gt;Constants!$B$14, V298, AD298-AI298))</f>
        <v/>
      </c>
      <c r="AK298" s="59"/>
      <c r="AL298" s="60" t="str">
        <f aca="false">IF(ISBLANK($C298),"",IF($V298&lt;&gt;Constants!$B$14,$V298,X298))</f>
        <v/>
      </c>
      <c r="AM298" s="60" t="str">
        <f aca="false">IF(ISBLANK($C298),"",IF($V298&lt;&gt;Constants!$B$14,$V298,N298))</f>
        <v/>
      </c>
      <c r="AN298" s="62" t="str">
        <f aca="false">IF(ISBLANK(C298),"",IF(V298&lt;&gt;Constants!$B$14, V298, IF(W298=Constants!$B$7,Z298,IF(W298=Constants!$B$8,AB298,""))))</f>
        <v/>
      </c>
      <c r="AO298" s="63" t="str">
        <f aca="false">IF(ISBLANK(C298),"",W298)</f>
        <v/>
      </c>
      <c r="AP298" s="63" t="str">
        <f aca="false">IF(ISBLANK(C298),"",AJ298)</f>
        <v/>
      </c>
      <c r="AQ298" s="63" t="str">
        <f aca="false">IF(ISBLANK(C298),"",AI298)</f>
        <v/>
      </c>
      <c r="AR298" s="64" t="str">
        <f aca="false">IF(ISBLANK(C298),
  "",
IF(AQ298=Constants!$B$11,COUNTA($C$8:$C$507)+2,IF(AQ298=Constants!$B$12,COUNTA($C$8:$C$507)+1,IF(AQ298=Constants!$B$13,COUNTA($C$8:$C$507),AQ298))))</f>
        <v/>
      </c>
      <c r="AS298" s="3"/>
      <c r="AT298" s="65" t="n">
        <f aca="false">IF(OR(ISNUMBER(AQ298),AQ298="DQ",AQ298="P",AQ298="NS"),
    1,
    0
)</f>
        <v>0</v>
      </c>
      <c r="AU298" s="65" t="n">
        <v>291</v>
      </c>
      <c r="AV298" s="65" t="str">
        <f aca="false">IF(ISBLANK($C298),
    "",
   IF(ISNUMBER(AR298),AR298+ROW($B298)/1000,"")
)</f>
        <v/>
      </c>
      <c r="AW298" s="65" t="str">
        <f aca="false">IF(ISNUMBER(AV298), RANK(AV298,AV$8:AV$507,1), "")</f>
        <v/>
      </c>
      <c r="AX298" s="65" t="str">
        <f aca="false">IF(ISBLANK($C298),
    "",
    $B298
)</f>
        <v/>
      </c>
      <c r="AY298" s="65" t="str">
        <f aca="false">IF(ISBLANK($C298),
    "",
    $C298
)</f>
        <v/>
      </c>
      <c r="AZ298" s="65" t="str">
        <f aca="false">IF(ISBLANK($C298),
    "",
    $D298
)</f>
        <v/>
      </c>
      <c r="BA298" s="65" t="str">
        <f aca="false">AO298</f>
        <v/>
      </c>
      <c r="BB298" s="66" t="str">
        <f aca="false">AN298</f>
        <v/>
      </c>
      <c r="BC298" s="65" t="str">
        <f aca="false">IF(ISBLANK($C298),
    "",
    AQ298
)</f>
        <v/>
      </c>
      <c r="BD298" s="67" t="str">
        <f aca="false">IF(AU298&gt;AT$7,
    "",
    VLOOKUP(AU298,AW$8:BC$507,7,FALSE())
)</f>
        <v/>
      </c>
      <c r="BE298" s="68" t="str">
        <f aca="false">IF(AU298&gt;AT$7,
    "",
    VLOOKUP(AU298,AW$8:BC$507,2,FALSE())
)</f>
        <v/>
      </c>
      <c r="BF298" s="68" t="str">
        <f aca="false">IF(AU298&gt;AT$7,
    "",
    VLOOKUP(AU298,AW$8:BC$507,3,FALSE())
)</f>
        <v/>
      </c>
      <c r="BG298" s="68" t="str">
        <f aca="false">IF(AU298&gt;AT$7,
    "",
    VLOOKUP(AU298,AW$8:BC$507,4,FALSE())
)</f>
        <v/>
      </c>
      <c r="BH298" s="68" t="str">
        <f aca="false">IF(AU298&gt;AT$7,
    "",
    VLOOKUP(AU298,AW$8:BC$507,5,FALSE())
)</f>
        <v/>
      </c>
      <c r="BI298" s="69" t="str">
        <f aca="false">IF(AU298&gt;AT$7,
    "",
    VLOOKUP(AU298,AW$8:BC$507,6,FALSE())
)</f>
        <v/>
      </c>
      <c r="BJ298" s="46"/>
    </row>
    <row r="299" customFormat="false" ht="15.75" hidden="false" customHeight="false" outlineLevel="0" collapsed="false">
      <c r="A299" s="3"/>
      <c r="B299" s="105"/>
      <c r="C299" s="106"/>
      <c r="D299" s="99"/>
      <c r="E299" s="110"/>
      <c r="F299" s="107"/>
      <c r="G299" s="110"/>
      <c r="H299" s="103"/>
      <c r="I299" s="102"/>
      <c r="J299" s="103"/>
      <c r="K299" s="103"/>
      <c r="L299" s="85"/>
      <c r="M299" s="85" t="str">
        <f aca="false">IF(ISBLANK($C299),"",IF(ISBLANK(E299),0,E299))</f>
        <v/>
      </c>
      <c r="N299" s="85" t="str">
        <f aca="false">IF(ISBLANK($C299),"",IF(ISBLANK(F299),0,F299))</f>
        <v/>
      </c>
      <c r="O299" s="86" t="e">
        <f aca="false">IF(AND(NOT(ISBLANK($C299)),NOT($T299),COUNTA($E299:$K299)&gt;0),ISBLANK($F299),FALSE())</f>
        <v>#VALUE!</v>
      </c>
      <c r="P299" s="85" t="str">
        <f aca="false">IF(ISBLANK($C299),"",IF(G299=Constants!$B$9, TRUE(), IF(G299=Constants!$B$10, FALSE(), TRUE())))</f>
        <v/>
      </c>
      <c r="Q299" s="85" t="str">
        <f aca="false">IF(ISBLANK($C299),"",IF(H299=Constants!$B$9, TRUE(), IF(H299=Constants!$B$10, FALSE(), TRUE())))</f>
        <v/>
      </c>
      <c r="R299" s="85" t="str">
        <f aca="false">IF(ISBLANK($C299),"",IF(ISBLANK(I299),Constants!$B$3,I299))</f>
        <v/>
      </c>
      <c r="S299" s="85" t="str">
        <f aca="false">IF(ISBLANK($C299),"",IF(ISBLANK(J299),0,MIN(J299,Constants!$B$6)))</f>
        <v/>
      </c>
      <c r="T299" s="85" t="str">
        <f aca="false">IF(ISBLANK($C299),"",IF(K299=Constants!$B$9, TRUE(), IF(K299=Constants!$B$10, FALSE(),  FALSE())))</f>
        <v/>
      </c>
      <c r="U299" s="85" t="str">
        <f aca="false">IF(ISBLANK($C299),"",AND(R299=Constants!$B$4, S299&lt;Constants!$B$6))</f>
        <v/>
      </c>
      <c r="V299" s="85" t="str">
        <f aca="false">IF(ISBLANK(C299), "", IF(T299, Constants!$B$11, IF(COUNTA(E299:K299)=0, Constants!$B$12, IF(NOT(AND(P299,S299&lt;&gt;0)), Constants!$B$13, IF(O299, Constants!$B$15, Constants!$B$14)))))</f>
        <v/>
      </c>
      <c r="W299" s="85" t="str">
        <f aca="false">IF(OR(ISBLANK($C299), SUMPRODUCT(--(P299:T299&lt;&gt;""))=0), "", IF(V299&lt;&gt;Constants!$B$14, V299, IF(AND(NOT(ISBLANK(J299)),P299,Q299,R299&lt;&gt;Constants!$B$2), Constants!$B$7, IF(AND(P299,OR(NOT(Q299),R299=Constants!$B$2)), Constants!$B$8, "Error"))))</f>
        <v/>
      </c>
      <c r="X299" s="87" t="str">
        <f aca="false">IF(OR(W299=Constants!$B$7,W299=Constants!$B$8), MAX(0, MIN(Constants!$B$6, S299))+IF(AND(R299=Constants!$B$4, NOT(U299)), Constants!$B$5, 0), "")</f>
        <v/>
      </c>
      <c r="Y299" s="85" t="str">
        <f aca="false">IF(ISBLANK($C299),"",IF(AND(ISNUMBER(X299),N299&gt;0),X299/N299, "") )</f>
        <v/>
      </c>
      <c r="Z299" s="85" t="str">
        <f aca="false">IF(AND(NOT(ISBLANK($C299)), W299=Constants!$B$7), Y299, "")</f>
        <v/>
      </c>
      <c r="AA299" s="85" t="str">
        <f aca="false">IF(ISNUMBER(Z299), RANK(Z299,Z$8:Z$507), "")</f>
        <v/>
      </c>
      <c r="AB299" s="85" t="str">
        <f aca="false">IF(AND(NOT(ISBLANK($C299)), W299=Constants!$B$8), Y299, "")</f>
        <v/>
      </c>
      <c r="AC299" s="85" t="str">
        <f aca="false">IF(ISNUMBER(AB299), RANK(AB299,AB$8:AB$507), "")</f>
        <v/>
      </c>
      <c r="AD299" s="85" t="str">
        <f aca="false">IF(ISBLANK($C299),"",IF(V299&lt;&gt;Constants!$B$14, V299, IF(W299=Constants!$B$7, AA299, IF(W299=Constants!$B$8, COUNT($AA$8:$AA$507) + AC299, ""))))</f>
        <v/>
      </c>
      <c r="AE299" s="85" t="str">
        <f aca="false">N299</f>
        <v/>
      </c>
      <c r="AF299" s="85" t="str">
        <f aca="false">IF(ISNUMBER(AE299), RANK(AE299,AE$8:AE$507,1), "")</f>
        <v/>
      </c>
      <c r="AG299" s="88" t="str">
        <f aca="false">IF(ISBLANK(C299), "", ABS(M299-S299))</f>
        <v/>
      </c>
      <c r="AH299" s="85" t="str">
        <f aca="false">IF(ISNUMBER(AG299), RANK(AG299,AG$8:AG$507,1), "")</f>
        <v/>
      </c>
      <c r="AI299" s="85" t="str">
        <f aca="false">IF(ISBLANK(C299),"",IF(V299&lt;&gt;Constants!$B$14, V299, RANK(AD299, AD$8:AD$507, 1)+ SUMPRODUCT(--(AD$8:AD$507=AD299),--(AF299&gt;AF$8:AF$507)) + SUMPRODUCT(--(AD$8:AD$507=AD299),--(AF299=AF$8:AF$507),--(AH299&gt;AH$8:AH$507))))</f>
        <v/>
      </c>
      <c r="AJ299" s="85" t="str">
        <f aca="false">IF(ISBLANK(C299),"",IF(V299&lt;&gt;Constants!$B$14, V299, AD299-AI299))</f>
        <v/>
      </c>
      <c r="AK299" s="89"/>
      <c r="AL299" s="90" t="str">
        <f aca="false">IF(ISBLANK($C299),"",IF($V299&lt;&gt;Constants!$B$14,$V299,X299))</f>
        <v/>
      </c>
      <c r="AM299" s="90" t="str">
        <f aca="false">IF(ISBLANK($C299),"",IF($V299&lt;&gt;Constants!$B$14,$V299,N299))</f>
        <v/>
      </c>
      <c r="AN299" s="91" t="str">
        <f aca="false">IF(ISBLANK(C299),"",IF(V299&lt;&gt;Constants!$B$14, V299, IF(W299=Constants!$B$7,Z299,IF(W299=Constants!$B$8,AB299,""))))</f>
        <v/>
      </c>
      <c r="AO299" s="92" t="str">
        <f aca="false">IF(ISBLANK(C299),"",W299)</f>
        <v/>
      </c>
      <c r="AP299" s="92" t="str">
        <f aca="false">IF(ISBLANK(C299),"",AJ299)</f>
        <v/>
      </c>
      <c r="AQ299" s="92" t="str">
        <f aca="false">IF(ISBLANK(C299),"",AI299)</f>
        <v/>
      </c>
      <c r="AR299" s="93" t="str">
        <f aca="false">IF(ISBLANK(C299),
  "",
IF(AQ299=Constants!$B$11,COUNTA($C$8:$C$507)+2,IF(AQ299=Constants!$B$12,COUNTA($C$8:$C$507)+1,IF(AQ299=Constants!$B$13,COUNTA($C$8:$C$507),AQ299))))</f>
        <v/>
      </c>
      <c r="AS299" s="3"/>
      <c r="AT299" s="94" t="n">
        <f aca="false">IF(OR(ISNUMBER(AQ299),AQ299="DQ",AQ299="P",AQ299="NS"),
    1,
    0
)</f>
        <v>0</v>
      </c>
      <c r="AU299" s="94" t="n">
        <v>292</v>
      </c>
      <c r="AV299" s="94" t="str">
        <f aca="false">IF(ISBLANK($C299),
    "",
   IF(ISNUMBER(AR299),AR299+ROW($B299)/1000,"")
)</f>
        <v/>
      </c>
      <c r="AW299" s="94" t="str">
        <f aca="false">IF(ISNUMBER(AV299), RANK(AV299,AV$8:AV$507,1), "")</f>
        <v/>
      </c>
      <c r="AX299" s="94" t="str">
        <f aca="false">IF(ISBLANK($C299),
    "",
    $B299
)</f>
        <v/>
      </c>
      <c r="AY299" s="94" t="str">
        <f aca="false">IF(ISBLANK($C299),
    "",
    $C299
)</f>
        <v/>
      </c>
      <c r="AZ299" s="94" t="str">
        <f aca="false">IF(ISBLANK($C299),
    "",
    $D299
)</f>
        <v/>
      </c>
      <c r="BA299" s="94" t="str">
        <f aca="false">AO299</f>
        <v/>
      </c>
      <c r="BB299" s="95" t="str">
        <f aca="false">AN299</f>
        <v/>
      </c>
      <c r="BC299" s="94" t="str">
        <f aca="false">IF(ISBLANK($C299),
    "",
    AQ299
)</f>
        <v/>
      </c>
      <c r="BD299" s="96" t="str">
        <f aca="false">IF(AU299&gt;AT$7,
    "",
    VLOOKUP(AU299,AW$8:BC$507,7,FALSE())
)</f>
        <v/>
      </c>
      <c r="BE299" s="97" t="str">
        <f aca="false">IF(AU299&gt;AT$7,
    "",
    VLOOKUP(AU299,AW$8:BC$507,2,FALSE())
)</f>
        <v/>
      </c>
      <c r="BF299" s="97" t="str">
        <f aca="false">IF(AU299&gt;AT$7,
    "",
    VLOOKUP(AU299,AW$8:BC$507,3,FALSE())
)</f>
        <v/>
      </c>
      <c r="BG299" s="97" t="str">
        <f aca="false">IF(AU299&gt;AT$7,
    "",
    VLOOKUP(AU299,AW$8:BC$507,4,FALSE())
)</f>
        <v/>
      </c>
      <c r="BH299" s="97" t="str">
        <f aca="false">IF(AU299&gt;AT$7,
    "",
    VLOOKUP(AU299,AW$8:BC$507,5,FALSE())
)</f>
        <v/>
      </c>
      <c r="BI299" s="98" t="str">
        <f aca="false">IF(AU299&gt;AT$7,
    "",
    VLOOKUP(AU299,AW$8:BC$507,6,FALSE())
)</f>
        <v/>
      </c>
      <c r="BJ299" s="46"/>
    </row>
    <row r="300" customFormat="false" ht="15.75" hidden="false" customHeight="false" outlineLevel="0" collapsed="false">
      <c r="A300" s="3"/>
      <c r="B300" s="105"/>
      <c r="C300" s="106"/>
      <c r="D300" s="99"/>
      <c r="E300" s="110"/>
      <c r="F300" s="107"/>
      <c r="G300" s="110"/>
      <c r="H300" s="103"/>
      <c r="I300" s="102"/>
      <c r="J300" s="103"/>
      <c r="K300" s="103"/>
      <c r="L300" s="85"/>
      <c r="M300" s="85" t="str">
        <f aca="false">IF(ISBLANK($C300),"",IF(ISBLANK(E300),0,E300))</f>
        <v/>
      </c>
      <c r="N300" s="85" t="str">
        <f aca="false">IF(ISBLANK($C300),"",IF(ISBLANK(F300),0,F300))</f>
        <v/>
      </c>
      <c r="O300" s="86" t="e">
        <f aca="false">IF(AND(NOT(ISBLANK($C300)),NOT($T300),COUNTA($E300:$K300)&gt;0),ISBLANK($F300),FALSE())</f>
        <v>#VALUE!</v>
      </c>
      <c r="P300" s="85" t="str">
        <f aca="false">IF(ISBLANK($C300),"",IF(G300=Constants!$B$9, TRUE(), IF(G300=Constants!$B$10, FALSE(), TRUE())))</f>
        <v/>
      </c>
      <c r="Q300" s="85" t="str">
        <f aca="false">IF(ISBLANK($C300),"",IF(H300=Constants!$B$9, TRUE(), IF(H300=Constants!$B$10, FALSE(), TRUE())))</f>
        <v/>
      </c>
      <c r="R300" s="85" t="str">
        <f aca="false">IF(ISBLANK($C300),"",IF(ISBLANK(I300),Constants!$B$3,I300))</f>
        <v/>
      </c>
      <c r="S300" s="85" t="str">
        <f aca="false">IF(ISBLANK($C300),"",IF(ISBLANK(J300),0,MIN(J300,Constants!$B$6)))</f>
        <v/>
      </c>
      <c r="T300" s="85" t="str">
        <f aca="false">IF(ISBLANK($C300),"",IF(K300=Constants!$B$9, TRUE(), IF(K300=Constants!$B$10, FALSE(),  FALSE())))</f>
        <v/>
      </c>
      <c r="U300" s="85" t="str">
        <f aca="false">IF(ISBLANK($C300),"",AND(R300=Constants!$B$4, S300&lt;Constants!$B$6))</f>
        <v/>
      </c>
      <c r="V300" s="85" t="str">
        <f aca="false">IF(ISBLANK(C300), "", IF(T300, Constants!$B$11, IF(COUNTA(E300:K300)=0, Constants!$B$12, IF(NOT(AND(P300,S300&lt;&gt;0)), Constants!$B$13, IF(O300, Constants!$B$15, Constants!$B$14)))))</f>
        <v/>
      </c>
      <c r="W300" s="85" t="str">
        <f aca="false">IF(OR(ISBLANK($C300), SUMPRODUCT(--(P300:T300&lt;&gt;""))=0), "", IF(V300&lt;&gt;Constants!$B$14, V300, IF(AND(NOT(ISBLANK(J300)),P300,Q300,R300&lt;&gt;Constants!$B$2), Constants!$B$7, IF(AND(P300,OR(NOT(Q300),R300=Constants!$B$2)), Constants!$B$8, "Error"))))</f>
        <v/>
      </c>
      <c r="X300" s="87" t="str">
        <f aca="false">IF(OR(W300=Constants!$B$7,W300=Constants!$B$8), MAX(0, MIN(Constants!$B$6, S300))+IF(AND(R300=Constants!$B$4, NOT(U300)), Constants!$B$5, 0), "")</f>
        <v/>
      </c>
      <c r="Y300" s="85" t="str">
        <f aca="false">IF(ISBLANK($C300),"",IF(AND(ISNUMBER(X300),N300&gt;0),X300/N300, "") )</f>
        <v/>
      </c>
      <c r="Z300" s="85" t="str">
        <f aca="false">IF(AND(NOT(ISBLANK($C300)), W300=Constants!$B$7), Y300, "")</f>
        <v/>
      </c>
      <c r="AA300" s="85" t="str">
        <f aca="false">IF(ISNUMBER(Z300), RANK(Z300,Z$8:Z$507), "")</f>
        <v/>
      </c>
      <c r="AB300" s="85" t="str">
        <f aca="false">IF(AND(NOT(ISBLANK($C300)), W300=Constants!$B$8), Y300, "")</f>
        <v/>
      </c>
      <c r="AC300" s="85" t="str">
        <f aca="false">IF(ISNUMBER(AB300), RANK(AB300,AB$8:AB$507), "")</f>
        <v/>
      </c>
      <c r="AD300" s="85" t="str">
        <f aca="false">IF(ISBLANK($C300),"",IF(V300&lt;&gt;Constants!$B$14, V300, IF(W300=Constants!$B$7, AA300, IF(W300=Constants!$B$8, COUNT($AA$8:$AA$507) + AC300, ""))))</f>
        <v/>
      </c>
      <c r="AE300" s="85" t="str">
        <f aca="false">N300</f>
        <v/>
      </c>
      <c r="AF300" s="85" t="str">
        <f aca="false">IF(ISNUMBER(AE300), RANK(AE300,AE$8:AE$507,1), "")</f>
        <v/>
      </c>
      <c r="AG300" s="88" t="str">
        <f aca="false">IF(ISBLANK(C300), "", ABS(M300-S300))</f>
        <v/>
      </c>
      <c r="AH300" s="85" t="str">
        <f aca="false">IF(ISNUMBER(AG300), RANK(AG300,AG$8:AG$507,1), "")</f>
        <v/>
      </c>
      <c r="AI300" s="85" t="str">
        <f aca="false">IF(ISBLANK(C300),"",IF(V300&lt;&gt;Constants!$B$14, V300, RANK(AD300, AD$8:AD$507, 1)+ SUMPRODUCT(--(AD$8:AD$507=AD300),--(AF300&gt;AF$8:AF$507)) + SUMPRODUCT(--(AD$8:AD$507=AD300),--(AF300=AF$8:AF$507),--(AH300&gt;AH$8:AH$507))))</f>
        <v/>
      </c>
      <c r="AJ300" s="85" t="str">
        <f aca="false">IF(ISBLANK(C300),"",IF(V300&lt;&gt;Constants!$B$14, V300, AD300-AI300))</f>
        <v/>
      </c>
      <c r="AK300" s="89"/>
      <c r="AL300" s="90" t="str">
        <f aca="false">IF(ISBLANK($C300),"",IF($V300&lt;&gt;Constants!$B$14,$V300,X300))</f>
        <v/>
      </c>
      <c r="AM300" s="90" t="str">
        <f aca="false">IF(ISBLANK($C300),"",IF($V300&lt;&gt;Constants!$B$14,$V300,N300))</f>
        <v/>
      </c>
      <c r="AN300" s="91" t="str">
        <f aca="false">IF(ISBLANK(C300),"",IF(V300&lt;&gt;Constants!$B$14, V300, IF(W300=Constants!$B$7,Z300,IF(W300=Constants!$B$8,AB300,""))))</f>
        <v/>
      </c>
      <c r="AO300" s="92" t="str">
        <f aca="false">IF(ISBLANK(C300),"",W300)</f>
        <v/>
      </c>
      <c r="AP300" s="92" t="str">
        <f aca="false">IF(ISBLANK(C300),"",AJ300)</f>
        <v/>
      </c>
      <c r="AQ300" s="92" t="str">
        <f aca="false">IF(ISBLANK(C300),"",AI300)</f>
        <v/>
      </c>
      <c r="AR300" s="93" t="str">
        <f aca="false">IF(ISBLANK(C300),
  "",
IF(AQ300=Constants!$B$11,COUNTA($C$8:$C$507)+2,IF(AQ300=Constants!$B$12,COUNTA($C$8:$C$507)+1,IF(AQ300=Constants!$B$13,COUNTA($C$8:$C$507),AQ300))))</f>
        <v/>
      </c>
      <c r="AS300" s="3"/>
      <c r="AT300" s="94" t="n">
        <f aca="false">IF(OR(ISNUMBER(AQ300),AQ300="DQ",AQ300="P",AQ300="NS"),
    1,
    0
)</f>
        <v>0</v>
      </c>
      <c r="AU300" s="94" t="n">
        <v>293</v>
      </c>
      <c r="AV300" s="94" t="str">
        <f aca="false">IF(ISBLANK($C300),
    "",
   IF(ISNUMBER(AR300),AR300+ROW($B300)/1000,"")
)</f>
        <v/>
      </c>
      <c r="AW300" s="94" t="str">
        <f aca="false">IF(ISNUMBER(AV300), RANK(AV300,AV$8:AV$507,1), "")</f>
        <v/>
      </c>
      <c r="AX300" s="94" t="str">
        <f aca="false">IF(ISBLANK($C300),
    "",
    $B300
)</f>
        <v/>
      </c>
      <c r="AY300" s="94" t="str">
        <f aca="false">IF(ISBLANK($C300),
    "",
    $C300
)</f>
        <v/>
      </c>
      <c r="AZ300" s="94" t="str">
        <f aca="false">IF(ISBLANK($C300),
    "",
    $D300
)</f>
        <v/>
      </c>
      <c r="BA300" s="94" t="str">
        <f aca="false">AO300</f>
        <v/>
      </c>
      <c r="BB300" s="95" t="str">
        <f aca="false">AN300</f>
        <v/>
      </c>
      <c r="BC300" s="94" t="str">
        <f aca="false">IF(ISBLANK($C300),
    "",
    AQ300
)</f>
        <v/>
      </c>
      <c r="BD300" s="96" t="str">
        <f aca="false">IF(AU300&gt;AT$7,
    "",
    VLOOKUP(AU300,AW$8:BC$507,7,FALSE())
)</f>
        <v/>
      </c>
      <c r="BE300" s="97" t="str">
        <f aca="false">IF(AU300&gt;AT$7,
    "",
    VLOOKUP(AU300,AW$8:BC$507,2,FALSE())
)</f>
        <v/>
      </c>
      <c r="BF300" s="97" t="str">
        <f aca="false">IF(AU300&gt;AT$7,
    "",
    VLOOKUP(AU300,AW$8:BC$507,3,FALSE())
)</f>
        <v/>
      </c>
      <c r="BG300" s="97" t="str">
        <f aca="false">IF(AU300&gt;AT$7,
    "",
    VLOOKUP(AU300,AW$8:BC$507,4,FALSE())
)</f>
        <v/>
      </c>
      <c r="BH300" s="97" t="str">
        <f aca="false">IF(AU300&gt;AT$7,
    "",
    VLOOKUP(AU300,AW$8:BC$507,5,FALSE())
)</f>
        <v/>
      </c>
      <c r="BI300" s="98" t="str">
        <f aca="false">IF(AU300&gt;AT$7,
    "",
    VLOOKUP(AU300,AW$8:BC$507,6,FALSE())
)</f>
        <v/>
      </c>
      <c r="BJ300" s="46"/>
    </row>
    <row r="301" customFormat="false" ht="15.75" hidden="false" customHeight="false" outlineLevel="0" collapsed="false">
      <c r="A301" s="3"/>
      <c r="B301" s="105"/>
      <c r="C301" s="106"/>
      <c r="D301" s="99"/>
      <c r="E301" s="110"/>
      <c r="F301" s="107"/>
      <c r="G301" s="110"/>
      <c r="H301" s="103"/>
      <c r="I301" s="102"/>
      <c r="J301" s="103"/>
      <c r="K301" s="103"/>
      <c r="L301" s="85"/>
      <c r="M301" s="85" t="str">
        <f aca="false">IF(ISBLANK($C301),"",IF(ISBLANK(E301),0,E301))</f>
        <v/>
      </c>
      <c r="N301" s="85" t="str">
        <f aca="false">IF(ISBLANK($C301),"",IF(ISBLANK(F301),0,F301))</f>
        <v/>
      </c>
      <c r="O301" s="86" t="e">
        <f aca="false">IF(AND(NOT(ISBLANK($C301)),NOT($T301),COUNTA($E301:$K301)&gt;0),ISBLANK($F301),FALSE())</f>
        <v>#VALUE!</v>
      </c>
      <c r="P301" s="85" t="str">
        <f aca="false">IF(ISBLANK($C301),"",IF(G301=Constants!$B$9, TRUE(), IF(G301=Constants!$B$10, FALSE(), TRUE())))</f>
        <v/>
      </c>
      <c r="Q301" s="85" t="str">
        <f aca="false">IF(ISBLANK($C301),"",IF(H301=Constants!$B$9, TRUE(), IF(H301=Constants!$B$10, FALSE(), TRUE())))</f>
        <v/>
      </c>
      <c r="R301" s="85" t="str">
        <f aca="false">IF(ISBLANK($C301),"",IF(ISBLANK(I301),Constants!$B$3,I301))</f>
        <v/>
      </c>
      <c r="S301" s="85" t="str">
        <f aca="false">IF(ISBLANK($C301),"",IF(ISBLANK(J301),0,MIN(J301,Constants!$B$6)))</f>
        <v/>
      </c>
      <c r="T301" s="85" t="str">
        <f aca="false">IF(ISBLANK($C301),"",IF(K301=Constants!$B$9, TRUE(), IF(K301=Constants!$B$10, FALSE(),  FALSE())))</f>
        <v/>
      </c>
      <c r="U301" s="85" t="str">
        <f aca="false">IF(ISBLANK($C301),"",AND(R301=Constants!$B$4, S301&lt;Constants!$B$6))</f>
        <v/>
      </c>
      <c r="V301" s="85" t="str">
        <f aca="false">IF(ISBLANK(C301), "", IF(T301, Constants!$B$11, IF(COUNTA(E301:K301)=0, Constants!$B$12, IF(NOT(AND(P301,S301&lt;&gt;0)), Constants!$B$13, IF(O301, Constants!$B$15, Constants!$B$14)))))</f>
        <v/>
      </c>
      <c r="W301" s="85" t="str">
        <f aca="false">IF(OR(ISBLANK($C301), SUMPRODUCT(--(P301:T301&lt;&gt;""))=0), "", IF(V301&lt;&gt;Constants!$B$14, V301, IF(AND(NOT(ISBLANK(J301)),P301,Q301,R301&lt;&gt;Constants!$B$2), Constants!$B$7, IF(AND(P301,OR(NOT(Q301),R301=Constants!$B$2)), Constants!$B$8, "Error"))))</f>
        <v/>
      </c>
      <c r="X301" s="87" t="str">
        <f aca="false">IF(OR(W301=Constants!$B$7,W301=Constants!$B$8), MAX(0, MIN(Constants!$B$6, S301))+IF(AND(R301=Constants!$B$4, NOT(U301)), Constants!$B$5, 0), "")</f>
        <v/>
      </c>
      <c r="Y301" s="85" t="str">
        <f aca="false">IF(ISBLANK($C301),"",IF(AND(ISNUMBER(X301),N301&gt;0),X301/N301, "") )</f>
        <v/>
      </c>
      <c r="Z301" s="85" t="str">
        <f aca="false">IF(AND(NOT(ISBLANK($C301)), W301=Constants!$B$7), Y301, "")</f>
        <v/>
      </c>
      <c r="AA301" s="85" t="str">
        <f aca="false">IF(ISNUMBER(Z301), RANK(Z301,Z$8:Z$507), "")</f>
        <v/>
      </c>
      <c r="AB301" s="85" t="str">
        <f aca="false">IF(AND(NOT(ISBLANK($C301)), W301=Constants!$B$8), Y301, "")</f>
        <v/>
      </c>
      <c r="AC301" s="85" t="str">
        <f aca="false">IF(ISNUMBER(AB301), RANK(AB301,AB$8:AB$507), "")</f>
        <v/>
      </c>
      <c r="AD301" s="85" t="str">
        <f aca="false">IF(ISBLANK($C301),"",IF(V301&lt;&gt;Constants!$B$14, V301, IF(W301=Constants!$B$7, AA301, IF(W301=Constants!$B$8, COUNT($AA$8:$AA$507) + AC301, ""))))</f>
        <v/>
      </c>
      <c r="AE301" s="85" t="str">
        <f aca="false">N301</f>
        <v/>
      </c>
      <c r="AF301" s="85" t="str">
        <f aca="false">IF(ISNUMBER(AE301), RANK(AE301,AE$8:AE$507,1), "")</f>
        <v/>
      </c>
      <c r="AG301" s="88" t="str">
        <f aca="false">IF(ISBLANK(C301), "", ABS(M301-S301))</f>
        <v/>
      </c>
      <c r="AH301" s="85" t="str">
        <f aca="false">IF(ISNUMBER(AG301), RANK(AG301,AG$8:AG$507,1), "")</f>
        <v/>
      </c>
      <c r="AI301" s="85" t="str">
        <f aca="false">IF(ISBLANK(C301),"",IF(V301&lt;&gt;Constants!$B$14, V301, RANK(AD301, AD$8:AD$507, 1)+ SUMPRODUCT(--(AD$8:AD$507=AD301),--(AF301&gt;AF$8:AF$507)) + SUMPRODUCT(--(AD$8:AD$507=AD301),--(AF301=AF$8:AF$507),--(AH301&gt;AH$8:AH$507))))</f>
        <v/>
      </c>
      <c r="AJ301" s="85" t="str">
        <f aca="false">IF(ISBLANK(C301),"",IF(V301&lt;&gt;Constants!$B$14, V301, AD301-AI301))</f>
        <v/>
      </c>
      <c r="AK301" s="89"/>
      <c r="AL301" s="90" t="str">
        <f aca="false">IF(ISBLANK($C301),"",IF($V301&lt;&gt;Constants!$B$14,$V301,X301))</f>
        <v/>
      </c>
      <c r="AM301" s="90" t="str">
        <f aca="false">IF(ISBLANK($C301),"",IF($V301&lt;&gt;Constants!$B$14,$V301,N301))</f>
        <v/>
      </c>
      <c r="AN301" s="91" t="str">
        <f aca="false">IF(ISBLANK(C301),"",IF(V301&lt;&gt;Constants!$B$14, V301, IF(W301=Constants!$B$7,Z301,IF(W301=Constants!$B$8,AB301,""))))</f>
        <v/>
      </c>
      <c r="AO301" s="92" t="str">
        <f aca="false">IF(ISBLANK(C301),"",W301)</f>
        <v/>
      </c>
      <c r="AP301" s="92" t="str">
        <f aca="false">IF(ISBLANK(C301),"",AJ301)</f>
        <v/>
      </c>
      <c r="AQ301" s="92" t="str">
        <f aca="false">IF(ISBLANK(C301),"",AI301)</f>
        <v/>
      </c>
      <c r="AR301" s="93" t="str">
        <f aca="false">IF(ISBLANK(C301),
  "",
IF(AQ301=Constants!$B$11,COUNTA($C$8:$C$507)+2,IF(AQ301=Constants!$B$12,COUNTA($C$8:$C$507)+1,IF(AQ301=Constants!$B$13,COUNTA($C$8:$C$507),AQ301))))</f>
        <v/>
      </c>
      <c r="AS301" s="3"/>
      <c r="AT301" s="94" t="n">
        <f aca="false">IF(OR(ISNUMBER(AQ301),AQ301="DQ",AQ301="P",AQ301="NS"),
    1,
    0
)</f>
        <v>0</v>
      </c>
      <c r="AU301" s="94" t="n">
        <v>294</v>
      </c>
      <c r="AV301" s="94" t="str">
        <f aca="false">IF(ISBLANK($C301),
    "",
   IF(ISNUMBER(AR301),AR301+ROW($B301)/1000,"")
)</f>
        <v/>
      </c>
      <c r="AW301" s="94" t="str">
        <f aca="false">IF(ISNUMBER(AV301), RANK(AV301,AV$8:AV$507,1), "")</f>
        <v/>
      </c>
      <c r="AX301" s="94" t="str">
        <f aca="false">IF(ISBLANK($C301),
    "",
    $B301
)</f>
        <v/>
      </c>
      <c r="AY301" s="94" t="str">
        <f aca="false">IF(ISBLANK($C301),
    "",
    $C301
)</f>
        <v/>
      </c>
      <c r="AZ301" s="94" t="str">
        <f aca="false">IF(ISBLANK($C301),
    "",
    $D301
)</f>
        <v/>
      </c>
      <c r="BA301" s="94" t="str">
        <f aca="false">AO301</f>
        <v/>
      </c>
      <c r="BB301" s="95" t="str">
        <f aca="false">AN301</f>
        <v/>
      </c>
      <c r="BC301" s="94" t="str">
        <f aca="false">IF(ISBLANK($C301),
    "",
    AQ301
)</f>
        <v/>
      </c>
      <c r="BD301" s="96" t="str">
        <f aca="false">IF(AU301&gt;AT$7,
    "",
    VLOOKUP(AU301,AW$8:BC$507,7,FALSE())
)</f>
        <v/>
      </c>
      <c r="BE301" s="97" t="str">
        <f aca="false">IF(AU301&gt;AT$7,
    "",
    VLOOKUP(AU301,AW$8:BC$507,2,FALSE())
)</f>
        <v/>
      </c>
      <c r="BF301" s="97" t="str">
        <f aca="false">IF(AU301&gt;AT$7,
    "",
    VLOOKUP(AU301,AW$8:BC$507,3,FALSE())
)</f>
        <v/>
      </c>
      <c r="BG301" s="97" t="str">
        <f aca="false">IF(AU301&gt;AT$7,
    "",
    VLOOKUP(AU301,AW$8:BC$507,4,FALSE())
)</f>
        <v/>
      </c>
      <c r="BH301" s="97" t="str">
        <f aca="false">IF(AU301&gt;AT$7,
    "",
    VLOOKUP(AU301,AW$8:BC$507,5,FALSE())
)</f>
        <v/>
      </c>
      <c r="BI301" s="98" t="str">
        <f aca="false">IF(AU301&gt;AT$7,
    "",
    VLOOKUP(AU301,AW$8:BC$507,6,FALSE())
)</f>
        <v/>
      </c>
      <c r="BJ301" s="46"/>
    </row>
    <row r="302" customFormat="false" ht="15.75" hidden="false" customHeight="false" outlineLevel="0" collapsed="false">
      <c r="A302" s="3"/>
      <c r="B302" s="108"/>
      <c r="C302" s="70"/>
      <c r="D302" s="49"/>
      <c r="E302" s="109"/>
      <c r="F302" s="72"/>
      <c r="G302" s="109"/>
      <c r="H302" s="74"/>
      <c r="I302" s="104"/>
      <c r="J302" s="74"/>
      <c r="K302" s="74"/>
      <c r="L302" s="55"/>
      <c r="M302" s="55" t="str">
        <f aca="false">IF(ISBLANK($C302),"",IF(ISBLANK(E302),0,E302))</f>
        <v/>
      </c>
      <c r="N302" s="55" t="str">
        <f aca="false">IF(ISBLANK($C302),"",IF(ISBLANK(F302),0,F302))</f>
        <v/>
      </c>
      <c r="O302" s="55" t="e">
        <f aca="false">IF(AND(NOT(ISBLANK($C302)),NOT($T302),COUNTA($E302:$K302)&gt;0),ISBLANK($F302),FALSE())</f>
        <v>#VALUE!</v>
      </c>
      <c r="P302" s="55" t="str">
        <f aca="false">IF(ISBLANK($C302),"",IF(G302=Constants!$B$9, TRUE(), IF(G302=Constants!$B$10, FALSE(), TRUE())))</f>
        <v/>
      </c>
      <c r="Q302" s="55" t="str">
        <f aca="false">IF(ISBLANK($C302),"",IF(H302=Constants!$B$9, TRUE(), IF(H302=Constants!$B$10, FALSE(), TRUE())))</f>
        <v/>
      </c>
      <c r="R302" s="55" t="str">
        <f aca="false">IF(ISBLANK($C302),"",IF(ISBLANK(I302),Constants!$B$3,I302))</f>
        <v/>
      </c>
      <c r="S302" s="55" t="str">
        <f aca="false">IF(ISBLANK($C302),"",IF(ISBLANK(J302),0,MIN(J302,Constants!$B$6)))</f>
        <v/>
      </c>
      <c r="T302" s="55" t="str">
        <f aca="false">IF(ISBLANK($C302),"",IF(K302=Constants!$B$9, TRUE(), IF(K302=Constants!$B$10, FALSE(),  FALSE())))</f>
        <v/>
      </c>
      <c r="U302" s="55" t="str">
        <f aca="false">IF(ISBLANK($C302),"",AND(R302=Constants!$B$4, S302&lt;Constants!$B$6))</f>
        <v/>
      </c>
      <c r="V302" s="55" t="str">
        <f aca="false">IF(ISBLANK(C302), "", IF(T302, Constants!$B$11, IF(COUNTA(E302:K302)=0, Constants!$B$12, IF(NOT(AND(P302,S302&lt;&gt;0)), Constants!$B$13, IF(O302, Constants!$B$15, Constants!$B$14)))))</f>
        <v/>
      </c>
      <c r="W302" s="55" t="str">
        <f aca="false">IF(OR(ISBLANK($C302), SUMPRODUCT(--(P302:T302&lt;&gt;""))=0), "", IF(V302&lt;&gt;Constants!$B$14, V302, IF(AND(NOT(ISBLANK(J302)),P302,Q302,R302&lt;&gt;Constants!$B$2), Constants!$B$7, IF(AND(P302,OR(NOT(Q302),R302=Constants!$B$2)), Constants!$B$8, "Error"))))</f>
        <v/>
      </c>
      <c r="X302" s="56" t="str">
        <f aca="false">IF(OR(W302=Constants!$B$7,W302=Constants!$B$8), MAX(0, MIN(Constants!$B$6, S302))+IF(AND(R302=Constants!$B$4, NOT(U302)), Constants!$B$5, 0), "")</f>
        <v/>
      </c>
      <c r="Y302" s="55" t="str">
        <f aca="false">IF(ISBLANK($C302),"",IF(AND(ISNUMBER(X302),N302&gt;0),X302/N302, "") )</f>
        <v/>
      </c>
      <c r="Z302" s="55" t="str">
        <f aca="false">IF(AND(NOT(ISBLANK($C302)), W302=Constants!$B$7), Y302, "")</f>
        <v/>
      </c>
      <c r="AA302" s="55" t="str">
        <f aca="false">IF(ISNUMBER(Z302), RANK(Z302,Z$8:Z$507), "")</f>
        <v/>
      </c>
      <c r="AB302" s="55" t="str">
        <f aca="false">IF(AND(NOT(ISBLANK($C302)), W302=Constants!$B$8), Y302, "")</f>
        <v/>
      </c>
      <c r="AC302" s="55" t="str">
        <f aca="false">IF(ISNUMBER(AB302), RANK(AB302,AB$8:AB$507), "")</f>
        <v/>
      </c>
      <c r="AD302" s="55" t="str">
        <f aca="false">IF(ISBLANK($C302),"",IF(V302&lt;&gt;Constants!$B$14, V302, IF(W302=Constants!$B$7, AA302, IF(W302=Constants!$B$8, COUNT($AA$8:$AA$507) + AC302, ""))))</f>
        <v/>
      </c>
      <c r="AE302" s="55" t="str">
        <f aca="false">N302</f>
        <v/>
      </c>
      <c r="AF302" s="55" t="str">
        <f aca="false">IF(ISNUMBER(AE302), RANK(AE302,AE$8:AE$507,1), "")</f>
        <v/>
      </c>
      <c r="AG302" s="57" t="str">
        <f aca="false">IF(ISBLANK(C302), "", ABS(M302-S302))</f>
        <v/>
      </c>
      <c r="AH302" s="55" t="str">
        <f aca="false">IF(ISNUMBER(AG302), RANK(AG302,AG$8:AG$507,1), "")</f>
        <v/>
      </c>
      <c r="AI302" s="55" t="str">
        <f aca="false">IF(ISBLANK(C302),"",IF(V302&lt;&gt;Constants!$B$14, V302, RANK(AD302, AD$8:AD$507, 1)+ SUMPRODUCT(--(AD$8:AD$507=AD302),--(AF302&gt;AF$8:AF$507)) + SUMPRODUCT(--(AD$8:AD$507=AD302),--(AF302=AF$8:AF$507),--(AH302&gt;AH$8:AH$507))))</f>
        <v/>
      </c>
      <c r="AJ302" s="55" t="str">
        <f aca="false">IF(ISBLANK(C302),"",IF(V302&lt;&gt;Constants!$B$14, V302, AD302-AI302))</f>
        <v/>
      </c>
      <c r="AK302" s="59"/>
      <c r="AL302" s="60" t="str">
        <f aca="false">IF(ISBLANK($C302),"",IF($V302&lt;&gt;Constants!$B$14,$V302,X302))</f>
        <v/>
      </c>
      <c r="AM302" s="60" t="str">
        <f aca="false">IF(ISBLANK($C302),"",IF($V302&lt;&gt;Constants!$B$14,$V302,N302))</f>
        <v/>
      </c>
      <c r="AN302" s="62" t="str">
        <f aca="false">IF(ISBLANK(C302),"",IF(V302&lt;&gt;Constants!$B$14, V302, IF(W302=Constants!$B$7,Z302,IF(W302=Constants!$B$8,AB302,""))))</f>
        <v/>
      </c>
      <c r="AO302" s="63" t="str">
        <f aca="false">IF(ISBLANK(C302),"",W302)</f>
        <v/>
      </c>
      <c r="AP302" s="63" t="str">
        <f aca="false">IF(ISBLANK(C302),"",AJ302)</f>
        <v/>
      </c>
      <c r="AQ302" s="63" t="str">
        <f aca="false">IF(ISBLANK(C302),"",AI302)</f>
        <v/>
      </c>
      <c r="AR302" s="64" t="str">
        <f aca="false">IF(ISBLANK(C302),
  "",
IF(AQ302=Constants!$B$11,COUNTA($C$8:$C$507)+2,IF(AQ302=Constants!$B$12,COUNTA($C$8:$C$507)+1,IF(AQ302=Constants!$B$13,COUNTA($C$8:$C$507),AQ302))))</f>
        <v/>
      </c>
      <c r="AS302" s="3"/>
      <c r="AT302" s="65" t="n">
        <f aca="false">IF(OR(ISNUMBER(AQ302),AQ302="DQ",AQ302="P",AQ302="NS"),
    1,
    0
)</f>
        <v>0</v>
      </c>
      <c r="AU302" s="65" t="n">
        <v>295</v>
      </c>
      <c r="AV302" s="65" t="str">
        <f aca="false">IF(ISBLANK($C302),
    "",
   IF(ISNUMBER(AR302),AR302+ROW($B302)/1000,"")
)</f>
        <v/>
      </c>
      <c r="AW302" s="65" t="str">
        <f aca="false">IF(ISNUMBER(AV302), RANK(AV302,AV$8:AV$507,1), "")</f>
        <v/>
      </c>
      <c r="AX302" s="65" t="str">
        <f aca="false">IF(ISBLANK($C302),
    "",
    $B302
)</f>
        <v/>
      </c>
      <c r="AY302" s="65" t="str">
        <f aca="false">IF(ISBLANK($C302),
    "",
    $C302
)</f>
        <v/>
      </c>
      <c r="AZ302" s="65" t="str">
        <f aca="false">IF(ISBLANK($C302),
    "",
    $D302
)</f>
        <v/>
      </c>
      <c r="BA302" s="65" t="str">
        <f aca="false">AO302</f>
        <v/>
      </c>
      <c r="BB302" s="66" t="str">
        <f aca="false">AN302</f>
        <v/>
      </c>
      <c r="BC302" s="65" t="str">
        <f aca="false">IF(ISBLANK($C302),
    "",
    AQ302
)</f>
        <v/>
      </c>
      <c r="BD302" s="67" t="str">
        <f aca="false">IF(AU302&gt;AT$7,
    "",
    VLOOKUP(AU302,AW$8:BC$507,7,FALSE())
)</f>
        <v/>
      </c>
      <c r="BE302" s="68" t="str">
        <f aca="false">IF(AU302&gt;AT$7,
    "",
    VLOOKUP(AU302,AW$8:BC$507,2,FALSE())
)</f>
        <v/>
      </c>
      <c r="BF302" s="68" t="str">
        <f aca="false">IF(AU302&gt;AT$7,
    "",
    VLOOKUP(AU302,AW$8:BC$507,3,FALSE())
)</f>
        <v/>
      </c>
      <c r="BG302" s="68" t="str">
        <f aca="false">IF(AU302&gt;AT$7,
    "",
    VLOOKUP(AU302,AW$8:BC$507,4,FALSE())
)</f>
        <v/>
      </c>
      <c r="BH302" s="68" t="str">
        <f aca="false">IF(AU302&gt;AT$7,
    "",
    VLOOKUP(AU302,AW$8:BC$507,5,FALSE())
)</f>
        <v/>
      </c>
      <c r="BI302" s="69" t="str">
        <f aca="false">IF(AU302&gt;AT$7,
    "",
    VLOOKUP(AU302,AW$8:BC$507,6,FALSE())
)</f>
        <v/>
      </c>
      <c r="BJ302" s="46"/>
    </row>
    <row r="303" customFormat="false" ht="15.75" hidden="false" customHeight="false" outlineLevel="0" collapsed="false">
      <c r="A303" s="3"/>
      <c r="B303" s="108"/>
      <c r="C303" s="70"/>
      <c r="D303" s="49"/>
      <c r="E303" s="109"/>
      <c r="F303" s="72"/>
      <c r="G303" s="109"/>
      <c r="H303" s="74"/>
      <c r="I303" s="104"/>
      <c r="J303" s="74"/>
      <c r="K303" s="74"/>
      <c r="L303" s="55"/>
      <c r="M303" s="55" t="str">
        <f aca="false">IF(ISBLANK($C303),"",IF(ISBLANK(E303),0,E303))</f>
        <v/>
      </c>
      <c r="N303" s="55" t="str">
        <f aca="false">IF(ISBLANK($C303),"",IF(ISBLANK(F303),0,F303))</f>
        <v/>
      </c>
      <c r="O303" s="55" t="e">
        <f aca="false">IF(AND(NOT(ISBLANK($C303)),NOT($T303),COUNTA($E303:$K303)&gt;0),ISBLANK($F303),FALSE())</f>
        <v>#VALUE!</v>
      </c>
      <c r="P303" s="55" t="str">
        <f aca="false">IF(ISBLANK($C303),"",IF(G303=Constants!$B$9, TRUE(), IF(G303=Constants!$B$10, FALSE(), TRUE())))</f>
        <v/>
      </c>
      <c r="Q303" s="55" t="str">
        <f aca="false">IF(ISBLANK($C303),"",IF(H303=Constants!$B$9, TRUE(), IF(H303=Constants!$B$10, FALSE(), TRUE())))</f>
        <v/>
      </c>
      <c r="R303" s="55" t="str">
        <f aca="false">IF(ISBLANK($C303),"",IF(ISBLANK(I303),Constants!$B$3,I303))</f>
        <v/>
      </c>
      <c r="S303" s="55" t="str">
        <f aca="false">IF(ISBLANK($C303),"",IF(ISBLANK(J303),0,MIN(J303,Constants!$B$6)))</f>
        <v/>
      </c>
      <c r="T303" s="55" t="str">
        <f aca="false">IF(ISBLANK($C303),"",IF(K303=Constants!$B$9, TRUE(), IF(K303=Constants!$B$10, FALSE(),  FALSE())))</f>
        <v/>
      </c>
      <c r="U303" s="55" t="str">
        <f aca="false">IF(ISBLANK($C303),"",AND(R303=Constants!$B$4, S303&lt;Constants!$B$6))</f>
        <v/>
      </c>
      <c r="V303" s="55" t="str">
        <f aca="false">IF(ISBLANK(C303), "", IF(T303, Constants!$B$11, IF(COUNTA(E303:K303)=0, Constants!$B$12, IF(NOT(AND(P303,S303&lt;&gt;0)), Constants!$B$13, IF(O303, Constants!$B$15, Constants!$B$14)))))</f>
        <v/>
      </c>
      <c r="W303" s="55" t="str">
        <f aca="false">IF(OR(ISBLANK($C303), SUMPRODUCT(--(P303:T303&lt;&gt;""))=0), "", IF(V303&lt;&gt;Constants!$B$14, V303, IF(AND(NOT(ISBLANK(J303)),P303,Q303,R303&lt;&gt;Constants!$B$2), Constants!$B$7, IF(AND(P303,OR(NOT(Q303),R303=Constants!$B$2)), Constants!$B$8, "Error"))))</f>
        <v/>
      </c>
      <c r="X303" s="56" t="str">
        <f aca="false">IF(OR(W303=Constants!$B$7,W303=Constants!$B$8), MAX(0, MIN(Constants!$B$6, S303))+IF(AND(R303=Constants!$B$4, NOT(U303)), Constants!$B$5, 0), "")</f>
        <v/>
      </c>
      <c r="Y303" s="55" t="str">
        <f aca="false">IF(ISBLANK($C303),"",IF(AND(ISNUMBER(X303),N303&gt;0),X303/N303, "") )</f>
        <v/>
      </c>
      <c r="Z303" s="55" t="str">
        <f aca="false">IF(AND(NOT(ISBLANK($C303)), W303=Constants!$B$7), Y303, "")</f>
        <v/>
      </c>
      <c r="AA303" s="55" t="str">
        <f aca="false">IF(ISNUMBER(Z303), RANK(Z303,Z$8:Z$507), "")</f>
        <v/>
      </c>
      <c r="AB303" s="55" t="str">
        <f aca="false">IF(AND(NOT(ISBLANK($C303)), W303=Constants!$B$8), Y303, "")</f>
        <v/>
      </c>
      <c r="AC303" s="55" t="str">
        <f aca="false">IF(ISNUMBER(AB303), RANK(AB303,AB$8:AB$507), "")</f>
        <v/>
      </c>
      <c r="AD303" s="55" t="str">
        <f aca="false">IF(ISBLANK($C303),"",IF(V303&lt;&gt;Constants!$B$14, V303, IF(W303=Constants!$B$7, AA303, IF(W303=Constants!$B$8, COUNT($AA$8:$AA$507) + AC303, ""))))</f>
        <v/>
      </c>
      <c r="AE303" s="55" t="str">
        <f aca="false">N303</f>
        <v/>
      </c>
      <c r="AF303" s="55" t="str">
        <f aca="false">IF(ISNUMBER(AE303), RANK(AE303,AE$8:AE$507,1), "")</f>
        <v/>
      </c>
      <c r="AG303" s="57" t="str">
        <f aca="false">IF(ISBLANK(C303), "", ABS(M303-S303))</f>
        <v/>
      </c>
      <c r="AH303" s="55" t="str">
        <f aca="false">IF(ISNUMBER(AG303), RANK(AG303,AG$8:AG$507,1), "")</f>
        <v/>
      </c>
      <c r="AI303" s="55" t="str">
        <f aca="false">IF(ISBLANK(C303),"",IF(V303&lt;&gt;Constants!$B$14, V303, RANK(AD303, AD$8:AD$507, 1)+ SUMPRODUCT(--(AD$8:AD$507=AD303),--(AF303&gt;AF$8:AF$507)) + SUMPRODUCT(--(AD$8:AD$507=AD303),--(AF303=AF$8:AF$507),--(AH303&gt;AH$8:AH$507))))</f>
        <v/>
      </c>
      <c r="AJ303" s="55" t="str">
        <f aca="false">IF(ISBLANK(C303),"",IF(V303&lt;&gt;Constants!$B$14, V303, AD303-AI303))</f>
        <v/>
      </c>
      <c r="AK303" s="59"/>
      <c r="AL303" s="60" t="str">
        <f aca="false">IF(ISBLANK($C303),"",IF($V303&lt;&gt;Constants!$B$14,$V303,X303))</f>
        <v/>
      </c>
      <c r="AM303" s="60" t="str">
        <f aca="false">IF(ISBLANK($C303),"",IF($V303&lt;&gt;Constants!$B$14,$V303,N303))</f>
        <v/>
      </c>
      <c r="AN303" s="62" t="str">
        <f aca="false">IF(ISBLANK(C303),"",IF(V303&lt;&gt;Constants!$B$14, V303, IF(W303=Constants!$B$7,Z303,IF(W303=Constants!$B$8,AB303,""))))</f>
        <v/>
      </c>
      <c r="AO303" s="63" t="str">
        <f aca="false">IF(ISBLANK(C303),"",W303)</f>
        <v/>
      </c>
      <c r="AP303" s="63" t="str">
        <f aca="false">IF(ISBLANK(C303),"",AJ303)</f>
        <v/>
      </c>
      <c r="AQ303" s="63" t="str">
        <f aca="false">IF(ISBLANK(C303),"",AI303)</f>
        <v/>
      </c>
      <c r="AR303" s="64" t="str">
        <f aca="false">IF(ISBLANK(C303),
  "",
IF(AQ303=Constants!$B$11,COUNTA($C$8:$C$507)+2,IF(AQ303=Constants!$B$12,COUNTA($C$8:$C$507)+1,IF(AQ303=Constants!$B$13,COUNTA($C$8:$C$507),AQ303))))</f>
        <v/>
      </c>
      <c r="AS303" s="3"/>
      <c r="AT303" s="65" t="n">
        <f aca="false">IF(OR(ISNUMBER(AQ303),AQ303="DQ",AQ303="P",AQ303="NS"),
    1,
    0
)</f>
        <v>0</v>
      </c>
      <c r="AU303" s="65" t="n">
        <v>296</v>
      </c>
      <c r="AV303" s="65" t="str">
        <f aca="false">IF(ISBLANK($C303),
    "",
   IF(ISNUMBER(AR303),AR303+ROW($B303)/1000,"")
)</f>
        <v/>
      </c>
      <c r="AW303" s="65" t="str">
        <f aca="false">IF(ISNUMBER(AV303), RANK(AV303,AV$8:AV$507,1), "")</f>
        <v/>
      </c>
      <c r="AX303" s="65" t="str">
        <f aca="false">IF(ISBLANK($C303),
    "",
    $B303
)</f>
        <v/>
      </c>
      <c r="AY303" s="65" t="str">
        <f aca="false">IF(ISBLANK($C303),
    "",
    $C303
)</f>
        <v/>
      </c>
      <c r="AZ303" s="65" t="str">
        <f aca="false">IF(ISBLANK($C303),
    "",
    $D303
)</f>
        <v/>
      </c>
      <c r="BA303" s="65" t="str">
        <f aca="false">AO303</f>
        <v/>
      </c>
      <c r="BB303" s="66" t="str">
        <f aca="false">AN303</f>
        <v/>
      </c>
      <c r="BC303" s="65" t="str">
        <f aca="false">IF(ISBLANK($C303),
    "",
    AQ303
)</f>
        <v/>
      </c>
      <c r="BD303" s="67" t="str">
        <f aca="false">IF(AU303&gt;AT$7,
    "",
    VLOOKUP(AU303,AW$8:BC$507,7,FALSE())
)</f>
        <v/>
      </c>
      <c r="BE303" s="68" t="str">
        <f aca="false">IF(AU303&gt;AT$7,
    "",
    VLOOKUP(AU303,AW$8:BC$507,2,FALSE())
)</f>
        <v/>
      </c>
      <c r="BF303" s="68" t="str">
        <f aca="false">IF(AU303&gt;AT$7,
    "",
    VLOOKUP(AU303,AW$8:BC$507,3,FALSE())
)</f>
        <v/>
      </c>
      <c r="BG303" s="68" t="str">
        <f aca="false">IF(AU303&gt;AT$7,
    "",
    VLOOKUP(AU303,AW$8:BC$507,4,FALSE())
)</f>
        <v/>
      </c>
      <c r="BH303" s="68" t="str">
        <f aca="false">IF(AU303&gt;AT$7,
    "",
    VLOOKUP(AU303,AW$8:BC$507,5,FALSE())
)</f>
        <v/>
      </c>
      <c r="BI303" s="69" t="str">
        <f aca="false">IF(AU303&gt;AT$7,
    "",
    VLOOKUP(AU303,AW$8:BC$507,6,FALSE())
)</f>
        <v/>
      </c>
      <c r="BJ303" s="46"/>
    </row>
    <row r="304" customFormat="false" ht="15.75" hidden="false" customHeight="false" outlineLevel="0" collapsed="false">
      <c r="A304" s="3"/>
      <c r="B304" s="108"/>
      <c r="C304" s="70"/>
      <c r="D304" s="49"/>
      <c r="E304" s="109"/>
      <c r="F304" s="72"/>
      <c r="G304" s="109"/>
      <c r="H304" s="74"/>
      <c r="I304" s="104"/>
      <c r="J304" s="74"/>
      <c r="K304" s="74"/>
      <c r="L304" s="55"/>
      <c r="M304" s="55" t="str">
        <f aca="false">IF(ISBLANK($C304),"",IF(ISBLANK(E304),0,E304))</f>
        <v/>
      </c>
      <c r="N304" s="55" t="str">
        <f aca="false">IF(ISBLANK($C304),"",IF(ISBLANK(F304),0,F304))</f>
        <v/>
      </c>
      <c r="O304" s="55" t="e">
        <f aca="false">IF(AND(NOT(ISBLANK($C304)),NOT($T304),COUNTA($E304:$K304)&gt;0),ISBLANK($F304),FALSE())</f>
        <v>#VALUE!</v>
      </c>
      <c r="P304" s="55" t="str">
        <f aca="false">IF(ISBLANK($C304),"",IF(G304=Constants!$B$9, TRUE(), IF(G304=Constants!$B$10, FALSE(), TRUE())))</f>
        <v/>
      </c>
      <c r="Q304" s="55" t="str">
        <f aca="false">IF(ISBLANK($C304),"",IF(H304=Constants!$B$9, TRUE(), IF(H304=Constants!$B$10, FALSE(), TRUE())))</f>
        <v/>
      </c>
      <c r="R304" s="55" t="str">
        <f aca="false">IF(ISBLANK($C304),"",IF(ISBLANK(I304),Constants!$B$3,I304))</f>
        <v/>
      </c>
      <c r="S304" s="55" t="str">
        <f aca="false">IF(ISBLANK($C304),"",IF(ISBLANK(J304),0,MIN(J304,Constants!$B$6)))</f>
        <v/>
      </c>
      <c r="T304" s="55" t="str">
        <f aca="false">IF(ISBLANK($C304),"",IF(K304=Constants!$B$9, TRUE(), IF(K304=Constants!$B$10, FALSE(),  FALSE())))</f>
        <v/>
      </c>
      <c r="U304" s="55" t="str">
        <f aca="false">IF(ISBLANK($C304),"",AND(R304=Constants!$B$4, S304&lt;Constants!$B$6))</f>
        <v/>
      </c>
      <c r="V304" s="55" t="str">
        <f aca="false">IF(ISBLANK(C304), "", IF(T304, Constants!$B$11, IF(COUNTA(E304:K304)=0, Constants!$B$12, IF(NOT(AND(P304,S304&lt;&gt;0)), Constants!$B$13, IF(O304, Constants!$B$15, Constants!$B$14)))))</f>
        <v/>
      </c>
      <c r="W304" s="55" t="str">
        <f aca="false">IF(OR(ISBLANK($C304), SUMPRODUCT(--(P304:T304&lt;&gt;""))=0), "", IF(V304&lt;&gt;Constants!$B$14, V304, IF(AND(NOT(ISBLANK(J304)),P304,Q304,R304&lt;&gt;Constants!$B$2), Constants!$B$7, IF(AND(P304,OR(NOT(Q304),R304=Constants!$B$2)), Constants!$B$8, "Error"))))</f>
        <v/>
      </c>
      <c r="X304" s="56" t="str">
        <f aca="false">IF(OR(W304=Constants!$B$7,W304=Constants!$B$8), MAX(0, MIN(Constants!$B$6, S304))+IF(AND(R304=Constants!$B$4, NOT(U304)), Constants!$B$5, 0), "")</f>
        <v/>
      </c>
      <c r="Y304" s="55" t="str">
        <f aca="false">IF(ISBLANK($C304),"",IF(AND(ISNUMBER(X304),N304&gt;0),X304/N304, "") )</f>
        <v/>
      </c>
      <c r="Z304" s="55" t="str">
        <f aca="false">IF(AND(NOT(ISBLANK($C304)), W304=Constants!$B$7), Y304, "")</f>
        <v/>
      </c>
      <c r="AA304" s="55" t="str">
        <f aca="false">IF(ISNUMBER(Z304), RANK(Z304,Z$8:Z$507), "")</f>
        <v/>
      </c>
      <c r="AB304" s="55" t="str">
        <f aca="false">IF(AND(NOT(ISBLANK($C304)), W304=Constants!$B$8), Y304, "")</f>
        <v/>
      </c>
      <c r="AC304" s="55" t="str">
        <f aca="false">IF(ISNUMBER(AB304), RANK(AB304,AB$8:AB$507), "")</f>
        <v/>
      </c>
      <c r="AD304" s="55" t="str">
        <f aca="false">IF(ISBLANK($C304),"",IF(V304&lt;&gt;Constants!$B$14, V304, IF(W304=Constants!$B$7, AA304, IF(W304=Constants!$B$8, COUNT($AA$8:$AA$507) + AC304, ""))))</f>
        <v/>
      </c>
      <c r="AE304" s="55" t="str">
        <f aca="false">N304</f>
        <v/>
      </c>
      <c r="AF304" s="55" t="str">
        <f aca="false">IF(ISNUMBER(AE304), RANK(AE304,AE$8:AE$507,1), "")</f>
        <v/>
      </c>
      <c r="AG304" s="57" t="str">
        <f aca="false">IF(ISBLANK(C304), "", ABS(M304-S304))</f>
        <v/>
      </c>
      <c r="AH304" s="55" t="str">
        <f aca="false">IF(ISNUMBER(AG304), RANK(AG304,AG$8:AG$507,1), "")</f>
        <v/>
      </c>
      <c r="AI304" s="55" t="str">
        <f aca="false">IF(ISBLANK(C304),"",IF(V304&lt;&gt;Constants!$B$14, V304, RANK(AD304, AD$8:AD$507, 1)+ SUMPRODUCT(--(AD$8:AD$507=AD304),--(AF304&gt;AF$8:AF$507)) + SUMPRODUCT(--(AD$8:AD$507=AD304),--(AF304=AF$8:AF$507),--(AH304&gt;AH$8:AH$507))))</f>
        <v/>
      </c>
      <c r="AJ304" s="55" t="str">
        <f aca="false">IF(ISBLANK(C304),"",IF(V304&lt;&gt;Constants!$B$14, V304, AD304-AI304))</f>
        <v/>
      </c>
      <c r="AK304" s="59"/>
      <c r="AL304" s="60" t="str">
        <f aca="false">IF(ISBLANK($C304),"",IF($V304&lt;&gt;Constants!$B$14,$V304,X304))</f>
        <v/>
      </c>
      <c r="AM304" s="60" t="str">
        <f aca="false">IF(ISBLANK($C304),"",IF($V304&lt;&gt;Constants!$B$14,$V304,N304))</f>
        <v/>
      </c>
      <c r="AN304" s="62" t="str">
        <f aca="false">IF(ISBLANK(C304),"",IF(V304&lt;&gt;Constants!$B$14, V304, IF(W304=Constants!$B$7,Z304,IF(W304=Constants!$B$8,AB304,""))))</f>
        <v/>
      </c>
      <c r="AO304" s="63" t="str">
        <f aca="false">IF(ISBLANK(C304),"",W304)</f>
        <v/>
      </c>
      <c r="AP304" s="63" t="str">
        <f aca="false">IF(ISBLANK(C304),"",AJ304)</f>
        <v/>
      </c>
      <c r="AQ304" s="63" t="str">
        <f aca="false">IF(ISBLANK(C304),"",AI304)</f>
        <v/>
      </c>
      <c r="AR304" s="64" t="str">
        <f aca="false">IF(ISBLANK(C304),
  "",
IF(AQ304=Constants!$B$11,COUNTA($C$8:$C$507)+2,IF(AQ304=Constants!$B$12,COUNTA($C$8:$C$507)+1,IF(AQ304=Constants!$B$13,COUNTA($C$8:$C$507),AQ304))))</f>
        <v/>
      </c>
      <c r="AS304" s="3"/>
      <c r="AT304" s="65" t="n">
        <f aca="false">IF(OR(ISNUMBER(AQ304),AQ304="DQ",AQ304="P",AQ304="NS"),
    1,
    0
)</f>
        <v>0</v>
      </c>
      <c r="AU304" s="65" t="n">
        <v>297</v>
      </c>
      <c r="AV304" s="65" t="str">
        <f aca="false">IF(ISBLANK($C304),
    "",
   IF(ISNUMBER(AR304),AR304+ROW($B304)/1000,"")
)</f>
        <v/>
      </c>
      <c r="AW304" s="65" t="str">
        <f aca="false">IF(ISNUMBER(AV304), RANK(AV304,AV$8:AV$507,1), "")</f>
        <v/>
      </c>
      <c r="AX304" s="65" t="str">
        <f aca="false">IF(ISBLANK($C304),
    "",
    $B304
)</f>
        <v/>
      </c>
      <c r="AY304" s="65" t="str">
        <f aca="false">IF(ISBLANK($C304),
    "",
    $C304
)</f>
        <v/>
      </c>
      <c r="AZ304" s="65" t="str">
        <f aca="false">IF(ISBLANK($C304),
    "",
    $D304
)</f>
        <v/>
      </c>
      <c r="BA304" s="65" t="str">
        <f aca="false">AO304</f>
        <v/>
      </c>
      <c r="BB304" s="66" t="str">
        <f aca="false">AN304</f>
        <v/>
      </c>
      <c r="BC304" s="65" t="str">
        <f aca="false">IF(ISBLANK($C304),
    "",
    AQ304
)</f>
        <v/>
      </c>
      <c r="BD304" s="67" t="str">
        <f aca="false">IF(AU304&gt;AT$7,
    "",
    VLOOKUP(AU304,AW$8:BC$507,7,FALSE())
)</f>
        <v/>
      </c>
      <c r="BE304" s="68" t="str">
        <f aca="false">IF(AU304&gt;AT$7,
    "",
    VLOOKUP(AU304,AW$8:BC$507,2,FALSE())
)</f>
        <v/>
      </c>
      <c r="BF304" s="68" t="str">
        <f aca="false">IF(AU304&gt;AT$7,
    "",
    VLOOKUP(AU304,AW$8:BC$507,3,FALSE())
)</f>
        <v/>
      </c>
      <c r="BG304" s="68" t="str">
        <f aca="false">IF(AU304&gt;AT$7,
    "",
    VLOOKUP(AU304,AW$8:BC$507,4,FALSE())
)</f>
        <v/>
      </c>
      <c r="BH304" s="68" t="str">
        <f aca="false">IF(AU304&gt;AT$7,
    "",
    VLOOKUP(AU304,AW$8:BC$507,5,FALSE())
)</f>
        <v/>
      </c>
      <c r="BI304" s="69" t="str">
        <f aca="false">IF(AU304&gt;AT$7,
    "",
    VLOOKUP(AU304,AW$8:BC$507,6,FALSE())
)</f>
        <v/>
      </c>
      <c r="BJ304" s="46"/>
    </row>
    <row r="305" customFormat="false" ht="15.75" hidden="false" customHeight="false" outlineLevel="0" collapsed="false">
      <c r="A305" s="3"/>
      <c r="B305" s="105"/>
      <c r="C305" s="106"/>
      <c r="D305" s="99"/>
      <c r="E305" s="110"/>
      <c r="F305" s="107"/>
      <c r="G305" s="110"/>
      <c r="H305" s="103"/>
      <c r="I305" s="102"/>
      <c r="J305" s="103"/>
      <c r="K305" s="103"/>
      <c r="L305" s="85"/>
      <c r="M305" s="85" t="str">
        <f aca="false">IF(ISBLANK($C305),"",IF(ISBLANK(E305),0,E305))</f>
        <v/>
      </c>
      <c r="N305" s="85" t="str">
        <f aca="false">IF(ISBLANK($C305),"",IF(ISBLANK(F305),0,F305))</f>
        <v/>
      </c>
      <c r="O305" s="86" t="e">
        <f aca="false">IF(AND(NOT(ISBLANK($C305)),NOT($T305),COUNTA($E305:$K305)&gt;0),ISBLANK($F305),FALSE())</f>
        <v>#VALUE!</v>
      </c>
      <c r="P305" s="85" t="str">
        <f aca="false">IF(ISBLANK($C305),"",IF(G305=Constants!$B$9, TRUE(), IF(G305=Constants!$B$10, FALSE(), TRUE())))</f>
        <v/>
      </c>
      <c r="Q305" s="85" t="str">
        <f aca="false">IF(ISBLANK($C305),"",IF(H305=Constants!$B$9, TRUE(), IF(H305=Constants!$B$10, FALSE(), TRUE())))</f>
        <v/>
      </c>
      <c r="R305" s="85" t="str">
        <f aca="false">IF(ISBLANK($C305),"",IF(ISBLANK(I305),Constants!$B$3,I305))</f>
        <v/>
      </c>
      <c r="S305" s="85" t="str">
        <f aca="false">IF(ISBLANK($C305),"",IF(ISBLANK(J305),0,MIN(J305,Constants!$B$6)))</f>
        <v/>
      </c>
      <c r="T305" s="85" t="str">
        <f aca="false">IF(ISBLANK($C305),"",IF(K305=Constants!$B$9, TRUE(), IF(K305=Constants!$B$10, FALSE(),  FALSE())))</f>
        <v/>
      </c>
      <c r="U305" s="85" t="str">
        <f aca="false">IF(ISBLANK($C305),"",AND(R305=Constants!$B$4, S305&lt;Constants!$B$6))</f>
        <v/>
      </c>
      <c r="V305" s="85" t="str">
        <f aca="false">IF(ISBLANK(C305), "", IF(T305, Constants!$B$11, IF(COUNTA(E305:K305)=0, Constants!$B$12, IF(NOT(AND(P305,S305&lt;&gt;0)), Constants!$B$13, IF(O305, Constants!$B$15, Constants!$B$14)))))</f>
        <v/>
      </c>
      <c r="W305" s="85" t="str">
        <f aca="false">IF(OR(ISBLANK($C305), SUMPRODUCT(--(P305:T305&lt;&gt;""))=0), "", IF(V305&lt;&gt;Constants!$B$14, V305, IF(AND(NOT(ISBLANK(J305)),P305,Q305,R305&lt;&gt;Constants!$B$2), Constants!$B$7, IF(AND(P305,OR(NOT(Q305),R305=Constants!$B$2)), Constants!$B$8, "Error"))))</f>
        <v/>
      </c>
      <c r="X305" s="87" t="str">
        <f aca="false">IF(OR(W305=Constants!$B$7,W305=Constants!$B$8), MAX(0, MIN(Constants!$B$6, S305))+IF(AND(R305=Constants!$B$4, NOT(U305)), Constants!$B$5, 0), "")</f>
        <v/>
      </c>
      <c r="Y305" s="85" t="str">
        <f aca="false">IF(ISBLANK($C305),"",IF(AND(ISNUMBER(X305),N305&gt;0),X305/N305, "") )</f>
        <v/>
      </c>
      <c r="Z305" s="85" t="str">
        <f aca="false">IF(AND(NOT(ISBLANK($C305)), W305=Constants!$B$7), Y305, "")</f>
        <v/>
      </c>
      <c r="AA305" s="85" t="str">
        <f aca="false">IF(ISNUMBER(Z305), RANK(Z305,Z$8:Z$507), "")</f>
        <v/>
      </c>
      <c r="AB305" s="85" t="str">
        <f aca="false">IF(AND(NOT(ISBLANK($C305)), W305=Constants!$B$8), Y305, "")</f>
        <v/>
      </c>
      <c r="AC305" s="85" t="str">
        <f aca="false">IF(ISNUMBER(AB305), RANK(AB305,AB$8:AB$507), "")</f>
        <v/>
      </c>
      <c r="AD305" s="85" t="str">
        <f aca="false">IF(ISBLANK($C305),"",IF(V305&lt;&gt;Constants!$B$14, V305, IF(W305=Constants!$B$7, AA305, IF(W305=Constants!$B$8, COUNT($AA$8:$AA$507) + AC305, ""))))</f>
        <v/>
      </c>
      <c r="AE305" s="85" t="str">
        <f aca="false">N305</f>
        <v/>
      </c>
      <c r="AF305" s="85" t="str">
        <f aca="false">IF(ISNUMBER(AE305), RANK(AE305,AE$8:AE$507,1), "")</f>
        <v/>
      </c>
      <c r="AG305" s="88" t="str">
        <f aca="false">IF(ISBLANK(C305), "", ABS(M305-S305))</f>
        <v/>
      </c>
      <c r="AH305" s="85" t="str">
        <f aca="false">IF(ISNUMBER(AG305), RANK(AG305,AG$8:AG$507,1), "")</f>
        <v/>
      </c>
      <c r="AI305" s="85" t="str">
        <f aca="false">IF(ISBLANK(C305),"",IF(V305&lt;&gt;Constants!$B$14, V305, RANK(AD305, AD$8:AD$507, 1)+ SUMPRODUCT(--(AD$8:AD$507=AD305),--(AF305&gt;AF$8:AF$507)) + SUMPRODUCT(--(AD$8:AD$507=AD305),--(AF305=AF$8:AF$507),--(AH305&gt;AH$8:AH$507))))</f>
        <v/>
      </c>
      <c r="AJ305" s="85" t="str">
        <f aca="false">IF(ISBLANK(C305),"",IF(V305&lt;&gt;Constants!$B$14, V305, AD305-AI305))</f>
        <v/>
      </c>
      <c r="AK305" s="89"/>
      <c r="AL305" s="90" t="str">
        <f aca="false">IF(ISBLANK($C305),"",IF($V305&lt;&gt;Constants!$B$14,$V305,X305))</f>
        <v/>
      </c>
      <c r="AM305" s="90" t="str">
        <f aca="false">IF(ISBLANK($C305),"",IF($V305&lt;&gt;Constants!$B$14,$V305,N305))</f>
        <v/>
      </c>
      <c r="AN305" s="91" t="str">
        <f aca="false">IF(ISBLANK(C305),"",IF(V305&lt;&gt;Constants!$B$14, V305, IF(W305=Constants!$B$7,Z305,IF(W305=Constants!$B$8,AB305,""))))</f>
        <v/>
      </c>
      <c r="AO305" s="92" t="str">
        <f aca="false">IF(ISBLANK(C305),"",W305)</f>
        <v/>
      </c>
      <c r="AP305" s="92" t="str">
        <f aca="false">IF(ISBLANK(C305),"",AJ305)</f>
        <v/>
      </c>
      <c r="AQ305" s="92" t="str">
        <f aca="false">IF(ISBLANK(C305),"",AI305)</f>
        <v/>
      </c>
      <c r="AR305" s="93" t="str">
        <f aca="false">IF(ISBLANK(C305),
  "",
IF(AQ305=Constants!$B$11,COUNTA($C$8:$C$507)+2,IF(AQ305=Constants!$B$12,COUNTA($C$8:$C$507)+1,IF(AQ305=Constants!$B$13,COUNTA($C$8:$C$507),AQ305))))</f>
        <v/>
      </c>
      <c r="AS305" s="3"/>
      <c r="AT305" s="94" t="n">
        <f aca="false">IF(OR(ISNUMBER(AQ305),AQ305="DQ",AQ305="P",AQ305="NS"),
    1,
    0
)</f>
        <v>0</v>
      </c>
      <c r="AU305" s="94" t="n">
        <v>298</v>
      </c>
      <c r="AV305" s="94" t="str">
        <f aca="false">IF(ISBLANK($C305),
    "",
   IF(ISNUMBER(AR305),AR305+ROW($B305)/1000,"")
)</f>
        <v/>
      </c>
      <c r="AW305" s="94" t="str">
        <f aca="false">IF(ISNUMBER(AV305), RANK(AV305,AV$8:AV$507,1), "")</f>
        <v/>
      </c>
      <c r="AX305" s="94" t="str">
        <f aca="false">IF(ISBLANK($C305),
    "",
    $B305
)</f>
        <v/>
      </c>
      <c r="AY305" s="94" t="str">
        <f aca="false">IF(ISBLANK($C305),
    "",
    $C305
)</f>
        <v/>
      </c>
      <c r="AZ305" s="94" t="str">
        <f aca="false">IF(ISBLANK($C305),
    "",
    $D305
)</f>
        <v/>
      </c>
      <c r="BA305" s="94" t="str">
        <f aca="false">AO305</f>
        <v/>
      </c>
      <c r="BB305" s="95" t="str">
        <f aca="false">AN305</f>
        <v/>
      </c>
      <c r="BC305" s="94" t="str">
        <f aca="false">IF(ISBLANK($C305),
    "",
    AQ305
)</f>
        <v/>
      </c>
      <c r="BD305" s="96" t="str">
        <f aca="false">IF(AU305&gt;AT$7,
    "",
    VLOOKUP(AU305,AW$8:BC$507,7,FALSE())
)</f>
        <v/>
      </c>
      <c r="BE305" s="97" t="str">
        <f aca="false">IF(AU305&gt;AT$7,
    "",
    VLOOKUP(AU305,AW$8:BC$507,2,FALSE())
)</f>
        <v/>
      </c>
      <c r="BF305" s="97" t="str">
        <f aca="false">IF(AU305&gt;AT$7,
    "",
    VLOOKUP(AU305,AW$8:BC$507,3,FALSE())
)</f>
        <v/>
      </c>
      <c r="BG305" s="97" t="str">
        <f aca="false">IF(AU305&gt;AT$7,
    "",
    VLOOKUP(AU305,AW$8:BC$507,4,FALSE())
)</f>
        <v/>
      </c>
      <c r="BH305" s="97" t="str">
        <f aca="false">IF(AU305&gt;AT$7,
    "",
    VLOOKUP(AU305,AW$8:BC$507,5,FALSE())
)</f>
        <v/>
      </c>
      <c r="BI305" s="98" t="str">
        <f aca="false">IF(AU305&gt;AT$7,
    "",
    VLOOKUP(AU305,AW$8:BC$507,6,FALSE())
)</f>
        <v/>
      </c>
      <c r="BJ305" s="46"/>
    </row>
    <row r="306" customFormat="false" ht="15.75" hidden="false" customHeight="false" outlineLevel="0" collapsed="false">
      <c r="A306" s="3"/>
      <c r="B306" s="105"/>
      <c r="C306" s="106"/>
      <c r="D306" s="99"/>
      <c r="E306" s="110"/>
      <c r="F306" s="107"/>
      <c r="G306" s="110"/>
      <c r="H306" s="103"/>
      <c r="I306" s="102"/>
      <c r="J306" s="103"/>
      <c r="K306" s="103"/>
      <c r="L306" s="85"/>
      <c r="M306" s="85" t="str">
        <f aca="false">IF(ISBLANK($C306),"",IF(ISBLANK(E306),0,E306))</f>
        <v/>
      </c>
      <c r="N306" s="85" t="str">
        <f aca="false">IF(ISBLANK($C306),"",IF(ISBLANK(F306),0,F306))</f>
        <v/>
      </c>
      <c r="O306" s="86" t="e">
        <f aca="false">IF(AND(NOT(ISBLANK($C306)),NOT($T306),COUNTA($E306:$K306)&gt;0),ISBLANK($F306),FALSE())</f>
        <v>#VALUE!</v>
      </c>
      <c r="P306" s="85" t="str">
        <f aca="false">IF(ISBLANK($C306),"",IF(G306=Constants!$B$9, TRUE(), IF(G306=Constants!$B$10, FALSE(), TRUE())))</f>
        <v/>
      </c>
      <c r="Q306" s="85" t="str">
        <f aca="false">IF(ISBLANK($C306),"",IF(H306=Constants!$B$9, TRUE(), IF(H306=Constants!$B$10, FALSE(), TRUE())))</f>
        <v/>
      </c>
      <c r="R306" s="85" t="str">
        <f aca="false">IF(ISBLANK($C306),"",IF(ISBLANK(I306),Constants!$B$3,I306))</f>
        <v/>
      </c>
      <c r="S306" s="85" t="str">
        <f aca="false">IF(ISBLANK($C306),"",IF(ISBLANK(J306),0,MIN(J306,Constants!$B$6)))</f>
        <v/>
      </c>
      <c r="T306" s="85" t="str">
        <f aca="false">IF(ISBLANK($C306),"",IF(K306=Constants!$B$9, TRUE(), IF(K306=Constants!$B$10, FALSE(),  FALSE())))</f>
        <v/>
      </c>
      <c r="U306" s="85" t="str">
        <f aca="false">IF(ISBLANK($C306),"",AND(R306=Constants!$B$4, S306&lt;Constants!$B$6))</f>
        <v/>
      </c>
      <c r="V306" s="85" t="str">
        <f aca="false">IF(ISBLANK(C306), "", IF(T306, Constants!$B$11, IF(COUNTA(E306:K306)=0, Constants!$B$12, IF(NOT(AND(P306,S306&lt;&gt;0)), Constants!$B$13, IF(O306, Constants!$B$15, Constants!$B$14)))))</f>
        <v/>
      </c>
      <c r="W306" s="85" t="str">
        <f aca="false">IF(OR(ISBLANK($C306), SUMPRODUCT(--(P306:T306&lt;&gt;""))=0), "", IF(V306&lt;&gt;Constants!$B$14, V306, IF(AND(NOT(ISBLANK(J306)),P306,Q306,R306&lt;&gt;Constants!$B$2), Constants!$B$7, IF(AND(P306,OR(NOT(Q306),R306=Constants!$B$2)), Constants!$B$8, "Error"))))</f>
        <v/>
      </c>
      <c r="X306" s="87" t="str">
        <f aca="false">IF(OR(W306=Constants!$B$7,W306=Constants!$B$8), MAX(0, MIN(Constants!$B$6, S306))+IF(AND(R306=Constants!$B$4, NOT(U306)), Constants!$B$5, 0), "")</f>
        <v/>
      </c>
      <c r="Y306" s="85" t="str">
        <f aca="false">IF(ISBLANK($C306),"",IF(AND(ISNUMBER(X306),N306&gt;0),X306/N306, "") )</f>
        <v/>
      </c>
      <c r="Z306" s="85" t="str">
        <f aca="false">IF(AND(NOT(ISBLANK($C306)), W306=Constants!$B$7), Y306, "")</f>
        <v/>
      </c>
      <c r="AA306" s="85" t="str">
        <f aca="false">IF(ISNUMBER(Z306), RANK(Z306,Z$8:Z$507), "")</f>
        <v/>
      </c>
      <c r="AB306" s="85" t="str">
        <f aca="false">IF(AND(NOT(ISBLANK($C306)), W306=Constants!$B$8), Y306, "")</f>
        <v/>
      </c>
      <c r="AC306" s="85" t="str">
        <f aca="false">IF(ISNUMBER(AB306), RANK(AB306,AB$8:AB$507), "")</f>
        <v/>
      </c>
      <c r="AD306" s="85" t="str">
        <f aca="false">IF(ISBLANK($C306),"",IF(V306&lt;&gt;Constants!$B$14, V306, IF(W306=Constants!$B$7, AA306, IF(W306=Constants!$B$8, COUNT($AA$8:$AA$507) + AC306, ""))))</f>
        <v/>
      </c>
      <c r="AE306" s="85" t="str">
        <f aca="false">N306</f>
        <v/>
      </c>
      <c r="AF306" s="85" t="str">
        <f aca="false">IF(ISNUMBER(AE306), RANK(AE306,AE$8:AE$507,1), "")</f>
        <v/>
      </c>
      <c r="AG306" s="88" t="str">
        <f aca="false">IF(ISBLANK(C306), "", ABS(M306-S306))</f>
        <v/>
      </c>
      <c r="AH306" s="85" t="str">
        <f aca="false">IF(ISNUMBER(AG306), RANK(AG306,AG$8:AG$507,1), "")</f>
        <v/>
      </c>
      <c r="AI306" s="85" t="str">
        <f aca="false">IF(ISBLANK(C306),"",IF(V306&lt;&gt;Constants!$B$14, V306, RANK(AD306, AD$8:AD$507, 1)+ SUMPRODUCT(--(AD$8:AD$507=AD306),--(AF306&gt;AF$8:AF$507)) + SUMPRODUCT(--(AD$8:AD$507=AD306),--(AF306=AF$8:AF$507),--(AH306&gt;AH$8:AH$507))))</f>
        <v/>
      </c>
      <c r="AJ306" s="85" t="str">
        <f aca="false">IF(ISBLANK(C306),"",IF(V306&lt;&gt;Constants!$B$14, V306, AD306-AI306))</f>
        <v/>
      </c>
      <c r="AK306" s="89"/>
      <c r="AL306" s="90" t="str">
        <f aca="false">IF(ISBLANK($C306),"",IF($V306&lt;&gt;Constants!$B$14,$V306,X306))</f>
        <v/>
      </c>
      <c r="AM306" s="90" t="str">
        <f aca="false">IF(ISBLANK($C306),"",IF($V306&lt;&gt;Constants!$B$14,$V306,N306))</f>
        <v/>
      </c>
      <c r="AN306" s="91" t="str">
        <f aca="false">IF(ISBLANK(C306),"",IF(V306&lt;&gt;Constants!$B$14, V306, IF(W306=Constants!$B$7,Z306,IF(W306=Constants!$B$8,AB306,""))))</f>
        <v/>
      </c>
      <c r="AO306" s="92" t="str">
        <f aca="false">IF(ISBLANK(C306),"",W306)</f>
        <v/>
      </c>
      <c r="AP306" s="92" t="str">
        <f aca="false">IF(ISBLANK(C306),"",AJ306)</f>
        <v/>
      </c>
      <c r="AQ306" s="92" t="str">
        <f aca="false">IF(ISBLANK(C306),"",AI306)</f>
        <v/>
      </c>
      <c r="AR306" s="93" t="str">
        <f aca="false">IF(ISBLANK(C306),
  "",
IF(AQ306=Constants!$B$11,COUNTA($C$8:$C$507)+2,IF(AQ306=Constants!$B$12,COUNTA($C$8:$C$507)+1,IF(AQ306=Constants!$B$13,COUNTA($C$8:$C$507),AQ306))))</f>
        <v/>
      </c>
      <c r="AS306" s="3"/>
      <c r="AT306" s="94" t="n">
        <f aca="false">IF(OR(ISNUMBER(AQ306),AQ306="DQ",AQ306="P",AQ306="NS"),
    1,
    0
)</f>
        <v>0</v>
      </c>
      <c r="AU306" s="94" t="n">
        <v>299</v>
      </c>
      <c r="AV306" s="94" t="str">
        <f aca="false">IF(ISBLANK($C306),
    "",
   IF(ISNUMBER(AR306),AR306+ROW($B306)/1000,"")
)</f>
        <v/>
      </c>
      <c r="AW306" s="94" t="str">
        <f aca="false">IF(ISNUMBER(AV306), RANK(AV306,AV$8:AV$507,1), "")</f>
        <v/>
      </c>
      <c r="AX306" s="94" t="str">
        <f aca="false">IF(ISBLANK($C306),
    "",
    $B306
)</f>
        <v/>
      </c>
      <c r="AY306" s="94" t="str">
        <f aca="false">IF(ISBLANK($C306),
    "",
    $C306
)</f>
        <v/>
      </c>
      <c r="AZ306" s="94" t="str">
        <f aca="false">IF(ISBLANK($C306),
    "",
    $D306
)</f>
        <v/>
      </c>
      <c r="BA306" s="94" t="str">
        <f aca="false">AO306</f>
        <v/>
      </c>
      <c r="BB306" s="95" t="str">
        <f aca="false">AN306</f>
        <v/>
      </c>
      <c r="BC306" s="94" t="str">
        <f aca="false">IF(ISBLANK($C306),
    "",
    AQ306
)</f>
        <v/>
      </c>
      <c r="BD306" s="96" t="str">
        <f aca="false">IF(AU306&gt;AT$7,
    "",
    VLOOKUP(AU306,AW$8:BC$507,7,FALSE())
)</f>
        <v/>
      </c>
      <c r="BE306" s="97" t="str">
        <f aca="false">IF(AU306&gt;AT$7,
    "",
    VLOOKUP(AU306,AW$8:BC$507,2,FALSE())
)</f>
        <v/>
      </c>
      <c r="BF306" s="97" t="str">
        <f aca="false">IF(AU306&gt;AT$7,
    "",
    VLOOKUP(AU306,AW$8:BC$507,3,FALSE())
)</f>
        <v/>
      </c>
      <c r="BG306" s="97" t="str">
        <f aca="false">IF(AU306&gt;AT$7,
    "",
    VLOOKUP(AU306,AW$8:BC$507,4,FALSE())
)</f>
        <v/>
      </c>
      <c r="BH306" s="97" t="str">
        <f aca="false">IF(AU306&gt;AT$7,
    "",
    VLOOKUP(AU306,AW$8:BC$507,5,FALSE())
)</f>
        <v/>
      </c>
      <c r="BI306" s="98" t="str">
        <f aca="false">IF(AU306&gt;AT$7,
    "",
    VLOOKUP(AU306,AW$8:BC$507,6,FALSE())
)</f>
        <v/>
      </c>
      <c r="BJ306" s="46"/>
    </row>
    <row r="307" customFormat="false" ht="15.75" hidden="false" customHeight="false" outlineLevel="0" collapsed="false">
      <c r="A307" s="3"/>
      <c r="B307" s="105"/>
      <c r="C307" s="106"/>
      <c r="D307" s="99"/>
      <c r="E307" s="110"/>
      <c r="F307" s="107"/>
      <c r="G307" s="110"/>
      <c r="H307" s="103"/>
      <c r="I307" s="102"/>
      <c r="J307" s="103"/>
      <c r="K307" s="103"/>
      <c r="L307" s="85"/>
      <c r="M307" s="85" t="str">
        <f aca="false">IF(ISBLANK($C307),"",IF(ISBLANK(E307),0,E307))</f>
        <v/>
      </c>
      <c r="N307" s="85" t="str">
        <f aca="false">IF(ISBLANK($C307),"",IF(ISBLANK(F307),0,F307))</f>
        <v/>
      </c>
      <c r="O307" s="86" t="e">
        <f aca="false">IF(AND(NOT(ISBLANK($C307)),NOT($T307),COUNTA($E307:$K307)&gt;0),ISBLANK($F307),FALSE())</f>
        <v>#VALUE!</v>
      </c>
      <c r="P307" s="85" t="str">
        <f aca="false">IF(ISBLANK($C307),"",IF(G307=Constants!$B$9, TRUE(), IF(G307=Constants!$B$10, FALSE(), TRUE())))</f>
        <v/>
      </c>
      <c r="Q307" s="85" t="str">
        <f aca="false">IF(ISBLANK($C307),"",IF(H307=Constants!$B$9, TRUE(), IF(H307=Constants!$B$10, FALSE(), TRUE())))</f>
        <v/>
      </c>
      <c r="R307" s="85" t="str">
        <f aca="false">IF(ISBLANK($C307),"",IF(ISBLANK(I307),Constants!$B$3,I307))</f>
        <v/>
      </c>
      <c r="S307" s="85" t="str">
        <f aca="false">IF(ISBLANK($C307),"",IF(ISBLANK(J307),0,MIN(J307,Constants!$B$6)))</f>
        <v/>
      </c>
      <c r="T307" s="85" t="str">
        <f aca="false">IF(ISBLANK($C307),"",IF(K307=Constants!$B$9, TRUE(), IF(K307=Constants!$B$10, FALSE(),  FALSE())))</f>
        <v/>
      </c>
      <c r="U307" s="85" t="str">
        <f aca="false">IF(ISBLANK($C307),"",AND(R307=Constants!$B$4, S307&lt;Constants!$B$6))</f>
        <v/>
      </c>
      <c r="V307" s="85" t="str">
        <f aca="false">IF(ISBLANK(C307), "", IF(T307, Constants!$B$11, IF(COUNTA(E307:K307)=0, Constants!$B$12, IF(NOT(AND(P307,S307&lt;&gt;0)), Constants!$B$13, IF(O307, Constants!$B$15, Constants!$B$14)))))</f>
        <v/>
      </c>
      <c r="W307" s="85" t="str">
        <f aca="false">IF(OR(ISBLANK($C307), SUMPRODUCT(--(P307:T307&lt;&gt;""))=0), "", IF(V307&lt;&gt;Constants!$B$14, V307, IF(AND(NOT(ISBLANK(J307)),P307,Q307,R307&lt;&gt;Constants!$B$2), Constants!$B$7, IF(AND(P307,OR(NOT(Q307),R307=Constants!$B$2)), Constants!$B$8, "Error"))))</f>
        <v/>
      </c>
      <c r="X307" s="87" t="str">
        <f aca="false">IF(OR(W307=Constants!$B$7,W307=Constants!$B$8), MAX(0, MIN(Constants!$B$6, S307))+IF(AND(R307=Constants!$B$4, NOT(U307)), Constants!$B$5, 0), "")</f>
        <v/>
      </c>
      <c r="Y307" s="85" t="str">
        <f aca="false">IF(ISBLANK($C307),"",IF(AND(ISNUMBER(X307),N307&gt;0),X307/N307, "") )</f>
        <v/>
      </c>
      <c r="Z307" s="85" t="str">
        <f aca="false">IF(AND(NOT(ISBLANK($C307)), W307=Constants!$B$7), Y307, "")</f>
        <v/>
      </c>
      <c r="AA307" s="85" t="str">
        <f aca="false">IF(ISNUMBER(Z307), RANK(Z307,Z$8:Z$507), "")</f>
        <v/>
      </c>
      <c r="AB307" s="85" t="str">
        <f aca="false">IF(AND(NOT(ISBLANK($C307)), W307=Constants!$B$8), Y307, "")</f>
        <v/>
      </c>
      <c r="AC307" s="85" t="str">
        <f aca="false">IF(ISNUMBER(AB307), RANK(AB307,AB$8:AB$507), "")</f>
        <v/>
      </c>
      <c r="AD307" s="85" t="str">
        <f aca="false">IF(ISBLANK($C307),"",IF(V307&lt;&gt;Constants!$B$14, V307, IF(W307=Constants!$B$7, AA307, IF(W307=Constants!$B$8, COUNT($AA$8:$AA$507) + AC307, ""))))</f>
        <v/>
      </c>
      <c r="AE307" s="85" t="str">
        <f aca="false">N307</f>
        <v/>
      </c>
      <c r="AF307" s="85" t="str">
        <f aca="false">IF(ISNUMBER(AE307), RANK(AE307,AE$8:AE$507,1), "")</f>
        <v/>
      </c>
      <c r="AG307" s="88" t="str">
        <f aca="false">IF(ISBLANK(C307), "", ABS(M307-S307))</f>
        <v/>
      </c>
      <c r="AH307" s="85" t="str">
        <f aca="false">IF(ISNUMBER(AG307), RANK(AG307,AG$8:AG$507,1), "")</f>
        <v/>
      </c>
      <c r="AI307" s="85" t="str">
        <f aca="false">IF(ISBLANK(C307),"",IF(V307&lt;&gt;Constants!$B$14, V307, RANK(AD307, AD$8:AD$507, 1)+ SUMPRODUCT(--(AD$8:AD$507=AD307),--(AF307&gt;AF$8:AF$507)) + SUMPRODUCT(--(AD$8:AD$507=AD307),--(AF307=AF$8:AF$507),--(AH307&gt;AH$8:AH$507))))</f>
        <v/>
      </c>
      <c r="AJ307" s="85" t="str">
        <f aca="false">IF(ISBLANK(C307),"",IF(V307&lt;&gt;Constants!$B$14, V307, AD307-AI307))</f>
        <v/>
      </c>
      <c r="AK307" s="89"/>
      <c r="AL307" s="90" t="str">
        <f aca="false">IF(ISBLANK($C307),"",IF($V307&lt;&gt;Constants!$B$14,$V307,X307))</f>
        <v/>
      </c>
      <c r="AM307" s="90" t="str">
        <f aca="false">IF(ISBLANK($C307),"",IF($V307&lt;&gt;Constants!$B$14,$V307,N307))</f>
        <v/>
      </c>
      <c r="AN307" s="91" t="str">
        <f aca="false">IF(ISBLANK(C307),"",IF(V307&lt;&gt;Constants!$B$14, V307, IF(W307=Constants!$B$7,Z307,IF(W307=Constants!$B$8,AB307,""))))</f>
        <v/>
      </c>
      <c r="AO307" s="92" t="str">
        <f aca="false">IF(ISBLANK(C307),"",W307)</f>
        <v/>
      </c>
      <c r="AP307" s="92" t="str">
        <f aca="false">IF(ISBLANK(C307),"",AJ307)</f>
        <v/>
      </c>
      <c r="AQ307" s="92" t="str">
        <f aca="false">IF(ISBLANK(C307),"",AI307)</f>
        <v/>
      </c>
      <c r="AR307" s="93" t="str">
        <f aca="false">IF(ISBLANK(C307),
  "",
IF(AQ307=Constants!$B$11,COUNTA($C$8:$C$507)+2,IF(AQ307=Constants!$B$12,COUNTA($C$8:$C$507)+1,IF(AQ307=Constants!$B$13,COUNTA($C$8:$C$507),AQ307))))</f>
        <v/>
      </c>
      <c r="AS307" s="3"/>
      <c r="AT307" s="94" t="n">
        <f aca="false">IF(OR(ISNUMBER(AQ307),AQ307="DQ",AQ307="P",AQ307="NS"),
    1,
    0
)</f>
        <v>0</v>
      </c>
      <c r="AU307" s="94" t="n">
        <v>300</v>
      </c>
      <c r="AV307" s="94" t="str">
        <f aca="false">IF(ISBLANK($C307),
    "",
   IF(ISNUMBER(AR307),AR307+ROW($B307)/1000,"")
)</f>
        <v/>
      </c>
      <c r="AW307" s="94" t="str">
        <f aca="false">IF(ISNUMBER(AV307), RANK(AV307,AV$8:AV$507,1), "")</f>
        <v/>
      </c>
      <c r="AX307" s="94" t="str">
        <f aca="false">IF(ISBLANK($C307),
    "",
    $B307
)</f>
        <v/>
      </c>
      <c r="AY307" s="94" t="str">
        <f aca="false">IF(ISBLANK($C307),
    "",
    $C307
)</f>
        <v/>
      </c>
      <c r="AZ307" s="94" t="str">
        <f aca="false">IF(ISBLANK($C307),
    "",
    $D307
)</f>
        <v/>
      </c>
      <c r="BA307" s="94" t="str">
        <f aca="false">AO307</f>
        <v/>
      </c>
      <c r="BB307" s="95" t="str">
        <f aca="false">AN307</f>
        <v/>
      </c>
      <c r="BC307" s="94" t="str">
        <f aca="false">IF(ISBLANK($C307),
    "",
    AQ307
)</f>
        <v/>
      </c>
      <c r="BD307" s="96" t="str">
        <f aca="false">IF(AU307&gt;AT$7,
    "",
    VLOOKUP(AU307,AW$8:BC$507,7,FALSE())
)</f>
        <v/>
      </c>
      <c r="BE307" s="97" t="str">
        <f aca="false">IF(AU307&gt;AT$7,
    "",
    VLOOKUP(AU307,AW$8:BC$507,2,FALSE())
)</f>
        <v/>
      </c>
      <c r="BF307" s="97" t="str">
        <f aca="false">IF(AU307&gt;AT$7,
    "",
    VLOOKUP(AU307,AW$8:BC$507,3,FALSE())
)</f>
        <v/>
      </c>
      <c r="BG307" s="97" t="str">
        <f aca="false">IF(AU307&gt;AT$7,
    "",
    VLOOKUP(AU307,AW$8:BC$507,4,FALSE())
)</f>
        <v/>
      </c>
      <c r="BH307" s="97" t="str">
        <f aca="false">IF(AU307&gt;AT$7,
    "",
    VLOOKUP(AU307,AW$8:BC$507,5,FALSE())
)</f>
        <v/>
      </c>
      <c r="BI307" s="98" t="str">
        <f aca="false">IF(AU307&gt;AT$7,
    "",
    VLOOKUP(AU307,AW$8:BC$507,6,FALSE())
)</f>
        <v/>
      </c>
      <c r="BJ307" s="46"/>
    </row>
    <row r="308" customFormat="false" ht="15.75" hidden="false" customHeight="false" outlineLevel="0" collapsed="false">
      <c r="A308" s="3"/>
      <c r="B308" s="108"/>
      <c r="C308" s="70"/>
      <c r="D308" s="49"/>
      <c r="E308" s="109"/>
      <c r="F308" s="72"/>
      <c r="G308" s="109"/>
      <c r="H308" s="74"/>
      <c r="I308" s="104"/>
      <c r="J308" s="74"/>
      <c r="K308" s="74"/>
      <c r="L308" s="55"/>
      <c r="M308" s="55" t="str">
        <f aca="false">IF(ISBLANK($C308),"",IF(ISBLANK(E308),0,E308))</f>
        <v/>
      </c>
      <c r="N308" s="55" t="str">
        <f aca="false">IF(ISBLANK($C308),"",IF(ISBLANK(F308),0,F308))</f>
        <v/>
      </c>
      <c r="O308" s="55" t="e">
        <f aca="false">IF(AND(NOT(ISBLANK($C308)),NOT($T308),COUNTA($E308:$K308)&gt;0),ISBLANK($F308),FALSE())</f>
        <v>#VALUE!</v>
      </c>
      <c r="P308" s="55" t="str">
        <f aca="false">IF(ISBLANK($C308),"",IF(G308=Constants!$B$9, TRUE(), IF(G308=Constants!$B$10, FALSE(), TRUE())))</f>
        <v/>
      </c>
      <c r="Q308" s="55" t="str">
        <f aca="false">IF(ISBLANK($C308),"",IF(H308=Constants!$B$9, TRUE(), IF(H308=Constants!$B$10, FALSE(), TRUE())))</f>
        <v/>
      </c>
      <c r="R308" s="55" t="str">
        <f aca="false">IF(ISBLANK($C308),"",IF(ISBLANK(I308),Constants!$B$3,I308))</f>
        <v/>
      </c>
      <c r="S308" s="55" t="str">
        <f aca="false">IF(ISBLANK($C308),"",IF(ISBLANK(J308),0,MIN(J308,Constants!$B$6)))</f>
        <v/>
      </c>
      <c r="T308" s="55" t="str">
        <f aca="false">IF(ISBLANK($C308),"",IF(K308=Constants!$B$9, TRUE(), IF(K308=Constants!$B$10, FALSE(),  FALSE())))</f>
        <v/>
      </c>
      <c r="U308" s="55" t="str">
        <f aca="false">IF(ISBLANK($C308),"",AND(R308=Constants!$B$4, S308&lt;Constants!$B$6))</f>
        <v/>
      </c>
      <c r="V308" s="55" t="str">
        <f aca="false">IF(ISBLANK(C308), "", IF(T308, Constants!$B$11, IF(COUNTA(E308:K308)=0, Constants!$B$12, IF(NOT(AND(P308,S308&lt;&gt;0)), Constants!$B$13, IF(O308, Constants!$B$15, Constants!$B$14)))))</f>
        <v/>
      </c>
      <c r="W308" s="55" t="str">
        <f aca="false">IF(OR(ISBLANK($C308), SUMPRODUCT(--(P308:T308&lt;&gt;""))=0), "", IF(V308&lt;&gt;Constants!$B$14, V308, IF(AND(NOT(ISBLANK(J308)),P308,Q308,R308&lt;&gt;Constants!$B$2), Constants!$B$7, IF(AND(P308,OR(NOT(Q308),R308=Constants!$B$2)), Constants!$B$8, "Error"))))</f>
        <v/>
      </c>
      <c r="X308" s="56" t="str">
        <f aca="false">IF(OR(W308=Constants!$B$7,W308=Constants!$B$8), MAX(0, MIN(Constants!$B$6, S308))+IF(AND(R308=Constants!$B$4, NOT(U308)), Constants!$B$5, 0), "")</f>
        <v/>
      </c>
      <c r="Y308" s="55" t="str">
        <f aca="false">IF(ISBLANK($C308),"",IF(AND(ISNUMBER(X308),N308&gt;0),X308/N308, "") )</f>
        <v/>
      </c>
      <c r="Z308" s="55" t="str">
        <f aca="false">IF(AND(NOT(ISBLANK($C308)), W308=Constants!$B$7), Y308, "")</f>
        <v/>
      </c>
      <c r="AA308" s="55" t="str">
        <f aca="false">IF(ISNUMBER(Z308), RANK(Z308,Z$8:Z$507), "")</f>
        <v/>
      </c>
      <c r="AB308" s="55" t="str">
        <f aca="false">IF(AND(NOT(ISBLANK($C308)), W308=Constants!$B$8), Y308, "")</f>
        <v/>
      </c>
      <c r="AC308" s="55" t="str">
        <f aca="false">IF(ISNUMBER(AB308), RANK(AB308,AB$8:AB$507), "")</f>
        <v/>
      </c>
      <c r="AD308" s="55" t="str">
        <f aca="false">IF(ISBLANK($C308),"",IF(V308&lt;&gt;Constants!$B$14, V308, IF(W308=Constants!$B$7, AA308, IF(W308=Constants!$B$8, COUNT($AA$8:$AA$507) + AC308, ""))))</f>
        <v/>
      </c>
      <c r="AE308" s="55" t="str">
        <f aca="false">N308</f>
        <v/>
      </c>
      <c r="AF308" s="55" t="str">
        <f aca="false">IF(ISNUMBER(AE308), RANK(AE308,AE$8:AE$507,1), "")</f>
        <v/>
      </c>
      <c r="AG308" s="57" t="str">
        <f aca="false">IF(ISBLANK(C308), "", ABS(M308-S308))</f>
        <v/>
      </c>
      <c r="AH308" s="55" t="str">
        <f aca="false">IF(ISNUMBER(AG308), RANK(AG308,AG$8:AG$507,1), "")</f>
        <v/>
      </c>
      <c r="AI308" s="55" t="str">
        <f aca="false">IF(ISBLANK(C308),"",IF(V308&lt;&gt;Constants!$B$14, V308, RANK(AD308, AD$8:AD$507, 1)+ SUMPRODUCT(--(AD$8:AD$507=AD308),--(AF308&gt;AF$8:AF$507)) + SUMPRODUCT(--(AD$8:AD$507=AD308),--(AF308=AF$8:AF$507),--(AH308&gt;AH$8:AH$507))))</f>
        <v/>
      </c>
      <c r="AJ308" s="55" t="str">
        <f aca="false">IF(ISBLANK(C308),"",IF(V308&lt;&gt;Constants!$B$14, V308, AD308-AI308))</f>
        <v/>
      </c>
      <c r="AK308" s="59"/>
      <c r="AL308" s="60" t="str">
        <f aca="false">IF(ISBLANK($C308),"",IF($V308&lt;&gt;Constants!$B$14,$V308,X308))</f>
        <v/>
      </c>
      <c r="AM308" s="60" t="str">
        <f aca="false">IF(ISBLANK($C308),"",IF($V308&lt;&gt;Constants!$B$14,$V308,N308))</f>
        <v/>
      </c>
      <c r="AN308" s="62" t="str">
        <f aca="false">IF(ISBLANK(C308),"",IF(V308&lt;&gt;Constants!$B$14, V308, IF(W308=Constants!$B$7,Z308,IF(W308=Constants!$B$8,AB308,""))))</f>
        <v/>
      </c>
      <c r="AO308" s="63" t="str">
        <f aca="false">IF(ISBLANK(C308),"",W308)</f>
        <v/>
      </c>
      <c r="AP308" s="63" t="str">
        <f aca="false">IF(ISBLANK(C308),"",AJ308)</f>
        <v/>
      </c>
      <c r="AQ308" s="63" t="str">
        <f aca="false">IF(ISBLANK(C308),"",AI308)</f>
        <v/>
      </c>
      <c r="AR308" s="64" t="str">
        <f aca="false">IF(ISBLANK(C308),
  "",
IF(AQ308=Constants!$B$11,COUNTA($C$8:$C$507)+2,IF(AQ308=Constants!$B$12,COUNTA($C$8:$C$507)+1,IF(AQ308=Constants!$B$13,COUNTA($C$8:$C$507),AQ308))))</f>
        <v/>
      </c>
      <c r="AS308" s="3"/>
      <c r="AT308" s="65" t="n">
        <f aca="false">IF(OR(ISNUMBER(AQ308),AQ308="DQ",AQ308="P",AQ308="NS"),
    1,
    0
)</f>
        <v>0</v>
      </c>
      <c r="AU308" s="65" t="n">
        <v>301</v>
      </c>
      <c r="AV308" s="65" t="str">
        <f aca="false">IF(ISBLANK($C308),
    "",
   IF(ISNUMBER(AR308),AR308+ROW($B308)/1000,"")
)</f>
        <v/>
      </c>
      <c r="AW308" s="65" t="str">
        <f aca="false">IF(ISNUMBER(AV308), RANK(AV308,AV$8:AV$507,1), "")</f>
        <v/>
      </c>
      <c r="AX308" s="65" t="str">
        <f aca="false">IF(ISBLANK($C308),
    "",
    $B308
)</f>
        <v/>
      </c>
      <c r="AY308" s="65" t="str">
        <f aca="false">IF(ISBLANK($C308),
    "",
    $C308
)</f>
        <v/>
      </c>
      <c r="AZ308" s="65" t="str">
        <f aca="false">IF(ISBLANK($C308),
    "",
    $D308
)</f>
        <v/>
      </c>
      <c r="BA308" s="65" t="str">
        <f aca="false">AO308</f>
        <v/>
      </c>
      <c r="BB308" s="66" t="str">
        <f aca="false">AN308</f>
        <v/>
      </c>
      <c r="BC308" s="65" t="str">
        <f aca="false">IF(ISBLANK($C308),
    "",
    AQ308
)</f>
        <v/>
      </c>
      <c r="BD308" s="67" t="str">
        <f aca="false">IF(AU308&gt;AT$7,
    "",
    VLOOKUP(AU308,AW$8:BC$507,7,FALSE())
)</f>
        <v/>
      </c>
      <c r="BE308" s="68" t="str">
        <f aca="false">IF(AU308&gt;AT$7,
    "",
    VLOOKUP(AU308,AW$8:BC$507,2,FALSE())
)</f>
        <v/>
      </c>
      <c r="BF308" s="68" t="str">
        <f aca="false">IF(AU308&gt;AT$7,
    "",
    VLOOKUP(AU308,AW$8:BC$507,3,FALSE())
)</f>
        <v/>
      </c>
      <c r="BG308" s="68" t="str">
        <f aca="false">IF(AU308&gt;AT$7,
    "",
    VLOOKUP(AU308,AW$8:BC$507,4,FALSE())
)</f>
        <v/>
      </c>
      <c r="BH308" s="68" t="str">
        <f aca="false">IF(AU308&gt;AT$7,
    "",
    VLOOKUP(AU308,AW$8:BC$507,5,FALSE())
)</f>
        <v/>
      </c>
      <c r="BI308" s="69" t="str">
        <f aca="false">IF(AU308&gt;AT$7,
    "",
    VLOOKUP(AU308,AW$8:BC$507,6,FALSE())
)</f>
        <v/>
      </c>
      <c r="BJ308" s="46"/>
    </row>
    <row r="309" customFormat="false" ht="15.75" hidden="false" customHeight="false" outlineLevel="0" collapsed="false">
      <c r="A309" s="3"/>
      <c r="B309" s="108"/>
      <c r="C309" s="70"/>
      <c r="D309" s="49"/>
      <c r="E309" s="109"/>
      <c r="F309" s="72"/>
      <c r="G309" s="109"/>
      <c r="H309" s="74"/>
      <c r="I309" s="104"/>
      <c r="J309" s="74"/>
      <c r="K309" s="74"/>
      <c r="L309" s="55"/>
      <c r="M309" s="55" t="str">
        <f aca="false">IF(ISBLANK($C309),"",IF(ISBLANK(E309),0,E309))</f>
        <v/>
      </c>
      <c r="N309" s="55" t="str">
        <f aca="false">IF(ISBLANK($C309),"",IF(ISBLANK(F309),0,F309))</f>
        <v/>
      </c>
      <c r="O309" s="55" t="e">
        <f aca="false">IF(AND(NOT(ISBLANK($C309)),NOT($T309),COUNTA($E309:$K309)&gt;0),ISBLANK($F309),FALSE())</f>
        <v>#VALUE!</v>
      </c>
      <c r="P309" s="55" t="str">
        <f aca="false">IF(ISBLANK($C309),"",IF(G309=Constants!$B$9, TRUE(), IF(G309=Constants!$B$10, FALSE(), TRUE())))</f>
        <v/>
      </c>
      <c r="Q309" s="55" t="str">
        <f aca="false">IF(ISBLANK($C309),"",IF(H309=Constants!$B$9, TRUE(), IF(H309=Constants!$B$10, FALSE(), TRUE())))</f>
        <v/>
      </c>
      <c r="R309" s="55" t="str">
        <f aca="false">IF(ISBLANK($C309),"",IF(ISBLANK(I309),Constants!$B$3,I309))</f>
        <v/>
      </c>
      <c r="S309" s="55" t="str">
        <f aca="false">IF(ISBLANK($C309),"",IF(ISBLANK(J309),0,MIN(J309,Constants!$B$6)))</f>
        <v/>
      </c>
      <c r="T309" s="55" t="str">
        <f aca="false">IF(ISBLANK($C309),"",IF(K309=Constants!$B$9, TRUE(), IF(K309=Constants!$B$10, FALSE(),  FALSE())))</f>
        <v/>
      </c>
      <c r="U309" s="55" t="str">
        <f aca="false">IF(ISBLANK($C309),"",AND(R309=Constants!$B$4, S309&lt;Constants!$B$6))</f>
        <v/>
      </c>
      <c r="V309" s="55" t="str">
        <f aca="false">IF(ISBLANK(C309), "", IF(T309, Constants!$B$11, IF(COUNTA(E309:K309)=0, Constants!$B$12, IF(NOT(AND(P309,S309&lt;&gt;0)), Constants!$B$13, IF(O309, Constants!$B$15, Constants!$B$14)))))</f>
        <v/>
      </c>
      <c r="W309" s="55" t="str">
        <f aca="false">IF(OR(ISBLANK($C309), SUMPRODUCT(--(P309:T309&lt;&gt;""))=0), "", IF(V309&lt;&gt;Constants!$B$14, V309, IF(AND(NOT(ISBLANK(J309)),P309,Q309,R309&lt;&gt;Constants!$B$2), Constants!$B$7, IF(AND(P309,OR(NOT(Q309),R309=Constants!$B$2)), Constants!$B$8, "Error"))))</f>
        <v/>
      </c>
      <c r="X309" s="56" t="str">
        <f aca="false">IF(OR(W309=Constants!$B$7,W309=Constants!$B$8), MAX(0, MIN(Constants!$B$6, S309))+IF(AND(R309=Constants!$B$4, NOT(U309)), Constants!$B$5, 0), "")</f>
        <v/>
      </c>
      <c r="Y309" s="55" t="str">
        <f aca="false">IF(ISBLANK($C309),"",IF(AND(ISNUMBER(X309),N309&gt;0),X309/N309, "") )</f>
        <v/>
      </c>
      <c r="Z309" s="55" t="str">
        <f aca="false">IF(AND(NOT(ISBLANK($C309)), W309=Constants!$B$7), Y309, "")</f>
        <v/>
      </c>
      <c r="AA309" s="55" t="str">
        <f aca="false">IF(ISNUMBER(Z309), RANK(Z309,Z$8:Z$507), "")</f>
        <v/>
      </c>
      <c r="AB309" s="55" t="str">
        <f aca="false">IF(AND(NOT(ISBLANK($C309)), W309=Constants!$B$8), Y309, "")</f>
        <v/>
      </c>
      <c r="AC309" s="55" t="str">
        <f aca="false">IF(ISNUMBER(AB309), RANK(AB309,AB$8:AB$507), "")</f>
        <v/>
      </c>
      <c r="AD309" s="55" t="str">
        <f aca="false">IF(ISBLANK($C309),"",IF(V309&lt;&gt;Constants!$B$14, V309, IF(W309=Constants!$B$7, AA309, IF(W309=Constants!$B$8, COUNT($AA$8:$AA$507) + AC309, ""))))</f>
        <v/>
      </c>
      <c r="AE309" s="55" t="str">
        <f aca="false">N309</f>
        <v/>
      </c>
      <c r="AF309" s="55" t="str">
        <f aca="false">IF(ISNUMBER(AE309), RANK(AE309,AE$8:AE$507,1), "")</f>
        <v/>
      </c>
      <c r="AG309" s="57" t="str">
        <f aca="false">IF(ISBLANK(C309), "", ABS(M309-S309))</f>
        <v/>
      </c>
      <c r="AH309" s="55" t="str">
        <f aca="false">IF(ISNUMBER(AG309), RANK(AG309,AG$8:AG$507,1), "")</f>
        <v/>
      </c>
      <c r="AI309" s="55" t="str">
        <f aca="false">IF(ISBLANK(C309),"",IF(V309&lt;&gt;Constants!$B$14, V309, RANK(AD309, AD$8:AD$507, 1)+ SUMPRODUCT(--(AD$8:AD$507=AD309),--(AF309&gt;AF$8:AF$507)) + SUMPRODUCT(--(AD$8:AD$507=AD309),--(AF309=AF$8:AF$507),--(AH309&gt;AH$8:AH$507))))</f>
        <v/>
      </c>
      <c r="AJ309" s="55" t="str">
        <f aca="false">IF(ISBLANK(C309),"",IF(V309&lt;&gt;Constants!$B$14, V309, AD309-AI309))</f>
        <v/>
      </c>
      <c r="AK309" s="59"/>
      <c r="AL309" s="60" t="str">
        <f aca="false">IF(ISBLANK($C309),"",IF($V309&lt;&gt;Constants!$B$14,$V309,X309))</f>
        <v/>
      </c>
      <c r="AM309" s="60" t="str">
        <f aca="false">IF(ISBLANK($C309),"",IF($V309&lt;&gt;Constants!$B$14,$V309,N309))</f>
        <v/>
      </c>
      <c r="AN309" s="62" t="str">
        <f aca="false">IF(ISBLANK(C309),"",IF(V309&lt;&gt;Constants!$B$14, V309, IF(W309=Constants!$B$7,Z309,IF(W309=Constants!$B$8,AB309,""))))</f>
        <v/>
      </c>
      <c r="AO309" s="63" t="str">
        <f aca="false">IF(ISBLANK(C309),"",W309)</f>
        <v/>
      </c>
      <c r="AP309" s="63" t="str">
        <f aca="false">IF(ISBLANK(C309),"",AJ309)</f>
        <v/>
      </c>
      <c r="AQ309" s="63" t="str">
        <f aca="false">IF(ISBLANK(C309),"",AI309)</f>
        <v/>
      </c>
      <c r="AR309" s="64" t="str">
        <f aca="false">IF(ISBLANK(C309),
  "",
IF(AQ309=Constants!$B$11,COUNTA($C$8:$C$507)+2,IF(AQ309=Constants!$B$12,COUNTA($C$8:$C$507)+1,IF(AQ309=Constants!$B$13,COUNTA($C$8:$C$507),AQ309))))</f>
        <v/>
      </c>
      <c r="AS309" s="3"/>
      <c r="AT309" s="65" t="n">
        <f aca="false">IF(OR(ISNUMBER(AQ309),AQ309="DQ",AQ309="P",AQ309="NS"),
    1,
    0
)</f>
        <v>0</v>
      </c>
      <c r="AU309" s="65" t="n">
        <v>302</v>
      </c>
      <c r="AV309" s="65" t="str">
        <f aca="false">IF(ISBLANK($C309),
    "",
   IF(ISNUMBER(AR309),AR309+ROW($B309)/1000,"")
)</f>
        <v/>
      </c>
      <c r="AW309" s="65" t="str">
        <f aca="false">IF(ISNUMBER(AV309), RANK(AV309,AV$8:AV$507,1), "")</f>
        <v/>
      </c>
      <c r="AX309" s="65" t="str">
        <f aca="false">IF(ISBLANK($C309),
    "",
    $B309
)</f>
        <v/>
      </c>
      <c r="AY309" s="65" t="str">
        <f aca="false">IF(ISBLANK($C309),
    "",
    $C309
)</f>
        <v/>
      </c>
      <c r="AZ309" s="65" t="str">
        <f aca="false">IF(ISBLANK($C309),
    "",
    $D309
)</f>
        <v/>
      </c>
      <c r="BA309" s="65" t="str">
        <f aca="false">AO309</f>
        <v/>
      </c>
      <c r="BB309" s="66" t="str">
        <f aca="false">AN309</f>
        <v/>
      </c>
      <c r="BC309" s="65" t="str">
        <f aca="false">IF(ISBLANK($C309),
    "",
    AQ309
)</f>
        <v/>
      </c>
      <c r="BD309" s="67" t="str">
        <f aca="false">IF(AU309&gt;AT$7,
    "",
    VLOOKUP(AU309,AW$8:BC$507,7,FALSE())
)</f>
        <v/>
      </c>
      <c r="BE309" s="68" t="str">
        <f aca="false">IF(AU309&gt;AT$7,
    "",
    VLOOKUP(AU309,AW$8:BC$507,2,FALSE())
)</f>
        <v/>
      </c>
      <c r="BF309" s="68" t="str">
        <f aca="false">IF(AU309&gt;AT$7,
    "",
    VLOOKUP(AU309,AW$8:BC$507,3,FALSE())
)</f>
        <v/>
      </c>
      <c r="BG309" s="68" t="str">
        <f aca="false">IF(AU309&gt;AT$7,
    "",
    VLOOKUP(AU309,AW$8:BC$507,4,FALSE())
)</f>
        <v/>
      </c>
      <c r="BH309" s="68" t="str">
        <f aca="false">IF(AU309&gt;AT$7,
    "",
    VLOOKUP(AU309,AW$8:BC$507,5,FALSE())
)</f>
        <v/>
      </c>
      <c r="BI309" s="69" t="str">
        <f aca="false">IF(AU309&gt;AT$7,
    "",
    VLOOKUP(AU309,AW$8:BC$507,6,FALSE())
)</f>
        <v/>
      </c>
      <c r="BJ309" s="46"/>
    </row>
    <row r="310" customFormat="false" ht="15.75" hidden="false" customHeight="false" outlineLevel="0" collapsed="false">
      <c r="A310" s="3"/>
      <c r="B310" s="108"/>
      <c r="C310" s="70"/>
      <c r="D310" s="49"/>
      <c r="E310" s="109"/>
      <c r="F310" s="72"/>
      <c r="G310" s="109"/>
      <c r="H310" s="74"/>
      <c r="I310" s="104"/>
      <c r="J310" s="74"/>
      <c r="K310" s="74"/>
      <c r="L310" s="55"/>
      <c r="M310" s="55" t="str">
        <f aca="false">IF(ISBLANK($C310),"",IF(ISBLANK(E310),0,E310))</f>
        <v/>
      </c>
      <c r="N310" s="55" t="str">
        <f aca="false">IF(ISBLANK($C310),"",IF(ISBLANK(F310),0,F310))</f>
        <v/>
      </c>
      <c r="O310" s="55" t="e">
        <f aca="false">IF(AND(NOT(ISBLANK($C310)),NOT($T310),COUNTA($E310:$K310)&gt;0),ISBLANK($F310),FALSE())</f>
        <v>#VALUE!</v>
      </c>
      <c r="P310" s="55" t="str">
        <f aca="false">IF(ISBLANK($C310),"",IF(G310=Constants!$B$9, TRUE(), IF(G310=Constants!$B$10, FALSE(), TRUE())))</f>
        <v/>
      </c>
      <c r="Q310" s="55" t="str">
        <f aca="false">IF(ISBLANK($C310),"",IF(H310=Constants!$B$9, TRUE(), IF(H310=Constants!$B$10, FALSE(), TRUE())))</f>
        <v/>
      </c>
      <c r="R310" s="55" t="str">
        <f aca="false">IF(ISBLANK($C310),"",IF(ISBLANK(I310),Constants!$B$3,I310))</f>
        <v/>
      </c>
      <c r="S310" s="55" t="str">
        <f aca="false">IF(ISBLANK($C310),"",IF(ISBLANK(J310),0,MIN(J310,Constants!$B$6)))</f>
        <v/>
      </c>
      <c r="T310" s="55" t="str">
        <f aca="false">IF(ISBLANK($C310),"",IF(K310=Constants!$B$9, TRUE(), IF(K310=Constants!$B$10, FALSE(),  FALSE())))</f>
        <v/>
      </c>
      <c r="U310" s="55" t="str">
        <f aca="false">IF(ISBLANK($C310),"",AND(R310=Constants!$B$4, S310&lt;Constants!$B$6))</f>
        <v/>
      </c>
      <c r="V310" s="55" t="str">
        <f aca="false">IF(ISBLANK(C310), "", IF(T310, Constants!$B$11, IF(COUNTA(E310:K310)=0, Constants!$B$12, IF(NOT(AND(P310,S310&lt;&gt;0)), Constants!$B$13, IF(O310, Constants!$B$15, Constants!$B$14)))))</f>
        <v/>
      </c>
      <c r="W310" s="55" t="str">
        <f aca="false">IF(OR(ISBLANK($C310), SUMPRODUCT(--(P310:T310&lt;&gt;""))=0), "", IF(V310&lt;&gt;Constants!$B$14, V310, IF(AND(NOT(ISBLANK(J310)),P310,Q310,R310&lt;&gt;Constants!$B$2), Constants!$B$7, IF(AND(P310,OR(NOT(Q310),R310=Constants!$B$2)), Constants!$B$8, "Error"))))</f>
        <v/>
      </c>
      <c r="X310" s="56" t="str">
        <f aca="false">IF(OR(W310=Constants!$B$7,W310=Constants!$B$8), MAX(0, MIN(Constants!$B$6, S310))+IF(AND(R310=Constants!$B$4, NOT(U310)), Constants!$B$5, 0), "")</f>
        <v/>
      </c>
      <c r="Y310" s="55" t="str">
        <f aca="false">IF(ISBLANK($C310),"",IF(AND(ISNUMBER(X310),N310&gt;0),X310/N310, "") )</f>
        <v/>
      </c>
      <c r="Z310" s="55" t="str">
        <f aca="false">IF(AND(NOT(ISBLANK($C310)), W310=Constants!$B$7), Y310, "")</f>
        <v/>
      </c>
      <c r="AA310" s="55" t="str">
        <f aca="false">IF(ISNUMBER(Z310), RANK(Z310,Z$8:Z$507), "")</f>
        <v/>
      </c>
      <c r="AB310" s="55" t="str">
        <f aca="false">IF(AND(NOT(ISBLANK($C310)), W310=Constants!$B$8), Y310, "")</f>
        <v/>
      </c>
      <c r="AC310" s="55" t="str">
        <f aca="false">IF(ISNUMBER(AB310), RANK(AB310,AB$8:AB$507), "")</f>
        <v/>
      </c>
      <c r="AD310" s="55" t="str">
        <f aca="false">IF(ISBLANK($C310),"",IF(V310&lt;&gt;Constants!$B$14, V310, IF(W310=Constants!$B$7, AA310, IF(W310=Constants!$B$8, COUNT($AA$8:$AA$507) + AC310, ""))))</f>
        <v/>
      </c>
      <c r="AE310" s="55" t="str">
        <f aca="false">N310</f>
        <v/>
      </c>
      <c r="AF310" s="55" t="str">
        <f aca="false">IF(ISNUMBER(AE310), RANK(AE310,AE$8:AE$507,1), "")</f>
        <v/>
      </c>
      <c r="AG310" s="57" t="str">
        <f aca="false">IF(ISBLANK(C310), "", ABS(M310-S310))</f>
        <v/>
      </c>
      <c r="AH310" s="55" t="str">
        <f aca="false">IF(ISNUMBER(AG310), RANK(AG310,AG$8:AG$507,1), "")</f>
        <v/>
      </c>
      <c r="AI310" s="55" t="str">
        <f aca="false">IF(ISBLANK(C310),"",IF(V310&lt;&gt;Constants!$B$14, V310, RANK(AD310, AD$8:AD$507, 1)+ SUMPRODUCT(--(AD$8:AD$507=AD310),--(AF310&gt;AF$8:AF$507)) + SUMPRODUCT(--(AD$8:AD$507=AD310),--(AF310=AF$8:AF$507),--(AH310&gt;AH$8:AH$507))))</f>
        <v/>
      </c>
      <c r="AJ310" s="55" t="str">
        <f aca="false">IF(ISBLANK(C310),"",IF(V310&lt;&gt;Constants!$B$14, V310, AD310-AI310))</f>
        <v/>
      </c>
      <c r="AK310" s="59"/>
      <c r="AL310" s="60" t="str">
        <f aca="false">IF(ISBLANK($C310),"",IF($V310&lt;&gt;Constants!$B$14,$V310,X310))</f>
        <v/>
      </c>
      <c r="AM310" s="60" t="str">
        <f aca="false">IF(ISBLANK($C310),"",IF($V310&lt;&gt;Constants!$B$14,$V310,N310))</f>
        <v/>
      </c>
      <c r="AN310" s="62" t="str">
        <f aca="false">IF(ISBLANK(C310),"",IF(V310&lt;&gt;Constants!$B$14, V310, IF(W310=Constants!$B$7,Z310,IF(W310=Constants!$B$8,AB310,""))))</f>
        <v/>
      </c>
      <c r="AO310" s="63" t="str">
        <f aca="false">IF(ISBLANK(C310),"",W310)</f>
        <v/>
      </c>
      <c r="AP310" s="63" t="str">
        <f aca="false">IF(ISBLANK(C310),"",AJ310)</f>
        <v/>
      </c>
      <c r="AQ310" s="63" t="str">
        <f aca="false">IF(ISBLANK(C310),"",AI310)</f>
        <v/>
      </c>
      <c r="AR310" s="64" t="str">
        <f aca="false">IF(ISBLANK(C310),
  "",
IF(AQ310=Constants!$B$11,COUNTA($C$8:$C$507)+2,IF(AQ310=Constants!$B$12,COUNTA($C$8:$C$507)+1,IF(AQ310=Constants!$B$13,COUNTA($C$8:$C$507),AQ310))))</f>
        <v/>
      </c>
      <c r="AS310" s="3"/>
      <c r="AT310" s="65" t="n">
        <f aca="false">IF(OR(ISNUMBER(AQ310),AQ310="DQ",AQ310="P",AQ310="NS"),
    1,
    0
)</f>
        <v>0</v>
      </c>
      <c r="AU310" s="65" t="n">
        <v>303</v>
      </c>
      <c r="AV310" s="65" t="str">
        <f aca="false">IF(ISBLANK($C310),
    "",
   IF(ISNUMBER(AR310),AR310+ROW($B310)/1000,"")
)</f>
        <v/>
      </c>
      <c r="AW310" s="65" t="str">
        <f aca="false">IF(ISNUMBER(AV310), RANK(AV310,AV$8:AV$507,1), "")</f>
        <v/>
      </c>
      <c r="AX310" s="65" t="str">
        <f aca="false">IF(ISBLANK($C310),
    "",
    $B310
)</f>
        <v/>
      </c>
      <c r="AY310" s="65" t="str">
        <f aca="false">IF(ISBLANK($C310),
    "",
    $C310
)</f>
        <v/>
      </c>
      <c r="AZ310" s="65" t="str">
        <f aca="false">IF(ISBLANK($C310),
    "",
    $D310
)</f>
        <v/>
      </c>
      <c r="BA310" s="65" t="str">
        <f aca="false">AO310</f>
        <v/>
      </c>
      <c r="BB310" s="66" t="str">
        <f aca="false">AN310</f>
        <v/>
      </c>
      <c r="BC310" s="65" t="str">
        <f aca="false">IF(ISBLANK($C310),
    "",
    AQ310
)</f>
        <v/>
      </c>
      <c r="BD310" s="67" t="str">
        <f aca="false">IF(AU310&gt;AT$7,
    "",
    VLOOKUP(AU310,AW$8:BC$507,7,FALSE())
)</f>
        <v/>
      </c>
      <c r="BE310" s="68" t="str">
        <f aca="false">IF(AU310&gt;AT$7,
    "",
    VLOOKUP(AU310,AW$8:BC$507,2,FALSE())
)</f>
        <v/>
      </c>
      <c r="BF310" s="68" t="str">
        <f aca="false">IF(AU310&gt;AT$7,
    "",
    VLOOKUP(AU310,AW$8:BC$507,3,FALSE())
)</f>
        <v/>
      </c>
      <c r="BG310" s="68" t="str">
        <f aca="false">IF(AU310&gt;AT$7,
    "",
    VLOOKUP(AU310,AW$8:BC$507,4,FALSE())
)</f>
        <v/>
      </c>
      <c r="BH310" s="68" t="str">
        <f aca="false">IF(AU310&gt;AT$7,
    "",
    VLOOKUP(AU310,AW$8:BC$507,5,FALSE())
)</f>
        <v/>
      </c>
      <c r="BI310" s="69" t="str">
        <f aca="false">IF(AU310&gt;AT$7,
    "",
    VLOOKUP(AU310,AW$8:BC$507,6,FALSE())
)</f>
        <v/>
      </c>
      <c r="BJ310" s="46"/>
    </row>
    <row r="311" customFormat="false" ht="15.75" hidden="false" customHeight="false" outlineLevel="0" collapsed="false">
      <c r="A311" s="3"/>
      <c r="B311" s="105"/>
      <c r="C311" s="106"/>
      <c r="D311" s="99"/>
      <c r="E311" s="110"/>
      <c r="F311" s="107"/>
      <c r="G311" s="110"/>
      <c r="H311" s="103"/>
      <c r="I311" s="102"/>
      <c r="J311" s="103"/>
      <c r="K311" s="103"/>
      <c r="L311" s="85"/>
      <c r="M311" s="85" t="str">
        <f aca="false">IF(ISBLANK($C311),"",IF(ISBLANK(E311),0,E311))</f>
        <v/>
      </c>
      <c r="N311" s="85" t="str">
        <f aca="false">IF(ISBLANK($C311),"",IF(ISBLANK(F311),0,F311))</f>
        <v/>
      </c>
      <c r="O311" s="86" t="e">
        <f aca="false">IF(AND(NOT(ISBLANK($C311)),NOT($T311),COUNTA($E311:$K311)&gt;0),ISBLANK($F311),FALSE())</f>
        <v>#VALUE!</v>
      </c>
      <c r="P311" s="85" t="str">
        <f aca="false">IF(ISBLANK($C311),"",IF(G311=Constants!$B$9, TRUE(), IF(G311=Constants!$B$10, FALSE(), TRUE())))</f>
        <v/>
      </c>
      <c r="Q311" s="85" t="str">
        <f aca="false">IF(ISBLANK($C311),"",IF(H311=Constants!$B$9, TRUE(), IF(H311=Constants!$B$10, FALSE(), TRUE())))</f>
        <v/>
      </c>
      <c r="R311" s="85" t="str">
        <f aca="false">IF(ISBLANK($C311),"",IF(ISBLANK(I311),Constants!$B$3,I311))</f>
        <v/>
      </c>
      <c r="S311" s="85" t="str">
        <f aca="false">IF(ISBLANK($C311),"",IF(ISBLANK(J311),0,MIN(J311,Constants!$B$6)))</f>
        <v/>
      </c>
      <c r="T311" s="85" t="str">
        <f aca="false">IF(ISBLANK($C311),"",IF(K311=Constants!$B$9, TRUE(), IF(K311=Constants!$B$10, FALSE(),  FALSE())))</f>
        <v/>
      </c>
      <c r="U311" s="85" t="str">
        <f aca="false">IF(ISBLANK($C311),"",AND(R311=Constants!$B$4, S311&lt;Constants!$B$6))</f>
        <v/>
      </c>
      <c r="V311" s="85" t="str">
        <f aca="false">IF(ISBLANK(C311), "", IF(T311, Constants!$B$11, IF(COUNTA(E311:K311)=0, Constants!$B$12, IF(NOT(AND(P311,S311&lt;&gt;0)), Constants!$B$13, IF(O311, Constants!$B$15, Constants!$B$14)))))</f>
        <v/>
      </c>
      <c r="W311" s="85" t="str">
        <f aca="false">IF(OR(ISBLANK($C311), SUMPRODUCT(--(P311:T311&lt;&gt;""))=0), "", IF(V311&lt;&gt;Constants!$B$14, V311, IF(AND(NOT(ISBLANK(J311)),P311,Q311,R311&lt;&gt;Constants!$B$2), Constants!$B$7, IF(AND(P311,OR(NOT(Q311),R311=Constants!$B$2)), Constants!$B$8, "Error"))))</f>
        <v/>
      </c>
      <c r="X311" s="87" t="str">
        <f aca="false">IF(OR(W311=Constants!$B$7,W311=Constants!$B$8), MAX(0, MIN(Constants!$B$6, S311))+IF(AND(R311=Constants!$B$4, NOT(U311)), Constants!$B$5, 0), "")</f>
        <v/>
      </c>
      <c r="Y311" s="85" t="str">
        <f aca="false">IF(ISBLANK($C311),"",IF(AND(ISNUMBER(X311),N311&gt;0),X311/N311, "") )</f>
        <v/>
      </c>
      <c r="Z311" s="85" t="str">
        <f aca="false">IF(AND(NOT(ISBLANK($C311)), W311=Constants!$B$7), Y311, "")</f>
        <v/>
      </c>
      <c r="AA311" s="85" t="str">
        <f aca="false">IF(ISNUMBER(Z311), RANK(Z311,Z$8:Z$507), "")</f>
        <v/>
      </c>
      <c r="AB311" s="85" t="str">
        <f aca="false">IF(AND(NOT(ISBLANK($C311)), W311=Constants!$B$8), Y311, "")</f>
        <v/>
      </c>
      <c r="AC311" s="85" t="str">
        <f aca="false">IF(ISNUMBER(AB311), RANK(AB311,AB$8:AB$507), "")</f>
        <v/>
      </c>
      <c r="AD311" s="85" t="str">
        <f aca="false">IF(ISBLANK($C311),"",IF(V311&lt;&gt;Constants!$B$14, V311, IF(W311=Constants!$B$7, AA311, IF(W311=Constants!$B$8, COUNT($AA$8:$AA$507) + AC311, ""))))</f>
        <v/>
      </c>
      <c r="AE311" s="85" t="str">
        <f aca="false">N311</f>
        <v/>
      </c>
      <c r="AF311" s="85" t="str">
        <f aca="false">IF(ISNUMBER(AE311), RANK(AE311,AE$8:AE$507,1), "")</f>
        <v/>
      </c>
      <c r="AG311" s="88" t="str">
        <f aca="false">IF(ISBLANK(C311), "", ABS(M311-S311))</f>
        <v/>
      </c>
      <c r="AH311" s="85" t="str">
        <f aca="false">IF(ISNUMBER(AG311), RANK(AG311,AG$8:AG$507,1), "")</f>
        <v/>
      </c>
      <c r="AI311" s="85" t="str">
        <f aca="false">IF(ISBLANK(C311),"",IF(V311&lt;&gt;Constants!$B$14, V311, RANK(AD311, AD$8:AD$507, 1)+ SUMPRODUCT(--(AD$8:AD$507=AD311),--(AF311&gt;AF$8:AF$507)) + SUMPRODUCT(--(AD$8:AD$507=AD311),--(AF311=AF$8:AF$507),--(AH311&gt;AH$8:AH$507))))</f>
        <v/>
      </c>
      <c r="AJ311" s="85" t="str">
        <f aca="false">IF(ISBLANK(C311),"",IF(V311&lt;&gt;Constants!$B$14, V311, AD311-AI311))</f>
        <v/>
      </c>
      <c r="AK311" s="89"/>
      <c r="AL311" s="90" t="str">
        <f aca="false">IF(ISBLANK($C311),"",IF($V311&lt;&gt;Constants!$B$14,$V311,X311))</f>
        <v/>
      </c>
      <c r="AM311" s="90" t="str">
        <f aca="false">IF(ISBLANK($C311),"",IF($V311&lt;&gt;Constants!$B$14,$V311,N311))</f>
        <v/>
      </c>
      <c r="AN311" s="91" t="str">
        <f aca="false">IF(ISBLANK(C311),"",IF(V311&lt;&gt;Constants!$B$14, V311, IF(W311=Constants!$B$7,Z311,IF(W311=Constants!$B$8,AB311,""))))</f>
        <v/>
      </c>
      <c r="AO311" s="92" t="str">
        <f aca="false">IF(ISBLANK(C311),"",W311)</f>
        <v/>
      </c>
      <c r="AP311" s="92" t="str">
        <f aca="false">IF(ISBLANK(C311),"",AJ311)</f>
        <v/>
      </c>
      <c r="AQ311" s="92" t="str">
        <f aca="false">IF(ISBLANK(C311),"",AI311)</f>
        <v/>
      </c>
      <c r="AR311" s="93" t="str">
        <f aca="false">IF(ISBLANK(C311),
  "",
IF(AQ311=Constants!$B$11,COUNTA($C$8:$C$507)+2,IF(AQ311=Constants!$B$12,COUNTA($C$8:$C$507)+1,IF(AQ311=Constants!$B$13,COUNTA($C$8:$C$507),AQ311))))</f>
        <v/>
      </c>
      <c r="AS311" s="3"/>
      <c r="AT311" s="94" t="n">
        <f aca="false">IF(OR(ISNUMBER(AQ311),AQ311="DQ",AQ311="P",AQ311="NS"),
    1,
    0
)</f>
        <v>0</v>
      </c>
      <c r="AU311" s="94" t="n">
        <v>304</v>
      </c>
      <c r="AV311" s="94" t="str">
        <f aca="false">IF(ISBLANK($C311),
    "",
   IF(ISNUMBER(AR311),AR311+ROW($B311)/1000,"")
)</f>
        <v/>
      </c>
      <c r="AW311" s="94" t="str">
        <f aca="false">IF(ISNUMBER(AV311), RANK(AV311,AV$8:AV$507,1), "")</f>
        <v/>
      </c>
      <c r="AX311" s="94" t="str">
        <f aca="false">IF(ISBLANK($C311),
    "",
    $B311
)</f>
        <v/>
      </c>
      <c r="AY311" s="94" t="str">
        <f aca="false">IF(ISBLANK($C311),
    "",
    $C311
)</f>
        <v/>
      </c>
      <c r="AZ311" s="94" t="str">
        <f aca="false">IF(ISBLANK($C311),
    "",
    $D311
)</f>
        <v/>
      </c>
      <c r="BA311" s="94" t="str">
        <f aca="false">AO311</f>
        <v/>
      </c>
      <c r="BB311" s="95" t="str">
        <f aca="false">AN311</f>
        <v/>
      </c>
      <c r="BC311" s="94" t="str">
        <f aca="false">IF(ISBLANK($C311),
    "",
    AQ311
)</f>
        <v/>
      </c>
      <c r="BD311" s="96" t="str">
        <f aca="false">IF(AU311&gt;AT$7,
    "",
    VLOOKUP(AU311,AW$8:BC$507,7,FALSE())
)</f>
        <v/>
      </c>
      <c r="BE311" s="97" t="str">
        <f aca="false">IF(AU311&gt;AT$7,
    "",
    VLOOKUP(AU311,AW$8:BC$507,2,FALSE())
)</f>
        <v/>
      </c>
      <c r="BF311" s="97" t="str">
        <f aca="false">IF(AU311&gt;AT$7,
    "",
    VLOOKUP(AU311,AW$8:BC$507,3,FALSE())
)</f>
        <v/>
      </c>
      <c r="BG311" s="97" t="str">
        <f aca="false">IF(AU311&gt;AT$7,
    "",
    VLOOKUP(AU311,AW$8:BC$507,4,FALSE())
)</f>
        <v/>
      </c>
      <c r="BH311" s="97" t="str">
        <f aca="false">IF(AU311&gt;AT$7,
    "",
    VLOOKUP(AU311,AW$8:BC$507,5,FALSE())
)</f>
        <v/>
      </c>
      <c r="BI311" s="98" t="str">
        <f aca="false">IF(AU311&gt;AT$7,
    "",
    VLOOKUP(AU311,AW$8:BC$507,6,FALSE())
)</f>
        <v/>
      </c>
      <c r="BJ311" s="46"/>
    </row>
    <row r="312" customFormat="false" ht="15.75" hidden="false" customHeight="false" outlineLevel="0" collapsed="false">
      <c r="A312" s="3"/>
      <c r="B312" s="105"/>
      <c r="C312" s="106"/>
      <c r="D312" s="99"/>
      <c r="E312" s="110"/>
      <c r="F312" s="107"/>
      <c r="G312" s="110"/>
      <c r="H312" s="103"/>
      <c r="I312" s="102"/>
      <c r="J312" s="103"/>
      <c r="K312" s="103"/>
      <c r="L312" s="85"/>
      <c r="M312" s="85" t="str">
        <f aca="false">IF(ISBLANK($C312),"",IF(ISBLANK(E312),0,E312))</f>
        <v/>
      </c>
      <c r="N312" s="85" t="str">
        <f aca="false">IF(ISBLANK($C312),"",IF(ISBLANK(F312),0,F312))</f>
        <v/>
      </c>
      <c r="O312" s="86" t="e">
        <f aca="false">IF(AND(NOT(ISBLANK($C312)),NOT($T312),COUNTA($E312:$K312)&gt;0),ISBLANK($F312),FALSE())</f>
        <v>#VALUE!</v>
      </c>
      <c r="P312" s="85" t="str">
        <f aca="false">IF(ISBLANK($C312),"",IF(G312=Constants!$B$9, TRUE(), IF(G312=Constants!$B$10, FALSE(), TRUE())))</f>
        <v/>
      </c>
      <c r="Q312" s="85" t="str">
        <f aca="false">IF(ISBLANK($C312),"",IF(H312=Constants!$B$9, TRUE(), IF(H312=Constants!$B$10, FALSE(), TRUE())))</f>
        <v/>
      </c>
      <c r="R312" s="85" t="str">
        <f aca="false">IF(ISBLANK($C312),"",IF(ISBLANK(I312),Constants!$B$3,I312))</f>
        <v/>
      </c>
      <c r="S312" s="85" t="str">
        <f aca="false">IF(ISBLANK($C312),"",IF(ISBLANK(J312),0,MIN(J312,Constants!$B$6)))</f>
        <v/>
      </c>
      <c r="T312" s="85" t="str">
        <f aca="false">IF(ISBLANK($C312),"",IF(K312=Constants!$B$9, TRUE(), IF(K312=Constants!$B$10, FALSE(),  FALSE())))</f>
        <v/>
      </c>
      <c r="U312" s="85" t="str">
        <f aca="false">IF(ISBLANK($C312),"",AND(R312=Constants!$B$4, S312&lt;Constants!$B$6))</f>
        <v/>
      </c>
      <c r="V312" s="85" t="str">
        <f aca="false">IF(ISBLANK(C312), "", IF(T312, Constants!$B$11, IF(COUNTA(E312:K312)=0, Constants!$B$12, IF(NOT(AND(P312,S312&lt;&gt;0)), Constants!$B$13, IF(O312, Constants!$B$15, Constants!$B$14)))))</f>
        <v/>
      </c>
      <c r="W312" s="85" t="str">
        <f aca="false">IF(OR(ISBLANK($C312), SUMPRODUCT(--(P312:T312&lt;&gt;""))=0), "", IF(V312&lt;&gt;Constants!$B$14, V312, IF(AND(NOT(ISBLANK(J312)),P312,Q312,R312&lt;&gt;Constants!$B$2), Constants!$B$7, IF(AND(P312,OR(NOT(Q312),R312=Constants!$B$2)), Constants!$B$8, "Error"))))</f>
        <v/>
      </c>
      <c r="X312" s="87" t="str">
        <f aca="false">IF(OR(W312=Constants!$B$7,W312=Constants!$B$8), MAX(0, MIN(Constants!$B$6, S312))+IF(AND(R312=Constants!$B$4, NOT(U312)), Constants!$B$5, 0), "")</f>
        <v/>
      </c>
      <c r="Y312" s="85" t="str">
        <f aca="false">IF(ISBLANK($C312),"",IF(AND(ISNUMBER(X312),N312&gt;0),X312/N312, "") )</f>
        <v/>
      </c>
      <c r="Z312" s="85" t="str">
        <f aca="false">IF(AND(NOT(ISBLANK($C312)), W312=Constants!$B$7), Y312, "")</f>
        <v/>
      </c>
      <c r="AA312" s="85" t="str">
        <f aca="false">IF(ISNUMBER(Z312), RANK(Z312,Z$8:Z$507), "")</f>
        <v/>
      </c>
      <c r="AB312" s="85" t="str">
        <f aca="false">IF(AND(NOT(ISBLANK($C312)), W312=Constants!$B$8), Y312, "")</f>
        <v/>
      </c>
      <c r="AC312" s="85" t="str">
        <f aca="false">IF(ISNUMBER(AB312), RANK(AB312,AB$8:AB$507), "")</f>
        <v/>
      </c>
      <c r="AD312" s="85" t="str">
        <f aca="false">IF(ISBLANK($C312),"",IF(V312&lt;&gt;Constants!$B$14, V312, IF(W312=Constants!$B$7, AA312, IF(W312=Constants!$B$8, COUNT($AA$8:$AA$507) + AC312, ""))))</f>
        <v/>
      </c>
      <c r="AE312" s="85" t="str">
        <f aca="false">N312</f>
        <v/>
      </c>
      <c r="AF312" s="85" t="str">
        <f aca="false">IF(ISNUMBER(AE312), RANK(AE312,AE$8:AE$507,1), "")</f>
        <v/>
      </c>
      <c r="AG312" s="88" t="str">
        <f aca="false">IF(ISBLANK(C312), "", ABS(M312-S312))</f>
        <v/>
      </c>
      <c r="AH312" s="85" t="str">
        <f aca="false">IF(ISNUMBER(AG312), RANK(AG312,AG$8:AG$507,1), "")</f>
        <v/>
      </c>
      <c r="AI312" s="85" t="str">
        <f aca="false">IF(ISBLANK(C312),"",IF(V312&lt;&gt;Constants!$B$14, V312, RANK(AD312, AD$8:AD$507, 1)+ SUMPRODUCT(--(AD$8:AD$507=AD312),--(AF312&gt;AF$8:AF$507)) + SUMPRODUCT(--(AD$8:AD$507=AD312),--(AF312=AF$8:AF$507),--(AH312&gt;AH$8:AH$507))))</f>
        <v/>
      </c>
      <c r="AJ312" s="85" t="str">
        <f aca="false">IF(ISBLANK(C312),"",IF(V312&lt;&gt;Constants!$B$14, V312, AD312-AI312))</f>
        <v/>
      </c>
      <c r="AK312" s="89"/>
      <c r="AL312" s="90" t="str">
        <f aca="false">IF(ISBLANK($C312),"",IF($V312&lt;&gt;Constants!$B$14,$V312,X312))</f>
        <v/>
      </c>
      <c r="AM312" s="90" t="str">
        <f aca="false">IF(ISBLANK($C312),"",IF($V312&lt;&gt;Constants!$B$14,$V312,N312))</f>
        <v/>
      </c>
      <c r="AN312" s="91" t="str">
        <f aca="false">IF(ISBLANK(C312),"",IF(V312&lt;&gt;Constants!$B$14, V312, IF(W312=Constants!$B$7,Z312,IF(W312=Constants!$B$8,AB312,""))))</f>
        <v/>
      </c>
      <c r="AO312" s="92" t="str">
        <f aca="false">IF(ISBLANK(C312),"",W312)</f>
        <v/>
      </c>
      <c r="AP312" s="92" t="str">
        <f aca="false">IF(ISBLANK(C312),"",AJ312)</f>
        <v/>
      </c>
      <c r="AQ312" s="92" t="str">
        <f aca="false">IF(ISBLANK(C312),"",AI312)</f>
        <v/>
      </c>
      <c r="AR312" s="93" t="str">
        <f aca="false">IF(ISBLANK(C312),
  "",
IF(AQ312=Constants!$B$11,COUNTA($C$8:$C$507)+2,IF(AQ312=Constants!$B$12,COUNTA($C$8:$C$507)+1,IF(AQ312=Constants!$B$13,COUNTA($C$8:$C$507),AQ312))))</f>
        <v/>
      </c>
      <c r="AS312" s="3"/>
      <c r="AT312" s="94" t="n">
        <f aca="false">IF(OR(ISNUMBER(AQ312),AQ312="DQ",AQ312="P",AQ312="NS"),
    1,
    0
)</f>
        <v>0</v>
      </c>
      <c r="AU312" s="94" t="n">
        <v>305</v>
      </c>
      <c r="AV312" s="94" t="str">
        <f aca="false">IF(ISBLANK($C312),
    "",
   IF(ISNUMBER(AR312),AR312+ROW($B312)/1000,"")
)</f>
        <v/>
      </c>
      <c r="AW312" s="94" t="str">
        <f aca="false">IF(ISNUMBER(AV312), RANK(AV312,AV$8:AV$507,1), "")</f>
        <v/>
      </c>
      <c r="AX312" s="94" t="str">
        <f aca="false">IF(ISBLANK($C312),
    "",
    $B312
)</f>
        <v/>
      </c>
      <c r="AY312" s="94" t="str">
        <f aca="false">IF(ISBLANK($C312),
    "",
    $C312
)</f>
        <v/>
      </c>
      <c r="AZ312" s="94" t="str">
        <f aca="false">IF(ISBLANK($C312),
    "",
    $D312
)</f>
        <v/>
      </c>
      <c r="BA312" s="94" t="str">
        <f aca="false">AO312</f>
        <v/>
      </c>
      <c r="BB312" s="95" t="str">
        <f aca="false">AN312</f>
        <v/>
      </c>
      <c r="BC312" s="94" t="str">
        <f aca="false">IF(ISBLANK($C312),
    "",
    AQ312
)</f>
        <v/>
      </c>
      <c r="BD312" s="96" t="str">
        <f aca="false">IF(AU312&gt;AT$7,
    "",
    VLOOKUP(AU312,AW$8:BC$507,7,FALSE())
)</f>
        <v/>
      </c>
      <c r="BE312" s="97" t="str">
        <f aca="false">IF(AU312&gt;AT$7,
    "",
    VLOOKUP(AU312,AW$8:BC$507,2,FALSE())
)</f>
        <v/>
      </c>
      <c r="BF312" s="97" t="str">
        <f aca="false">IF(AU312&gt;AT$7,
    "",
    VLOOKUP(AU312,AW$8:BC$507,3,FALSE())
)</f>
        <v/>
      </c>
      <c r="BG312" s="97" t="str">
        <f aca="false">IF(AU312&gt;AT$7,
    "",
    VLOOKUP(AU312,AW$8:BC$507,4,FALSE())
)</f>
        <v/>
      </c>
      <c r="BH312" s="97" t="str">
        <f aca="false">IF(AU312&gt;AT$7,
    "",
    VLOOKUP(AU312,AW$8:BC$507,5,FALSE())
)</f>
        <v/>
      </c>
      <c r="BI312" s="98" t="str">
        <f aca="false">IF(AU312&gt;AT$7,
    "",
    VLOOKUP(AU312,AW$8:BC$507,6,FALSE())
)</f>
        <v/>
      </c>
      <c r="BJ312" s="46"/>
    </row>
    <row r="313" customFormat="false" ht="15.75" hidden="false" customHeight="false" outlineLevel="0" collapsed="false">
      <c r="A313" s="3"/>
      <c r="B313" s="105"/>
      <c r="C313" s="106"/>
      <c r="D313" s="99"/>
      <c r="E313" s="110"/>
      <c r="F313" s="107"/>
      <c r="G313" s="110"/>
      <c r="H313" s="103"/>
      <c r="I313" s="102"/>
      <c r="J313" s="103"/>
      <c r="K313" s="103"/>
      <c r="L313" s="85"/>
      <c r="M313" s="85" t="str">
        <f aca="false">IF(ISBLANK($C313),"",IF(ISBLANK(E313),0,E313))</f>
        <v/>
      </c>
      <c r="N313" s="85" t="str">
        <f aca="false">IF(ISBLANK($C313),"",IF(ISBLANK(F313),0,F313))</f>
        <v/>
      </c>
      <c r="O313" s="86" t="e">
        <f aca="false">IF(AND(NOT(ISBLANK($C313)),NOT($T313),COUNTA($E313:$K313)&gt;0),ISBLANK($F313),FALSE())</f>
        <v>#VALUE!</v>
      </c>
      <c r="P313" s="85" t="str">
        <f aca="false">IF(ISBLANK($C313),"",IF(G313=Constants!$B$9, TRUE(), IF(G313=Constants!$B$10, FALSE(), TRUE())))</f>
        <v/>
      </c>
      <c r="Q313" s="85" t="str">
        <f aca="false">IF(ISBLANK($C313),"",IF(H313=Constants!$B$9, TRUE(), IF(H313=Constants!$B$10, FALSE(), TRUE())))</f>
        <v/>
      </c>
      <c r="R313" s="85" t="str">
        <f aca="false">IF(ISBLANK($C313),"",IF(ISBLANK(I313),Constants!$B$3,I313))</f>
        <v/>
      </c>
      <c r="S313" s="85" t="str">
        <f aca="false">IF(ISBLANK($C313),"",IF(ISBLANK(J313),0,MIN(J313,Constants!$B$6)))</f>
        <v/>
      </c>
      <c r="T313" s="85" t="str">
        <f aca="false">IF(ISBLANK($C313),"",IF(K313=Constants!$B$9, TRUE(), IF(K313=Constants!$B$10, FALSE(),  FALSE())))</f>
        <v/>
      </c>
      <c r="U313" s="85" t="str">
        <f aca="false">IF(ISBLANK($C313),"",AND(R313=Constants!$B$4, S313&lt;Constants!$B$6))</f>
        <v/>
      </c>
      <c r="V313" s="85" t="str">
        <f aca="false">IF(ISBLANK(C313), "", IF(T313, Constants!$B$11, IF(COUNTA(E313:K313)=0, Constants!$B$12, IF(NOT(AND(P313,S313&lt;&gt;0)), Constants!$B$13, IF(O313, Constants!$B$15, Constants!$B$14)))))</f>
        <v/>
      </c>
      <c r="W313" s="85" t="str">
        <f aca="false">IF(OR(ISBLANK($C313), SUMPRODUCT(--(P313:T313&lt;&gt;""))=0), "", IF(V313&lt;&gt;Constants!$B$14, V313, IF(AND(NOT(ISBLANK(J313)),P313,Q313,R313&lt;&gt;Constants!$B$2), Constants!$B$7, IF(AND(P313,OR(NOT(Q313),R313=Constants!$B$2)), Constants!$B$8, "Error"))))</f>
        <v/>
      </c>
      <c r="X313" s="87" t="str">
        <f aca="false">IF(OR(W313=Constants!$B$7,W313=Constants!$B$8), MAX(0, MIN(Constants!$B$6, S313))+IF(AND(R313=Constants!$B$4, NOT(U313)), Constants!$B$5, 0), "")</f>
        <v/>
      </c>
      <c r="Y313" s="85" t="str">
        <f aca="false">IF(ISBLANK($C313),"",IF(AND(ISNUMBER(X313),N313&gt;0),X313/N313, "") )</f>
        <v/>
      </c>
      <c r="Z313" s="85" t="str">
        <f aca="false">IF(AND(NOT(ISBLANK($C313)), W313=Constants!$B$7), Y313, "")</f>
        <v/>
      </c>
      <c r="AA313" s="85" t="str">
        <f aca="false">IF(ISNUMBER(Z313), RANK(Z313,Z$8:Z$507), "")</f>
        <v/>
      </c>
      <c r="AB313" s="85" t="str">
        <f aca="false">IF(AND(NOT(ISBLANK($C313)), W313=Constants!$B$8), Y313, "")</f>
        <v/>
      </c>
      <c r="AC313" s="85" t="str">
        <f aca="false">IF(ISNUMBER(AB313), RANK(AB313,AB$8:AB$507), "")</f>
        <v/>
      </c>
      <c r="AD313" s="85" t="str">
        <f aca="false">IF(ISBLANK($C313),"",IF(V313&lt;&gt;Constants!$B$14, V313, IF(W313=Constants!$B$7, AA313, IF(W313=Constants!$B$8, COUNT($AA$8:$AA$507) + AC313, ""))))</f>
        <v/>
      </c>
      <c r="AE313" s="85" t="str">
        <f aca="false">N313</f>
        <v/>
      </c>
      <c r="AF313" s="85" t="str">
        <f aca="false">IF(ISNUMBER(AE313), RANK(AE313,AE$8:AE$507,1), "")</f>
        <v/>
      </c>
      <c r="AG313" s="88" t="str">
        <f aca="false">IF(ISBLANK(C313), "", ABS(M313-S313))</f>
        <v/>
      </c>
      <c r="AH313" s="85" t="str">
        <f aca="false">IF(ISNUMBER(AG313), RANK(AG313,AG$8:AG$507,1), "")</f>
        <v/>
      </c>
      <c r="AI313" s="85" t="str">
        <f aca="false">IF(ISBLANK(C313),"",IF(V313&lt;&gt;Constants!$B$14, V313, RANK(AD313, AD$8:AD$507, 1)+ SUMPRODUCT(--(AD$8:AD$507=AD313),--(AF313&gt;AF$8:AF$507)) + SUMPRODUCT(--(AD$8:AD$507=AD313),--(AF313=AF$8:AF$507),--(AH313&gt;AH$8:AH$507))))</f>
        <v/>
      </c>
      <c r="AJ313" s="85" t="str">
        <f aca="false">IF(ISBLANK(C313),"",IF(V313&lt;&gt;Constants!$B$14, V313, AD313-AI313))</f>
        <v/>
      </c>
      <c r="AK313" s="89"/>
      <c r="AL313" s="90" t="str">
        <f aca="false">IF(ISBLANK($C313),"",IF($V313&lt;&gt;Constants!$B$14,$V313,X313))</f>
        <v/>
      </c>
      <c r="AM313" s="90" t="str">
        <f aca="false">IF(ISBLANK($C313),"",IF($V313&lt;&gt;Constants!$B$14,$V313,N313))</f>
        <v/>
      </c>
      <c r="AN313" s="91" t="str">
        <f aca="false">IF(ISBLANK(C313),"",IF(V313&lt;&gt;Constants!$B$14, V313, IF(W313=Constants!$B$7,Z313,IF(W313=Constants!$B$8,AB313,""))))</f>
        <v/>
      </c>
      <c r="AO313" s="92" t="str">
        <f aca="false">IF(ISBLANK(C313),"",W313)</f>
        <v/>
      </c>
      <c r="AP313" s="92" t="str">
        <f aca="false">IF(ISBLANK(C313),"",AJ313)</f>
        <v/>
      </c>
      <c r="AQ313" s="92" t="str">
        <f aca="false">IF(ISBLANK(C313),"",AI313)</f>
        <v/>
      </c>
      <c r="AR313" s="93" t="str">
        <f aca="false">IF(ISBLANK(C313),
  "",
IF(AQ313=Constants!$B$11,COUNTA($C$8:$C$507)+2,IF(AQ313=Constants!$B$12,COUNTA($C$8:$C$507)+1,IF(AQ313=Constants!$B$13,COUNTA($C$8:$C$507),AQ313))))</f>
        <v/>
      </c>
      <c r="AS313" s="3"/>
      <c r="AT313" s="94" t="n">
        <f aca="false">IF(OR(ISNUMBER(AQ313),AQ313="DQ",AQ313="P",AQ313="NS"),
    1,
    0
)</f>
        <v>0</v>
      </c>
      <c r="AU313" s="94" t="n">
        <v>306</v>
      </c>
      <c r="AV313" s="94" t="str">
        <f aca="false">IF(ISBLANK($C313),
    "",
   IF(ISNUMBER(AR313),AR313+ROW($B313)/1000,"")
)</f>
        <v/>
      </c>
      <c r="AW313" s="94" t="str">
        <f aca="false">IF(ISNUMBER(AV313), RANK(AV313,AV$8:AV$507,1), "")</f>
        <v/>
      </c>
      <c r="AX313" s="94" t="str">
        <f aca="false">IF(ISBLANK($C313),
    "",
    $B313
)</f>
        <v/>
      </c>
      <c r="AY313" s="94" t="str">
        <f aca="false">IF(ISBLANK($C313),
    "",
    $C313
)</f>
        <v/>
      </c>
      <c r="AZ313" s="94" t="str">
        <f aca="false">IF(ISBLANK($C313),
    "",
    $D313
)</f>
        <v/>
      </c>
      <c r="BA313" s="94" t="str">
        <f aca="false">AO313</f>
        <v/>
      </c>
      <c r="BB313" s="95" t="str">
        <f aca="false">AN313</f>
        <v/>
      </c>
      <c r="BC313" s="94" t="str">
        <f aca="false">IF(ISBLANK($C313),
    "",
    AQ313
)</f>
        <v/>
      </c>
      <c r="BD313" s="96" t="str">
        <f aca="false">IF(AU313&gt;AT$7,
    "",
    VLOOKUP(AU313,AW$8:BC$507,7,FALSE())
)</f>
        <v/>
      </c>
      <c r="BE313" s="97" t="str">
        <f aca="false">IF(AU313&gt;AT$7,
    "",
    VLOOKUP(AU313,AW$8:BC$507,2,FALSE())
)</f>
        <v/>
      </c>
      <c r="BF313" s="97" t="str">
        <f aca="false">IF(AU313&gt;AT$7,
    "",
    VLOOKUP(AU313,AW$8:BC$507,3,FALSE())
)</f>
        <v/>
      </c>
      <c r="BG313" s="97" t="str">
        <f aca="false">IF(AU313&gt;AT$7,
    "",
    VLOOKUP(AU313,AW$8:BC$507,4,FALSE())
)</f>
        <v/>
      </c>
      <c r="BH313" s="97" t="str">
        <f aca="false">IF(AU313&gt;AT$7,
    "",
    VLOOKUP(AU313,AW$8:BC$507,5,FALSE())
)</f>
        <v/>
      </c>
      <c r="BI313" s="98" t="str">
        <f aca="false">IF(AU313&gt;AT$7,
    "",
    VLOOKUP(AU313,AW$8:BC$507,6,FALSE())
)</f>
        <v/>
      </c>
      <c r="BJ313" s="46"/>
    </row>
    <row r="314" customFormat="false" ht="15.75" hidden="false" customHeight="false" outlineLevel="0" collapsed="false">
      <c r="A314" s="3"/>
      <c r="B314" s="108"/>
      <c r="C314" s="70"/>
      <c r="D314" s="49"/>
      <c r="E314" s="109"/>
      <c r="F314" s="72"/>
      <c r="G314" s="109"/>
      <c r="H314" s="74"/>
      <c r="I314" s="104"/>
      <c r="J314" s="74"/>
      <c r="K314" s="74"/>
      <c r="L314" s="55"/>
      <c r="M314" s="55" t="str">
        <f aca="false">IF(ISBLANK($C314),"",IF(ISBLANK(E314),0,E314))</f>
        <v/>
      </c>
      <c r="N314" s="55" t="str">
        <f aca="false">IF(ISBLANK($C314),"",IF(ISBLANK(F314),0,F314))</f>
        <v/>
      </c>
      <c r="O314" s="55" t="e">
        <f aca="false">IF(AND(NOT(ISBLANK($C314)),NOT($T314),COUNTA($E314:$K314)&gt;0),ISBLANK($F314),FALSE())</f>
        <v>#VALUE!</v>
      </c>
      <c r="P314" s="55" t="str">
        <f aca="false">IF(ISBLANK($C314),"",IF(G314=Constants!$B$9, TRUE(), IF(G314=Constants!$B$10, FALSE(), TRUE())))</f>
        <v/>
      </c>
      <c r="Q314" s="55" t="str">
        <f aca="false">IF(ISBLANK($C314),"",IF(H314=Constants!$B$9, TRUE(), IF(H314=Constants!$B$10, FALSE(), TRUE())))</f>
        <v/>
      </c>
      <c r="R314" s="55" t="str">
        <f aca="false">IF(ISBLANK($C314),"",IF(ISBLANK(I314),Constants!$B$3,I314))</f>
        <v/>
      </c>
      <c r="S314" s="55" t="str">
        <f aca="false">IF(ISBLANK($C314),"",IF(ISBLANK(J314),0,MIN(J314,Constants!$B$6)))</f>
        <v/>
      </c>
      <c r="T314" s="55" t="str">
        <f aca="false">IF(ISBLANK($C314),"",IF(K314=Constants!$B$9, TRUE(), IF(K314=Constants!$B$10, FALSE(),  FALSE())))</f>
        <v/>
      </c>
      <c r="U314" s="55" t="str">
        <f aca="false">IF(ISBLANK($C314),"",AND(R314=Constants!$B$4, S314&lt;Constants!$B$6))</f>
        <v/>
      </c>
      <c r="V314" s="55" t="str">
        <f aca="false">IF(ISBLANK(C314), "", IF(T314, Constants!$B$11, IF(COUNTA(E314:K314)=0, Constants!$B$12, IF(NOT(AND(P314,S314&lt;&gt;0)), Constants!$B$13, IF(O314, Constants!$B$15, Constants!$B$14)))))</f>
        <v/>
      </c>
      <c r="W314" s="55" t="str">
        <f aca="false">IF(OR(ISBLANK($C314), SUMPRODUCT(--(P314:T314&lt;&gt;""))=0), "", IF(V314&lt;&gt;Constants!$B$14, V314, IF(AND(NOT(ISBLANK(J314)),P314,Q314,R314&lt;&gt;Constants!$B$2), Constants!$B$7, IF(AND(P314,OR(NOT(Q314),R314=Constants!$B$2)), Constants!$B$8, "Error"))))</f>
        <v/>
      </c>
      <c r="X314" s="56" t="str">
        <f aca="false">IF(OR(W314=Constants!$B$7,W314=Constants!$B$8), MAX(0, MIN(Constants!$B$6, S314))+IF(AND(R314=Constants!$B$4, NOT(U314)), Constants!$B$5, 0), "")</f>
        <v/>
      </c>
      <c r="Y314" s="55" t="str">
        <f aca="false">IF(ISBLANK($C314),"",IF(AND(ISNUMBER(X314),N314&gt;0),X314/N314, "") )</f>
        <v/>
      </c>
      <c r="Z314" s="55" t="str">
        <f aca="false">IF(AND(NOT(ISBLANK($C314)), W314=Constants!$B$7), Y314, "")</f>
        <v/>
      </c>
      <c r="AA314" s="55" t="str">
        <f aca="false">IF(ISNUMBER(Z314), RANK(Z314,Z$8:Z$507), "")</f>
        <v/>
      </c>
      <c r="AB314" s="55" t="str">
        <f aca="false">IF(AND(NOT(ISBLANK($C314)), W314=Constants!$B$8), Y314, "")</f>
        <v/>
      </c>
      <c r="AC314" s="55" t="str">
        <f aca="false">IF(ISNUMBER(AB314), RANK(AB314,AB$8:AB$507), "")</f>
        <v/>
      </c>
      <c r="AD314" s="55" t="str">
        <f aca="false">IF(ISBLANK($C314),"",IF(V314&lt;&gt;Constants!$B$14, V314, IF(W314=Constants!$B$7, AA314, IF(W314=Constants!$B$8, COUNT($AA$8:$AA$507) + AC314, ""))))</f>
        <v/>
      </c>
      <c r="AE314" s="55" t="str">
        <f aca="false">N314</f>
        <v/>
      </c>
      <c r="AF314" s="55" t="str">
        <f aca="false">IF(ISNUMBER(AE314), RANK(AE314,AE$8:AE$507,1), "")</f>
        <v/>
      </c>
      <c r="AG314" s="57" t="str">
        <f aca="false">IF(ISBLANK(C314), "", ABS(M314-S314))</f>
        <v/>
      </c>
      <c r="AH314" s="55" t="str">
        <f aca="false">IF(ISNUMBER(AG314), RANK(AG314,AG$8:AG$507,1), "")</f>
        <v/>
      </c>
      <c r="AI314" s="55" t="str">
        <f aca="false">IF(ISBLANK(C314),"",IF(V314&lt;&gt;Constants!$B$14, V314, RANK(AD314, AD$8:AD$507, 1)+ SUMPRODUCT(--(AD$8:AD$507=AD314),--(AF314&gt;AF$8:AF$507)) + SUMPRODUCT(--(AD$8:AD$507=AD314),--(AF314=AF$8:AF$507),--(AH314&gt;AH$8:AH$507))))</f>
        <v/>
      </c>
      <c r="AJ314" s="55" t="str">
        <f aca="false">IF(ISBLANK(C314),"",IF(V314&lt;&gt;Constants!$B$14, V314, AD314-AI314))</f>
        <v/>
      </c>
      <c r="AK314" s="59"/>
      <c r="AL314" s="60" t="str">
        <f aca="false">IF(ISBLANK($C314),"",IF($V314&lt;&gt;Constants!$B$14,$V314,X314))</f>
        <v/>
      </c>
      <c r="AM314" s="60" t="str">
        <f aca="false">IF(ISBLANK($C314),"",IF($V314&lt;&gt;Constants!$B$14,$V314,N314))</f>
        <v/>
      </c>
      <c r="AN314" s="62" t="str">
        <f aca="false">IF(ISBLANK(C314),"",IF(V314&lt;&gt;Constants!$B$14, V314, IF(W314=Constants!$B$7,Z314,IF(W314=Constants!$B$8,AB314,""))))</f>
        <v/>
      </c>
      <c r="AO314" s="63" t="str">
        <f aca="false">IF(ISBLANK(C314),"",W314)</f>
        <v/>
      </c>
      <c r="AP314" s="63" t="str">
        <f aca="false">IF(ISBLANK(C314),"",AJ314)</f>
        <v/>
      </c>
      <c r="AQ314" s="63" t="str">
        <f aca="false">IF(ISBLANK(C314),"",AI314)</f>
        <v/>
      </c>
      <c r="AR314" s="64" t="str">
        <f aca="false">IF(ISBLANK(C314),
  "",
IF(AQ314=Constants!$B$11,COUNTA($C$8:$C$507)+2,IF(AQ314=Constants!$B$12,COUNTA($C$8:$C$507)+1,IF(AQ314=Constants!$B$13,COUNTA($C$8:$C$507),AQ314))))</f>
        <v/>
      </c>
      <c r="AS314" s="3"/>
      <c r="AT314" s="65" t="n">
        <f aca="false">IF(OR(ISNUMBER(AQ314),AQ314="DQ",AQ314="P",AQ314="NS"),
    1,
    0
)</f>
        <v>0</v>
      </c>
      <c r="AU314" s="65" t="n">
        <v>307</v>
      </c>
      <c r="AV314" s="65" t="str">
        <f aca="false">IF(ISBLANK($C314),
    "",
   IF(ISNUMBER(AR314),AR314+ROW($B314)/1000,"")
)</f>
        <v/>
      </c>
      <c r="AW314" s="65" t="str">
        <f aca="false">IF(ISNUMBER(AV314), RANK(AV314,AV$8:AV$507,1), "")</f>
        <v/>
      </c>
      <c r="AX314" s="65" t="str">
        <f aca="false">IF(ISBLANK($C314),
    "",
    $B314
)</f>
        <v/>
      </c>
      <c r="AY314" s="65" t="str">
        <f aca="false">IF(ISBLANK($C314),
    "",
    $C314
)</f>
        <v/>
      </c>
      <c r="AZ314" s="65" t="str">
        <f aca="false">IF(ISBLANK($C314),
    "",
    $D314
)</f>
        <v/>
      </c>
      <c r="BA314" s="65" t="str">
        <f aca="false">AO314</f>
        <v/>
      </c>
      <c r="BB314" s="66" t="str">
        <f aca="false">AN314</f>
        <v/>
      </c>
      <c r="BC314" s="65" t="str">
        <f aca="false">IF(ISBLANK($C314),
    "",
    AQ314
)</f>
        <v/>
      </c>
      <c r="BD314" s="67" t="str">
        <f aca="false">IF(AU314&gt;AT$7,
    "",
    VLOOKUP(AU314,AW$8:BC$507,7,FALSE())
)</f>
        <v/>
      </c>
      <c r="BE314" s="68" t="str">
        <f aca="false">IF(AU314&gt;AT$7,
    "",
    VLOOKUP(AU314,AW$8:BC$507,2,FALSE())
)</f>
        <v/>
      </c>
      <c r="BF314" s="68" t="str">
        <f aca="false">IF(AU314&gt;AT$7,
    "",
    VLOOKUP(AU314,AW$8:BC$507,3,FALSE())
)</f>
        <v/>
      </c>
      <c r="BG314" s="68" t="str">
        <f aca="false">IF(AU314&gt;AT$7,
    "",
    VLOOKUP(AU314,AW$8:BC$507,4,FALSE())
)</f>
        <v/>
      </c>
      <c r="BH314" s="68" t="str">
        <f aca="false">IF(AU314&gt;AT$7,
    "",
    VLOOKUP(AU314,AW$8:BC$507,5,FALSE())
)</f>
        <v/>
      </c>
      <c r="BI314" s="69" t="str">
        <f aca="false">IF(AU314&gt;AT$7,
    "",
    VLOOKUP(AU314,AW$8:BC$507,6,FALSE())
)</f>
        <v/>
      </c>
      <c r="BJ314" s="46"/>
    </row>
    <row r="315" customFormat="false" ht="15.75" hidden="false" customHeight="false" outlineLevel="0" collapsed="false">
      <c r="A315" s="3"/>
      <c r="B315" s="108"/>
      <c r="C315" s="70"/>
      <c r="D315" s="49"/>
      <c r="E315" s="109"/>
      <c r="F315" s="72"/>
      <c r="G315" s="109"/>
      <c r="H315" s="74"/>
      <c r="I315" s="104"/>
      <c r="J315" s="74"/>
      <c r="K315" s="74"/>
      <c r="L315" s="55"/>
      <c r="M315" s="55" t="str">
        <f aca="false">IF(ISBLANK($C315),"",IF(ISBLANK(E315),0,E315))</f>
        <v/>
      </c>
      <c r="N315" s="55" t="str">
        <f aca="false">IF(ISBLANK($C315),"",IF(ISBLANK(F315),0,F315))</f>
        <v/>
      </c>
      <c r="O315" s="55" t="e">
        <f aca="false">IF(AND(NOT(ISBLANK($C315)),NOT($T315),COUNTA($E315:$K315)&gt;0),ISBLANK($F315),FALSE())</f>
        <v>#VALUE!</v>
      </c>
      <c r="P315" s="55" t="str">
        <f aca="false">IF(ISBLANK($C315),"",IF(G315=Constants!$B$9, TRUE(), IF(G315=Constants!$B$10, FALSE(), TRUE())))</f>
        <v/>
      </c>
      <c r="Q315" s="55" t="str">
        <f aca="false">IF(ISBLANK($C315),"",IF(H315=Constants!$B$9, TRUE(), IF(H315=Constants!$B$10, FALSE(), TRUE())))</f>
        <v/>
      </c>
      <c r="R315" s="55" t="str">
        <f aca="false">IF(ISBLANK($C315),"",IF(ISBLANK(I315),Constants!$B$3,I315))</f>
        <v/>
      </c>
      <c r="S315" s="55" t="str">
        <f aca="false">IF(ISBLANK($C315),"",IF(ISBLANK(J315),0,MIN(J315,Constants!$B$6)))</f>
        <v/>
      </c>
      <c r="T315" s="55" t="str">
        <f aca="false">IF(ISBLANK($C315),"",IF(K315=Constants!$B$9, TRUE(), IF(K315=Constants!$B$10, FALSE(),  FALSE())))</f>
        <v/>
      </c>
      <c r="U315" s="55" t="str">
        <f aca="false">IF(ISBLANK($C315),"",AND(R315=Constants!$B$4, S315&lt;Constants!$B$6))</f>
        <v/>
      </c>
      <c r="V315" s="55" t="str">
        <f aca="false">IF(ISBLANK(C315), "", IF(T315, Constants!$B$11, IF(COUNTA(E315:K315)=0, Constants!$B$12, IF(NOT(AND(P315,S315&lt;&gt;0)), Constants!$B$13, IF(O315, Constants!$B$15, Constants!$B$14)))))</f>
        <v/>
      </c>
      <c r="W315" s="55" t="str">
        <f aca="false">IF(OR(ISBLANK($C315), SUMPRODUCT(--(P315:T315&lt;&gt;""))=0), "", IF(V315&lt;&gt;Constants!$B$14, V315, IF(AND(NOT(ISBLANK(J315)),P315,Q315,R315&lt;&gt;Constants!$B$2), Constants!$B$7, IF(AND(P315,OR(NOT(Q315),R315=Constants!$B$2)), Constants!$B$8, "Error"))))</f>
        <v/>
      </c>
      <c r="X315" s="56" t="str">
        <f aca="false">IF(OR(W315=Constants!$B$7,W315=Constants!$B$8), MAX(0, MIN(Constants!$B$6, S315))+IF(AND(R315=Constants!$B$4, NOT(U315)), Constants!$B$5, 0), "")</f>
        <v/>
      </c>
      <c r="Y315" s="55" t="str">
        <f aca="false">IF(ISBLANK($C315),"",IF(AND(ISNUMBER(X315),N315&gt;0),X315/N315, "") )</f>
        <v/>
      </c>
      <c r="Z315" s="55" t="str">
        <f aca="false">IF(AND(NOT(ISBLANK($C315)), W315=Constants!$B$7), Y315, "")</f>
        <v/>
      </c>
      <c r="AA315" s="55" t="str">
        <f aca="false">IF(ISNUMBER(Z315), RANK(Z315,Z$8:Z$507), "")</f>
        <v/>
      </c>
      <c r="AB315" s="55" t="str">
        <f aca="false">IF(AND(NOT(ISBLANK($C315)), W315=Constants!$B$8), Y315, "")</f>
        <v/>
      </c>
      <c r="AC315" s="55" t="str">
        <f aca="false">IF(ISNUMBER(AB315), RANK(AB315,AB$8:AB$507), "")</f>
        <v/>
      </c>
      <c r="AD315" s="55" t="str">
        <f aca="false">IF(ISBLANK($C315),"",IF(V315&lt;&gt;Constants!$B$14, V315, IF(W315=Constants!$B$7, AA315, IF(W315=Constants!$B$8, COUNT($AA$8:$AA$507) + AC315, ""))))</f>
        <v/>
      </c>
      <c r="AE315" s="55" t="str">
        <f aca="false">N315</f>
        <v/>
      </c>
      <c r="AF315" s="55" t="str">
        <f aca="false">IF(ISNUMBER(AE315), RANK(AE315,AE$8:AE$507,1), "")</f>
        <v/>
      </c>
      <c r="AG315" s="57" t="str">
        <f aca="false">IF(ISBLANK(C315), "", ABS(M315-S315))</f>
        <v/>
      </c>
      <c r="AH315" s="55" t="str">
        <f aca="false">IF(ISNUMBER(AG315), RANK(AG315,AG$8:AG$507,1), "")</f>
        <v/>
      </c>
      <c r="AI315" s="55" t="str">
        <f aca="false">IF(ISBLANK(C315),"",IF(V315&lt;&gt;Constants!$B$14, V315, RANK(AD315, AD$8:AD$507, 1)+ SUMPRODUCT(--(AD$8:AD$507=AD315),--(AF315&gt;AF$8:AF$507)) + SUMPRODUCT(--(AD$8:AD$507=AD315),--(AF315=AF$8:AF$507),--(AH315&gt;AH$8:AH$507))))</f>
        <v/>
      </c>
      <c r="AJ315" s="55" t="str">
        <f aca="false">IF(ISBLANK(C315),"",IF(V315&lt;&gt;Constants!$B$14, V315, AD315-AI315))</f>
        <v/>
      </c>
      <c r="AK315" s="59"/>
      <c r="AL315" s="60" t="str">
        <f aca="false">IF(ISBLANK($C315),"",IF($V315&lt;&gt;Constants!$B$14,$V315,X315))</f>
        <v/>
      </c>
      <c r="AM315" s="60" t="str">
        <f aca="false">IF(ISBLANK($C315),"",IF($V315&lt;&gt;Constants!$B$14,$V315,N315))</f>
        <v/>
      </c>
      <c r="AN315" s="62" t="str">
        <f aca="false">IF(ISBLANK(C315),"",IF(V315&lt;&gt;Constants!$B$14, V315, IF(W315=Constants!$B$7,Z315,IF(W315=Constants!$B$8,AB315,""))))</f>
        <v/>
      </c>
      <c r="AO315" s="63" t="str">
        <f aca="false">IF(ISBLANK(C315),"",W315)</f>
        <v/>
      </c>
      <c r="AP315" s="63" t="str">
        <f aca="false">IF(ISBLANK(C315),"",AJ315)</f>
        <v/>
      </c>
      <c r="AQ315" s="63" t="str">
        <f aca="false">IF(ISBLANK(C315),"",AI315)</f>
        <v/>
      </c>
      <c r="AR315" s="64" t="str">
        <f aca="false">IF(ISBLANK(C315),
  "",
IF(AQ315=Constants!$B$11,COUNTA($C$8:$C$507)+2,IF(AQ315=Constants!$B$12,COUNTA($C$8:$C$507)+1,IF(AQ315=Constants!$B$13,COUNTA($C$8:$C$507),AQ315))))</f>
        <v/>
      </c>
      <c r="AS315" s="3"/>
      <c r="AT315" s="65" t="n">
        <f aca="false">IF(OR(ISNUMBER(AQ315),AQ315="DQ",AQ315="P",AQ315="NS"),
    1,
    0
)</f>
        <v>0</v>
      </c>
      <c r="AU315" s="65" t="n">
        <v>308</v>
      </c>
      <c r="AV315" s="65" t="str">
        <f aca="false">IF(ISBLANK($C315),
    "",
   IF(ISNUMBER(AR315),AR315+ROW($B315)/1000,"")
)</f>
        <v/>
      </c>
      <c r="AW315" s="65" t="str">
        <f aca="false">IF(ISNUMBER(AV315), RANK(AV315,AV$8:AV$507,1), "")</f>
        <v/>
      </c>
      <c r="AX315" s="65" t="str">
        <f aca="false">IF(ISBLANK($C315),
    "",
    $B315
)</f>
        <v/>
      </c>
      <c r="AY315" s="65" t="str">
        <f aca="false">IF(ISBLANK($C315),
    "",
    $C315
)</f>
        <v/>
      </c>
      <c r="AZ315" s="65" t="str">
        <f aca="false">IF(ISBLANK($C315),
    "",
    $D315
)</f>
        <v/>
      </c>
      <c r="BA315" s="65" t="str">
        <f aca="false">AO315</f>
        <v/>
      </c>
      <c r="BB315" s="66" t="str">
        <f aca="false">AN315</f>
        <v/>
      </c>
      <c r="BC315" s="65" t="str">
        <f aca="false">IF(ISBLANK($C315),
    "",
    AQ315
)</f>
        <v/>
      </c>
      <c r="BD315" s="67" t="str">
        <f aca="false">IF(AU315&gt;AT$7,
    "",
    VLOOKUP(AU315,AW$8:BC$507,7,FALSE())
)</f>
        <v/>
      </c>
      <c r="BE315" s="68" t="str">
        <f aca="false">IF(AU315&gt;AT$7,
    "",
    VLOOKUP(AU315,AW$8:BC$507,2,FALSE())
)</f>
        <v/>
      </c>
      <c r="BF315" s="68" t="str">
        <f aca="false">IF(AU315&gt;AT$7,
    "",
    VLOOKUP(AU315,AW$8:BC$507,3,FALSE())
)</f>
        <v/>
      </c>
      <c r="BG315" s="68" t="str">
        <f aca="false">IF(AU315&gt;AT$7,
    "",
    VLOOKUP(AU315,AW$8:BC$507,4,FALSE())
)</f>
        <v/>
      </c>
      <c r="BH315" s="68" t="str">
        <f aca="false">IF(AU315&gt;AT$7,
    "",
    VLOOKUP(AU315,AW$8:BC$507,5,FALSE())
)</f>
        <v/>
      </c>
      <c r="BI315" s="69" t="str">
        <f aca="false">IF(AU315&gt;AT$7,
    "",
    VLOOKUP(AU315,AW$8:BC$507,6,FALSE())
)</f>
        <v/>
      </c>
      <c r="BJ315" s="46"/>
    </row>
    <row r="316" customFormat="false" ht="15.75" hidden="false" customHeight="false" outlineLevel="0" collapsed="false">
      <c r="A316" s="3"/>
      <c r="B316" s="108"/>
      <c r="C316" s="70"/>
      <c r="D316" s="49"/>
      <c r="E316" s="109"/>
      <c r="F316" s="72"/>
      <c r="G316" s="109"/>
      <c r="H316" s="74"/>
      <c r="I316" s="104"/>
      <c r="J316" s="74"/>
      <c r="K316" s="74"/>
      <c r="L316" s="55"/>
      <c r="M316" s="55" t="str">
        <f aca="false">IF(ISBLANK($C316),"",IF(ISBLANK(E316),0,E316))</f>
        <v/>
      </c>
      <c r="N316" s="55" t="str">
        <f aca="false">IF(ISBLANK($C316),"",IF(ISBLANK(F316),0,F316))</f>
        <v/>
      </c>
      <c r="O316" s="55" t="e">
        <f aca="false">IF(AND(NOT(ISBLANK($C316)),NOT($T316),COUNTA($E316:$K316)&gt;0),ISBLANK($F316),FALSE())</f>
        <v>#VALUE!</v>
      </c>
      <c r="P316" s="55" t="str">
        <f aca="false">IF(ISBLANK($C316),"",IF(G316=Constants!$B$9, TRUE(), IF(G316=Constants!$B$10, FALSE(), TRUE())))</f>
        <v/>
      </c>
      <c r="Q316" s="55" t="str">
        <f aca="false">IF(ISBLANK($C316),"",IF(H316=Constants!$B$9, TRUE(), IF(H316=Constants!$B$10, FALSE(), TRUE())))</f>
        <v/>
      </c>
      <c r="R316" s="55" t="str">
        <f aca="false">IF(ISBLANK($C316),"",IF(ISBLANK(I316),Constants!$B$3,I316))</f>
        <v/>
      </c>
      <c r="S316" s="55" t="str">
        <f aca="false">IF(ISBLANK($C316),"",IF(ISBLANK(J316),0,MIN(J316,Constants!$B$6)))</f>
        <v/>
      </c>
      <c r="T316" s="55" t="str">
        <f aca="false">IF(ISBLANK($C316),"",IF(K316=Constants!$B$9, TRUE(), IF(K316=Constants!$B$10, FALSE(),  FALSE())))</f>
        <v/>
      </c>
      <c r="U316" s="55" t="str">
        <f aca="false">IF(ISBLANK($C316),"",AND(R316=Constants!$B$4, S316&lt;Constants!$B$6))</f>
        <v/>
      </c>
      <c r="V316" s="55" t="str">
        <f aca="false">IF(ISBLANK(C316), "", IF(T316, Constants!$B$11, IF(COUNTA(E316:K316)=0, Constants!$B$12, IF(NOT(AND(P316,S316&lt;&gt;0)), Constants!$B$13, IF(O316, Constants!$B$15, Constants!$B$14)))))</f>
        <v/>
      </c>
      <c r="W316" s="55" t="str">
        <f aca="false">IF(OR(ISBLANK($C316), SUMPRODUCT(--(P316:T316&lt;&gt;""))=0), "", IF(V316&lt;&gt;Constants!$B$14, V316, IF(AND(NOT(ISBLANK(J316)),P316,Q316,R316&lt;&gt;Constants!$B$2), Constants!$B$7, IF(AND(P316,OR(NOT(Q316),R316=Constants!$B$2)), Constants!$B$8, "Error"))))</f>
        <v/>
      </c>
      <c r="X316" s="56" t="str">
        <f aca="false">IF(OR(W316=Constants!$B$7,W316=Constants!$B$8), MAX(0, MIN(Constants!$B$6, S316))+IF(AND(R316=Constants!$B$4, NOT(U316)), Constants!$B$5, 0), "")</f>
        <v/>
      </c>
      <c r="Y316" s="55" t="str">
        <f aca="false">IF(ISBLANK($C316),"",IF(AND(ISNUMBER(X316),N316&gt;0),X316/N316, "") )</f>
        <v/>
      </c>
      <c r="Z316" s="55" t="str">
        <f aca="false">IF(AND(NOT(ISBLANK($C316)), W316=Constants!$B$7), Y316, "")</f>
        <v/>
      </c>
      <c r="AA316" s="55" t="str">
        <f aca="false">IF(ISNUMBER(Z316), RANK(Z316,Z$8:Z$507), "")</f>
        <v/>
      </c>
      <c r="AB316" s="55" t="str">
        <f aca="false">IF(AND(NOT(ISBLANK($C316)), W316=Constants!$B$8), Y316, "")</f>
        <v/>
      </c>
      <c r="AC316" s="55" t="str">
        <f aca="false">IF(ISNUMBER(AB316), RANK(AB316,AB$8:AB$507), "")</f>
        <v/>
      </c>
      <c r="AD316" s="55" t="str">
        <f aca="false">IF(ISBLANK($C316),"",IF(V316&lt;&gt;Constants!$B$14, V316, IF(W316=Constants!$B$7, AA316, IF(W316=Constants!$B$8, COUNT($AA$8:$AA$507) + AC316, ""))))</f>
        <v/>
      </c>
      <c r="AE316" s="55" t="str">
        <f aca="false">N316</f>
        <v/>
      </c>
      <c r="AF316" s="55" t="str">
        <f aca="false">IF(ISNUMBER(AE316), RANK(AE316,AE$8:AE$507,1), "")</f>
        <v/>
      </c>
      <c r="AG316" s="57" t="str">
        <f aca="false">IF(ISBLANK(C316), "", ABS(M316-S316))</f>
        <v/>
      </c>
      <c r="AH316" s="55" t="str">
        <f aca="false">IF(ISNUMBER(AG316), RANK(AG316,AG$8:AG$507,1), "")</f>
        <v/>
      </c>
      <c r="AI316" s="55" t="str">
        <f aca="false">IF(ISBLANK(C316),"",IF(V316&lt;&gt;Constants!$B$14, V316, RANK(AD316, AD$8:AD$507, 1)+ SUMPRODUCT(--(AD$8:AD$507=AD316),--(AF316&gt;AF$8:AF$507)) + SUMPRODUCT(--(AD$8:AD$507=AD316),--(AF316=AF$8:AF$507),--(AH316&gt;AH$8:AH$507))))</f>
        <v/>
      </c>
      <c r="AJ316" s="55" t="str">
        <f aca="false">IF(ISBLANK(C316),"",IF(V316&lt;&gt;Constants!$B$14, V316, AD316-AI316))</f>
        <v/>
      </c>
      <c r="AK316" s="59"/>
      <c r="AL316" s="60" t="str">
        <f aca="false">IF(ISBLANK($C316),"",IF($V316&lt;&gt;Constants!$B$14,$V316,X316))</f>
        <v/>
      </c>
      <c r="AM316" s="60" t="str">
        <f aca="false">IF(ISBLANK($C316),"",IF($V316&lt;&gt;Constants!$B$14,$V316,N316))</f>
        <v/>
      </c>
      <c r="AN316" s="62" t="str">
        <f aca="false">IF(ISBLANK(C316),"",IF(V316&lt;&gt;Constants!$B$14, V316, IF(W316=Constants!$B$7,Z316,IF(W316=Constants!$B$8,AB316,""))))</f>
        <v/>
      </c>
      <c r="AO316" s="63" t="str">
        <f aca="false">IF(ISBLANK(C316),"",W316)</f>
        <v/>
      </c>
      <c r="AP316" s="63" t="str">
        <f aca="false">IF(ISBLANK(C316),"",AJ316)</f>
        <v/>
      </c>
      <c r="AQ316" s="63" t="str">
        <f aca="false">IF(ISBLANK(C316),"",AI316)</f>
        <v/>
      </c>
      <c r="AR316" s="64" t="str">
        <f aca="false">IF(ISBLANK(C316),
  "",
IF(AQ316=Constants!$B$11,COUNTA($C$8:$C$507)+2,IF(AQ316=Constants!$B$12,COUNTA($C$8:$C$507)+1,IF(AQ316=Constants!$B$13,COUNTA($C$8:$C$507),AQ316))))</f>
        <v/>
      </c>
      <c r="AS316" s="3"/>
      <c r="AT316" s="65" t="n">
        <f aca="false">IF(OR(ISNUMBER(AQ316),AQ316="DQ",AQ316="P",AQ316="NS"),
    1,
    0
)</f>
        <v>0</v>
      </c>
      <c r="AU316" s="65" t="n">
        <v>309</v>
      </c>
      <c r="AV316" s="65" t="str">
        <f aca="false">IF(ISBLANK($C316),
    "",
   IF(ISNUMBER(AR316),AR316+ROW($B316)/1000,"")
)</f>
        <v/>
      </c>
      <c r="AW316" s="65" t="str">
        <f aca="false">IF(ISNUMBER(AV316), RANK(AV316,AV$8:AV$507,1), "")</f>
        <v/>
      </c>
      <c r="AX316" s="65" t="str">
        <f aca="false">IF(ISBLANK($C316),
    "",
    $B316
)</f>
        <v/>
      </c>
      <c r="AY316" s="65" t="str">
        <f aca="false">IF(ISBLANK($C316),
    "",
    $C316
)</f>
        <v/>
      </c>
      <c r="AZ316" s="65" t="str">
        <f aca="false">IF(ISBLANK($C316),
    "",
    $D316
)</f>
        <v/>
      </c>
      <c r="BA316" s="65" t="str">
        <f aca="false">AO316</f>
        <v/>
      </c>
      <c r="BB316" s="66" t="str">
        <f aca="false">AN316</f>
        <v/>
      </c>
      <c r="BC316" s="65" t="str">
        <f aca="false">IF(ISBLANK($C316),
    "",
    AQ316
)</f>
        <v/>
      </c>
      <c r="BD316" s="67" t="str">
        <f aca="false">IF(AU316&gt;AT$7,
    "",
    VLOOKUP(AU316,AW$8:BC$507,7,FALSE())
)</f>
        <v/>
      </c>
      <c r="BE316" s="68" t="str">
        <f aca="false">IF(AU316&gt;AT$7,
    "",
    VLOOKUP(AU316,AW$8:BC$507,2,FALSE())
)</f>
        <v/>
      </c>
      <c r="BF316" s="68" t="str">
        <f aca="false">IF(AU316&gt;AT$7,
    "",
    VLOOKUP(AU316,AW$8:BC$507,3,FALSE())
)</f>
        <v/>
      </c>
      <c r="BG316" s="68" t="str">
        <f aca="false">IF(AU316&gt;AT$7,
    "",
    VLOOKUP(AU316,AW$8:BC$507,4,FALSE())
)</f>
        <v/>
      </c>
      <c r="BH316" s="68" t="str">
        <f aca="false">IF(AU316&gt;AT$7,
    "",
    VLOOKUP(AU316,AW$8:BC$507,5,FALSE())
)</f>
        <v/>
      </c>
      <c r="BI316" s="69" t="str">
        <f aca="false">IF(AU316&gt;AT$7,
    "",
    VLOOKUP(AU316,AW$8:BC$507,6,FALSE())
)</f>
        <v/>
      </c>
      <c r="BJ316" s="46"/>
    </row>
    <row r="317" customFormat="false" ht="15.75" hidden="false" customHeight="false" outlineLevel="0" collapsed="false">
      <c r="A317" s="3"/>
      <c r="B317" s="105"/>
      <c r="C317" s="106"/>
      <c r="D317" s="99"/>
      <c r="E317" s="110"/>
      <c r="F317" s="107"/>
      <c r="G317" s="110"/>
      <c r="H317" s="103"/>
      <c r="I317" s="102"/>
      <c r="J317" s="103"/>
      <c r="K317" s="103"/>
      <c r="L317" s="85"/>
      <c r="M317" s="85" t="str">
        <f aca="false">IF(ISBLANK($C317),"",IF(ISBLANK(E317),0,E317))</f>
        <v/>
      </c>
      <c r="N317" s="85" t="str">
        <f aca="false">IF(ISBLANK($C317),"",IF(ISBLANK(F317),0,F317))</f>
        <v/>
      </c>
      <c r="O317" s="86" t="e">
        <f aca="false">IF(AND(NOT(ISBLANK($C317)),NOT($T317),COUNTA($E317:$K317)&gt;0),ISBLANK($F317),FALSE())</f>
        <v>#VALUE!</v>
      </c>
      <c r="P317" s="85" t="str">
        <f aca="false">IF(ISBLANK($C317),"",IF(G317=Constants!$B$9, TRUE(), IF(G317=Constants!$B$10, FALSE(), TRUE())))</f>
        <v/>
      </c>
      <c r="Q317" s="85" t="str">
        <f aca="false">IF(ISBLANK($C317),"",IF(H317=Constants!$B$9, TRUE(), IF(H317=Constants!$B$10, FALSE(), TRUE())))</f>
        <v/>
      </c>
      <c r="R317" s="85" t="str">
        <f aca="false">IF(ISBLANK($C317),"",IF(ISBLANK(I317),Constants!$B$3,I317))</f>
        <v/>
      </c>
      <c r="S317" s="85" t="str">
        <f aca="false">IF(ISBLANK($C317),"",IF(ISBLANK(J317),0,MIN(J317,Constants!$B$6)))</f>
        <v/>
      </c>
      <c r="T317" s="85" t="str">
        <f aca="false">IF(ISBLANK($C317),"",IF(K317=Constants!$B$9, TRUE(), IF(K317=Constants!$B$10, FALSE(),  FALSE())))</f>
        <v/>
      </c>
      <c r="U317" s="85" t="str">
        <f aca="false">IF(ISBLANK($C317),"",AND(R317=Constants!$B$4, S317&lt;Constants!$B$6))</f>
        <v/>
      </c>
      <c r="V317" s="85" t="str">
        <f aca="false">IF(ISBLANK(C317), "", IF(T317, Constants!$B$11, IF(COUNTA(E317:K317)=0, Constants!$B$12, IF(NOT(AND(P317,S317&lt;&gt;0)), Constants!$B$13, IF(O317, Constants!$B$15, Constants!$B$14)))))</f>
        <v/>
      </c>
      <c r="W317" s="85" t="str">
        <f aca="false">IF(OR(ISBLANK($C317), SUMPRODUCT(--(P317:T317&lt;&gt;""))=0), "", IF(V317&lt;&gt;Constants!$B$14, V317, IF(AND(NOT(ISBLANK(J317)),P317,Q317,R317&lt;&gt;Constants!$B$2), Constants!$B$7, IF(AND(P317,OR(NOT(Q317),R317=Constants!$B$2)), Constants!$B$8, "Error"))))</f>
        <v/>
      </c>
      <c r="X317" s="87" t="str">
        <f aca="false">IF(OR(W317=Constants!$B$7,W317=Constants!$B$8), MAX(0, MIN(Constants!$B$6, S317))+IF(AND(R317=Constants!$B$4, NOT(U317)), Constants!$B$5, 0), "")</f>
        <v/>
      </c>
      <c r="Y317" s="85" t="str">
        <f aca="false">IF(ISBLANK($C317),"",IF(AND(ISNUMBER(X317),N317&gt;0),X317/N317, "") )</f>
        <v/>
      </c>
      <c r="Z317" s="85" t="str">
        <f aca="false">IF(AND(NOT(ISBLANK($C317)), W317=Constants!$B$7), Y317, "")</f>
        <v/>
      </c>
      <c r="AA317" s="85" t="str">
        <f aca="false">IF(ISNUMBER(Z317), RANK(Z317,Z$8:Z$507), "")</f>
        <v/>
      </c>
      <c r="AB317" s="85" t="str">
        <f aca="false">IF(AND(NOT(ISBLANK($C317)), W317=Constants!$B$8), Y317, "")</f>
        <v/>
      </c>
      <c r="AC317" s="85" t="str">
        <f aca="false">IF(ISNUMBER(AB317), RANK(AB317,AB$8:AB$507), "")</f>
        <v/>
      </c>
      <c r="AD317" s="85" t="str">
        <f aca="false">IF(ISBLANK($C317),"",IF(V317&lt;&gt;Constants!$B$14, V317, IF(W317=Constants!$B$7, AA317, IF(W317=Constants!$B$8, COUNT($AA$8:$AA$507) + AC317, ""))))</f>
        <v/>
      </c>
      <c r="AE317" s="85" t="str">
        <f aca="false">N317</f>
        <v/>
      </c>
      <c r="AF317" s="85" t="str">
        <f aca="false">IF(ISNUMBER(AE317), RANK(AE317,AE$8:AE$507,1), "")</f>
        <v/>
      </c>
      <c r="AG317" s="88" t="str">
        <f aca="false">IF(ISBLANK(C317), "", ABS(M317-S317))</f>
        <v/>
      </c>
      <c r="AH317" s="85" t="str">
        <f aca="false">IF(ISNUMBER(AG317), RANK(AG317,AG$8:AG$507,1), "")</f>
        <v/>
      </c>
      <c r="AI317" s="85" t="str">
        <f aca="false">IF(ISBLANK(C317),"",IF(V317&lt;&gt;Constants!$B$14, V317, RANK(AD317, AD$8:AD$507, 1)+ SUMPRODUCT(--(AD$8:AD$507=AD317),--(AF317&gt;AF$8:AF$507)) + SUMPRODUCT(--(AD$8:AD$507=AD317),--(AF317=AF$8:AF$507),--(AH317&gt;AH$8:AH$507))))</f>
        <v/>
      </c>
      <c r="AJ317" s="85" t="str">
        <f aca="false">IF(ISBLANK(C317),"",IF(V317&lt;&gt;Constants!$B$14, V317, AD317-AI317))</f>
        <v/>
      </c>
      <c r="AK317" s="89"/>
      <c r="AL317" s="90" t="str">
        <f aca="false">IF(ISBLANK($C317),"",IF($V317&lt;&gt;Constants!$B$14,$V317,X317))</f>
        <v/>
      </c>
      <c r="AM317" s="90" t="str">
        <f aca="false">IF(ISBLANK($C317),"",IF($V317&lt;&gt;Constants!$B$14,$V317,N317))</f>
        <v/>
      </c>
      <c r="AN317" s="91" t="str">
        <f aca="false">IF(ISBLANK(C317),"",IF(V317&lt;&gt;Constants!$B$14, V317, IF(W317=Constants!$B$7,Z317,IF(W317=Constants!$B$8,AB317,""))))</f>
        <v/>
      </c>
      <c r="AO317" s="92" t="str">
        <f aca="false">IF(ISBLANK(C317),"",W317)</f>
        <v/>
      </c>
      <c r="AP317" s="92" t="str">
        <f aca="false">IF(ISBLANK(C317),"",AJ317)</f>
        <v/>
      </c>
      <c r="AQ317" s="92" t="str">
        <f aca="false">IF(ISBLANK(C317),"",AI317)</f>
        <v/>
      </c>
      <c r="AR317" s="93" t="str">
        <f aca="false">IF(ISBLANK(C317),
  "",
IF(AQ317=Constants!$B$11,COUNTA($C$8:$C$507)+2,IF(AQ317=Constants!$B$12,COUNTA($C$8:$C$507)+1,IF(AQ317=Constants!$B$13,COUNTA($C$8:$C$507),AQ317))))</f>
        <v/>
      </c>
      <c r="AS317" s="3"/>
      <c r="AT317" s="94" t="n">
        <f aca="false">IF(OR(ISNUMBER(AQ317),AQ317="DQ",AQ317="P",AQ317="NS"),
    1,
    0
)</f>
        <v>0</v>
      </c>
      <c r="AU317" s="94" t="n">
        <v>310</v>
      </c>
      <c r="AV317" s="94" t="str">
        <f aca="false">IF(ISBLANK($C317),
    "",
   IF(ISNUMBER(AR317),AR317+ROW($B317)/1000,"")
)</f>
        <v/>
      </c>
      <c r="AW317" s="94" t="str">
        <f aca="false">IF(ISNUMBER(AV317), RANK(AV317,AV$8:AV$507,1), "")</f>
        <v/>
      </c>
      <c r="AX317" s="94" t="str">
        <f aca="false">IF(ISBLANK($C317),
    "",
    $B317
)</f>
        <v/>
      </c>
      <c r="AY317" s="94" t="str">
        <f aca="false">IF(ISBLANK($C317),
    "",
    $C317
)</f>
        <v/>
      </c>
      <c r="AZ317" s="94" t="str">
        <f aca="false">IF(ISBLANK($C317),
    "",
    $D317
)</f>
        <v/>
      </c>
      <c r="BA317" s="94" t="str">
        <f aca="false">AO317</f>
        <v/>
      </c>
      <c r="BB317" s="95" t="str">
        <f aca="false">AN317</f>
        <v/>
      </c>
      <c r="BC317" s="94" t="str">
        <f aca="false">IF(ISBLANK($C317),
    "",
    AQ317
)</f>
        <v/>
      </c>
      <c r="BD317" s="96" t="str">
        <f aca="false">IF(AU317&gt;AT$7,
    "",
    VLOOKUP(AU317,AW$8:BC$507,7,FALSE())
)</f>
        <v/>
      </c>
      <c r="BE317" s="97" t="str">
        <f aca="false">IF(AU317&gt;AT$7,
    "",
    VLOOKUP(AU317,AW$8:BC$507,2,FALSE())
)</f>
        <v/>
      </c>
      <c r="BF317" s="97" t="str">
        <f aca="false">IF(AU317&gt;AT$7,
    "",
    VLOOKUP(AU317,AW$8:BC$507,3,FALSE())
)</f>
        <v/>
      </c>
      <c r="BG317" s="97" t="str">
        <f aca="false">IF(AU317&gt;AT$7,
    "",
    VLOOKUP(AU317,AW$8:BC$507,4,FALSE())
)</f>
        <v/>
      </c>
      <c r="BH317" s="97" t="str">
        <f aca="false">IF(AU317&gt;AT$7,
    "",
    VLOOKUP(AU317,AW$8:BC$507,5,FALSE())
)</f>
        <v/>
      </c>
      <c r="BI317" s="98" t="str">
        <f aca="false">IF(AU317&gt;AT$7,
    "",
    VLOOKUP(AU317,AW$8:BC$507,6,FALSE())
)</f>
        <v/>
      </c>
      <c r="BJ317" s="46"/>
    </row>
    <row r="318" customFormat="false" ht="15.75" hidden="false" customHeight="false" outlineLevel="0" collapsed="false">
      <c r="A318" s="3"/>
      <c r="B318" s="105"/>
      <c r="C318" s="106"/>
      <c r="D318" s="99"/>
      <c r="E318" s="110"/>
      <c r="F318" s="107"/>
      <c r="G318" s="110"/>
      <c r="H318" s="103"/>
      <c r="I318" s="102"/>
      <c r="J318" s="103"/>
      <c r="K318" s="103"/>
      <c r="L318" s="85"/>
      <c r="M318" s="85" t="str">
        <f aca="false">IF(ISBLANK($C318),"",IF(ISBLANK(E318),0,E318))</f>
        <v/>
      </c>
      <c r="N318" s="85" t="str">
        <f aca="false">IF(ISBLANK($C318),"",IF(ISBLANK(F318),0,F318))</f>
        <v/>
      </c>
      <c r="O318" s="86" t="e">
        <f aca="false">IF(AND(NOT(ISBLANK($C318)),NOT($T318),COUNTA($E318:$K318)&gt;0),ISBLANK($F318),FALSE())</f>
        <v>#VALUE!</v>
      </c>
      <c r="P318" s="85" t="str">
        <f aca="false">IF(ISBLANK($C318),"",IF(G318=Constants!$B$9, TRUE(), IF(G318=Constants!$B$10, FALSE(), TRUE())))</f>
        <v/>
      </c>
      <c r="Q318" s="85" t="str">
        <f aca="false">IF(ISBLANK($C318),"",IF(H318=Constants!$B$9, TRUE(), IF(H318=Constants!$B$10, FALSE(), TRUE())))</f>
        <v/>
      </c>
      <c r="R318" s="85" t="str">
        <f aca="false">IF(ISBLANK($C318),"",IF(ISBLANK(I318),Constants!$B$3,I318))</f>
        <v/>
      </c>
      <c r="S318" s="85" t="str">
        <f aca="false">IF(ISBLANK($C318),"",IF(ISBLANK(J318),0,MIN(J318,Constants!$B$6)))</f>
        <v/>
      </c>
      <c r="T318" s="85" t="str">
        <f aca="false">IF(ISBLANK($C318),"",IF(K318=Constants!$B$9, TRUE(), IF(K318=Constants!$B$10, FALSE(),  FALSE())))</f>
        <v/>
      </c>
      <c r="U318" s="85" t="str">
        <f aca="false">IF(ISBLANK($C318),"",AND(R318=Constants!$B$4, S318&lt;Constants!$B$6))</f>
        <v/>
      </c>
      <c r="V318" s="85" t="str">
        <f aca="false">IF(ISBLANK(C318), "", IF(T318, Constants!$B$11, IF(COUNTA(E318:K318)=0, Constants!$B$12, IF(NOT(AND(P318,S318&lt;&gt;0)), Constants!$B$13, IF(O318, Constants!$B$15, Constants!$B$14)))))</f>
        <v/>
      </c>
      <c r="W318" s="85" t="str">
        <f aca="false">IF(OR(ISBLANK($C318), SUMPRODUCT(--(P318:T318&lt;&gt;""))=0), "", IF(V318&lt;&gt;Constants!$B$14, V318, IF(AND(NOT(ISBLANK(J318)),P318,Q318,R318&lt;&gt;Constants!$B$2), Constants!$B$7, IF(AND(P318,OR(NOT(Q318),R318=Constants!$B$2)), Constants!$B$8, "Error"))))</f>
        <v/>
      </c>
      <c r="X318" s="87" t="str">
        <f aca="false">IF(OR(W318=Constants!$B$7,W318=Constants!$B$8), MAX(0, MIN(Constants!$B$6, S318))+IF(AND(R318=Constants!$B$4, NOT(U318)), Constants!$B$5, 0), "")</f>
        <v/>
      </c>
      <c r="Y318" s="85" t="str">
        <f aca="false">IF(ISBLANK($C318),"",IF(AND(ISNUMBER(X318),N318&gt;0),X318/N318, "") )</f>
        <v/>
      </c>
      <c r="Z318" s="85" t="str">
        <f aca="false">IF(AND(NOT(ISBLANK($C318)), W318=Constants!$B$7), Y318, "")</f>
        <v/>
      </c>
      <c r="AA318" s="85" t="str">
        <f aca="false">IF(ISNUMBER(Z318), RANK(Z318,Z$8:Z$507), "")</f>
        <v/>
      </c>
      <c r="AB318" s="85" t="str">
        <f aca="false">IF(AND(NOT(ISBLANK($C318)), W318=Constants!$B$8), Y318, "")</f>
        <v/>
      </c>
      <c r="AC318" s="85" t="str">
        <f aca="false">IF(ISNUMBER(AB318), RANK(AB318,AB$8:AB$507), "")</f>
        <v/>
      </c>
      <c r="AD318" s="85" t="str">
        <f aca="false">IF(ISBLANK($C318),"",IF(V318&lt;&gt;Constants!$B$14, V318, IF(W318=Constants!$B$7, AA318, IF(W318=Constants!$B$8, COUNT($AA$8:$AA$507) + AC318, ""))))</f>
        <v/>
      </c>
      <c r="AE318" s="85" t="str">
        <f aca="false">N318</f>
        <v/>
      </c>
      <c r="AF318" s="85" t="str">
        <f aca="false">IF(ISNUMBER(AE318), RANK(AE318,AE$8:AE$507,1), "")</f>
        <v/>
      </c>
      <c r="AG318" s="88" t="str">
        <f aca="false">IF(ISBLANK(C318), "", ABS(M318-S318))</f>
        <v/>
      </c>
      <c r="AH318" s="85" t="str">
        <f aca="false">IF(ISNUMBER(AG318), RANK(AG318,AG$8:AG$507,1), "")</f>
        <v/>
      </c>
      <c r="AI318" s="85" t="str">
        <f aca="false">IF(ISBLANK(C318),"",IF(V318&lt;&gt;Constants!$B$14, V318, RANK(AD318, AD$8:AD$507, 1)+ SUMPRODUCT(--(AD$8:AD$507=AD318),--(AF318&gt;AF$8:AF$507)) + SUMPRODUCT(--(AD$8:AD$507=AD318),--(AF318=AF$8:AF$507),--(AH318&gt;AH$8:AH$507))))</f>
        <v/>
      </c>
      <c r="AJ318" s="85" t="str">
        <f aca="false">IF(ISBLANK(C318),"",IF(V318&lt;&gt;Constants!$B$14, V318, AD318-AI318))</f>
        <v/>
      </c>
      <c r="AK318" s="89"/>
      <c r="AL318" s="90" t="str">
        <f aca="false">IF(ISBLANK($C318),"",IF($V318&lt;&gt;Constants!$B$14,$V318,X318))</f>
        <v/>
      </c>
      <c r="AM318" s="90" t="str">
        <f aca="false">IF(ISBLANK($C318),"",IF($V318&lt;&gt;Constants!$B$14,$V318,N318))</f>
        <v/>
      </c>
      <c r="AN318" s="91" t="str">
        <f aca="false">IF(ISBLANK(C318),"",IF(V318&lt;&gt;Constants!$B$14, V318, IF(W318=Constants!$B$7,Z318,IF(W318=Constants!$B$8,AB318,""))))</f>
        <v/>
      </c>
      <c r="AO318" s="92" t="str">
        <f aca="false">IF(ISBLANK(C318),"",W318)</f>
        <v/>
      </c>
      <c r="AP318" s="92" t="str">
        <f aca="false">IF(ISBLANK(C318),"",AJ318)</f>
        <v/>
      </c>
      <c r="AQ318" s="92" t="str">
        <f aca="false">IF(ISBLANK(C318),"",AI318)</f>
        <v/>
      </c>
      <c r="AR318" s="93" t="str">
        <f aca="false">IF(ISBLANK(C318),
  "",
IF(AQ318=Constants!$B$11,COUNTA($C$8:$C$507)+2,IF(AQ318=Constants!$B$12,COUNTA($C$8:$C$507)+1,IF(AQ318=Constants!$B$13,COUNTA($C$8:$C$507),AQ318))))</f>
        <v/>
      </c>
      <c r="AS318" s="3"/>
      <c r="AT318" s="94" t="n">
        <f aca="false">IF(OR(ISNUMBER(AQ318),AQ318="DQ",AQ318="P",AQ318="NS"),
    1,
    0
)</f>
        <v>0</v>
      </c>
      <c r="AU318" s="94" t="n">
        <v>311</v>
      </c>
      <c r="AV318" s="94" t="str">
        <f aca="false">IF(ISBLANK($C318),
    "",
   IF(ISNUMBER(AR318),AR318+ROW($B318)/1000,"")
)</f>
        <v/>
      </c>
      <c r="AW318" s="94" t="str">
        <f aca="false">IF(ISNUMBER(AV318), RANK(AV318,AV$8:AV$507,1), "")</f>
        <v/>
      </c>
      <c r="AX318" s="94" t="str">
        <f aca="false">IF(ISBLANK($C318),
    "",
    $B318
)</f>
        <v/>
      </c>
      <c r="AY318" s="94" t="str">
        <f aca="false">IF(ISBLANK($C318),
    "",
    $C318
)</f>
        <v/>
      </c>
      <c r="AZ318" s="94" t="str">
        <f aca="false">IF(ISBLANK($C318),
    "",
    $D318
)</f>
        <v/>
      </c>
      <c r="BA318" s="94" t="str">
        <f aca="false">AO318</f>
        <v/>
      </c>
      <c r="BB318" s="95" t="str">
        <f aca="false">AN318</f>
        <v/>
      </c>
      <c r="BC318" s="94" t="str">
        <f aca="false">IF(ISBLANK($C318),
    "",
    AQ318
)</f>
        <v/>
      </c>
      <c r="BD318" s="96" t="str">
        <f aca="false">IF(AU318&gt;AT$7,
    "",
    VLOOKUP(AU318,AW$8:BC$507,7,FALSE())
)</f>
        <v/>
      </c>
      <c r="BE318" s="97" t="str">
        <f aca="false">IF(AU318&gt;AT$7,
    "",
    VLOOKUP(AU318,AW$8:BC$507,2,FALSE())
)</f>
        <v/>
      </c>
      <c r="BF318" s="97" t="str">
        <f aca="false">IF(AU318&gt;AT$7,
    "",
    VLOOKUP(AU318,AW$8:BC$507,3,FALSE())
)</f>
        <v/>
      </c>
      <c r="BG318" s="97" t="str">
        <f aca="false">IF(AU318&gt;AT$7,
    "",
    VLOOKUP(AU318,AW$8:BC$507,4,FALSE())
)</f>
        <v/>
      </c>
      <c r="BH318" s="97" t="str">
        <f aca="false">IF(AU318&gt;AT$7,
    "",
    VLOOKUP(AU318,AW$8:BC$507,5,FALSE())
)</f>
        <v/>
      </c>
      <c r="BI318" s="98" t="str">
        <f aca="false">IF(AU318&gt;AT$7,
    "",
    VLOOKUP(AU318,AW$8:BC$507,6,FALSE())
)</f>
        <v/>
      </c>
      <c r="BJ318" s="46"/>
    </row>
    <row r="319" customFormat="false" ht="15.75" hidden="false" customHeight="false" outlineLevel="0" collapsed="false">
      <c r="A319" s="3"/>
      <c r="B319" s="105"/>
      <c r="C319" s="106"/>
      <c r="D319" s="99"/>
      <c r="E319" s="110"/>
      <c r="F319" s="107"/>
      <c r="G319" s="110"/>
      <c r="H319" s="103"/>
      <c r="I319" s="102"/>
      <c r="J319" s="103"/>
      <c r="K319" s="103"/>
      <c r="L319" s="85"/>
      <c r="M319" s="85" t="str">
        <f aca="false">IF(ISBLANK($C319),"",IF(ISBLANK(E319),0,E319))</f>
        <v/>
      </c>
      <c r="N319" s="85" t="str">
        <f aca="false">IF(ISBLANK($C319),"",IF(ISBLANK(F319),0,F319))</f>
        <v/>
      </c>
      <c r="O319" s="86" t="e">
        <f aca="false">IF(AND(NOT(ISBLANK($C319)),NOT($T319),COUNTA($E319:$K319)&gt;0),ISBLANK($F319),FALSE())</f>
        <v>#VALUE!</v>
      </c>
      <c r="P319" s="85" t="str">
        <f aca="false">IF(ISBLANK($C319),"",IF(G319=Constants!$B$9, TRUE(), IF(G319=Constants!$B$10, FALSE(), TRUE())))</f>
        <v/>
      </c>
      <c r="Q319" s="85" t="str">
        <f aca="false">IF(ISBLANK($C319),"",IF(H319=Constants!$B$9, TRUE(), IF(H319=Constants!$B$10, FALSE(), TRUE())))</f>
        <v/>
      </c>
      <c r="R319" s="85" t="str">
        <f aca="false">IF(ISBLANK($C319),"",IF(ISBLANK(I319),Constants!$B$3,I319))</f>
        <v/>
      </c>
      <c r="S319" s="85" t="str">
        <f aca="false">IF(ISBLANK($C319),"",IF(ISBLANK(J319),0,MIN(J319,Constants!$B$6)))</f>
        <v/>
      </c>
      <c r="T319" s="85" t="str">
        <f aca="false">IF(ISBLANK($C319),"",IF(K319=Constants!$B$9, TRUE(), IF(K319=Constants!$B$10, FALSE(),  FALSE())))</f>
        <v/>
      </c>
      <c r="U319" s="85" t="str">
        <f aca="false">IF(ISBLANK($C319),"",AND(R319=Constants!$B$4, S319&lt;Constants!$B$6))</f>
        <v/>
      </c>
      <c r="V319" s="85" t="str">
        <f aca="false">IF(ISBLANK(C319), "", IF(T319, Constants!$B$11, IF(COUNTA(E319:K319)=0, Constants!$B$12, IF(NOT(AND(P319,S319&lt;&gt;0)), Constants!$B$13, IF(O319, Constants!$B$15, Constants!$B$14)))))</f>
        <v/>
      </c>
      <c r="W319" s="85" t="str">
        <f aca="false">IF(OR(ISBLANK($C319), SUMPRODUCT(--(P319:T319&lt;&gt;""))=0), "", IF(V319&lt;&gt;Constants!$B$14, V319, IF(AND(NOT(ISBLANK(J319)),P319,Q319,R319&lt;&gt;Constants!$B$2), Constants!$B$7, IF(AND(P319,OR(NOT(Q319),R319=Constants!$B$2)), Constants!$B$8, "Error"))))</f>
        <v/>
      </c>
      <c r="X319" s="87" t="str">
        <f aca="false">IF(OR(W319=Constants!$B$7,W319=Constants!$B$8), MAX(0, MIN(Constants!$B$6, S319))+IF(AND(R319=Constants!$B$4, NOT(U319)), Constants!$B$5, 0), "")</f>
        <v/>
      </c>
      <c r="Y319" s="85" t="str">
        <f aca="false">IF(ISBLANK($C319),"",IF(AND(ISNUMBER(X319),N319&gt;0),X319/N319, "") )</f>
        <v/>
      </c>
      <c r="Z319" s="85" t="str">
        <f aca="false">IF(AND(NOT(ISBLANK($C319)), W319=Constants!$B$7), Y319, "")</f>
        <v/>
      </c>
      <c r="AA319" s="85" t="str">
        <f aca="false">IF(ISNUMBER(Z319), RANK(Z319,Z$8:Z$507), "")</f>
        <v/>
      </c>
      <c r="AB319" s="85" t="str">
        <f aca="false">IF(AND(NOT(ISBLANK($C319)), W319=Constants!$B$8), Y319, "")</f>
        <v/>
      </c>
      <c r="AC319" s="85" t="str">
        <f aca="false">IF(ISNUMBER(AB319), RANK(AB319,AB$8:AB$507), "")</f>
        <v/>
      </c>
      <c r="AD319" s="85" t="str">
        <f aca="false">IF(ISBLANK($C319),"",IF(V319&lt;&gt;Constants!$B$14, V319, IF(W319=Constants!$B$7, AA319, IF(W319=Constants!$B$8, COUNT($AA$8:$AA$507) + AC319, ""))))</f>
        <v/>
      </c>
      <c r="AE319" s="85" t="str">
        <f aca="false">N319</f>
        <v/>
      </c>
      <c r="AF319" s="85" t="str">
        <f aca="false">IF(ISNUMBER(AE319), RANK(AE319,AE$8:AE$507,1), "")</f>
        <v/>
      </c>
      <c r="AG319" s="88" t="str">
        <f aca="false">IF(ISBLANK(C319), "", ABS(M319-S319))</f>
        <v/>
      </c>
      <c r="AH319" s="85" t="str">
        <f aca="false">IF(ISNUMBER(AG319), RANK(AG319,AG$8:AG$507,1), "")</f>
        <v/>
      </c>
      <c r="AI319" s="85" t="str">
        <f aca="false">IF(ISBLANK(C319),"",IF(V319&lt;&gt;Constants!$B$14, V319, RANK(AD319, AD$8:AD$507, 1)+ SUMPRODUCT(--(AD$8:AD$507=AD319),--(AF319&gt;AF$8:AF$507)) + SUMPRODUCT(--(AD$8:AD$507=AD319),--(AF319=AF$8:AF$507),--(AH319&gt;AH$8:AH$507))))</f>
        <v/>
      </c>
      <c r="AJ319" s="85" t="str">
        <f aca="false">IF(ISBLANK(C319),"",IF(V319&lt;&gt;Constants!$B$14, V319, AD319-AI319))</f>
        <v/>
      </c>
      <c r="AK319" s="89"/>
      <c r="AL319" s="90" t="str">
        <f aca="false">IF(ISBLANK($C319),"",IF($V319&lt;&gt;Constants!$B$14,$V319,X319))</f>
        <v/>
      </c>
      <c r="AM319" s="90" t="str">
        <f aca="false">IF(ISBLANK($C319),"",IF($V319&lt;&gt;Constants!$B$14,$V319,N319))</f>
        <v/>
      </c>
      <c r="AN319" s="91" t="str">
        <f aca="false">IF(ISBLANK(C319),"",IF(V319&lt;&gt;Constants!$B$14, V319, IF(W319=Constants!$B$7,Z319,IF(W319=Constants!$B$8,AB319,""))))</f>
        <v/>
      </c>
      <c r="AO319" s="92" t="str">
        <f aca="false">IF(ISBLANK(C319),"",W319)</f>
        <v/>
      </c>
      <c r="AP319" s="92" t="str">
        <f aca="false">IF(ISBLANK(C319),"",AJ319)</f>
        <v/>
      </c>
      <c r="AQ319" s="92" t="str">
        <f aca="false">IF(ISBLANK(C319),"",AI319)</f>
        <v/>
      </c>
      <c r="AR319" s="93" t="str">
        <f aca="false">IF(ISBLANK(C319),
  "",
IF(AQ319=Constants!$B$11,COUNTA($C$8:$C$507)+2,IF(AQ319=Constants!$B$12,COUNTA($C$8:$C$507)+1,IF(AQ319=Constants!$B$13,COUNTA($C$8:$C$507),AQ319))))</f>
        <v/>
      </c>
      <c r="AS319" s="3"/>
      <c r="AT319" s="94" t="n">
        <f aca="false">IF(OR(ISNUMBER(AQ319),AQ319="DQ",AQ319="P",AQ319="NS"),
    1,
    0
)</f>
        <v>0</v>
      </c>
      <c r="AU319" s="94" t="n">
        <v>312</v>
      </c>
      <c r="AV319" s="94" t="str">
        <f aca="false">IF(ISBLANK($C319),
    "",
   IF(ISNUMBER(AR319),AR319+ROW($B319)/1000,"")
)</f>
        <v/>
      </c>
      <c r="AW319" s="94" t="str">
        <f aca="false">IF(ISNUMBER(AV319), RANK(AV319,AV$8:AV$507,1), "")</f>
        <v/>
      </c>
      <c r="AX319" s="94" t="str">
        <f aca="false">IF(ISBLANK($C319),
    "",
    $B319
)</f>
        <v/>
      </c>
      <c r="AY319" s="94" t="str">
        <f aca="false">IF(ISBLANK($C319),
    "",
    $C319
)</f>
        <v/>
      </c>
      <c r="AZ319" s="94" t="str">
        <f aca="false">IF(ISBLANK($C319),
    "",
    $D319
)</f>
        <v/>
      </c>
      <c r="BA319" s="94" t="str">
        <f aca="false">AO319</f>
        <v/>
      </c>
      <c r="BB319" s="95" t="str">
        <f aca="false">AN319</f>
        <v/>
      </c>
      <c r="BC319" s="94" t="str">
        <f aca="false">IF(ISBLANK($C319),
    "",
    AQ319
)</f>
        <v/>
      </c>
      <c r="BD319" s="96" t="str">
        <f aca="false">IF(AU319&gt;AT$7,
    "",
    VLOOKUP(AU319,AW$8:BC$507,7,FALSE())
)</f>
        <v/>
      </c>
      <c r="BE319" s="97" t="str">
        <f aca="false">IF(AU319&gt;AT$7,
    "",
    VLOOKUP(AU319,AW$8:BC$507,2,FALSE())
)</f>
        <v/>
      </c>
      <c r="BF319" s="97" t="str">
        <f aca="false">IF(AU319&gt;AT$7,
    "",
    VLOOKUP(AU319,AW$8:BC$507,3,FALSE())
)</f>
        <v/>
      </c>
      <c r="BG319" s="97" t="str">
        <f aca="false">IF(AU319&gt;AT$7,
    "",
    VLOOKUP(AU319,AW$8:BC$507,4,FALSE())
)</f>
        <v/>
      </c>
      <c r="BH319" s="97" t="str">
        <f aca="false">IF(AU319&gt;AT$7,
    "",
    VLOOKUP(AU319,AW$8:BC$507,5,FALSE())
)</f>
        <v/>
      </c>
      <c r="BI319" s="98" t="str">
        <f aca="false">IF(AU319&gt;AT$7,
    "",
    VLOOKUP(AU319,AW$8:BC$507,6,FALSE())
)</f>
        <v/>
      </c>
      <c r="BJ319" s="46"/>
    </row>
    <row r="320" customFormat="false" ht="15.75" hidden="false" customHeight="false" outlineLevel="0" collapsed="false">
      <c r="A320" s="3"/>
      <c r="B320" s="108"/>
      <c r="C320" s="70"/>
      <c r="D320" s="49"/>
      <c r="E320" s="109"/>
      <c r="F320" s="72"/>
      <c r="G320" s="109"/>
      <c r="H320" s="74"/>
      <c r="I320" s="104"/>
      <c r="J320" s="74"/>
      <c r="K320" s="74"/>
      <c r="L320" s="55"/>
      <c r="M320" s="55" t="str">
        <f aca="false">IF(ISBLANK($C320),"",IF(ISBLANK(E320),0,E320))</f>
        <v/>
      </c>
      <c r="N320" s="55" t="str">
        <f aca="false">IF(ISBLANK($C320),"",IF(ISBLANK(F320),0,F320))</f>
        <v/>
      </c>
      <c r="O320" s="55" t="e">
        <f aca="false">IF(AND(NOT(ISBLANK($C320)),NOT($T320),COUNTA($E320:$K320)&gt;0),ISBLANK($F320),FALSE())</f>
        <v>#VALUE!</v>
      </c>
      <c r="P320" s="55" t="str">
        <f aca="false">IF(ISBLANK($C320),"",IF(G320=Constants!$B$9, TRUE(), IF(G320=Constants!$B$10, FALSE(), TRUE())))</f>
        <v/>
      </c>
      <c r="Q320" s="55" t="str">
        <f aca="false">IF(ISBLANK($C320),"",IF(H320=Constants!$B$9, TRUE(), IF(H320=Constants!$B$10, FALSE(), TRUE())))</f>
        <v/>
      </c>
      <c r="R320" s="55" t="str">
        <f aca="false">IF(ISBLANK($C320),"",IF(ISBLANK(I320),Constants!$B$3,I320))</f>
        <v/>
      </c>
      <c r="S320" s="55" t="str">
        <f aca="false">IF(ISBLANK($C320),"",IF(ISBLANK(J320),0,MIN(J320,Constants!$B$6)))</f>
        <v/>
      </c>
      <c r="T320" s="55" t="str">
        <f aca="false">IF(ISBLANK($C320),"",IF(K320=Constants!$B$9, TRUE(), IF(K320=Constants!$B$10, FALSE(),  FALSE())))</f>
        <v/>
      </c>
      <c r="U320" s="55" t="str">
        <f aca="false">IF(ISBLANK($C320),"",AND(R320=Constants!$B$4, S320&lt;Constants!$B$6))</f>
        <v/>
      </c>
      <c r="V320" s="55" t="str">
        <f aca="false">IF(ISBLANK(C320), "", IF(T320, Constants!$B$11, IF(COUNTA(E320:K320)=0, Constants!$B$12, IF(NOT(AND(P320,S320&lt;&gt;0)), Constants!$B$13, IF(O320, Constants!$B$15, Constants!$B$14)))))</f>
        <v/>
      </c>
      <c r="W320" s="55" t="str">
        <f aca="false">IF(OR(ISBLANK($C320), SUMPRODUCT(--(P320:T320&lt;&gt;""))=0), "", IF(V320&lt;&gt;Constants!$B$14, V320, IF(AND(NOT(ISBLANK(J320)),P320,Q320,R320&lt;&gt;Constants!$B$2), Constants!$B$7, IF(AND(P320,OR(NOT(Q320),R320=Constants!$B$2)), Constants!$B$8, "Error"))))</f>
        <v/>
      </c>
      <c r="X320" s="56" t="str">
        <f aca="false">IF(OR(W320=Constants!$B$7,W320=Constants!$B$8), MAX(0, MIN(Constants!$B$6, S320))+IF(AND(R320=Constants!$B$4, NOT(U320)), Constants!$B$5, 0), "")</f>
        <v/>
      </c>
      <c r="Y320" s="55" t="str">
        <f aca="false">IF(ISBLANK($C320),"",IF(AND(ISNUMBER(X320),N320&gt;0),X320/N320, "") )</f>
        <v/>
      </c>
      <c r="Z320" s="55" t="str">
        <f aca="false">IF(AND(NOT(ISBLANK($C320)), W320=Constants!$B$7), Y320, "")</f>
        <v/>
      </c>
      <c r="AA320" s="55" t="str">
        <f aca="false">IF(ISNUMBER(Z320), RANK(Z320,Z$8:Z$507), "")</f>
        <v/>
      </c>
      <c r="AB320" s="55" t="str">
        <f aca="false">IF(AND(NOT(ISBLANK($C320)), W320=Constants!$B$8), Y320, "")</f>
        <v/>
      </c>
      <c r="AC320" s="55" t="str">
        <f aca="false">IF(ISNUMBER(AB320), RANK(AB320,AB$8:AB$507), "")</f>
        <v/>
      </c>
      <c r="AD320" s="55" t="str">
        <f aca="false">IF(ISBLANK($C320),"",IF(V320&lt;&gt;Constants!$B$14, V320, IF(W320=Constants!$B$7, AA320, IF(W320=Constants!$B$8, COUNT($AA$8:$AA$507) + AC320, ""))))</f>
        <v/>
      </c>
      <c r="AE320" s="55" t="str">
        <f aca="false">N320</f>
        <v/>
      </c>
      <c r="AF320" s="55" t="str">
        <f aca="false">IF(ISNUMBER(AE320), RANK(AE320,AE$8:AE$507,1), "")</f>
        <v/>
      </c>
      <c r="AG320" s="57" t="str">
        <f aca="false">IF(ISBLANK(C320), "", ABS(M320-S320))</f>
        <v/>
      </c>
      <c r="AH320" s="55" t="str">
        <f aca="false">IF(ISNUMBER(AG320), RANK(AG320,AG$8:AG$507,1), "")</f>
        <v/>
      </c>
      <c r="AI320" s="55" t="str">
        <f aca="false">IF(ISBLANK(C320),"",IF(V320&lt;&gt;Constants!$B$14, V320, RANK(AD320, AD$8:AD$507, 1)+ SUMPRODUCT(--(AD$8:AD$507=AD320),--(AF320&gt;AF$8:AF$507)) + SUMPRODUCT(--(AD$8:AD$507=AD320),--(AF320=AF$8:AF$507),--(AH320&gt;AH$8:AH$507))))</f>
        <v/>
      </c>
      <c r="AJ320" s="55" t="str">
        <f aca="false">IF(ISBLANK(C320),"",IF(V320&lt;&gt;Constants!$B$14, V320, AD320-AI320))</f>
        <v/>
      </c>
      <c r="AK320" s="59"/>
      <c r="AL320" s="60" t="str">
        <f aca="false">IF(ISBLANK($C320),"",IF($V320&lt;&gt;Constants!$B$14,$V320,X320))</f>
        <v/>
      </c>
      <c r="AM320" s="60" t="str">
        <f aca="false">IF(ISBLANK($C320),"",IF($V320&lt;&gt;Constants!$B$14,$V320,N320))</f>
        <v/>
      </c>
      <c r="AN320" s="62" t="str">
        <f aca="false">IF(ISBLANK(C320),"",IF(V320&lt;&gt;Constants!$B$14, V320, IF(W320=Constants!$B$7,Z320,IF(W320=Constants!$B$8,AB320,""))))</f>
        <v/>
      </c>
      <c r="AO320" s="63" t="str">
        <f aca="false">IF(ISBLANK(C320),"",W320)</f>
        <v/>
      </c>
      <c r="AP320" s="63" t="str">
        <f aca="false">IF(ISBLANK(C320),"",AJ320)</f>
        <v/>
      </c>
      <c r="AQ320" s="63" t="str">
        <f aca="false">IF(ISBLANK(C320),"",AI320)</f>
        <v/>
      </c>
      <c r="AR320" s="64" t="str">
        <f aca="false">IF(ISBLANK(C320),
  "",
IF(AQ320=Constants!$B$11,COUNTA($C$8:$C$507)+2,IF(AQ320=Constants!$B$12,COUNTA($C$8:$C$507)+1,IF(AQ320=Constants!$B$13,COUNTA($C$8:$C$507),AQ320))))</f>
        <v/>
      </c>
      <c r="AS320" s="3"/>
      <c r="AT320" s="65" t="n">
        <f aca="false">IF(OR(ISNUMBER(AQ320),AQ320="DQ",AQ320="P",AQ320="NS"),
    1,
    0
)</f>
        <v>0</v>
      </c>
      <c r="AU320" s="65" t="n">
        <v>313</v>
      </c>
      <c r="AV320" s="65" t="str">
        <f aca="false">IF(ISBLANK($C320),
    "",
   IF(ISNUMBER(AR320),AR320+ROW($B320)/1000,"")
)</f>
        <v/>
      </c>
      <c r="AW320" s="65" t="str">
        <f aca="false">IF(ISNUMBER(AV320), RANK(AV320,AV$8:AV$507,1), "")</f>
        <v/>
      </c>
      <c r="AX320" s="65" t="str">
        <f aca="false">IF(ISBLANK($C320),
    "",
    $B320
)</f>
        <v/>
      </c>
      <c r="AY320" s="65" t="str">
        <f aca="false">IF(ISBLANK($C320),
    "",
    $C320
)</f>
        <v/>
      </c>
      <c r="AZ320" s="65" t="str">
        <f aca="false">IF(ISBLANK($C320),
    "",
    $D320
)</f>
        <v/>
      </c>
      <c r="BA320" s="65" t="str">
        <f aca="false">AO320</f>
        <v/>
      </c>
      <c r="BB320" s="66" t="str">
        <f aca="false">AN320</f>
        <v/>
      </c>
      <c r="BC320" s="65" t="str">
        <f aca="false">IF(ISBLANK($C320),
    "",
    AQ320
)</f>
        <v/>
      </c>
      <c r="BD320" s="67" t="str">
        <f aca="false">IF(AU320&gt;AT$7,
    "",
    VLOOKUP(AU320,AW$8:BC$507,7,FALSE())
)</f>
        <v/>
      </c>
      <c r="BE320" s="68" t="str">
        <f aca="false">IF(AU320&gt;AT$7,
    "",
    VLOOKUP(AU320,AW$8:BC$507,2,FALSE())
)</f>
        <v/>
      </c>
      <c r="BF320" s="68" t="str">
        <f aca="false">IF(AU320&gt;AT$7,
    "",
    VLOOKUP(AU320,AW$8:BC$507,3,FALSE())
)</f>
        <v/>
      </c>
      <c r="BG320" s="68" t="str">
        <f aca="false">IF(AU320&gt;AT$7,
    "",
    VLOOKUP(AU320,AW$8:BC$507,4,FALSE())
)</f>
        <v/>
      </c>
      <c r="BH320" s="68" t="str">
        <f aca="false">IF(AU320&gt;AT$7,
    "",
    VLOOKUP(AU320,AW$8:BC$507,5,FALSE())
)</f>
        <v/>
      </c>
      <c r="BI320" s="69" t="str">
        <f aca="false">IF(AU320&gt;AT$7,
    "",
    VLOOKUP(AU320,AW$8:BC$507,6,FALSE())
)</f>
        <v/>
      </c>
      <c r="BJ320" s="46"/>
    </row>
    <row r="321" customFormat="false" ht="15.75" hidden="false" customHeight="false" outlineLevel="0" collapsed="false">
      <c r="A321" s="3"/>
      <c r="B321" s="108"/>
      <c r="C321" s="70"/>
      <c r="D321" s="49"/>
      <c r="E321" s="109"/>
      <c r="F321" s="72"/>
      <c r="G321" s="109"/>
      <c r="H321" s="74"/>
      <c r="I321" s="104"/>
      <c r="J321" s="74"/>
      <c r="K321" s="74"/>
      <c r="L321" s="55"/>
      <c r="M321" s="55" t="str">
        <f aca="false">IF(ISBLANK($C321),"",IF(ISBLANK(E321),0,E321))</f>
        <v/>
      </c>
      <c r="N321" s="55" t="str">
        <f aca="false">IF(ISBLANK($C321),"",IF(ISBLANK(F321),0,F321))</f>
        <v/>
      </c>
      <c r="O321" s="55" t="e">
        <f aca="false">IF(AND(NOT(ISBLANK($C321)),NOT($T321),COUNTA($E321:$K321)&gt;0),ISBLANK($F321),FALSE())</f>
        <v>#VALUE!</v>
      </c>
      <c r="P321" s="55" t="str">
        <f aca="false">IF(ISBLANK($C321),"",IF(G321=Constants!$B$9, TRUE(), IF(G321=Constants!$B$10, FALSE(), TRUE())))</f>
        <v/>
      </c>
      <c r="Q321" s="55" t="str">
        <f aca="false">IF(ISBLANK($C321),"",IF(H321=Constants!$B$9, TRUE(), IF(H321=Constants!$B$10, FALSE(), TRUE())))</f>
        <v/>
      </c>
      <c r="R321" s="55" t="str">
        <f aca="false">IF(ISBLANK($C321),"",IF(ISBLANK(I321),Constants!$B$3,I321))</f>
        <v/>
      </c>
      <c r="S321" s="55" t="str">
        <f aca="false">IF(ISBLANK($C321),"",IF(ISBLANK(J321),0,MIN(J321,Constants!$B$6)))</f>
        <v/>
      </c>
      <c r="T321" s="55" t="str">
        <f aca="false">IF(ISBLANK($C321),"",IF(K321=Constants!$B$9, TRUE(), IF(K321=Constants!$B$10, FALSE(),  FALSE())))</f>
        <v/>
      </c>
      <c r="U321" s="55" t="str">
        <f aca="false">IF(ISBLANK($C321),"",AND(R321=Constants!$B$4, S321&lt;Constants!$B$6))</f>
        <v/>
      </c>
      <c r="V321" s="55" t="str">
        <f aca="false">IF(ISBLANK(C321), "", IF(T321, Constants!$B$11, IF(COUNTA(E321:K321)=0, Constants!$B$12, IF(NOT(AND(P321,S321&lt;&gt;0)), Constants!$B$13, IF(O321, Constants!$B$15, Constants!$B$14)))))</f>
        <v/>
      </c>
      <c r="W321" s="55" t="str">
        <f aca="false">IF(OR(ISBLANK($C321), SUMPRODUCT(--(P321:T321&lt;&gt;""))=0), "", IF(V321&lt;&gt;Constants!$B$14, V321, IF(AND(NOT(ISBLANK(J321)),P321,Q321,R321&lt;&gt;Constants!$B$2), Constants!$B$7, IF(AND(P321,OR(NOT(Q321),R321=Constants!$B$2)), Constants!$B$8, "Error"))))</f>
        <v/>
      </c>
      <c r="X321" s="56" t="str">
        <f aca="false">IF(OR(W321=Constants!$B$7,W321=Constants!$B$8), MAX(0, MIN(Constants!$B$6, S321))+IF(AND(R321=Constants!$B$4, NOT(U321)), Constants!$B$5, 0), "")</f>
        <v/>
      </c>
      <c r="Y321" s="55" t="str">
        <f aca="false">IF(ISBLANK($C321),"",IF(AND(ISNUMBER(X321),N321&gt;0),X321/N321, "") )</f>
        <v/>
      </c>
      <c r="Z321" s="55" t="str">
        <f aca="false">IF(AND(NOT(ISBLANK($C321)), W321=Constants!$B$7), Y321, "")</f>
        <v/>
      </c>
      <c r="AA321" s="55" t="str">
        <f aca="false">IF(ISNUMBER(Z321), RANK(Z321,Z$8:Z$507), "")</f>
        <v/>
      </c>
      <c r="AB321" s="55" t="str">
        <f aca="false">IF(AND(NOT(ISBLANK($C321)), W321=Constants!$B$8), Y321, "")</f>
        <v/>
      </c>
      <c r="AC321" s="55" t="str">
        <f aca="false">IF(ISNUMBER(AB321), RANK(AB321,AB$8:AB$507), "")</f>
        <v/>
      </c>
      <c r="AD321" s="55" t="str">
        <f aca="false">IF(ISBLANK($C321),"",IF(V321&lt;&gt;Constants!$B$14, V321, IF(W321=Constants!$B$7, AA321, IF(W321=Constants!$B$8, COUNT($AA$8:$AA$507) + AC321, ""))))</f>
        <v/>
      </c>
      <c r="AE321" s="55" t="str">
        <f aca="false">N321</f>
        <v/>
      </c>
      <c r="AF321" s="55" t="str">
        <f aca="false">IF(ISNUMBER(AE321), RANK(AE321,AE$8:AE$507,1), "")</f>
        <v/>
      </c>
      <c r="AG321" s="57" t="str">
        <f aca="false">IF(ISBLANK(C321), "", ABS(M321-S321))</f>
        <v/>
      </c>
      <c r="AH321" s="55" t="str">
        <f aca="false">IF(ISNUMBER(AG321), RANK(AG321,AG$8:AG$507,1), "")</f>
        <v/>
      </c>
      <c r="AI321" s="55" t="str">
        <f aca="false">IF(ISBLANK(C321),"",IF(V321&lt;&gt;Constants!$B$14, V321, RANK(AD321, AD$8:AD$507, 1)+ SUMPRODUCT(--(AD$8:AD$507=AD321),--(AF321&gt;AF$8:AF$507)) + SUMPRODUCT(--(AD$8:AD$507=AD321),--(AF321=AF$8:AF$507),--(AH321&gt;AH$8:AH$507))))</f>
        <v/>
      </c>
      <c r="AJ321" s="55" t="str">
        <f aca="false">IF(ISBLANK(C321),"",IF(V321&lt;&gt;Constants!$B$14, V321, AD321-AI321))</f>
        <v/>
      </c>
      <c r="AK321" s="59"/>
      <c r="AL321" s="60" t="str">
        <f aca="false">IF(ISBLANK($C321),"",IF($V321&lt;&gt;Constants!$B$14,$V321,X321))</f>
        <v/>
      </c>
      <c r="AM321" s="60" t="str">
        <f aca="false">IF(ISBLANK($C321),"",IF($V321&lt;&gt;Constants!$B$14,$V321,N321))</f>
        <v/>
      </c>
      <c r="AN321" s="62" t="str">
        <f aca="false">IF(ISBLANK(C321),"",IF(V321&lt;&gt;Constants!$B$14, V321, IF(W321=Constants!$B$7,Z321,IF(W321=Constants!$B$8,AB321,""))))</f>
        <v/>
      </c>
      <c r="AO321" s="63" t="str">
        <f aca="false">IF(ISBLANK(C321),"",W321)</f>
        <v/>
      </c>
      <c r="AP321" s="63" t="str">
        <f aca="false">IF(ISBLANK(C321),"",AJ321)</f>
        <v/>
      </c>
      <c r="AQ321" s="63" t="str">
        <f aca="false">IF(ISBLANK(C321),"",AI321)</f>
        <v/>
      </c>
      <c r="AR321" s="64" t="str">
        <f aca="false">IF(ISBLANK(C321),
  "",
IF(AQ321=Constants!$B$11,COUNTA($C$8:$C$507)+2,IF(AQ321=Constants!$B$12,COUNTA($C$8:$C$507)+1,IF(AQ321=Constants!$B$13,COUNTA($C$8:$C$507),AQ321))))</f>
        <v/>
      </c>
      <c r="AS321" s="3"/>
      <c r="AT321" s="65" t="n">
        <f aca="false">IF(OR(ISNUMBER(AQ321),AQ321="DQ",AQ321="P",AQ321="NS"),
    1,
    0
)</f>
        <v>0</v>
      </c>
      <c r="AU321" s="65" t="n">
        <v>314</v>
      </c>
      <c r="AV321" s="65" t="str">
        <f aca="false">IF(ISBLANK($C321),
    "",
   IF(ISNUMBER(AR321),AR321+ROW($B321)/1000,"")
)</f>
        <v/>
      </c>
      <c r="AW321" s="65" t="str">
        <f aca="false">IF(ISNUMBER(AV321), RANK(AV321,AV$8:AV$507,1), "")</f>
        <v/>
      </c>
      <c r="AX321" s="65" t="str">
        <f aca="false">IF(ISBLANK($C321),
    "",
    $B321
)</f>
        <v/>
      </c>
      <c r="AY321" s="65" t="str">
        <f aca="false">IF(ISBLANK($C321),
    "",
    $C321
)</f>
        <v/>
      </c>
      <c r="AZ321" s="65" t="str">
        <f aca="false">IF(ISBLANK($C321),
    "",
    $D321
)</f>
        <v/>
      </c>
      <c r="BA321" s="65" t="str">
        <f aca="false">AO321</f>
        <v/>
      </c>
      <c r="BB321" s="66" t="str">
        <f aca="false">AN321</f>
        <v/>
      </c>
      <c r="BC321" s="65" t="str">
        <f aca="false">IF(ISBLANK($C321),
    "",
    AQ321
)</f>
        <v/>
      </c>
      <c r="BD321" s="67" t="str">
        <f aca="false">IF(AU321&gt;AT$7,
    "",
    VLOOKUP(AU321,AW$8:BC$507,7,FALSE())
)</f>
        <v/>
      </c>
      <c r="BE321" s="68" t="str">
        <f aca="false">IF(AU321&gt;AT$7,
    "",
    VLOOKUP(AU321,AW$8:BC$507,2,FALSE())
)</f>
        <v/>
      </c>
      <c r="BF321" s="68" t="str">
        <f aca="false">IF(AU321&gt;AT$7,
    "",
    VLOOKUP(AU321,AW$8:BC$507,3,FALSE())
)</f>
        <v/>
      </c>
      <c r="BG321" s="68" t="str">
        <f aca="false">IF(AU321&gt;AT$7,
    "",
    VLOOKUP(AU321,AW$8:BC$507,4,FALSE())
)</f>
        <v/>
      </c>
      <c r="BH321" s="68" t="str">
        <f aca="false">IF(AU321&gt;AT$7,
    "",
    VLOOKUP(AU321,AW$8:BC$507,5,FALSE())
)</f>
        <v/>
      </c>
      <c r="BI321" s="69" t="str">
        <f aca="false">IF(AU321&gt;AT$7,
    "",
    VLOOKUP(AU321,AW$8:BC$507,6,FALSE())
)</f>
        <v/>
      </c>
      <c r="BJ321" s="46"/>
    </row>
    <row r="322" customFormat="false" ht="15.75" hidden="false" customHeight="false" outlineLevel="0" collapsed="false">
      <c r="A322" s="3"/>
      <c r="B322" s="108"/>
      <c r="C322" s="70"/>
      <c r="D322" s="49"/>
      <c r="E322" s="109"/>
      <c r="F322" s="72"/>
      <c r="G322" s="109"/>
      <c r="H322" s="74"/>
      <c r="I322" s="104"/>
      <c r="J322" s="74"/>
      <c r="K322" s="74"/>
      <c r="L322" s="55"/>
      <c r="M322" s="55" t="str">
        <f aca="false">IF(ISBLANK($C322),"",IF(ISBLANK(E322),0,E322))</f>
        <v/>
      </c>
      <c r="N322" s="55" t="str">
        <f aca="false">IF(ISBLANK($C322),"",IF(ISBLANK(F322),0,F322))</f>
        <v/>
      </c>
      <c r="O322" s="55" t="e">
        <f aca="false">IF(AND(NOT(ISBLANK($C322)),NOT($T322),COUNTA($E322:$K322)&gt;0),ISBLANK($F322),FALSE())</f>
        <v>#VALUE!</v>
      </c>
      <c r="P322" s="55" t="str">
        <f aca="false">IF(ISBLANK($C322),"",IF(G322=Constants!$B$9, TRUE(), IF(G322=Constants!$B$10, FALSE(), TRUE())))</f>
        <v/>
      </c>
      <c r="Q322" s="55" t="str">
        <f aca="false">IF(ISBLANK($C322),"",IF(H322=Constants!$B$9, TRUE(), IF(H322=Constants!$B$10, FALSE(), TRUE())))</f>
        <v/>
      </c>
      <c r="R322" s="55" t="str">
        <f aca="false">IF(ISBLANK($C322),"",IF(ISBLANK(I322),Constants!$B$3,I322))</f>
        <v/>
      </c>
      <c r="S322" s="55" t="str">
        <f aca="false">IF(ISBLANK($C322),"",IF(ISBLANK(J322),0,MIN(J322,Constants!$B$6)))</f>
        <v/>
      </c>
      <c r="T322" s="55" t="str">
        <f aca="false">IF(ISBLANK($C322),"",IF(K322=Constants!$B$9, TRUE(), IF(K322=Constants!$B$10, FALSE(),  FALSE())))</f>
        <v/>
      </c>
      <c r="U322" s="55" t="str">
        <f aca="false">IF(ISBLANK($C322),"",AND(R322=Constants!$B$4, S322&lt;Constants!$B$6))</f>
        <v/>
      </c>
      <c r="V322" s="55" t="str">
        <f aca="false">IF(ISBLANK(C322), "", IF(T322, Constants!$B$11, IF(COUNTA(E322:K322)=0, Constants!$B$12, IF(NOT(AND(P322,S322&lt;&gt;0)), Constants!$B$13, IF(O322, Constants!$B$15, Constants!$B$14)))))</f>
        <v/>
      </c>
      <c r="W322" s="55" t="str">
        <f aca="false">IF(OR(ISBLANK($C322), SUMPRODUCT(--(P322:T322&lt;&gt;""))=0), "", IF(V322&lt;&gt;Constants!$B$14, V322, IF(AND(NOT(ISBLANK(J322)),P322,Q322,R322&lt;&gt;Constants!$B$2), Constants!$B$7, IF(AND(P322,OR(NOT(Q322),R322=Constants!$B$2)), Constants!$B$8, "Error"))))</f>
        <v/>
      </c>
      <c r="X322" s="56" t="str">
        <f aca="false">IF(OR(W322=Constants!$B$7,W322=Constants!$B$8), MAX(0, MIN(Constants!$B$6, S322))+IF(AND(R322=Constants!$B$4, NOT(U322)), Constants!$B$5, 0), "")</f>
        <v/>
      </c>
      <c r="Y322" s="55" t="str">
        <f aca="false">IF(ISBLANK($C322),"",IF(AND(ISNUMBER(X322),N322&gt;0),X322/N322, "") )</f>
        <v/>
      </c>
      <c r="Z322" s="55" t="str">
        <f aca="false">IF(AND(NOT(ISBLANK($C322)), W322=Constants!$B$7), Y322, "")</f>
        <v/>
      </c>
      <c r="AA322" s="55" t="str">
        <f aca="false">IF(ISNUMBER(Z322), RANK(Z322,Z$8:Z$507), "")</f>
        <v/>
      </c>
      <c r="AB322" s="55" t="str">
        <f aca="false">IF(AND(NOT(ISBLANK($C322)), W322=Constants!$B$8), Y322, "")</f>
        <v/>
      </c>
      <c r="AC322" s="55" t="str">
        <f aca="false">IF(ISNUMBER(AB322), RANK(AB322,AB$8:AB$507), "")</f>
        <v/>
      </c>
      <c r="AD322" s="55" t="str">
        <f aca="false">IF(ISBLANK($C322),"",IF(V322&lt;&gt;Constants!$B$14, V322, IF(W322=Constants!$B$7, AA322, IF(W322=Constants!$B$8, COUNT($AA$8:$AA$507) + AC322, ""))))</f>
        <v/>
      </c>
      <c r="AE322" s="55" t="str">
        <f aca="false">N322</f>
        <v/>
      </c>
      <c r="AF322" s="55" t="str">
        <f aca="false">IF(ISNUMBER(AE322), RANK(AE322,AE$8:AE$507,1), "")</f>
        <v/>
      </c>
      <c r="AG322" s="57" t="str">
        <f aca="false">IF(ISBLANK(C322), "", ABS(M322-S322))</f>
        <v/>
      </c>
      <c r="AH322" s="55" t="str">
        <f aca="false">IF(ISNUMBER(AG322), RANK(AG322,AG$8:AG$507,1), "")</f>
        <v/>
      </c>
      <c r="AI322" s="55" t="str">
        <f aca="false">IF(ISBLANK(C322),"",IF(V322&lt;&gt;Constants!$B$14, V322, RANK(AD322, AD$8:AD$507, 1)+ SUMPRODUCT(--(AD$8:AD$507=AD322),--(AF322&gt;AF$8:AF$507)) + SUMPRODUCT(--(AD$8:AD$507=AD322),--(AF322=AF$8:AF$507),--(AH322&gt;AH$8:AH$507))))</f>
        <v/>
      </c>
      <c r="AJ322" s="55" t="str">
        <f aca="false">IF(ISBLANK(C322),"",IF(V322&lt;&gt;Constants!$B$14, V322, AD322-AI322))</f>
        <v/>
      </c>
      <c r="AK322" s="59"/>
      <c r="AL322" s="60" t="str">
        <f aca="false">IF(ISBLANK($C322),"",IF($V322&lt;&gt;Constants!$B$14,$V322,X322))</f>
        <v/>
      </c>
      <c r="AM322" s="60" t="str">
        <f aca="false">IF(ISBLANK($C322),"",IF($V322&lt;&gt;Constants!$B$14,$V322,N322))</f>
        <v/>
      </c>
      <c r="AN322" s="62" t="str">
        <f aca="false">IF(ISBLANK(C322),"",IF(V322&lt;&gt;Constants!$B$14, V322, IF(W322=Constants!$B$7,Z322,IF(W322=Constants!$B$8,AB322,""))))</f>
        <v/>
      </c>
      <c r="AO322" s="63" t="str">
        <f aca="false">IF(ISBLANK(C322),"",W322)</f>
        <v/>
      </c>
      <c r="AP322" s="63" t="str">
        <f aca="false">IF(ISBLANK(C322),"",AJ322)</f>
        <v/>
      </c>
      <c r="AQ322" s="63" t="str">
        <f aca="false">IF(ISBLANK(C322),"",AI322)</f>
        <v/>
      </c>
      <c r="AR322" s="64" t="str">
        <f aca="false">IF(ISBLANK(C322),
  "",
IF(AQ322=Constants!$B$11,COUNTA($C$8:$C$507)+2,IF(AQ322=Constants!$B$12,COUNTA($C$8:$C$507)+1,IF(AQ322=Constants!$B$13,COUNTA($C$8:$C$507),AQ322))))</f>
        <v/>
      </c>
      <c r="AS322" s="3"/>
      <c r="AT322" s="65" t="n">
        <f aca="false">IF(OR(ISNUMBER(AQ322),AQ322="DQ",AQ322="P",AQ322="NS"),
    1,
    0
)</f>
        <v>0</v>
      </c>
      <c r="AU322" s="65" t="n">
        <v>315</v>
      </c>
      <c r="AV322" s="65" t="str">
        <f aca="false">IF(ISBLANK($C322),
    "",
   IF(ISNUMBER(AR322),AR322+ROW($B322)/1000,"")
)</f>
        <v/>
      </c>
      <c r="AW322" s="65" t="str">
        <f aca="false">IF(ISNUMBER(AV322), RANK(AV322,AV$8:AV$507,1), "")</f>
        <v/>
      </c>
      <c r="AX322" s="65" t="str">
        <f aca="false">IF(ISBLANK($C322),
    "",
    $B322
)</f>
        <v/>
      </c>
      <c r="AY322" s="65" t="str">
        <f aca="false">IF(ISBLANK($C322),
    "",
    $C322
)</f>
        <v/>
      </c>
      <c r="AZ322" s="65" t="str">
        <f aca="false">IF(ISBLANK($C322),
    "",
    $D322
)</f>
        <v/>
      </c>
      <c r="BA322" s="65" t="str">
        <f aca="false">AO322</f>
        <v/>
      </c>
      <c r="BB322" s="66" t="str">
        <f aca="false">AN322</f>
        <v/>
      </c>
      <c r="BC322" s="65" t="str">
        <f aca="false">IF(ISBLANK($C322),
    "",
    AQ322
)</f>
        <v/>
      </c>
      <c r="BD322" s="67" t="str">
        <f aca="false">IF(AU322&gt;AT$7,
    "",
    VLOOKUP(AU322,AW$8:BC$507,7,FALSE())
)</f>
        <v/>
      </c>
      <c r="BE322" s="68" t="str">
        <f aca="false">IF(AU322&gt;AT$7,
    "",
    VLOOKUP(AU322,AW$8:BC$507,2,FALSE())
)</f>
        <v/>
      </c>
      <c r="BF322" s="68" t="str">
        <f aca="false">IF(AU322&gt;AT$7,
    "",
    VLOOKUP(AU322,AW$8:BC$507,3,FALSE())
)</f>
        <v/>
      </c>
      <c r="BG322" s="68" t="str">
        <f aca="false">IF(AU322&gt;AT$7,
    "",
    VLOOKUP(AU322,AW$8:BC$507,4,FALSE())
)</f>
        <v/>
      </c>
      <c r="BH322" s="68" t="str">
        <f aca="false">IF(AU322&gt;AT$7,
    "",
    VLOOKUP(AU322,AW$8:BC$507,5,FALSE())
)</f>
        <v/>
      </c>
      <c r="BI322" s="69" t="str">
        <f aca="false">IF(AU322&gt;AT$7,
    "",
    VLOOKUP(AU322,AW$8:BC$507,6,FALSE())
)</f>
        <v/>
      </c>
      <c r="BJ322" s="46"/>
    </row>
    <row r="323" customFormat="false" ht="15.75" hidden="false" customHeight="false" outlineLevel="0" collapsed="false">
      <c r="A323" s="3"/>
      <c r="B323" s="105"/>
      <c r="C323" s="106"/>
      <c r="D323" s="99"/>
      <c r="E323" s="110"/>
      <c r="F323" s="107"/>
      <c r="G323" s="110"/>
      <c r="H323" s="103"/>
      <c r="I323" s="102"/>
      <c r="J323" s="103"/>
      <c r="K323" s="103"/>
      <c r="L323" s="85"/>
      <c r="M323" s="85" t="str">
        <f aca="false">IF(ISBLANK($C323),"",IF(ISBLANK(E323),0,E323))</f>
        <v/>
      </c>
      <c r="N323" s="85" t="str">
        <f aca="false">IF(ISBLANK($C323),"",IF(ISBLANK(F323),0,F323))</f>
        <v/>
      </c>
      <c r="O323" s="86" t="e">
        <f aca="false">IF(AND(NOT(ISBLANK($C323)),NOT($T323),COUNTA($E323:$K323)&gt;0),ISBLANK($F323),FALSE())</f>
        <v>#VALUE!</v>
      </c>
      <c r="P323" s="85" t="str">
        <f aca="false">IF(ISBLANK($C323),"",IF(G323=Constants!$B$9, TRUE(), IF(G323=Constants!$B$10, FALSE(), TRUE())))</f>
        <v/>
      </c>
      <c r="Q323" s="85" t="str">
        <f aca="false">IF(ISBLANK($C323),"",IF(H323=Constants!$B$9, TRUE(), IF(H323=Constants!$B$10, FALSE(), TRUE())))</f>
        <v/>
      </c>
      <c r="R323" s="85" t="str">
        <f aca="false">IF(ISBLANK($C323),"",IF(ISBLANK(I323),Constants!$B$3,I323))</f>
        <v/>
      </c>
      <c r="S323" s="85" t="str">
        <f aca="false">IF(ISBLANK($C323),"",IF(ISBLANK(J323),0,MIN(J323,Constants!$B$6)))</f>
        <v/>
      </c>
      <c r="T323" s="85" t="str">
        <f aca="false">IF(ISBLANK($C323),"",IF(K323=Constants!$B$9, TRUE(), IF(K323=Constants!$B$10, FALSE(),  FALSE())))</f>
        <v/>
      </c>
      <c r="U323" s="85" t="str">
        <f aca="false">IF(ISBLANK($C323),"",AND(R323=Constants!$B$4, S323&lt;Constants!$B$6))</f>
        <v/>
      </c>
      <c r="V323" s="85" t="str">
        <f aca="false">IF(ISBLANK(C323), "", IF(T323, Constants!$B$11, IF(COUNTA(E323:K323)=0, Constants!$B$12, IF(NOT(AND(P323,S323&lt;&gt;0)), Constants!$B$13, IF(O323, Constants!$B$15, Constants!$B$14)))))</f>
        <v/>
      </c>
      <c r="W323" s="85" t="str">
        <f aca="false">IF(OR(ISBLANK($C323), SUMPRODUCT(--(P323:T323&lt;&gt;""))=0), "", IF(V323&lt;&gt;Constants!$B$14, V323, IF(AND(NOT(ISBLANK(J323)),P323,Q323,R323&lt;&gt;Constants!$B$2), Constants!$B$7, IF(AND(P323,OR(NOT(Q323),R323=Constants!$B$2)), Constants!$B$8, "Error"))))</f>
        <v/>
      </c>
      <c r="X323" s="87" t="str">
        <f aca="false">IF(OR(W323=Constants!$B$7,W323=Constants!$B$8), MAX(0, MIN(Constants!$B$6, S323))+IF(AND(R323=Constants!$B$4, NOT(U323)), Constants!$B$5, 0), "")</f>
        <v/>
      </c>
      <c r="Y323" s="85" t="str">
        <f aca="false">IF(ISBLANK($C323),"",IF(AND(ISNUMBER(X323),N323&gt;0),X323/N323, "") )</f>
        <v/>
      </c>
      <c r="Z323" s="85" t="str">
        <f aca="false">IF(AND(NOT(ISBLANK($C323)), W323=Constants!$B$7), Y323, "")</f>
        <v/>
      </c>
      <c r="AA323" s="85" t="str">
        <f aca="false">IF(ISNUMBER(Z323), RANK(Z323,Z$8:Z$507), "")</f>
        <v/>
      </c>
      <c r="AB323" s="85" t="str">
        <f aca="false">IF(AND(NOT(ISBLANK($C323)), W323=Constants!$B$8), Y323, "")</f>
        <v/>
      </c>
      <c r="AC323" s="85" t="str">
        <f aca="false">IF(ISNUMBER(AB323), RANK(AB323,AB$8:AB$507), "")</f>
        <v/>
      </c>
      <c r="AD323" s="85" t="str">
        <f aca="false">IF(ISBLANK($C323),"",IF(V323&lt;&gt;Constants!$B$14, V323, IF(W323=Constants!$B$7, AA323, IF(W323=Constants!$B$8, COUNT($AA$8:$AA$507) + AC323, ""))))</f>
        <v/>
      </c>
      <c r="AE323" s="85" t="str">
        <f aca="false">N323</f>
        <v/>
      </c>
      <c r="AF323" s="85" t="str">
        <f aca="false">IF(ISNUMBER(AE323), RANK(AE323,AE$8:AE$507,1), "")</f>
        <v/>
      </c>
      <c r="AG323" s="88" t="str">
        <f aca="false">IF(ISBLANK(C323), "", ABS(M323-S323))</f>
        <v/>
      </c>
      <c r="AH323" s="85" t="str">
        <f aca="false">IF(ISNUMBER(AG323), RANK(AG323,AG$8:AG$507,1), "")</f>
        <v/>
      </c>
      <c r="AI323" s="85" t="str">
        <f aca="false">IF(ISBLANK(C323),"",IF(V323&lt;&gt;Constants!$B$14, V323, RANK(AD323, AD$8:AD$507, 1)+ SUMPRODUCT(--(AD$8:AD$507=AD323),--(AF323&gt;AF$8:AF$507)) + SUMPRODUCT(--(AD$8:AD$507=AD323),--(AF323=AF$8:AF$507),--(AH323&gt;AH$8:AH$507))))</f>
        <v/>
      </c>
      <c r="AJ323" s="85" t="str">
        <f aca="false">IF(ISBLANK(C323),"",IF(V323&lt;&gt;Constants!$B$14, V323, AD323-AI323))</f>
        <v/>
      </c>
      <c r="AK323" s="89"/>
      <c r="AL323" s="90" t="str">
        <f aca="false">IF(ISBLANK($C323),"",IF($V323&lt;&gt;Constants!$B$14,$V323,X323))</f>
        <v/>
      </c>
      <c r="AM323" s="90" t="str">
        <f aca="false">IF(ISBLANK($C323),"",IF($V323&lt;&gt;Constants!$B$14,$V323,N323))</f>
        <v/>
      </c>
      <c r="AN323" s="91" t="str">
        <f aca="false">IF(ISBLANK(C323),"",IF(V323&lt;&gt;Constants!$B$14, V323, IF(W323=Constants!$B$7,Z323,IF(W323=Constants!$B$8,AB323,""))))</f>
        <v/>
      </c>
      <c r="AO323" s="92" t="str">
        <f aca="false">IF(ISBLANK(C323),"",W323)</f>
        <v/>
      </c>
      <c r="AP323" s="92" t="str">
        <f aca="false">IF(ISBLANK(C323),"",AJ323)</f>
        <v/>
      </c>
      <c r="AQ323" s="92" t="str">
        <f aca="false">IF(ISBLANK(C323),"",AI323)</f>
        <v/>
      </c>
      <c r="AR323" s="93" t="str">
        <f aca="false">IF(ISBLANK(C323),
  "",
IF(AQ323=Constants!$B$11,COUNTA($C$8:$C$507)+2,IF(AQ323=Constants!$B$12,COUNTA($C$8:$C$507)+1,IF(AQ323=Constants!$B$13,COUNTA($C$8:$C$507),AQ323))))</f>
        <v/>
      </c>
      <c r="AS323" s="3"/>
      <c r="AT323" s="94" t="n">
        <f aca="false">IF(OR(ISNUMBER(AQ323),AQ323="DQ",AQ323="P",AQ323="NS"),
    1,
    0
)</f>
        <v>0</v>
      </c>
      <c r="AU323" s="94" t="n">
        <v>316</v>
      </c>
      <c r="AV323" s="94" t="str">
        <f aca="false">IF(ISBLANK($C323),
    "",
   IF(ISNUMBER(AR323),AR323+ROW($B323)/1000,"")
)</f>
        <v/>
      </c>
      <c r="AW323" s="94" t="str">
        <f aca="false">IF(ISNUMBER(AV323), RANK(AV323,AV$8:AV$507,1), "")</f>
        <v/>
      </c>
      <c r="AX323" s="94" t="str">
        <f aca="false">IF(ISBLANK($C323),
    "",
    $B323
)</f>
        <v/>
      </c>
      <c r="AY323" s="94" t="str">
        <f aca="false">IF(ISBLANK($C323),
    "",
    $C323
)</f>
        <v/>
      </c>
      <c r="AZ323" s="94" t="str">
        <f aca="false">IF(ISBLANK($C323),
    "",
    $D323
)</f>
        <v/>
      </c>
      <c r="BA323" s="94" t="str">
        <f aca="false">AO323</f>
        <v/>
      </c>
      <c r="BB323" s="95" t="str">
        <f aca="false">AN323</f>
        <v/>
      </c>
      <c r="BC323" s="94" t="str">
        <f aca="false">IF(ISBLANK($C323),
    "",
    AQ323
)</f>
        <v/>
      </c>
      <c r="BD323" s="96" t="str">
        <f aca="false">IF(AU323&gt;AT$7,
    "",
    VLOOKUP(AU323,AW$8:BC$507,7,FALSE())
)</f>
        <v/>
      </c>
      <c r="BE323" s="97" t="str">
        <f aca="false">IF(AU323&gt;AT$7,
    "",
    VLOOKUP(AU323,AW$8:BC$507,2,FALSE())
)</f>
        <v/>
      </c>
      <c r="BF323" s="97" t="str">
        <f aca="false">IF(AU323&gt;AT$7,
    "",
    VLOOKUP(AU323,AW$8:BC$507,3,FALSE())
)</f>
        <v/>
      </c>
      <c r="BG323" s="97" t="str">
        <f aca="false">IF(AU323&gt;AT$7,
    "",
    VLOOKUP(AU323,AW$8:BC$507,4,FALSE())
)</f>
        <v/>
      </c>
      <c r="BH323" s="97" t="str">
        <f aca="false">IF(AU323&gt;AT$7,
    "",
    VLOOKUP(AU323,AW$8:BC$507,5,FALSE())
)</f>
        <v/>
      </c>
      <c r="BI323" s="98" t="str">
        <f aca="false">IF(AU323&gt;AT$7,
    "",
    VLOOKUP(AU323,AW$8:BC$507,6,FALSE())
)</f>
        <v/>
      </c>
      <c r="BJ323" s="46"/>
    </row>
    <row r="324" customFormat="false" ht="15.75" hidden="false" customHeight="false" outlineLevel="0" collapsed="false">
      <c r="A324" s="3"/>
      <c r="B324" s="105"/>
      <c r="C324" s="106"/>
      <c r="D324" s="99"/>
      <c r="E324" s="110"/>
      <c r="F324" s="107"/>
      <c r="G324" s="110"/>
      <c r="H324" s="103"/>
      <c r="I324" s="102"/>
      <c r="J324" s="103"/>
      <c r="K324" s="103"/>
      <c r="L324" s="85"/>
      <c r="M324" s="85" t="str">
        <f aca="false">IF(ISBLANK($C324),"",IF(ISBLANK(E324),0,E324))</f>
        <v/>
      </c>
      <c r="N324" s="85" t="str">
        <f aca="false">IF(ISBLANK($C324),"",IF(ISBLANK(F324),0,F324))</f>
        <v/>
      </c>
      <c r="O324" s="86" t="e">
        <f aca="false">IF(AND(NOT(ISBLANK($C324)),NOT($T324),COUNTA($E324:$K324)&gt;0),ISBLANK($F324),FALSE())</f>
        <v>#VALUE!</v>
      </c>
      <c r="P324" s="85" t="str">
        <f aca="false">IF(ISBLANK($C324),"",IF(G324=Constants!$B$9, TRUE(), IF(G324=Constants!$B$10, FALSE(), TRUE())))</f>
        <v/>
      </c>
      <c r="Q324" s="85" t="str">
        <f aca="false">IF(ISBLANK($C324),"",IF(H324=Constants!$B$9, TRUE(), IF(H324=Constants!$B$10, FALSE(), TRUE())))</f>
        <v/>
      </c>
      <c r="R324" s="85" t="str">
        <f aca="false">IF(ISBLANK($C324),"",IF(ISBLANK(I324),Constants!$B$3,I324))</f>
        <v/>
      </c>
      <c r="S324" s="85" t="str">
        <f aca="false">IF(ISBLANK($C324),"",IF(ISBLANK(J324),0,MIN(J324,Constants!$B$6)))</f>
        <v/>
      </c>
      <c r="T324" s="85" t="str">
        <f aca="false">IF(ISBLANK($C324),"",IF(K324=Constants!$B$9, TRUE(), IF(K324=Constants!$B$10, FALSE(),  FALSE())))</f>
        <v/>
      </c>
      <c r="U324" s="85" t="str">
        <f aca="false">IF(ISBLANK($C324),"",AND(R324=Constants!$B$4, S324&lt;Constants!$B$6))</f>
        <v/>
      </c>
      <c r="V324" s="85" t="str">
        <f aca="false">IF(ISBLANK(C324), "", IF(T324, Constants!$B$11, IF(COUNTA(E324:K324)=0, Constants!$B$12, IF(NOT(AND(P324,S324&lt;&gt;0)), Constants!$B$13, IF(O324, Constants!$B$15, Constants!$B$14)))))</f>
        <v/>
      </c>
      <c r="W324" s="85" t="str">
        <f aca="false">IF(OR(ISBLANK($C324), SUMPRODUCT(--(P324:T324&lt;&gt;""))=0), "", IF(V324&lt;&gt;Constants!$B$14, V324, IF(AND(NOT(ISBLANK(J324)),P324,Q324,R324&lt;&gt;Constants!$B$2), Constants!$B$7, IF(AND(P324,OR(NOT(Q324),R324=Constants!$B$2)), Constants!$B$8, "Error"))))</f>
        <v/>
      </c>
      <c r="X324" s="87" t="str">
        <f aca="false">IF(OR(W324=Constants!$B$7,W324=Constants!$B$8), MAX(0, MIN(Constants!$B$6, S324))+IF(AND(R324=Constants!$B$4, NOT(U324)), Constants!$B$5, 0), "")</f>
        <v/>
      </c>
      <c r="Y324" s="85" t="str">
        <f aca="false">IF(ISBLANK($C324),"",IF(AND(ISNUMBER(X324),N324&gt;0),X324/N324, "") )</f>
        <v/>
      </c>
      <c r="Z324" s="85" t="str">
        <f aca="false">IF(AND(NOT(ISBLANK($C324)), W324=Constants!$B$7), Y324, "")</f>
        <v/>
      </c>
      <c r="AA324" s="85" t="str">
        <f aca="false">IF(ISNUMBER(Z324), RANK(Z324,Z$8:Z$507), "")</f>
        <v/>
      </c>
      <c r="AB324" s="85" t="str">
        <f aca="false">IF(AND(NOT(ISBLANK($C324)), W324=Constants!$B$8), Y324, "")</f>
        <v/>
      </c>
      <c r="AC324" s="85" t="str">
        <f aca="false">IF(ISNUMBER(AB324), RANK(AB324,AB$8:AB$507), "")</f>
        <v/>
      </c>
      <c r="AD324" s="85" t="str">
        <f aca="false">IF(ISBLANK($C324),"",IF(V324&lt;&gt;Constants!$B$14, V324, IF(W324=Constants!$B$7, AA324, IF(W324=Constants!$B$8, COUNT($AA$8:$AA$507) + AC324, ""))))</f>
        <v/>
      </c>
      <c r="AE324" s="85" t="str">
        <f aca="false">N324</f>
        <v/>
      </c>
      <c r="AF324" s="85" t="str">
        <f aca="false">IF(ISNUMBER(AE324), RANK(AE324,AE$8:AE$507,1), "")</f>
        <v/>
      </c>
      <c r="AG324" s="88" t="str">
        <f aca="false">IF(ISBLANK(C324), "", ABS(M324-S324))</f>
        <v/>
      </c>
      <c r="AH324" s="85" t="str">
        <f aca="false">IF(ISNUMBER(AG324), RANK(AG324,AG$8:AG$507,1), "")</f>
        <v/>
      </c>
      <c r="AI324" s="85" t="str">
        <f aca="false">IF(ISBLANK(C324),"",IF(V324&lt;&gt;Constants!$B$14, V324, RANK(AD324, AD$8:AD$507, 1)+ SUMPRODUCT(--(AD$8:AD$507=AD324),--(AF324&gt;AF$8:AF$507)) + SUMPRODUCT(--(AD$8:AD$507=AD324),--(AF324=AF$8:AF$507),--(AH324&gt;AH$8:AH$507))))</f>
        <v/>
      </c>
      <c r="AJ324" s="85" t="str">
        <f aca="false">IF(ISBLANK(C324),"",IF(V324&lt;&gt;Constants!$B$14, V324, AD324-AI324))</f>
        <v/>
      </c>
      <c r="AK324" s="89"/>
      <c r="AL324" s="90" t="str">
        <f aca="false">IF(ISBLANK($C324),"",IF($V324&lt;&gt;Constants!$B$14,$V324,X324))</f>
        <v/>
      </c>
      <c r="AM324" s="90" t="str">
        <f aca="false">IF(ISBLANK($C324),"",IF($V324&lt;&gt;Constants!$B$14,$V324,N324))</f>
        <v/>
      </c>
      <c r="AN324" s="91" t="str">
        <f aca="false">IF(ISBLANK(C324),"",IF(V324&lt;&gt;Constants!$B$14, V324, IF(W324=Constants!$B$7,Z324,IF(W324=Constants!$B$8,AB324,""))))</f>
        <v/>
      </c>
      <c r="AO324" s="92" t="str">
        <f aca="false">IF(ISBLANK(C324),"",W324)</f>
        <v/>
      </c>
      <c r="AP324" s="92" t="str">
        <f aca="false">IF(ISBLANK(C324),"",AJ324)</f>
        <v/>
      </c>
      <c r="AQ324" s="92" t="str">
        <f aca="false">IF(ISBLANK(C324),"",AI324)</f>
        <v/>
      </c>
      <c r="AR324" s="93" t="str">
        <f aca="false">IF(ISBLANK(C324),
  "",
IF(AQ324=Constants!$B$11,COUNTA($C$8:$C$507)+2,IF(AQ324=Constants!$B$12,COUNTA($C$8:$C$507)+1,IF(AQ324=Constants!$B$13,COUNTA($C$8:$C$507),AQ324))))</f>
        <v/>
      </c>
      <c r="AS324" s="3"/>
      <c r="AT324" s="94" t="n">
        <f aca="false">IF(OR(ISNUMBER(AQ324),AQ324="DQ",AQ324="P",AQ324="NS"),
    1,
    0
)</f>
        <v>0</v>
      </c>
      <c r="AU324" s="94" t="n">
        <v>317</v>
      </c>
      <c r="AV324" s="94" t="str">
        <f aca="false">IF(ISBLANK($C324),
    "",
   IF(ISNUMBER(AR324),AR324+ROW($B324)/1000,"")
)</f>
        <v/>
      </c>
      <c r="AW324" s="94" t="str">
        <f aca="false">IF(ISNUMBER(AV324), RANK(AV324,AV$8:AV$507,1), "")</f>
        <v/>
      </c>
      <c r="AX324" s="94" t="str">
        <f aca="false">IF(ISBLANK($C324),
    "",
    $B324
)</f>
        <v/>
      </c>
      <c r="AY324" s="94" t="str">
        <f aca="false">IF(ISBLANK($C324),
    "",
    $C324
)</f>
        <v/>
      </c>
      <c r="AZ324" s="94" t="str">
        <f aca="false">IF(ISBLANK($C324),
    "",
    $D324
)</f>
        <v/>
      </c>
      <c r="BA324" s="94" t="str">
        <f aca="false">AO324</f>
        <v/>
      </c>
      <c r="BB324" s="95" t="str">
        <f aca="false">AN324</f>
        <v/>
      </c>
      <c r="BC324" s="94" t="str">
        <f aca="false">IF(ISBLANK($C324),
    "",
    AQ324
)</f>
        <v/>
      </c>
      <c r="BD324" s="96" t="str">
        <f aca="false">IF(AU324&gt;AT$7,
    "",
    VLOOKUP(AU324,AW$8:BC$507,7,FALSE())
)</f>
        <v/>
      </c>
      <c r="BE324" s="97" t="str">
        <f aca="false">IF(AU324&gt;AT$7,
    "",
    VLOOKUP(AU324,AW$8:BC$507,2,FALSE())
)</f>
        <v/>
      </c>
      <c r="BF324" s="97" t="str">
        <f aca="false">IF(AU324&gt;AT$7,
    "",
    VLOOKUP(AU324,AW$8:BC$507,3,FALSE())
)</f>
        <v/>
      </c>
      <c r="BG324" s="97" t="str">
        <f aca="false">IF(AU324&gt;AT$7,
    "",
    VLOOKUP(AU324,AW$8:BC$507,4,FALSE())
)</f>
        <v/>
      </c>
      <c r="BH324" s="97" t="str">
        <f aca="false">IF(AU324&gt;AT$7,
    "",
    VLOOKUP(AU324,AW$8:BC$507,5,FALSE())
)</f>
        <v/>
      </c>
      <c r="BI324" s="98" t="str">
        <f aca="false">IF(AU324&gt;AT$7,
    "",
    VLOOKUP(AU324,AW$8:BC$507,6,FALSE())
)</f>
        <v/>
      </c>
      <c r="BJ324" s="46"/>
    </row>
    <row r="325" customFormat="false" ht="15.75" hidden="false" customHeight="false" outlineLevel="0" collapsed="false">
      <c r="A325" s="3"/>
      <c r="B325" s="105"/>
      <c r="C325" s="106"/>
      <c r="D325" s="99"/>
      <c r="E325" s="110"/>
      <c r="F325" s="107"/>
      <c r="G325" s="110"/>
      <c r="H325" s="103"/>
      <c r="I325" s="102"/>
      <c r="J325" s="103"/>
      <c r="K325" s="103"/>
      <c r="L325" s="85"/>
      <c r="M325" s="85" t="str">
        <f aca="false">IF(ISBLANK($C325),"",IF(ISBLANK(E325),0,E325))</f>
        <v/>
      </c>
      <c r="N325" s="85" t="str">
        <f aca="false">IF(ISBLANK($C325),"",IF(ISBLANK(F325),0,F325))</f>
        <v/>
      </c>
      <c r="O325" s="86" t="e">
        <f aca="false">IF(AND(NOT(ISBLANK($C325)),NOT($T325),COUNTA($E325:$K325)&gt;0),ISBLANK($F325),FALSE())</f>
        <v>#VALUE!</v>
      </c>
      <c r="P325" s="85" t="str">
        <f aca="false">IF(ISBLANK($C325),"",IF(G325=Constants!$B$9, TRUE(), IF(G325=Constants!$B$10, FALSE(), TRUE())))</f>
        <v/>
      </c>
      <c r="Q325" s="85" t="str">
        <f aca="false">IF(ISBLANK($C325),"",IF(H325=Constants!$B$9, TRUE(), IF(H325=Constants!$B$10, FALSE(), TRUE())))</f>
        <v/>
      </c>
      <c r="R325" s="85" t="str">
        <f aca="false">IF(ISBLANK($C325),"",IF(ISBLANK(I325),Constants!$B$3,I325))</f>
        <v/>
      </c>
      <c r="S325" s="85" t="str">
        <f aca="false">IF(ISBLANK($C325),"",IF(ISBLANK(J325),0,MIN(J325,Constants!$B$6)))</f>
        <v/>
      </c>
      <c r="T325" s="85" t="str">
        <f aca="false">IF(ISBLANK($C325),"",IF(K325=Constants!$B$9, TRUE(), IF(K325=Constants!$B$10, FALSE(),  FALSE())))</f>
        <v/>
      </c>
      <c r="U325" s="85" t="str">
        <f aca="false">IF(ISBLANK($C325),"",AND(R325=Constants!$B$4, S325&lt;Constants!$B$6))</f>
        <v/>
      </c>
      <c r="V325" s="85" t="str">
        <f aca="false">IF(ISBLANK(C325), "", IF(T325, Constants!$B$11, IF(COUNTA(E325:K325)=0, Constants!$B$12, IF(NOT(AND(P325,S325&lt;&gt;0)), Constants!$B$13, IF(O325, Constants!$B$15, Constants!$B$14)))))</f>
        <v/>
      </c>
      <c r="W325" s="85" t="str">
        <f aca="false">IF(OR(ISBLANK($C325), SUMPRODUCT(--(P325:T325&lt;&gt;""))=0), "", IF(V325&lt;&gt;Constants!$B$14, V325, IF(AND(NOT(ISBLANK(J325)),P325,Q325,R325&lt;&gt;Constants!$B$2), Constants!$B$7, IF(AND(P325,OR(NOT(Q325),R325=Constants!$B$2)), Constants!$B$8, "Error"))))</f>
        <v/>
      </c>
      <c r="X325" s="87" t="str">
        <f aca="false">IF(OR(W325=Constants!$B$7,W325=Constants!$B$8), MAX(0, MIN(Constants!$B$6, S325))+IF(AND(R325=Constants!$B$4, NOT(U325)), Constants!$B$5, 0), "")</f>
        <v/>
      </c>
      <c r="Y325" s="85" t="str">
        <f aca="false">IF(ISBLANK($C325),"",IF(AND(ISNUMBER(X325),N325&gt;0),X325/N325, "") )</f>
        <v/>
      </c>
      <c r="Z325" s="85" t="str">
        <f aca="false">IF(AND(NOT(ISBLANK($C325)), W325=Constants!$B$7), Y325, "")</f>
        <v/>
      </c>
      <c r="AA325" s="85" t="str">
        <f aca="false">IF(ISNUMBER(Z325), RANK(Z325,Z$8:Z$507), "")</f>
        <v/>
      </c>
      <c r="AB325" s="85" t="str">
        <f aca="false">IF(AND(NOT(ISBLANK($C325)), W325=Constants!$B$8), Y325, "")</f>
        <v/>
      </c>
      <c r="AC325" s="85" t="str">
        <f aca="false">IF(ISNUMBER(AB325), RANK(AB325,AB$8:AB$507), "")</f>
        <v/>
      </c>
      <c r="AD325" s="85" t="str">
        <f aca="false">IF(ISBLANK($C325),"",IF(V325&lt;&gt;Constants!$B$14, V325, IF(W325=Constants!$B$7, AA325, IF(W325=Constants!$B$8, COUNT($AA$8:$AA$507) + AC325, ""))))</f>
        <v/>
      </c>
      <c r="AE325" s="85" t="str">
        <f aca="false">N325</f>
        <v/>
      </c>
      <c r="AF325" s="85" t="str">
        <f aca="false">IF(ISNUMBER(AE325), RANK(AE325,AE$8:AE$507,1), "")</f>
        <v/>
      </c>
      <c r="AG325" s="88" t="str">
        <f aca="false">IF(ISBLANK(C325), "", ABS(M325-S325))</f>
        <v/>
      </c>
      <c r="AH325" s="85" t="str">
        <f aca="false">IF(ISNUMBER(AG325), RANK(AG325,AG$8:AG$507,1), "")</f>
        <v/>
      </c>
      <c r="AI325" s="85" t="str">
        <f aca="false">IF(ISBLANK(C325),"",IF(V325&lt;&gt;Constants!$B$14, V325, RANK(AD325, AD$8:AD$507, 1)+ SUMPRODUCT(--(AD$8:AD$507=AD325),--(AF325&gt;AF$8:AF$507)) + SUMPRODUCT(--(AD$8:AD$507=AD325),--(AF325=AF$8:AF$507),--(AH325&gt;AH$8:AH$507))))</f>
        <v/>
      </c>
      <c r="AJ325" s="85" t="str">
        <f aca="false">IF(ISBLANK(C325),"",IF(V325&lt;&gt;Constants!$B$14, V325, AD325-AI325))</f>
        <v/>
      </c>
      <c r="AK325" s="89"/>
      <c r="AL325" s="90" t="str">
        <f aca="false">IF(ISBLANK($C325),"",IF($V325&lt;&gt;Constants!$B$14,$V325,X325))</f>
        <v/>
      </c>
      <c r="AM325" s="90" t="str">
        <f aca="false">IF(ISBLANK($C325),"",IF($V325&lt;&gt;Constants!$B$14,$V325,N325))</f>
        <v/>
      </c>
      <c r="AN325" s="91" t="str">
        <f aca="false">IF(ISBLANK(C325),"",IF(V325&lt;&gt;Constants!$B$14, V325, IF(W325=Constants!$B$7,Z325,IF(W325=Constants!$B$8,AB325,""))))</f>
        <v/>
      </c>
      <c r="AO325" s="92" t="str">
        <f aca="false">IF(ISBLANK(C325),"",W325)</f>
        <v/>
      </c>
      <c r="AP325" s="92" t="str">
        <f aca="false">IF(ISBLANK(C325),"",AJ325)</f>
        <v/>
      </c>
      <c r="AQ325" s="92" t="str">
        <f aca="false">IF(ISBLANK(C325),"",AI325)</f>
        <v/>
      </c>
      <c r="AR325" s="93" t="str">
        <f aca="false">IF(ISBLANK(C325),
  "",
IF(AQ325=Constants!$B$11,COUNTA($C$8:$C$507)+2,IF(AQ325=Constants!$B$12,COUNTA($C$8:$C$507)+1,IF(AQ325=Constants!$B$13,COUNTA($C$8:$C$507),AQ325))))</f>
        <v/>
      </c>
      <c r="AS325" s="3"/>
      <c r="AT325" s="94" t="n">
        <f aca="false">IF(OR(ISNUMBER(AQ325),AQ325="DQ",AQ325="P",AQ325="NS"),
    1,
    0
)</f>
        <v>0</v>
      </c>
      <c r="AU325" s="94" t="n">
        <v>318</v>
      </c>
      <c r="AV325" s="94" t="str">
        <f aca="false">IF(ISBLANK($C325),
    "",
   IF(ISNUMBER(AR325),AR325+ROW($B325)/1000,"")
)</f>
        <v/>
      </c>
      <c r="AW325" s="94" t="str">
        <f aca="false">IF(ISNUMBER(AV325), RANK(AV325,AV$8:AV$507,1), "")</f>
        <v/>
      </c>
      <c r="AX325" s="94" t="str">
        <f aca="false">IF(ISBLANK($C325),
    "",
    $B325
)</f>
        <v/>
      </c>
      <c r="AY325" s="94" t="str">
        <f aca="false">IF(ISBLANK($C325),
    "",
    $C325
)</f>
        <v/>
      </c>
      <c r="AZ325" s="94" t="str">
        <f aca="false">IF(ISBLANK($C325),
    "",
    $D325
)</f>
        <v/>
      </c>
      <c r="BA325" s="94" t="str">
        <f aca="false">AO325</f>
        <v/>
      </c>
      <c r="BB325" s="95" t="str">
        <f aca="false">AN325</f>
        <v/>
      </c>
      <c r="BC325" s="94" t="str">
        <f aca="false">IF(ISBLANK($C325),
    "",
    AQ325
)</f>
        <v/>
      </c>
      <c r="BD325" s="96" t="str">
        <f aca="false">IF(AU325&gt;AT$7,
    "",
    VLOOKUP(AU325,AW$8:BC$507,7,FALSE())
)</f>
        <v/>
      </c>
      <c r="BE325" s="97" t="str">
        <f aca="false">IF(AU325&gt;AT$7,
    "",
    VLOOKUP(AU325,AW$8:BC$507,2,FALSE())
)</f>
        <v/>
      </c>
      <c r="BF325" s="97" t="str">
        <f aca="false">IF(AU325&gt;AT$7,
    "",
    VLOOKUP(AU325,AW$8:BC$507,3,FALSE())
)</f>
        <v/>
      </c>
      <c r="BG325" s="97" t="str">
        <f aca="false">IF(AU325&gt;AT$7,
    "",
    VLOOKUP(AU325,AW$8:BC$507,4,FALSE())
)</f>
        <v/>
      </c>
      <c r="BH325" s="97" t="str">
        <f aca="false">IF(AU325&gt;AT$7,
    "",
    VLOOKUP(AU325,AW$8:BC$507,5,FALSE())
)</f>
        <v/>
      </c>
      <c r="BI325" s="98" t="str">
        <f aca="false">IF(AU325&gt;AT$7,
    "",
    VLOOKUP(AU325,AW$8:BC$507,6,FALSE())
)</f>
        <v/>
      </c>
      <c r="BJ325" s="46"/>
    </row>
    <row r="326" customFormat="false" ht="15.75" hidden="false" customHeight="false" outlineLevel="0" collapsed="false">
      <c r="A326" s="3"/>
      <c r="B326" s="108"/>
      <c r="C326" s="70"/>
      <c r="D326" s="49"/>
      <c r="E326" s="109"/>
      <c r="F326" s="72"/>
      <c r="G326" s="109"/>
      <c r="H326" s="74"/>
      <c r="I326" s="104"/>
      <c r="J326" s="74"/>
      <c r="K326" s="74"/>
      <c r="L326" s="55"/>
      <c r="M326" s="55" t="str">
        <f aca="false">IF(ISBLANK($C326),"",IF(ISBLANK(E326),0,E326))</f>
        <v/>
      </c>
      <c r="N326" s="55" t="str">
        <f aca="false">IF(ISBLANK($C326),"",IF(ISBLANK(F326),0,F326))</f>
        <v/>
      </c>
      <c r="O326" s="55" t="e">
        <f aca="false">IF(AND(NOT(ISBLANK($C326)),NOT($T326),COUNTA($E326:$K326)&gt;0),ISBLANK($F326),FALSE())</f>
        <v>#VALUE!</v>
      </c>
      <c r="P326" s="55" t="str">
        <f aca="false">IF(ISBLANK($C326),"",IF(G326=Constants!$B$9, TRUE(), IF(G326=Constants!$B$10, FALSE(), TRUE())))</f>
        <v/>
      </c>
      <c r="Q326" s="55" t="str">
        <f aca="false">IF(ISBLANK($C326),"",IF(H326=Constants!$B$9, TRUE(), IF(H326=Constants!$B$10, FALSE(), TRUE())))</f>
        <v/>
      </c>
      <c r="R326" s="55" t="str">
        <f aca="false">IF(ISBLANK($C326),"",IF(ISBLANK(I326),Constants!$B$3,I326))</f>
        <v/>
      </c>
      <c r="S326" s="55" t="str">
        <f aca="false">IF(ISBLANK($C326),"",IF(ISBLANK(J326),0,MIN(J326,Constants!$B$6)))</f>
        <v/>
      </c>
      <c r="T326" s="55" t="str">
        <f aca="false">IF(ISBLANK($C326),"",IF(K326=Constants!$B$9, TRUE(), IF(K326=Constants!$B$10, FALSE(),  FALSE())))</f>
        <v/>
      </c>
      <c r="U326" s="55" t="str">
        <f aca="false">IF(ISBLANK($C326),"",AND(R326=Constants!$B$4, S326&lt;Constants!$B$6))</f>
        <v/>
      </c>
      <c r="V326" s="55" t="str">
        <f aca="false">IF(ISBLANK(C326), "", IF(T326, Constants!$B$11, IF(COUNTA(E326:K326)=0, Constants!$B$12, IF(NOT(AND(P326,S326&lt;&gt;0)), Constants!$B$13, IF(O326, Constants!$B$15, Constants!$B$14)))))</f>
        <v/>
      </c>
      <c r="W326" s="55" t="str">
        <f aca="false">IF(OR(ISBLANK($C326), SUMPRODUCT(--(P326:T326&lt;&gt;""))=0), "", IF(V326&lt;&gt;Constants!$B$14, V326, IF(AND(NOT(ISBLANK(J326)),P326,Q326,R326&lt;&gt;Constants!$B$2), Constants!$B$7, IF(AND(P326,OR(NOT(Q326),R326=Constants!$B$2)), Constants!$B$8, "Error"))))</f>
        <v/>
      </c>
      <c r="X326" s="56" t="str">
        <f aca="false">IF(OR(W326=Constants!$B$7,W326=Constants!$B$8), MAX(0, MIN(Constants!$B$6, S326))+IF(AND(R326=Constants!$B$4, NOT(U326)), Constants!$B$5, 0), "")</f>
        <v/>
      </c>
      <c r="Y326" s="55" t="str">
        <f aca="false">IF(ISBLANK($C326),"",IF(AND(ISNUMBER(X326),N326&gt;0),X326/N326, "") )</f>
        <v/>
      </c>
      <c r="Z326" s="55" t="str">
        <f aca="false">IF(AND(NOT(ISBLANK($C326)), W326=Constants!$B$7), Y326, "")</f>
        <v/>
      </c>
      <c r="AA326" s="55" t="str">
        <f aca="false">IF(ISNUMBER(Z326), RANK(Z326,Z$8:Z$507), "")</f>
        <v/>
      </c>
      <c r="AB326" s="55" t="str">
        <f aca="false">IF(AND(NOT(ISBLANK($C326)), W326=Constants!$B$8), Y326, "")</f>
        <v/>
      </c>
      <c r="AC326" s="55" t="str">
        <f aca="false">IF(ISNUMBER(AB326), RANK(AB326,AB$8:AB$507), "")</f>
        <v/>
      </c>
      <c r="AD326" s="55" t="str">
        <f aca="false">IF(ISBLANK($C326),"",IF(V326&lt;&gt;Constants!$B$14, V326, IF(W326=Constants!$B$7, AA326, IF(W326=Constants!$B$8, COUNT($AA$8:$AA$507) + AC326, ""))))</f>
        <v/>
      </c>
      <c r="AE326" s="55" t="str">
        <f aca="false">N326</f>
        <v/>
      </c>
      <c r="AF326" s="55" t="str">
        <f aca="false">IF(ISNUMBER(AE326), RANK(AE326,AE$8:AE$507,1), "")</f>
        <v/>
      </c>
      <c r="AG326" s="57" t="str">
        <f aca="false">IF(ISBLANK(C326), "", ABS(M326-S326))</f>
        <v/>
      </c>
      <c r="AH326" s="55" t="str">
        <f aca="false">IF(ISNUMBER(AG326), RANK(AG326,AG$8:AG$507,1), "")</f>
        <v/>
      </c>
      <c r="AI326" s="55" t="str">
        <f aca="false">IF(ISBLANK(C326),"",IF(V326&lt;&gt;Constants!$B$14, V326, RANK(AD326, AD$8:AD$507, 1)+ SUMPRODUCT(--(AD$8:AD$507=AD326),--(AF326&gt;AF$8:AF$507)) + SUMPRODUCT(--(AD$8:AD$507=AD326),--(AF326=AF$8:AF$507),--(AH326&gt;AH$8:AH$507))))</f>
        <v/>
      </c>
      <c r="AJ326" s="55" t="str">
        <f aca="false">IF(ISBLANK(C326),"",IF(V326&lt;&gt;Constants!$B$14, V326, AD326-AI326))</f>
        <v/>
      </c>
      <c r="AK326" s="59"/>
      <c r="AL326" s="60" t="str">
        <f aca="false">IF(ISBLANK($C326),"",IF($V326&lt;&gt;Constants!$B$14,$V326,X326))</f>
        <v/>
      </c>
      <c r="AM326" s="60" t="str">
        <f aca="false">IF(ISBLANK($C326),"",IF($V326&lt;&gt;Constants!$B$14,$V326,N326))</f>
        <v/>
      </c>
      <c r="AN326" s="62" t="str">
        <f aca="false">IF(ISBLANK(C326),"",IF(V326&lt;&gt;Constants!$B$14, V326, IF(W326=Constants!$B$7,Z326,IF(W326=Constants!$B$8,AB326,""))))</f>
        <v/>
      </c>
      <c r="AO326" s="63" t="str">
        <f aca="false">IF(ISBLANK(C326),"",W326)</f>
        <v/>
      </c>
      <c r="AP326" s="63" t="str">
        <f aca="false">IF(ISBLANK(C326),"",AJ326)</f>
        <v/>
      </c>
      <c r="AQ326" s="63" t="str">
        <f aca="false">IF(ISBLANK(C326),"",AI326)</f>
        <v/>
      </c>
      <c r="AR326" s="64" t="str">
        <f aca="false">IF(ISBLANK(C326),
  "",
IF(AQ326=Constants!$B$11,COUNTA($C$8:$C$507)+2,IF(AQ326=Constants!$B$12,COUNTA($C$8:$C$507)+1,IF(AQ326=Constants!$B$13,COUNTA($C$8:$C$507),AQ326))))</f>
        <v/>
      </c>
      <c r="AS326" s="3"/>
      <c r="AT326" s="65" t="n">
        <f aca="false">IF(OR(ISNUMBER(AQ326),AQ326="DQ",AQ326="P",AQ326="NS"),
    1,
    0
)</f>
        <v>0</v>
      </c>
      <c r="AU326" s="65" t="n">
        <v>319</v>
      </c>
      <c r="AV326" s="65" t="str">
        <f aca="false">IF(ISBLANK($C326),
    "",
   IF(ISNUMBER(AR326),AR326+ROW($B326)/1000,"")
)</f>
        <v/>
      </c>
      <c r="AW326" s="65" t="str">
        <f aca="false">IF(ISNUMBER(AV326), RANK(AV326,AV$8:AV$507,1), "")</f>
        <v/>
      </c>
      <c r="AX326" s="65" t="str">
        <f aca="false">IF(ISBLANK($C326),
    "",
    $B326
)</f>
        <v/>
      </c>
      <c r="AY326" s="65" t="str">
        <f aca="false">IF(ISBLANK($C326),
    "",
    $C326
)</f>
        <v/>
      </c>
      <c r="AZ326" s="65" t="str">
        <f aca="false">IF(ISBLANK($C326),
    "",
    $D326
)</f>
        <v/>
      </c>
      <c r="BA326" s="65" t="str">
        <f aca="false">AO326</f>
        <v/>
      </c>
      <c r="BB326" s="66" t="str">
        <f aca="false">AN326</f>
        <v/>
      </c>
      <c r="BC326" s="65" t="str">
        <f aca="false">IF(ISBLANK($C326),
    "",
    AQ326
)</f>
        <v/>
      </c>
      <c r="BD326" s="67" t="str">
        <f aca="false">IF(AU326&gt;AT$7,
    "",
    VLOOKUP(AU326,AW$8:BC$507,7,FALSE())
)</f>
        <v/>
      </c>
      <c r="BE326" s="68" t="str">
        <f aca="false">IF(AU326&gt;AT$7,
    "",
    VLOOKUP(AU326,AW$8:BC$507,2,FALSE())
)</f>
        <v/>
      </c>
      <c r="BF326" s="68" t="str">
        <f aca="false">IF(AU326&gt;AT$7,
    "",
    VLOOKUP(AU326,AW$8:BC$507,3,FALSE())
)</f>
        <v/>
      </c>
      <c r="BG326" s="68" t="str">
        <f aca="false">IF(AU326&gt;AT$7,
    "",
    VLOOKUP(AU326,AW$8:BC$507,4,FALSE())
)</f>
        <v/>
      </c>
      <c r="BH326" s="68" t="str">
        <f aca="false">IF(AU326&gt;AT$7,
    "",
    VLOOKUP(AU326,AW$8:BC$507,5,FALSE())
)</f>
        <v/>
      </c>
      <c r="BI326" s="69" t="str">
        <f aca="false">IF(AU326&gt;AT$7,
    "",
    VLOOKUP(AU326,AW$8:BC$507,6,FALSE())
)</f>
        <v/>
      </c>
      <c r="BJ326" s="46"/>
    </row>
    <row r="327" customFormat="false" ht="15.75" hidden="false" customHeight="false" outlineLevel="0" collapsed="false">
      <c r="A327" s="3"/>
      <c r="B327" s="108"/>
      <c r="C327" s="70"/>
      <c r="D327" s="49"/>
      <c r="E327" s="109"/>
      <c r="F327" s="72"/>
      <c r="G327" s="109"/>
      <c r="H327" s="74"/>
      <c r="I327" s="104"/>
      <c r="J327" s="74"/>
      <c r="K327" s="74"/>
      <c r="L327" s="55"/>
      <c r="M327" s="55" t="str">
        <f aca="false">IF(ISBLANK($C327),"",IF(ISBLANK(E327),0,E327))</f>
        <v/>
      </c>
      <c r="N327" s="55" t="str">
        <f aca="false">IF(ISBLANK($C327),"",IF(ISBLANK(F327),0,F327))</f>
        <v/>
      </c>
      <c r="O327" s="55" t="e">
        <f aca="false">IF(AND(NOT(ISBLANK($C327)),NOT($T327),COUNTA($E327:$K327)&gt;0),ISBLANK($F327),FALSE())</f>
        <v>#VALUE!</v>
      </c>
      <c r="P327" s="55" t="str">
        <f aca="false">IF(ISBLANK($C327),"",IF(G327=Constants!$B$9, TRUE(), IF(G327=Constants!$B$10, FALSE(), TRUE())))</f>
        <v/>
      </c>
      <c r="Q327" s="55" t="str">
        <f aca="false">IF(ISBLANK($C327),"",IF(H327=Constants!$B$9, TRUE(), IF(H327=Constants!$B$10, FALSE(), TRUE())))</f>
        <v/>
      </c>
      <c r="R327" s="55" t="str">
        <f aca="false">IF(ISBLANK($C327),"",IF(ISBLANK(I327),Constants!$B$3,I327))</f>
        <v/>
      </c>
      <c r="S327" s="55" t="str">
        <f aca="false">IF(ISBLANK($C327),"",IF(ISBLANK(J327),0,MIN(J327,Constants!$B$6)))</f>
        <v/>
      </c>
      <c r="T327" s="55" t="str">
        <f aca="false">IF(ISBLANK($C327),"",IF(K327=Constants!$B$9, TRUE(), IF(K327=Constants!$B$10, FALSE(),  FALSE())))</f>
        <v/>
      </c>
      <c r="U327" s="55" t="str">
        <f aca="false">IF(ISBLANK($C327),"",AND(R327=Constants!$B$4, S327&lt;Constants!$B$6))</f>
        <v/>
      </c>
      <c r="V327" s="55" t="str">
        <f aca="false">IF(ISBLANK(C327), "", IF(T327, Constants!$B$11, IF(COUNTA(E327:K327)=0, Constants!$B$12, IF(NOT(AND(P327,S327&lt;&gt;0)), Constants!$B$13, IF(O327, Constants!$B$15, Constants!$B$14)))))</f>
        <v/>
      </c>
      <c r="W327" s="55" t="str">
        <f aca="false">IF(OR(ISBLANK($C327), SUMPRODUCT(--(P327:T327&lt;&gt;""))=0), "", IF(V327&lt;&gt;Constants!$B$14, V327, IF(AND(NOT(ISBLANK(J327)),P327,Q327,R327&lt;&gt;Constants!$B$2), Constants!$B$7, IF(AND(P327,OR(NOT(Q327),R327=Constants!$B$2)), Constants!$B$8, "Error"))))</f>
        <v/>
      </c>
      <c r="X327" s="56" t="str">
        <f aca="false">IF(OR(W327=Constants!$B$7,W327=Constants!$B$8), MAX(0, MIN(Constants!$B$6, S327))+IF(AND(R327=Constants!$B$4, NOT(U327)), Constants!$B$5, 0), "")</f>
        <v/>
      </c>
      <c r="Y327" s="55" t="str">
        <f aca="false">IF(ISBLANK($C327),"",IF(AND(ISNUMBER(X327),N327&gt;0),X327/N327, "") )</f>
        <v/>
      </c>
      <c r="Z327" s="55" t="str">
        <f aca="false">IF(AND(NOT(ISBLANK($C327)), W327=Constants!$B$7), Y327, "")</f>
        <v/>
      </c>
      <c r="AA327" s="55" t="str">
        <f aca="false">IF(ISNUMBER(Z327), RANK(Z327,Z$8:Z$507), "")</f>
        <v/>
      </c>
      <c r="AB327" s="55" t="str">
        <f aca="false">IF(AND(NOT(ISBLANK($C327)), W327=Constants!$B$8), Y327, "")</f>
        <v/>
      </c>
      <c r="AC327" s="55" t="str">
        <f aca="false">IF(ISNUMBER(AB327), RANK(AB327,AB$8:AB$507), "")</f>
        <v/>
      </c>
      <c r="AD327" s="55" t="str">
        <f aca="false">IF(ISBLANK($C327),"",IF(V327&lt;&gt;Constants!$B$14, V327, IF(W327=Constants!$B$7, AA327, IF(W327=Constants!$B$8, COUNT($AA$8:$AA$507) + AC327, ""))))</f>
        <v/>
      </c>
      <c r="AE327" s="55" t="str">
        <f aca="false">N327</f>
        <v/>
      </c>
      <c r="AF327" s="55" t="str">
        <f aca="false">IF(ISNUMBER(AE327), RANK(AE327,AE$8:AE$507,1), "")</f>
        <v/>
      </c>
      <c r="AG327" s="57" t="str">
        <f aca="false">IF(ISBLANK(C327), "", ABS(M327-S327))</f>
        <v/>
      </c>
      <c r="AH327" s="55" t="str">
        <f aca="false">IF(ISNUMBER(AG327), RANK(AG327,AG$8:AG$507,1), "")</f>
        <v/>
      </c>
      <c r="AI327" s="55" t="str">
        <f aca="false">IF(ISBLANK(C327),"",IF(V327&lt;&gt;Constants!$B$14, V327, RANK(AD327, AD$8:AD$507, 1)+ SUMPRODUCT(--(AD$8:AD$507=AD327),--(AF327&gt;AF$8:AF$507)) + SUMPRODUCT(--(AD$8:AD$507=AD327),--(AF327=AF$8:AF$507),--(AH327&gt;AH$8:AH$507))))</f>
        <v/>
      </c>
      <c r="AJ327" s="55" t="str">
        <f aca="false">IF(ISBLANK(C327),"",IF(V327&lt;&gt;Constants!$B$14, V327, AD327-AI327))</f>
        <v/>
      </c>
      <c r="AK327" s="59"/>
      <c r="AL327" s="60" t="str">
        <f aca="false">IF(ISBLANK($C327),"",IF($V327&lt;&gt;Constants!$B$14,$V327,X327))</f>
        <v/>
      </c>
      <c r="AM327" s="60" t="str">
        <f aca="false">IF(ISBLANK($C327),"",IF($V327&lt;&gt;Constants!$B$14,$V327,N327))</f>
        <v/>
      </c>
      <c r="AN327" s="62" t="str">
        <f aca="false">IF(ISBLANK(C327),"",IF(V327&lt;&gt;Constants!$B$14, V327, IF(W327=Constants!$B$7,Z327,IF(W327=Constants!$B$8,AB327,""))))</f>
        <v/>
      </c>
      <c r="AO327" s="63" t="str">
        <f aca="false">IF(ISBLANK(C327),"",W327)</f>
        <v/>
      </c>
      <c r="AP327" s="63" t="str">
        <f aca="false">IF(ISBLANK(C327),"",AJ327)</f>
        <v/>
      </c>
      <c r="AQ327" s="63" t="str">
        <f aca="false">IF(ISBLANK(C327),"",AI327)</f>
        <v/>
      </c>
      <c r="AR327" s="64" t="str">
        <f aca="false">IF(ISBLANK(C327),
  "",
IF(AQ327=Constants!$B$11,COUNTA($C$8:$C$507)+2,IF(AQ327=Constants!$B$12,COUNTA($C$8:$C$507)+1,IF(AQ327=Constants!$B$13,COUNTA($C$8:$C$507),AQ327))))</f>
        <v/>
      </c>
      <c r="AS327" s="3"/>
      <c r="AT327" s="65" t="n">
        <f aca="false">IF(OR(ISNUMBER(AQ327),AQ327="DQ",AQ327="P",AQ327="NS"),
    1,
    0
)</f>
        <v>0</v>
      </c>
      <c r="AU327" s="65" t="n">
        <v>320</v>
      </c>
      <c r="AV327" s="65" t="str">
        <f aca="false">IF(ISBLANK($C327),
    "",
   IF(ISNUMBER(AR327),AR327+ROW($B327)/1000,"")
)</f>
        <v/>
      </c>
      <c r="AW327" s="65" t="str">
        <f aca="false">IF(ISNUMBER(AV327), RANK(AV327,AV$8:AV$507,1), "")</f>
        <v/>
      </c>
      <c r="AX327" s="65" t="str">
        <f aca="false">IF(ISBLANK($C327),
    "",
    $B327
)</f>
        <v/>
      </c>
      <c r="AY327" s="65" t="str">
        <f aca="false">IF(ISBLANK($C327),
    "",
    $C327
)</f>
        <v/>
      </c>
      <c r="AZ327" s="65" t="str">
        <f aca="false">IF(ISBLANK($C327),
    "",
    $D327
)</f>
        <v/>
      </c>
      <c r="BA327" s="65" t="str">
        <f aca="false">AO327</f>
        <v/>
      </c>
      <c r="BB327" s="66" t="str">
        <f aca="false">AN327</f>
        <v/>
      </c>
      <c r="BC327" s="65" t="str">
        <f aca="false">IF(ISBLANK($C327),
    "",
    AQ327
)</f>
        <v/>
      </c>
      <c r="BD327" s="67" t="str">
        <f aca="false">IF(AU327&gt;AT$7,
    "",
    VLOOKUP(AU327,AW$8:BC$507,7,FALSE())
)</f>
        <v/>
      </c>
      <c r="BE327" s="68" t="str">
        <f aca="false">IF(AU327&gt;AT$7,
    "",
    VLOOKUP(AU327,AW$8:BC$507,2,FALSE())
)</f>
        <v/>
      </c>
      <c r="BF327" s="68" t="str">
        <f aca="false">IF(AU327&gt;AT$7,
    "",
    VLOOKUP(AU327,AW$8:BC$507,3,FALSE())
)</f>
        <v/>
      </c>
      <c r="BG327" s="68" t="str">
        <f aca="false">IF(AU327&gt;AT$7,
    "",
    VLOOKUP(AU327,AW$8:BC$507,4,FALSE())
)</f>
        <v/>
      </c>
      <c r="BH327" s="68" t="str">
        <f aca="false">IF(AU327&gt;AT$7,
    "",
    VLOOKUP(AU327,AW$8:BC$507,5,FALSE())
)</f>
        <v/>
      </c>
      <c r="BI327" s="69" t="str">
        <f aca="false">IF(AU327&gt;AT$7,
    "",
    VLOOKUP(AU327,AW$8:BC$507,6,FALSE())
)</f>
        <v/>
      </c>
      <c r="BJ327" s="46"/>
    </row>
    <row r="328" customFormat="false" ht="15.75" hidden="false" customHeight="false" outlineLevel="0" collapsed="false">
      <c r="A328" s="3"/>
      <c r="B328" s="108"/>
      <c r="C328" s="70"/>
      <c r="D328" s="49"/>
      <c r="E328" s="109"/>
      <c r="F328" s="72"/>
      <c r="G328" s="109"/>
      <c r="H328" s="74"/>
      <c r="I328" s="104"/>
      <c r="J328" s="74"/>
      <c r="K328" s="74"/>
      <c r="L328" s="55"/>
      <c r="M328" s="55" t="str">
        <f aca="false">IF(ISBLANK($C328),"",IF(ISBLANK(E328),0,E328))</f>
        <v/>
      </c>
      <c r="N328" s="55" t="str">
        <f aca="false">IF(ISBLANK($C328),"",IF(ISBLANK(F328),0,F328))</f>
        <v/>
      </c>
      <c r="O328" s="55" t="e">
        <f aca="false">IF(AND(NOT(ISBLANK($C328)),NOT($T328),COUNTA($E328:$K328)&gt;0),ISBLANK($F328),FALSE())</f>
        <v>#VALUE!</v>
      </c>
      <c r="P328" s="55" t="str">
        <f aca="false">IF(ISBLANK($C328),"",IF(G328=Constants!$B$9, TRUE(), IF(G328=Constants!$B$10, FALSE(), TRUE())))</f>
        <v/>
      </c>
      <c r="Q328" s="55" t="str">
        <f aca="false">IF(ISBLANK($C328),"",IF(H328=Constants!$B$9, TRUE(), IF(H328=Constants!$B$10, FALSE(), TRUE())))</f>
        <v/>
      </c>
      <c r="R328" s="55" t="str">
        <f aca="false">IF(ISBLANK($C328),"",IF(ISBLANK(I328),Constants!$B$3,I328))</f>
        <v/>
      </c>
      <c r="S328" s="55" t="str">
        <f aca="false">IF(ISBLANK($C328),"",IF(ISBLANK(J328),0,MIN(J328,Constants!$B$6)))</f>
        <v/>
      </c>
      <c r="T328" s="55" t="str">
        <f aca="false">IF(ISBLANK($C328),"",IF(K328=Constants!$B$9, TRUE(), IF(K328=Constants!$B$10, FALSE(),  FALSE())))</f>
        <v/>
      </c>
      <c r="U328" s="55" t="str">
        <f aca="false">IF(ISBLANK($C328),"",AND(R328=Constants!$B$4, S328&lt;Constants!$B$6))</f>
        <v/>
      </c>
      <c r="V328" s="55" t="str">
        <f aca="false">IF(ISBLANK(C328), "", IF(T328, Constants!$B$11, IF(COUNTA(E328:K328)=0, Constants!$B$12, IF(NOT(AND(P328,S328&lt;&gt;0)), Constants!$B$13, IF(O328, Constants!$B$15, Constants!$B$14)))))</f>
        <v/>
      </c>
      <c r="W328" s="55" t="str">
        <f aca="false">IF(OR(ISBLANK($C328), SUMPRODUCT(--(P328:T328&lt;&gt;""))=0), "", IF(V328&lt;&gt;Constants!$B$14, V328, IF(AND(NOT(ISBLANK(J328)),P328,Q328,R328&lt;&gt;Constants!$B$2), Constants!$B$7, IF(AND(P328,OR(NOT(Q328),R328=Constants!$B$2)), Constants!$B$8, "Error"))))</f>
        <v/>
      </c>
      <c r="X328" s="56" t="str">
        <f aca="false">IF(OR(W328=Constants!$B$7,W328=Constants!$B$8), MAX(0, MIN(Constants!$B$6, S328))+IF(AND(R328=Constants!$B$4, NOT(U328)), Constants!$B$5, 0), "")</f>
        <v/>
      </c>
      <c r="Y328" s="55" t="str">
        <f aca="false">IF(ISBLANK($C328),"",IF(AND(ISNUMBER(X328),N328&gt;0),X328/N328, "") )</f>
        <v/>
      </c>
      <c r="Z328" s="55" t="str">
        <f aca="false">IF(AND(NOT(ISBLANK($C328)), W328=Constants!$B$7), Y328, "")</f>
        <v/>
      </c>
      <c r="AA328" s="55" t="str">
        <f aca="false">IF(ISNUMBER(Z328), RANK(Z328,Z$8:Z$507), "")</f>
        <v/>
      </c>
      <c r="AB328" s="55" t="str">
        <f aca="false">IF(AND(NOT(ISBLANK($C328)), W328=Constants!$B$8), Y328, "")</f>
        <v/>
      </c>
      <c r="AC328" s="55" t="str">
        <f aca="false">IF(ISNUMBER(AB328), RANK(AB328,AB$8:AB$507), "")</f>
        <v/>
      </c>
      <c r="AD328" s="55" t="str">
        <f aca="false">IF(ISBLANK($C328),"",IF(V328&lt;&gt;Constants!$B$14, V328, IF(W328=Constants!$B$7, AA328, IF(W328=Constants!$B$8, COUNT($AA$8:$AA$507) + AC328, ""))))</f>
        <v/>
      </c>
      <c r="AE328" s="55" t="str">
        <f aca="false">N328</f>
        <v/>
      </c>
      <c r="AF328" s="55" t="str">
        <f aca="false">IF(ISNUMBER(AE328), RANK(AE328,AE$8:AE$507,1), "")</f>
        <v/>
      </c>
      <c r="AG328" s="57" t="str">
        <f aca="false">IF(ISBLANK(C328), "", ABS(M328-S328))</f>
        <v/>
      </c>
      <c r="AH328" s="55" t="str">
        <f aca="false">IF(ISNUMBER(AG328), RANK(AG328,AG$8:AG$507,1), "")</f>
        <v/>
      </c>
      <c r="AI328" s="55" t="str">
        <f aca="false">IF(ISBLANK(C328),"",IF(V328&lt;&gt;Constants!$B$14, V328, RANK(AD328, AD$8:AD$507, 1)+ SUMPRODUCT(--(AD$8:AD$507=AD328),--(AF328&gt;AF$8:AF$507)) + SUMPRODUCT(--(AD$8:AD$507=AD328),--(AF328=AF$8:AF$507),--(AH328&gt;AH$8:AH$507))))</f>
        <v/>
      </c>
      <c r="AJ328" s="55" t="str">
        <f aca="false">IF(ISBLANK(C328),"",IF(V328&lt;&gt;Constants!$B$14, V328, AD328-AI328))</f>
        <v/>
      </c>
      <c r="AK328" s="59"/>
      <c r="AL328" s="60" t="str">
        <f aca="false">IF(ISBLANK($C328),"",IF($V328&lt;&gt;Constants!$B$14,$V328,X328))</f>
        <v/>
      </c>
      <c r="AM328" s="60" t="str">
        <f aca="false">IF(ISBLANK($C328),"",IF($V328&lt;&gt;Constants!$B$14,$V328,N328))</f>
        <v/>
      </c>
      <c r="AN328" s="62" t="str">
        <f aca="false">IF(ISBLANK(C328),"",IF(V328&lt;&gt;Constants!$B$14, V328, IF(W328=Constants!$B$7,Z328,IF(W328=Constants!$B$8,AB328,""))))</f>
        <v/>
      </c>
      <c r="AO328" s="63" t="str">
        <f aca="false">IF(ISBLANK(C328),"",W328)</f>
        <v/>
      </c>
      <c r="AP328" s="63" t="str">
        <f aca="false">IF(ISBLANK(C328),"",AJ328)</f>
        <v/>
      </c>
      <c r="AQ328" s="63" t="str">
        <f aca="false">IF(ISBLANK(C328),"",AI328)</f>
        <v/>
      </c>
      <c r="AR328" s="64" t="str">
        <f aca="false">IF(ISBLANK(C328),
  "",
IF(AQ328=Constants!$B$11,COUNTA($C$8:$C$507)+2,IF(AQ328=Constants!$B$12,COUNTA($C$8:$C$507)+1,IF(AQ328=Constants!$B$13,COUNTA($C$8:$C$507),AQ328))))</f>
        <v/>
      </c>
      <c r="AS328" s="3"/>
      <c r="AT328" s="65" t="n">
        <f aca="false">IF(OR(ISNUMBER(AQ328),AQ328="DQ",AQ328="P",AQ328="NS"),
    1,
    0
)</f>
        <v>0</v>
      </c>
      <c r="AU328" s="65" t="n">
        <v>321</v>
      </c>
      <c r="AV328" s="65" t="str">
        <f aca="false">IF(ISBLANK($C328),
    "",
   IF(ISNUMBER(AR328),AR328+ROW($B328)/1000,"")
)</f>
        <v/>
      </c>
      <c r="AW328" s="65" t="str">
        <f aca="false">IF(ISNUMBER(AV328), RANK(AV328,AV$8:AV$507,1), "")</f>
        <v/>
      </c>
      <c r="AX328" s="65" t="str">
        <f aca="false">IF(ISBLANK($C328),
    "",
    $B328
)</f>
        <v/>
      </c>
      <c r="AY328" s="65" t="str">
        <f aca="false">IF(ISBLANK($C328),
    "",
    $C328
)</f>
        <v/>
      </c>
      <c r="AZ328" s="65" t="str">
        <f aca="false">IF(ISBLANK($C328),
    "",
    $D328
)</f>
        <v/>
      </c>
      <c r="BA328" s="65" t="str">
        <f aca="false">AO328</f>
        <v/>
      </c>
      <c r="BB328" s="66" t="str">
        <f aca="false">AN328</f>
        <v/>
      </c>
      <c r="BC328" s="65" t="str">
        <f aca="false">IF(ISBLANK($C328),
    "",
    AQ328
)</f>
        <v/>
      </c>
      <c r="BD328" s="67" t="str">
        <f aca="false">IF(AU328&gt;AT$7,
    "",
    VLOOKUP(AU328,AW$8:BC$507,7,FALSE())
)</f>
        <v/>
      </c>
      <c r="BE328" s="68" t="str">
        <f aca="false">IF(AU328&gt;AT$7,
    "",
    VLOOKUP(AU328,AW$8:BC$507,2,FALSE())
)</f>
        <v/>
      </c>
      <c r="BF328" s="68" t="str">
        <f aca="false">IF(AU328&gt;AT$7,
    "",
    VLOOKUP(AU328,AW$8:BC$507,3,FALSE())
)</f>
        <v/>
      </c>
      <c r="BG328" s="68" t="str">
        <f aca="false">IF(AU328&gt;AT$7,
    "",
    VLOOKUP(AU328,AW$8:BC$507,4,FALSE())
)</f>
        <v/>
      </c>
      <c r="BH328" s="68" t="str">
        <f aca="false">IF(AU328&gt;AT$7,
    "",
    VLOOKUP(AU328,AW$8:BC$507,5,FALSE())
)</f>
        <v/>
      </c>
      <c r="BI328" s="69" t="str">
        <f aca="false">IF(AU328&gt;AT$7,
    "",
    VLOOKUP(AU328,AW$8:BC$507,6,FALSE())
)</f>
        <v/>
      </c>
      <c r="BJ328" s="46"/>
    </row>
    <row r="329" customFormat="false" ht="15.75" hidden="false" customHeight="false" outlineLevel="0" collapsed="false">
      <c r="A329" s="3"/>
      <c r="B329" s="105"/>
      <c r="C329" s="106"/>
      <c r="D329" s="99"/>
      <c r="E329" s="110"/>
      <c r="F329" s="107"/>
      <c r="G329" s="110"/>
      <c r="H329" s="103"/>
      <c r="I329" s="102"/>
      <c r="J329" s="103"/>
      <c r="K329" s="103"/>
      <c r="L329" s="85"/>
      <c r="M329" s="85" t="str">
        <f aca="false">IF(ISBLANK($C329),"",IF(ISBLANK(E329),0,E329))</f>
        <v/>
      </c>
      <c r="N329" s="85" t="str">
        <f aca="false">IF(ISBLANK($C329),"",IF(ISBLANK(F329),0,F329))</f>
        <v/>
      </c>
      <c r="O329" s="86" t="e">
        <f aca="false">IF(AND(NOT(ISBLANK($C329)),NOT($T329),COUNTA($E329:$K329)&gt;0),ISBLANK($F329),FALSE())</f>
        <v>#VALUE!</v>
      </c>
      <c r="P329" s="85" t="str">
        <f aca="false">IF(ISBLANK($C329),"",IF(G329=Constants!$B$9, TRUE(), IF(G329=Constants!$B$10, FALSE(), TRUE())))</f>
        <v/>
      </c>
      <c r="Q329" s="85" t="str">
        <f aca="false">IF(ISBLANK($C329),"",IF(H329=Constants!$B$9, TRUE(), IF(H329=Constants!$B$10, FALSE(), TRUE())))</f>
        <v/>
      </c>
      <c r="R329" s="85" t="str">
        <f aca="false">IF(ISBLANK($C329),"",IF(ISBLANK(I329),Constants!$B$3,I329))</f>
        <v/>
      </c>
      <c r="S329" s="85" t="str">
        <f aca="false">IF(ISBLANK($C329),"",IF(ISBLANK(J329),0,MIN(J329,Constants!$B$6)))</f>
        <v/>
      </c>
      <c r="T329" s="85" t="str">
        <f aca="false">IF(ISBLANK($C329),"",IF(K329=Constants!$B$9, TRUE(), IF(K329=Constants!$B$10, FALSE(),  FALSE())))</f>
        <v/>
      </c>
      <c r="U329" s="85" t="str">
        <f aca="false">IF(ISBLANK($C329),"",AND(R329=Constants!$B$4, S329&lt;Constants!$B$6))</f>
        <v/>
      </c>
      <c r="V329" s="85" t="str">
        <f aca="false">IF(ISBLANK(C329), "", IF(T329, Constants!$B$11, IF(COUNTA(E329:K329)=0, Constants!$B$12, IF(NOT(AND(P329,S329&lt;&gt;0)), Constants!$B$13, IF(O329, Constants!$B$15, Constants!$B$14)))))</f>
        <v/>
      </c>
      <c r="W329" s="85" t="str">
        <f aca="false">IF(OR(ISBLANK($C329), SUMPRODUCT(--(P329:T329&lt;&gt;""))=0), "", IF(V329&lt;&gt;Constants!$B$14, V329, IF(AND(NOT(ISBLANK(J329)),P329,Q329,R329&lt;&gt;Constants!$B$2), Constants!$B$7, IF(AND(P329,OR(NOT(Q329),R329=Constants!$B$2)), Constants!$B$8, "Error"))))</f>
        <v/>
      </c>
      <c r="X329" s="87" t="str">
        <f aca="false">IF(OR(W329=Constants!$B$7,W329=Constants!$B$8), MAX(0, MIN(Constants!$B$6, S329))+IF(AND(R329=Constants!$B$4, NOT(U329)), Constants!$B$5, 0), "")</f>
        <v/>
      </c>
      <c r="Y329" s="85" t="str">
        <f aca="false">IF(ISBLANK($C329),"",IF(AND(ISNUMBER(X329),N329&gt;0),X329/N329, "") )</f>
        <v/>
      </c>
      <c r="Z329" s="85" t="str">
        <f aca="false">IF(AND(NOT(ISBLANK($C329)), W329=Constants!$B$7), Y329, "")</f>
        <v/>
      </c>
      <c r="AA329" s="85" t="str">
        <f aca="false">IF(ISNUMBER(Z329), RANK(Z329,Z$8:Z$507), "")</f>
        <v/>
      </c>
      <c r="AB329" s="85" t="str">
        <f aca="false">IF(AND(NOT(ISBLANK($C329)), W329=Constants!$B$8), Y329, "")</f>
        <v/>
      </c>
      <c r="AC329" s="85" t="str">
        <f aca="false">IF(ISNUMBER(AB329), RANK(AB329,AB$8:AB$507), "")</f>
        <v/>
      </c>
      <c r="AD329" s="85" t="str">
        <f aca="false">IF(ISBLANK($C329),"",IF(V329&lt;&gt;Constants!$B$14, V329, IF(W329=Constants!$B$7, AA329, IF(W329=Constants!$B$8, COUNT($AA$8:$AA$507) + AC329, ""))))</f>
        <v/>
      </c>
      <c r="AE329" s="85" t="str">
        <f aca="false">N329</f>
        <v/>
      </c>
      <c r="AF329" s="85" t="str">
        <f aca="false">IF(ISNUMBER(AE329), RANK(AE329,AE$8:AE$507,1), "")</f>
        <v/>
      </c>
      <c r="AG329" s="88" t="str">
        <f aca="false">IF(ISBLANK(C329), "", ABS(M329-S329))</f>
        <v/>
      </c>
      <c r="AH329" s="85" t="str">
        <f aca="false">IF(ISNUMBER(AG329), RANK(AG329,AG$8:AG$507,1), "")</f>
        <v/>
      </c>
      <c r="AI329" s="85" t="str">
        <f aca="false">IF(ISBLANK(C329),"",IF(V329&lt;&gt;Constants!$B$14, V329, RANK(AD329, AD$8:AD$507, 1)+ SUMPRODUCT(--(AD$8:AD$507=AD329),--(AF329&gt;AF$8:AF$507)) + SUMPRODUCT(--(AD$8:AD$507=AD329),--(AF329=AF$8:AF$507),--(AH329&gt;AH$8:AH$507))))</f>
        <v/>
      </c>
      <c r="AJ329" s="85" t="str">
        <f aca="false">IF(ISBLANK(C329),"",IF(V329&lt;&gt;Constants!$B$14, V329, AD329-AI329))</f>
        <v/>
      </c>
      <c r="AK329" s="89"/>
      <c r="AL329" s="90" t="str">
        <f aca="false">IF(ISBLANK($C329),"",IF($V329&lt;&gt;Constants!$B$14,$V329,X329))</f>
        <v/>
      </c>
      <c r="AM329" s="90" t="str">
        <f aca="false">IF(ISBLANK($C329),"",IF($V329&lt;&gt;Constants!$B$14,$V329,N329))</f>
        <v/>
      </c>
      <c r="AN329" s="91" t="str">
        <f aca="false">IF(ISBLANK(C329),"",IF(V329&lt;&gt;Constants!$B$14, V329, IF(W329=Constants!$B$7,Z329,IF(W329=Constants!$B$8,AB329,""))))</f>
        <v/>
      </c>
      <c r="AO329" s="92" t="str">
        <f aca="false">IF(ISBLANK(C329),"",W329)</f>
        <v/>
      </c>
      <c r="AP329" s="92" t="str">
        <f aca="false">IF(ISBLANK(C329),"",AJ329)</f>
        <v/>
      </c>
      <c r="AQ329" s="92" t="str">
        <f aca="false">IF(ISBLANK(C329),"",AI329)</f>
        <v/>
      </c>
      <c r="AR329" s="93" t="str">
        <f aca="false">IF(ISBLANK(C329),
  "",
IF(AQ329=Constants!$B$11,COUNTA($C$8:$C$507)+2,IF(AQ329=Constants!$B$12,COUNTA($C$8:$C$507)+1,IF(AQ329=Constants!$B$13,COUNTA($C$8:$C$507),AQ329))))</f>
        <v/>
      </c>
      <c r="AS329" s="3"/>
      <c r="AT329" s="94" t="n">
        <f aca="false">IF(OR(ISNUMBER(AQ329),AQ329="DQ",AQ329="P",AQ329="NS"),
    1,
    0
)</f>
        <v>0</v>
      </c>
      <c r="AU329" s="94" t="n">
        <v>322</v>
      </c>
      <c r="AV329" s="94" t="str">
        <f aca="false">IF(ISBLANK($C329),
    "",
   IF(ISNUMBER(AR329),AR329+ROW($B329)/1000,"")
)</f>
        <v/>
      </c>
      <c r="AW329" s="94" t="str">
        <f aca="false">IF(ISNUMBER(AV329), RANK(AV329,AV$8:AV$507,1), "")</f>
        <v/>
      </c>
      <c r="AX329" s="94" t="str">
        <f aca="false">IF(ISBLANK($C329),
    "",
    $B329
)</f>
        <v/>
      </c>
      <c r="AY329" s="94" t="str">
        <f aca="false">IF(ISBLANK($C329),
    "",
    $C329
)</f>
        <v/>
      </c>
      <c r="AZ329" s="94" t="str">
        <f aca="false">IF(ISBLANK($C329),
    "",
    $D329
)</f>
        <v/>
      </c>
      <c r="BA329" s="94" t="str">
        <f aca="false">AO329</f>
        <v/>
      </c>
      <c r="BB329" s="95" t="str">
        <f aca="false">AN329</f>
        <v/>
      </c>
      <c r="BC329" s="94" t="str">
        <f aca="false">IF(ISBLANK($C329),
    "",
    AQ329
)</f>
        <v/>
      </c>
      <c r="BD329" s="96" t="str">
        <f aca="false">IF(AU329&gt;AT$7,
    "",
    VLOOKUP(AU329,AW$8:BC$507,7,FALSE())
)</f>
        <v/>
      </c>
      <c r="BE329" s="97" t="str">
        <f aca="false">IF(AU329&gt;AT$7,
    "",
    VLOOKUP(AU329,AW$8:BC$507,2,FALSE())
)</f>
        <v/>
      </c>
      <c r="BF329" s="97" t="str">
        <f aca="false">IF(AU329&gt;AT$7,
    "",
    VLOOKUP(AU329,AW$8:BC$507,3,FALSE())
)</f>
        <v/>
      </c>
      <c r="BG329" s="97" t="str">
        <f aca="false">IF(AU329&gt;AT$7,
    "",
    VLOOKUP(AU329,AW$8:BC$507,4,FALSE())
)</f>
        <v/>
      </c>
      <c r="BH329" s="97" t="str">
        <f aca="false">IF(AU329&gt;AT$7,
    "",
    VLOOKUP(AU329,AW$8:BC$507,5,FALSE())
)</f>
        <v/>
      </c>
      <c r="BI329" s="98" t="str">
        <f aca="false">IF(AU329&gt;AT$7,
    "",
    VLOOKUP(AU329,AW$8:BC$507,6,FALSE())
)</f>
        <v/>
      </c>
      <c r="BJ329" s="46"/>
    </row>
    <row r="330" customFormat="false" ht="15.75" hidden="false" customHeight="false" outlineLevel="0" collapsed="false">
      <c r="A330" s="3"/>
      <c r="B330" s="105"/>
      <c r="C330" s="106"/>
      <c r="D330" s="99"/>
      <c r="E330" s="110"/>
      <c r="F330" s="107"/>
      <c r="G330" s="110"/>
      <c r="H330" s="103"/>
      <c r="I330" s="102"/>
      <c r="J330" s="103"/>
      <c r="K330" s="103"/>
      <c r="L330" s="85"/>
      <c r="M330" s="85" t="str">
        <f aca="false">IF(ISBLANK($C330),"",IF(ISBLANK(E330),0,E330))</f>
        <v/>
      </c>
      <c r="N330" s="85" t="str">
        <f aca="false">IF(ISBLANK($C330),"",IF(ISBLANK(F330),0,F330))</f>
        <v/>
      </c>
      <c r="O330" s="86" t="e">
        <f aca="false">IF(AND(NOT(ISBLANK($C330)),NOT($T330),COUNTA($E330:$K330)&gt;0),ISBLANK($F330),FALSE())</f>
        <v>#VALUE!</v>
      </c>
      <c r="P330" s="85" t="str">
        <f aca="false">IF(ISBLANK($C330),"",IF(G330=Constants!$B$9, TRUE(), IF(G330=Constants!$B$10, FALSE(), TRUE())))</f>
        <v/>
      </c>
      <c r="Q330" s="85" t="str">
        <f aca="false">IF(ISBLANK($C330),"",IF(H330=Constants!$B$9, TRUE(), IF(H330=Constants!$B$10, FALSE(), TRUE())))</f>
        <v/>
      </c>
      <c r="R330" s="85" t="str">
        <f aca="false">IF(ISBLANK($C330),"",IF(ISBLANK(I330),Constants!$B$3,I330))</f>
        <v/>
      </c>
      <c r="S330" s="85" t="str">
        <f aca="false">IF(ISBLANK($C330),"",IF(ISBLANK(J330),0,MIN(J330,Constants!$B$6)))</f>
        <v/>
      </c>
      <c r="T330" s="85" t="str">
        <f aca="false">IF(ISBLANK($C330),"",IF(K330=Constants!$B$9, TRUE(), IF(K330=Constants!$B$10, FALSE(),  FALSE())))</f>
        <v/>
      </c>
      <c r="U330" s="85" t="str">
        <f aca="false">IF(ISBLANK($C330),"",AND(R330=Constants!$B$4, S330&lt;Constants!$B$6))</f>
        <v/>
      </c>
      <c r="V330" s="85" t="str">
        <f aca="false">IF(ISBLANK(C330), "", IF(T330, Constants!$B$11, IF(COUNTA(E330:K330)=0, Constants!$B$12, IF(NOT(AND(P330,S330&lt;&gt;0)), Constants!$B$13, IF(O330, Constants!$B$15, Constants!$B$14)))))</f>
        <v/>
      </c>
      <c r="W330" s="85" t="str">
        <f aca="false">IF(OR(ISBLANK($C330), SUMPRODUCT(--(P330:T330&lt;&gt;""))=0), "", IF(V330&lt;&gt;Constants!$B$14, V330, IF(AND(NOT(ISBLANK(J330)),P330,Q330,R330&lt;&gt;Constants!$B$2), Constants!$B$7, IF(AND(P330,OR(NOT(Q330),R330=Constants!$B$2)), Constants!$B$8, "Error"))))</f>
        <v/>
      </c>
      <c r="X330" s="87" t="str">
        <f aca="false">IF(OR(W330=Constants!$B$7,W330=Constants!$B$8), MAX(0, MIN(Constants!$B$6, S330))+IF(AND(R330=Constants!$B$4, NOT(U330)), Constants!$B$5, 0), "")</f>
        <v/>
      </c>
      <c r="Y330" s="85" t="str">
        <f aca="false">IF(ISBLANK($C330),"",IF(AND(ISNUMBER(X330),N330&gt;0),X330/N330, "") )</f>
        <v/>
      </c>
      <c r="Z330" s="85" t="str">
        <f aca="false">IF(AND(NOT(ISBLANK($C330)), W330=Constants!$B$7), Y330, "")</f>
        <v/>
      </c>
      <c r="AA330" s="85" t="str">
        <f aca="false">IF(ISNUMBER(Z330), RANK(Z330,Z$8:Z$507), "")</f>
        <v/>
      </c>
      <c r="AB330" s="85" t="str">
        <f aca="false">IF(AND(NOT(ISBLANK($C330)), W330=Constants!$B$8), Y330, "")</f>
        <v/>
      </c>
      <c r="AC330" s="85" t="str">
        <f aca="false">IF(ISNUMBER(AB330), RANK(AB330,AB$8:AB$507), "")</f>
        <v/>
      </c>
      <c r="AD330" s="85" t="str">
        <f aca="false">IF(ISBLANK($C330),"",IF(V330&lt;&gt;Constants!$B$14, V330, IF(W330=Constants!$B$7, AA330, IF(W330=Constants!$B$8, COUNT($AA$8:$AA$507) + AC330, ""))))</f>
        <v/>
      </c>
      <c r="AE330" s="85" t="str">
        <f aca="false">N330</f>
        <v/>
      </c>
      <c r="AF330" s="85" t="str">
        <f aca="false">IF(ISNUMBER(AE330), RANK(AE330,AE$8:AE$507,1), "")</f>
        <v/>
      </c>
      <c r="AG330" s="88" t="str">
        <f aca="false">IF(ISBLANK(C330), "", ABS(M330-S330))</f>
        <v/>
      </c>
      <c r="AH330" s="85" t="str">
        <f aca="false">IF(ISNUMBER(AG330), RANK(AG330,AG$8:AG$507,1), "")</f>
        <v/>
      </c>
      <c r="AI330" s="85" t="str">
        <f aca="false">IF(ISBLANK(C330),"",IF(V330&lt;&gt;Constants!$B$14, V330, RANK(AD330, AD$8:AD$507, 1)+ SUMPRODUCT(--(AD$8:AD$507=AD330),--(AF330&gt;AF$8:AF$507)) + SUMPRODUCT(--(AD$8:AD$507=AD330),--(AF330=AF$8:AF$507),--(AH330&gt;AH$8:AH$507))))</f>
        <v/>
      </c>
      <c r="AJ330" s="85" t="str">
        <f aca="false">IF(ISBLANK(C330),"",IF(V330&lt;&gt;Constants!$B$14, V330, AD330-AI330))</f>
        <v/>
      </c>
      <c r="AK330" s="89"/>
      <c r="AL330" s="90" t="str">
        <f aca="false">IF(ISBLANK($C330),"",IF($V330&lt;&gt;Constants!$B$14,$V330,X330))</f>
        <v/>
      </c>
      <c r="AM330" s="90" t="str">
        <f aca="false">IF(ISBLANK($C330),"",IF($V330&lt;&gt;Constants!$B$14,$V330,N330))</f>
        <v/>
      </c>
      <c r="AN330" s="91" t="str">
        <f aca="false">IF(ISBLANK(C330),"",IF(V330&lt;&gt;Constants!$B$14, V330, IF(W330=Constants!$B$7,Z330,IF(W330=Constants!$B$8,AB330,""))))</f>
        <v/>
      </c>
      <c r="AO330" s="92" t="str">
        <f aca="false">IF(ISBLANK(C330),"",W330)</f>
        <v/>
      </c>
      <c r="AP330" s="92" t="str">
        <f aca="false">IF(ISBLANK(C330),"",AJ330)</f>
        <v/>
      </c>
      <c r="AQ330" s="92" t="str">
        <f aca="false">IF(ISBLANK(C330),"",AI330)</f>
        <v/>
      </c>
      <c r="AR330" s="93" t="str">
        <f aca="false">IF(ISBLANK(C330),
  "",
IF(AQ330=Constants!$B$11,COUNTA($C$8:$C$507)+2,IF(AQ330=Constants!$B$12,COUNTA($C$8:$C$507)+1,IF(AQ330=Constants!$B$13,COUNTA($C$8:$C$507),AQ330))))</f>
        <v/>
      </c>
      <c r="AS330" s="3"/>
      <c r="AT330" s="94" t="n">
        <f aca="false">IF(OR(ISNUMBER(AQ330),AQ330="DQ",AQ330="P",AQ330="NS"),
    1,
    0
)</f>
        <v>0</v>
      </c>
      <c r="AU330" s="94" t="n">
        <v>323</v>
      </c>
      <c r="AV330" s="94" t="str">
        <f aca="false">IF(ISBLANK($C330),
    "",
   IF(ISNUMBER(AR330),AR330+ROW($B330)/1000,"")
)</f>
        <v/>
      </c>
      <c r="AW330" s="94" t="str">
        <f aca="false">IF(ISNUMBER(AV330), RANK(AV330,AV$8:AV$507,1), "")</f>
        <v/>
      </c>
      <c r="AX330" s="94" t="str">
        <f aca="false">IF(ISBLANK($C330),
    "",
    $B330
)</f>
        <v/>
      </c>
      <c r="AY330" s="94" t="str">
        <f aca="false">IF(ISBLANK($C330),
    "",
    $C330
)</f>
        <v/>
      </c>
      <c r="AZ330" s="94" t="str">
        <f aca="false">IF(ISBLANK($C330),
    "",
    $D330
)</f>
        <v/>
      </c>
      <c r="BA330" s="94" t="str">
        <f aca="false">AO330</f>
        <v/>
      </c>
      <c r="BB330" s="95" t="str">
        <f aca="false">AN330</f>
        <v/>
      </c>
      <c r="BC330" s="94" t="str">
        <f aca="false">IF(ISBLANK($C330),
    "",
    AQ330
)</f>
        <v/>
      </c>
      <c r="BD330" s="96" t="str">
        <f aca="false">IF(AU330&gt;AT$7,
    "",
    VLOOKUP(AU330,AW$8:BC$507,7,FALSE())
)</f>
        <v/>
      </c>
      <c r="BE330" s="97" t="str">
        <f aca="false">IF(AU330&gt;AT$7,
    "",
    VLOOKUP(AU330,AW$8:BC$507,2,FALSE())
)</f>
        <v/>
      </c>
      <c r="BF330" s="97" t="str">
        <f aca="false">IF(AU330&gt;AT$7,
    "",
    VLOOKUP(AU330,AW$8:BC$507,3,FALSE())
)</f>
        <v/>
      </c>
      <c r="BG330" s="97" t="str">
        <f aca="false">IF(AU330&gt;AT$7,
    "",
    VLOOKUP(AU330,AW$8:BC$507,4,FALSE())
)</f>
        <v/>
      </c>
      <c r="BH330" s="97" t="str">
        <f aca="false">IF(AU330&gt;AT$7,
    "",
    VLOOKUP(AU330,AW$8:BC$507,5,FALSE())
)</f>
        <v/>
      </c>
      <c r="BI330" s="98" t="str">
        <f aca="false">IF(AU330&gt;AT$7,
    "",
    VLOOKUP(AU330,AW$8:BC$507,6,FALSE())
)</f>
        <v/>
      </c>
      <c r="BJ330" s="46"/>
    </row>
    <row r="331" customFormat="false" ht="15.75" hidden="false" customHeight="false" outlineLevel="0" collapsed="false">
      <c r="A331" s="3"/>
      <c r="B331" s="105"/>
      <c r="C331" s="106"/>
      <c r="D331" s="99"/>
      <c r="E331" s="110"/>
      <c r="F331" s="107"/>
      <c r="G331" s="110"/>
      <c r="H331" s="103"/>
      <c r="I331" s="102"/>
      <c r="J331" s="103"/>
      <c r="K331" s="103"/>
      <c r="L331" s="85"/>
      <c r="M331" s="85" t="str">
        <f aca="false">IF(ISBLANK($C331),"",IF(ISBLANK(E331),0,E331))</f>
        <v/>
      </c>
      <c r="N331" s="85" t="str">
        <f aca="false">IF(ISBLANK($C331),"",IF(ISBLANK(F331),0,F331))</f>
        <v/>
      </c>
      <c r="O331" s="86" t="e">
        <f aca="false">IF(AND(NOT(ISBLANK($C331)),NOT($T331),COUNTA($E331:$K331)&gt;0),ISBLANK($F331),FALSE())</f>
        <v>#VALUE!</v>
      </c>
      <c r="P331" s="85" t="str">
        <f aca="false">IF(ISBLANK($C331),"",IF(G331=Constants!$B$9, TRUE(), IF(G331=Constants!$B$10, FALSE(), TRUE())))</f>
        <v/>
      </c>
      <c r="Q331" s="85" t="str">
        <f aca="false">IF(ISBLANK($C331),"",IF(H331=Constants!$B$9, TRUE(), IF(H331=Constants!$B$10, FALSE(), TRUE())))</f>
        <v/>
      </c>
      <c r="R331" s="85" t="str">
        <f aca="false">IF(ISBLANK($C331),"",IF(ISBLANK(I331),Constants!$B$3,I331))</f>
        <v/>
      </c>
      <c r="S331" s="85" t="str">
        <f aca="false">IF(ISBLANK($C331),"",IF(ISBLANK(J331),0,MIN(J331,Constants!$B$6)))</f>
        <v/>
      </c>
      <c r="T331" s="85" t="str">
        <f aca="false">IF(ISBLANK($C331),"",IF(K331=Constants!$B$9, TRUE(), IF(K331=Constants!$B$10, FALSE(),  FALSE())))</f>
        <v/>
      </c>
      <c r="U331" s="85" t="str">
        <f aca="false">IF(ISBLANK($C331),"",AND(R331=Constants!$B$4, S331&lt;Constants!$B$6))</f>
        <v/>
      </c>
      <c r="V331" s="85" t="str">
        <f aca="false">IF(ISBLANK(C331), "", IF(T331, Constants!$B$11, IF(COUNTA(E331:K331)=0, Constants!$B$12, IF(NOT(AND(P331,S331&lt;&gt;0)), Constants!$B$13, IF(O331, Constants!$B$15, Constants!$B$14)))))</f>
        <v/>
      </c>
      <c r="W331" s="85" t="str">
        <f aca="false">IF(OR(ISBLANK($C331), SUMPRODUCT(--(P331:T331&lt;&gt;""))=0), "", IF(V331&lt;&gt;Constants!$B$14, V331, IF(AND(NOT(ISBLANK(J331)),P331,Q331,R331&lt;&gt;Constants!$B$2), Constants!$B$7, IF(AND(P331,OR(NOT(Q331),R331=Constants!$B$2)), Constants!$B$8, "Error"))))</f>
        <v/>
      </c>
      <c r="X331" s="87" t="str">
        <f aca="false">IF(OR(W331=Constants!$B$7,W331=Constants!$B$8), MAX(0, MIN(Constants!$B$6, S331))+IF(AND(R331=Constants!$B$4, NOT(U331)), Constants!$B$5, 0), "")</f>
        <v/>
      </c>
      <c r="Y331" s="85" t="str">
        <f aca="false">IF(ISBLANK($C331),"",IF(AND(ISNUMBER(X331),N331&gt;0),X331/N331, "") )</f>
        <v/>
      </c>
      <c r="Z331" s="85" t="str">
        <f aca="false">IF(AND(NOT(ISBLANK($C331)), W331=Constants!$B$7), Y331, "")</f>
        <v/>
      </c>
      <c r="AA331" s="85" t="str">
        <f aca="false">IF(ISNUMBER(Z331), RANK(Z331,Z$8:Z$507), "")</f>
        <v/>
      </c>
      <c r="AB331" s="85" t="str">
        <f aca="false">IF(AND(NOT(ISBLANK($C331)), W331=Constants!$B$8), Y331, "")</f>
        <v/>
      </c>
      <c r="AC331" s="85" t="str">
        <f aca="false">IF(ISNUMBER(AB331), RANK(AB331,AB$8:AB$507), "")</f>
        <v/>
      </c>
      <c r="AD331" s="85" t="str">
        <f aca="false">IF(ISBLANK($C331),"",IF(V331&lt;&gt;Constants!$B$14, V331, IF(W331=Constants!$B$7, AA331, IF(W331=Constants!$B$8, COUNT($AA$8:$AA$507) + AC331, ""))))</f>
        <v/>
      </c>
      <c r="AE331" s="85" t="str">
        <f aca="false">N331</f>
        <v/>
      </c>
      <c r="AF331" s="85" t="str">
        <f aca="false">IF(ISNUMBER(AE331), RANK(AE331,AE$8:AE$507,1), "")</f>
        <v/>
      </c>
      <c r="AG331" s="88" t="str">
        <f aca="false">IF(ISBLANK(C331), "", ABS(M331-S331))</f>
        <v/>
      </c>
      <c r="AH331" s="85" t="str">
        <f aca="false">IF(ISNUMBER(AG331), RANK(AG331,AG$8:AG$507,1), "")</f>
        <v/>
      </c>
      <c r="AI331" s="85" t="str">
        <f aca="false">IF(ISBLANK(C331),"",IF(V331&lt;&gt;Constants!$B$14, V331, RANK(AD331, AD$8:AD$507, 1)+ SUMPRODUCT(--(AD$8:AD$507=AD331),--(AF331&gt;AF$8:AF$507)) + SUMPRODUCT(--(AD$8:AD$507=AD331),--(AF331=AF$8:AF$507),--(AH331&gt;AH$8:AH$507))))</f>
        <v/>
      </c>
      <c r="AJ331" s="85" t="str">
        <f aca="false">IF(ISBLANK(C331),"",IF(V331&lt;&gt;Constants!$B$14, V331, AD331-AI331))</f>
        <v/>
      </c>
      <c r="AK331" s="89"/>
      <c r="AL331" s="90" t="str">
        <f aca="false">IF(ISBLANK($C331),"",IF($V331&lt;&gt;Constants!$B$14,$V331,X331))</f>
        <v/>
      </c>
      <c r="AM331" s="90" t="str">
        <f aca="false">IF(ISBLANK($C331),"",IF($V331&lt;&gt;Constants!$B$14,$V331,N331))</f>
        <v/>
      </c>
      <c r="AN331" s="91" t="str">
        <f aca="false">IF(ISBLANK(C331),"",IF(V331&lt;&gt;Constants!$B$14, V331, IF(W331=Constants!$B$7,Z331,IF(W331=Constants!$B$8,AB331,""))))</f>
        <v/>
      </c>
      <c r="AO331" s="92" t="str">
        <f aca="false">IF(ISBLANK(C331),"",W331)</f>
        <v/>
      </c>
      <c r="AP331" s="92" t="str">
        <f aca="false">IF(ISBLANK(C331),"",AJ331)</f>
        <v/>
      </c>
      <c r="AQ331" s="92" t="str">
        <f aca="false">IF(ISBLANK(C331),"",AI331)</f>
        <v/>
      </c>
      <c r="AR331" s="93" t="str">
        <f aca="false">IF(ISBLANK(C331),
  "",
IF(AQ331=Constants!$B$11,COUNTA($C$8:$C$507)+2,IF(AQ331=Constants!$B$12,COUNTA($C$8:$C$507)+1,IF(AQ331=Constants!$B$13,COUNTA($C$8:$C$507),AQ331))))</f>
        <v/>
      </c>
      <c r="AS331" s="3"/>
      <c r="AT331" s="94" t="n">
        <f aca="false">IF(OR(ISNUMBER(AQ331),AQ331="DQ",AQ331="P",AQ331="NS"),
    1,
    0
)</f>
        <v>0</v>
      </c>
      <c r="AU331" s="94" t="n">
        <v>324</v>
      </c>
      <c r="AV331" s="94" t="str">
        <f aca="false">IF(ISBLANK($C331),
    "",
   IF(ISNUMBER(AR331),AR331+ROW($B331)/1000,"")
)</f>
        <v/>
      </c>
      <c r="AW331" s="94" t="str">
        <f aca="false">IF(ISNUMBER(AV331), RANK(AV331,AV$8:AV$507,1), "")</f>
        <v/>
      </c>
      <c r="AX331" s="94" t="str">
        <f aca="false">IF(ISBLANK($C331),
    "",
    $B331
)</f>
        <v/>
      </c>
      <c r="AY331" s="94" t="str">
        <f aca="false">IF(ISBLANK($C331),
    "",
    $C331
)</f>
        <v/>
      </c>
      <c r="AZ331" s="94" t="str">
        <f aca="false">IF(ISBLANK($C331),
    "",
    $D331
)</f>
        <v/>
      </c>
      <c r="BA331" s="94" t="str">
        <f aca="false">AO331</f>
        <v/>
      </c>
      <c r="BB331" s="95" t="str">
        <f aca="false">AN331</f>
        <v/>
      </c>
      <c r="BC331" s="94" t="str">
        <f aca="false">IF(ISBLANK($C331),
    "",
    AQ331
)</f>
        <v/>
      </c>
      <c r="BD331" s="96" t="str">
        <f aca="false">IF(AU331&gt;AT$7,
    "",
    VLOOKUP(AU331,AW$8:BC$507,7,FALSE())
)</f>
        <v/>
      </c>
      <c r="BE331" s="97" t="str">
        <f aca="false">IF(AU331&gt;AT$7,
    "",
    VLOOKUP(AU331,AW$8:BC$507,2,FALSE())
)</f>
        <v/>
      </c>
      <c r="BF331" s="97" t="str">
        <f aca="false">IF(AU331&gt;AT$7,
    "",
    VLOOKUP(AU331,AW$8:BC$507,3,FALSE())
)</f>
        <v/>
      </c>
      <c r="BG331" s="97" t="str">
        <f aca="false">IF(AU331&gt;AT$7,
    "",
    VLOOKUP(AU331,AW$8:BC$507,4,FALSE())
)</f>
        <v/>
      </c>
      <c r="BH331" s="97" t="str">
        <f aca="false">IF(AU331&gt;AT$7,
    "",
    VLOOKUP(AU331,AW$8:BC$507,5,FALSE())
)</f>
        <v/>
      </c>
      <c r="BI331" s="98" t="str">
        <f aca="false">IF(AU331&gt;AT$7,
    "",
    VLOOKUP(AU331,AW$8:BC$507,6,FALSE())
)</f>
        <v/>
      </c>
      <c r="BJ331" s="46"/>
    </row>
    <row r="332" customFormat="false" ht="15.75" hidden="false" customHeight="false" outlineLevel="0" collapsed="false">
      <c r="A332" s="3"/>
      <c r="B332" s="108"/>
      <c r="C332" s="70"/>
      <c r="D332" s="49"/>
      <c r="E332" s="109"/>
      <c r="F332" s="72"/>
      <c r="G332" s="109"/>
      <c r="H332" s="74"/>
      <c r="I332" s="104"/>
      <c r="J332" s="74"/>
      <c r="K332" s="74"/>
      <c r="L332" s="55"/>
      <c r="M332" s="55" t="str">
        <f aca="false">IF(ISBLANK($C332),"",IF(ISBLANK(E332),0,E332))</f>
        <v/>
      </c>
      <c r="N332" s="55" t="str">
        <f aca="false">IF(ISBLANK($C332),"",IF(ISBLANK(F332),0,F332))</f>
        <v/>
      </c>
      <c r="O332" s="55" t="e">
        <f aca="false">IF(AND(NOT(ISBLANK($C332)),NOT($T332),COUNTA($E332:$K332)&gt;0),ISBLANK($F332),FALSE())</f>
        <v>#VALUE!</v>
      </c>
      <c r="P332" s="55" t="str">
        <f aca="false">IF(ISBLANK($C332),"",IF(G332=Constants!$B$9, TRUE(), IF(G332=Constants!$B$10, FALSE(), TRUE())))</f>
        <v/>
      </c>
      <c r="Q332" s="55" t="str">
        <f aca="false">IF(ISBLANK($C332),"",IF(H332=Constants!$B$9, TRUE(), IF(H332=Constants!$B$10, FALSE(), TRUE())))</f>
        <v/>
      </c>
      <c r="R332" s="55" t="str">
        <f aca="false">IF(ISBLANK($C332),"",IF(ISBLANK(I332),Constants!$B$3,I332))</f>
        <v/>
      </c>
      <c r="S332" s="55" t="str">
        <f aca="false">IF(ISBLANK($C332),"",IF(ISBLANK(J332),0,MIN(J332,Constants!$B$6)))</f>
        <v/>
      </c>
      <c r="T332" s="55" t="str">
        <f aca="false">IF(ISBLANK($C332),"",IF(K332=Constants!$B$9, TRUE(), IF(K332=Constants!$B$10, FALSE(),  FALSE())))</f>
        <v/>
      </c>
      <c r="U332" s="55" t="str">
        <f aca="false">IF(ISBLANK($C332),"",AND(R332=Constants!$B$4, S332&lt;Constants!$B$6))</f>
        <v/>
      </c>
      <c r="V332" s="55" t="str">
        <f aca="false">IF(ISBLANK(C332), "", IF(T332, Constants!$B$11, IF(COUNTA(E332:K332)=0, Constants!$B$12, IF(NOT(AND(P332,S332&lt;&gt;0)), Constants!$B$13, IF(O332, Constants!$B$15, Constants!$B$14)))))</f>
        <v/>
      </c>
      <c r="W332" s="55" t="str">
        <f aca="false">IF(OR(ISBLANK($C332), SUMPRODUCT(--(P332:T332&lt;&gt;""))=0), "", IF(V332&lt;&gt;Constants!$B$14, V332, IF(AND(NOT(ISBLANK(J332)),P332,Q332,R332&lt;&gt;Constants!$B$2), Constants!$B$7, IF(AND(P332,OR(NOT(Q332),R332=Constants!$B$2)), Constants!$B$8, "Error"))))</f>
        <v/>
      </c>
      <c r="X332" s="56" t="str">
        <f aca="false">IF(OR(W332=Constants!$B$7,W332=Constants!$B$8), MAX(0, MIN(Constants!$B$6, S332))+IF(AND(R332=Constants!$B$4, NOT(U332)), Constants!$B$5, 0), "")</f>
        <v/>
      </c>
      <c r="Y332" s="55" t="str">
        <f aca="false">IF(ISBLANK($C332),"",IF(AND(ISNUMBER(X332),N332&gt;0),X332/N332, "") )</f>
        <v/>
      </c>
      <c r="Z332" s="55" t="str">
        <f aca="false">IF(AND(NOT(ISBLANK($C332)), W332=Constants!$B$7), Y332, "")</f>
        <v/>
      </c>
      <c r="AA332" s="55" t="str">
        <f aca="false">IF(ISNUMBER(Z332), RANK(Z332,Z$8:Z$507), "")</f>
        <v/>
      </c>
      <c r="AB332" s="55" t="str">
        <f aca="false">IF(AND(NOT(ISBLANK($C332)), W332=Constants!$B$8), Y332, "")</f>
        <v/>
      </c>
      <c r="AC332" s="55" t="str">
        <f aca="false">IF(ISNUMBER(AB332), RANK(AB332,AB$8:AB$507), "")</f>
        <v/>
      </c>
      <c r="AD332" s="55" t="str">
        <f aca="false">IF(ISBLANK($C332),"",IF(V332&lt;&gt;Constants!$B$14, V332, IF(W332=Constants!$B$7, AA332, IF(W332=Constants!$B$8, COUNT($AA$8:$AA$507) + AC332, ""))))</f>
        <v/>
      </c>
      <c r="AE332" s="55" t="str">
        <f aca="false">N332</f>
        <v/>
      </c>
      <c r="AF332" s="55" t="str">
        <f aca="false">IF(ISNUMBER(AE332), RANK(AE332,AE$8:AE$507,1), "")</f>
        <v/>
      </c>
      <c r="AG332" s="57" t="str">
        <f aca="false">IF(ISBLANK(C332), "", ABS(M332-S332))</f>
        <v/>
      </c>
      <c r="AH332" s="55" t="str">
        <f aca="false">IF(ISNUMBER(AG332), RANK(AG332,AG$8:AG$507,1), "")</f>
        <v/>
      </c>
      <c r="AI332" s="55" t="str">
        <f aca="false">IF(ISBLANK(C332),"",IF(V332&lt;&gt;Constants!$B$14, V332, RANK(AD332, AD$8:AD$507, 1)+ SUMPRODUCT(--(AD$8:AD$507=AD332),--(AF332&gt;AF$8:AF$507)) + SUMPRODUCT(--(AD$8:AD$507=AD332),--(AF332=AF$8:AF$507),--(AH332&gt;AH$8:AH$507))))</f>
        <v/>
      </c>
      <c r="AJ332" s="55" t="str">
        <f aca="false">IF(ISBLANK(C332),"",IF(V332&lt;&gt;Constants!$B$14, V332, AD332-AI332))</f>
        <v/>
      </c>
      <c r="AK332" s="59"/>
      <c r="AL332" s="60" t="str">
        <f aca="false">IF(ISBLANK($C332),"",IF($V332&lt;&gt;Constants!$B$14,$V332,X332))</f>
        <v/>
      </c>
      <c r="AM332" s="60" t="str">
        <f aca="false">IF(ISBLANK($C332),"",IF($V332&lt;&gt;Constants!$B$14,$V332,N332))</f>
        <v/>
      </c>
      <c r="AN332" s="62" t="str">
        <f aca="false">IF(ISBLANK(C332),"",IF(V332&lt;&gt;Constants!$B$14, V332, IF(W332=Constants!$B$7,Z332,IF(W332=Constants!$B$8,AB332,""))))</f>
        <v/>
      </c>
      <c r="AO332" s="63" t="str">
        <f aca="false">IF(ISBLANK(C332),"",W332)</f>
        <v/>
      </c>
      <c r="AP332" s="63" t="str">
        <f aca="false">IF(ISBLANK(C332),"",AJ332)</f>
        <v/>
      </c>
      <c r="AQ332" s="63" t="str">
        <f aca="false">IF(ISBLANK(C332),"",AI332)</f>
        <v/>
      </c>
      <c r="AR332" s="64" t="str">
        <f aca="false">IF(ISBLANK(C332),
  "",
IF(AQ332=Constants!$B$11,COUNTA($C$8:$C$507)+2,IF(AQ332=Constants!$B$12,COUNTA($C$8:$C$507)+1,IF(AQ332=Constants!$B$13,COUNTA($C$8:$C$507),AQ332))))</f>
        <v/>
      </c>
      <c r="AS332" s="3"/>
      <c r="AT332" s="65" t="n">
        <f aca="false">IF(OR(ISNUMBER(AQ332),AQ332="DQ",AQ332="P",AQ332="NS"),
    1,
    0
)</f>
        <v>0</v>
      </c>
      <c r="AU332" s="65" t="n">
        <v>325</v>
      </c>
      <c r="AV332" s="65" t="str">
        <f aca="false">IF(ISBLANK($C332),
    "",
   IF(ISNUMBER(AR332),AR332+ROW($B332)/1000,"")
)</f>
        <v/>
      </c>
      <c r="AW332" s="65" t="str">
        <f aca="false">IF(ISNUMBER(AV332), RANK(AV332,AV$8:AV$507,1), "")</f>
        <v/>
      </c>
      <c r="AX332" s="65" t="str">
        <f aca="false">IF(ISBLANK($C332),
    "",
    $B332
)</f>
        <v/>
      </c>
      <c r="AY332" s="65" t="str">
        <f aca="false">IF(ISBLANK($C332),
    "",
    $C332
)</f>
        <v/>
      </c>
      <c r="AZ332" s="65" t="str">
        <f aca="false">IF(ISBLANK($C332),
    "",
    $D332
)</f>
        <v/>
      </c>
      <c r="BA332" s="65" t="str">
        <f aca="false">AO332</f>
        <v/>
      </c>
      <c r="BB332" s="66" t="str">
        <f aca="false">AN332</f>
        <v/>
      </c>
      <c r="BC332" s="65" t="str">
        <f aca="false">IF(ISBLANK($C332),
    "",
    AQ332
)</f>
        <v/>
      </c>
      <c r="BD332" s="67" t="str">
        <f aca="false">IF(AU332&gt;AT$7,
    "",
    VLOOKUP(AU332,AW$8:BC$507,7,FALSE())
)</f>
        <v/>
      </c>
      <c r="BE332" s="68" t="str">
        <f aca="false">IF(AU332&gt;AT$7,
    "",
    VLOOKUP(AU332,AW$8:BC$507,2,FALSE())
)</f>
        <v/>
      </c>
      <c r="BF332" s="68" t="str">
        <f aca="false">IF(AU332&gt;AT$7,
    "",
    VLOOKUP(AU332,AW$8:BC$507,3,FALSE())
)</f>
        <v/>
      </c>
      <c r="BG332" s="68" t="str">
        <f aca="false">IF(AU332&gt;AT$7,
    "",
    VLOOKUP(AU332,AW$8:BC$507,4,FALSE())
)</f>
        <v/>
      </c>
      <c r="BH332" s="68" t="str">
        <f aca="false">IF(AU332&gt;AT$7,
    "",
    VLOOKUP(AU332,AW$8:BC$507,5,FALSE())
)</f>
        <v/>
      </c>
      <c r="BI332" s="69" t="str">
        <f aca="false">IF(AU332&gt;AT$7,
    "",
    VLOOKUP(AU332,AW$8:BC$507,6,FALSE())
)</f>
        <v/>
      </c>
      <c r="BJ332" s="46"/>
    </row>
    <row r="333" customFormat="false" ht="15.75" hidden="false" customHeight="false" outlineLevel="0" collapsed="false">
      <c r="A333" s="3"/>
      <c r="B333" s="108"/>
      <c r="C333" s="70"/>
      <c r="D333" s="49"/>
      <c r="E333" s="109"/>
      <c r="F333" s="72"/>
      <c r="G333" s="109"/>
      <c r="H333" s="74"/>
      <c r="I333" s="104"/>
      <c r="J333" s="74"/>
      <c r="K333" s="74"/>
      <c r="L333" s="55"/>
      <c r="M333" s="55" t="str">
        <f aca="false">IF(ISBLANK($C333),"",IF(ISBLANK(E333),0,E333))</f>
        <v/>
      </c>
      <c r="N333" s="55" t="str">
        <f aca="false">IF(ISBLANK($C333),"",IF(ISBLANK(F333),0,F333))</f>
        <v/>
      </c>
      <c r="O333" s="55" t="e">
        <f aca="false">IF(AND(NOT(ISBLANK($C333)),NOT($T333),COUNTA($E333:$K333)&gt;0),ISBLANK($F333),FALSE())</f>
        <v>#VALUE!</v>
      </c>
      <c r="P333" s="55" t="str">
        <f aca="false">IF(ISBLANK($C333),"",IF(G333=Constants!$B$9, TRUE(), IF(G333=Constants!$B$10, FALSE(), TRUE())))</f>
        <v/>
      </c>
      <c r="Q333" s="55" t="str">
        <f aca="false">IF(ISBLANK($C333),"",IF(H333=Constants!$B$9, TRUE(), IF(H333=Constants!$B$10, FALSE(), TRUE())))</f>
        <v/>
      </c>
      <c r="R333" s="55" t="str">
        <f aca="false">IF(ISBLANK($C333),"",IF(ISBLANK(I333),Constants!$B$3,I333))</f>
        <v/>
      </c>
      <c r="S333" s="55" t="str">
        <f aca="false">IF(ISBLANK($C333),"",IF(ISBLANK(J333),0,MIN(J333,Constants!$B$6)))</f>
        <v/>
      </c>
      <c r="T333" s="55" t="str">
        <f aca="false">IF(ISBLANK($C333),"",IF(K333=Constants!$B$9, TRUE(), IF(K333=Constants!$B$10, FALSE(),  FALSE())))</f>
        <v/>
      </c>
      <c r="U333" s="55" t="str">
        <f aca="false">IF(ISBLANK($C333),"",AND(R333=Constants!$B$4, S333&lt;Constants!$B$6))</f>
        <v/>
      </c>
      <c r="V333" s="55" t="str">
        <f aca="false">IF(ISBLANK(C333), "", IF(T333, Constants!$B$11, IF(COUNTA(E333:K333)=0, Constants!$B$12, IF(NOT(AND(P333,S333&lt;&gt;0)), Constants!$B$13, IF(O333, Constants!$B$15, Constants!$B$14)))))</f>
        <v/>
      </c>
      <c r="W333" s="55" t="str">
        <f aca="false">IF(OR(ISBLANK($C333), SUMPRODUCT(--(P333:T333&lt;&gt;""))=0), "", IF(V333&lt;&gt;Constants!$B$14, V333, IF(AND(NOT(ISBLANK(J333)),P333,Q333,R333&lt;&gt;Constants!$B$2), Constants!$B$7, IF(AND(P333,OR(NOT(Q333),R333=Constants!$B$2)), Constants!$B$8, "Error"))))</f>
        <v/>
      </c>
      <c r="X333" s="56" t="str">
        <f aca="false">IF(OR(W333=Constants!$B$7,W333=Constants!$B$8), MAX(0, MIN(Constants!$B$6, S333))+IF(AND(R333=Constants!$B$4, NOT(U333)), Constants!$B$5, 0), "")</f>
        <v/>
      </c>
      <c r="Y333" s="55" t="str">
        <f aca="false">IF(ISBLANK($C333),"",IF(AND(ISNUMBER(X333),N333&gt;0),X333/N333, "") )</f>
        <v/>
      </c>
      <c r="Z333" s="55" t="str">
        <f aca="false">IF(AND(NOT(ISBLANK($C333)), W333=Constants!$B$7), Y333, "")</f>
        <v/>
      </c>
      <c r="AA333" s="55" t="str">
        <f aca="false">IF(ISNUMBER(Z333), RANK(Z333,Z$8:Z$507), "")</f>
        <v/>
      </c>
      <c r="AB333" s="55" t="str">
        <f aca="false">IF(AND(NOT(ISBLANK($C333)), W333=Constants!$B$8), Y333, "")</f>
        <v/>
      </c>
      <c r="AC333" s="55" t="str">
        <f aca="false">IF(ISNUMBER(AB333), RANK(AB333,AB$8:AB$507), "")</f>
        <v/>
      </c>
      <c r="AD333" s="55" t="str">
        <f aca="false">IF(ISBLANK($C333),"",IF(V333&lt;&gt;Constants!$B$14, V333, IF(W333=Constants!$B$7, AA333, IF(W333=Constants!$B$8, COUNT($AA$8:$AA$507) + AC333, ""))))</f>
        <v/>
      </c>
      <c r="AE333" s="55" t="str">
        <f aca="false">N333</f>
        <v/>
      </c>
      <c r="AF333" s="55" t="str">
        <f aca="false">IF(ISNUMBER(AE333), RANK(AE333,AE$8:AE$507,1), "")</f>
        <v/>
      </c>
      <c r="AG333" s="57" t="str">
        <f aca="false">IF(ISBLANK(C333), "", ABS(M333-S333))</f>
        <v/>
      </c>
      <c r="AH333" s="55" t="str">
        <f aca="false">IF(ISNUMBER(AG333), RANK(AG333,AG$8:AG$507,1), "")</f>
        <v/>
      </c>
      <c r="AI333" s="55" t="str">
        <f aca="false">IF(ISBLANK(C333),"",IF(V333&lt;&gt;Constants!$B$14, V333, RANK(AD333, AD$8:AD$507, 1)+ SUMPRODUCT(--(AD$8:AD$507=AD333),--(AF333&gt;AF$8:AF$507)) + SUMPRODUCT(--(AD$8:AD$507=AD333),--(AF333=AF$8:AF$507),--(AH333&gt;AH$8:AH$507))))</f>
        <v/>
      </c>
      <c r="AJ333" s="55" t="str">
        <f aca="false">IF(ISBLANK(C333),"",IF(V333&lt;&gt;Constants!$B$14, V333, AD333-AI333))</f>
        <v/>
      </c>
      <c r="AK333" s="59"/>
      <c r="AL333" s="60" t="str">
        <f aca="false">IF(ISBLANK($C333),"",IF($V333&lt;&gt;Constants!$B$14,$V333,X333))</f>
        <v/>
      </c>
      <c r="AM333" s="60" t="str">
        <f aca="false">IF(ISBLANK($C333),"",IF($V333&lt;&gt;Constants!$B$14,$V333,N333))</f>
        <v/>
      </c>
      <c r="AN333" s="62" t="str">
        <f aca="false">IF(ISBLANK(C333),"",IF(V333&lt;&gt;Constants!$B$14, V333, IF(W333=Constants!$B$7,Z333,IF(W333=Constants!$B$8,AB333,""))))</f>
        <v/>
      </c>
      <c r="AO333" s="63" t="str">
        <f aca="false">IF(ISBLANK(C333),"",W333)</f>
        <v/>
      </c>
      <c r="AP333" s="63" t="str">
        <f aca="false">IF(ISBLANK(C333),"",AJ333)</f>
        <v/>
      </c>
      <c r="AQ333" s="63" t="str">
        <f aca="false">IF(ISBLANK(C333),"",AI333)</f>
        <v/>
      </c>
      <c r="AR333" s="64" t="str">
        <f aca="false">IF(ISBLANK(C333),
  "",
IF(AQ333=Constants!$B$11,COUNTA($C$8:$C$507)+2,IF(AQ333=Constants!$B$12,COUNTA($C$8:$C$507)+1,IF(AQ333=Constants!$B$13,COUNTA($C$8:$C$507),AQ333))))</f>
        <v/>
      </c>
      <c r="AS333" s="3"/>
      <c r="AT333" s="65" t="n">
        <f aca="false">IF(OR(ISNUMBER(AQ333),AQ333="DQ",AQ333="P",AQ333="NS"),
    1,
    0
)</f>
        <v>0</v>
      </c>
      <c r="AU333" s="65" t="n">
        <v>326</v>
      </c>
      <c r="AV333" s="65" t="str">
        <f aca="false">IF(ISBLANK($C333),
    "",
   IF(ISNUMBER(AR333),AR333+ROW($B333)/1000,"")
)</f>
        <v/>
      </c>
      <c r="AW333" s="65" t="str">
        <f aca="false">IF(ISNUMBER(AV333), RANK(AV333,AV$8:AV$507,1), "")</f>
        <v/>
      </c>
      <c r="AX333" s="65" t="str">
        <f aca="false">IF(ISBLANK($C333),
    "",
    $B333
)</f>
        <v/>
      </c>
      <c r="AY333" s="65" t="str">
        <f aca="false">IF(ISBLANK($C333),
    "",
    $C333
)</f>
        <v/>
      </c>
      <c r="AZ333" s="65" t="str">
        <f aca="false">IF(ISBLANK($C333),
    "",
    $D333
)</f>
        <v/>
      </c>
      <c r="BA333" s="65" t="str">
        <f aca="false">AO333</f>
        <v/>
      </c>
      <c r="BB333" s="66" t="str">
        <f aca="false">AN333</f>
        <v/>
      </c>
      <c r="BC333" s="65" t="str">
        <f aca="false">IF(ISBLANK($C333),
    "",
    AQ333
)</f>
        <v/>
      </c>
      <c r="BD333" s="67" t="str">
        <f aca="false">IF(AU333&gt;AT$7,
    "",
    VLOOKUP(AU333,AW$8:BC$507,7,FALSE())
)</f>
        <v/>
      </c>
      <c r="BE333" s="68" t="str">
        <f aca="false">IF(AU333&gt;AT$7,
    "",
    VLOOKUP(AU333,AW$8:BC$507,2,FALSE())
)</f>
        <v/>
      </c>
      <c r="BF333" s="68" t="str">
        <f aca="false">IF(AU333&gt;AT$7,
    "",
    VLOOKUP(AU333,AW$8:BC$507,3,FALSE())
)</f>
        <v/>
      </c>
      <c r="BG333" s="68" t="str">
        <f aca="false">IF(AU333&gt;AT$7,
    "",
    VLOOKUP(AU333,AW$8:BC$507,4,FALSE())
)</f>
        <v/>
      </c>
      <c r="BH333" s="68" t="str">
        <f aca="false">IF(AU333&gt;AT$7,
    "",
    VLOOKUP(AU333,AW$8:BC$507,5,FALSE())
)</f>
        <v/>
      </c>
      <c r="BI333" s="69" t="str">
        <f aca="false">IF(AU333&gt;AT$7,
    "",
    VLOOKUP(AU333,AW$8:BC$507,6,FALSE())
)</f>
        <v/>
      </c>
      <c r="BJ333" s="46"/>
    </row>
    <row r="334" customFormat="false" ht="15.75" hidden="false" customHeight="false" outlineLevel="0" collapsed="false">
      <c r="A334" s="3"/>
      <c r="B334" s="108"/>
      <c r="C334" s="70"/>
      <c r="D334" s="49"/>
      <c r="E334" s="109"/>
      <c r="F334" s="72"/>
      <c r="G334" s="109"/>
      <c r="H334" s="74"/>
      <c r="I334" s="104"/>
      <c r="J334" s="74"/>
      <c r="K334" s="74"/>
      <c r="L334" s="55"/>
      <c r="M334" s="55" t="str">
        <f aca="false">IF(ISBLANK($C334),"",IF(ISBLANK(E334),0,E334))</f>
        <v/>
      </c>
      <c r="N334" s="55" t="str">
        <f aca="false">IF(ISBLANK($C334),"",IF(ISBLANK(F334),0,F334))</f>
        <v/>
      </c>
      <c r="O334" s="55" t="e">
        <f aca="false">IF(AND(NOT(ISBLANK($C334)),NOT($T334),COUNTA($E334:$K334)&gt;0),ISBLANK($F334),FALSE())</f>
        <v>#VALUE!</v>
      </c>
      <c r="P334" s="55" t="str">
        <f aca="false">IF(ISBLANK($C334),"",IF(G334=Constants!$B$9, TRUE(), IF(G334=Constants!$B$10, FALSE(), TRUE())))</f>
        <v/>
      </c>
      <c r="Q334" s="55" t="str">
        <f aca="false">IF(ISBLANK($C334),"",IF(H334=Constants!$B$9, TRUE(), IF(H334=Constants!$B$10, FALSE(), TRUE())))</f>
        <v/>
      </c>
      <c r="R334" s="55" t="str">
        <f aca="false">IF(ISBLANK($C334),"",IF(ISBLANK(I334),Constants!$B$3,I334))</f>
        <v/>
      </c>
      <c r="S334" s="55" t="str">
        <f aca="false">IF(ISBLANK($C334),"",IF(ISBLANK(J334),0,MIN(J334,Constants!$B$6)))</f>
        <v/>
      </c>
      <c r="T334" s="55" t="str">
        <f aca="false">IF(ISBLANK($C334),"",IF(K334=Constants!$B$9, TRUE(), IF(K334=Constants!$B$10, FALSE(),  FALSE())))</f>
        <v/>
      </c>
      <c r="U334" s="55" t="str">
        <f aca="false">IF(ISBLANK($C334),"",AND(R334=Constants!$B$4, S334&lt;Constants!$B$6))</f>
        <v/>
      </c>
      <c r="V334" s="55" t="str">
        <f aca="false">IF(ISBLANK(C334), "", IF(T334, Constants!$B$11, IF(COUNTA(E334:K334)=0, Constants!$B$12, IF(NOT(AND(P334,S334&lt;&gt;0)), Constants!$B$13, IF(O334, Constants!$B$15, Constants!$B$14)))))</f>
        <v/>
      </c>
      <c r="W334" s="55" t="str">
        <f aca="false">IF(OR(ISBLANK($C334), SUMPRODUCT(--(P334:T334&lt;&gt;""))=0), "", IF(V334&lt;&gt;Constants!$B$14, V334, IF(AND(NOT(ISBLANK(J334)),P334,Q334,R334&lt;&gt;Constants!$B$2), Constants!$B$7, IF(AND(P334,OR(NOT(Q334),R334=Constants!$B$2)), Constants!$B$8, "Error"))))</f>
        <v/>
      </c>
      <c r="X334" s="56" t="str">
        <f aca="false">IF(OR(W334=Constants!$B$7,W334=Constants!$B$8), MAX(0, MIN(Constants!$B$6, S334))+IF(AND(R334=Constants!$B$4, NOT(U334)), Constants!$B$5, 0), "")</f>
        <v/>
      </c>
      <c r="Y334" s="55" t="str">
        <f aca="false">IF(ISBLANK($C334),"",IF(AND(ISNUMBER(X334),N334&gt;0),X334/N334, "") )</f>
        <v/>
      </c>
      <c r="Z334" s="55" t="str">
        <f aca="false">IF(AND(NOT(ISBLANK($C334)), W334=Constants!$B$7), Y334, "")</f>
        <v/>
      </c>
      <c r="AA334" s="55" t="str">
        <f aca="false">IF(ISNUMBER(Z334), RANK(Z334,Z$8:Z$507), "")</f>
        <v/>
      </c>
      <c r="AB334" s="55" t="str">
        <f aca="false">IF(AND(NOT(ISBLANK($C334)), W334=Constants!$B$8), Y334, "")</f>
        <v/>
      </c>
      <c r="AC334" s="55" t="str">
        <f aca="false">IF(ISNUMBER(AB334), RANK(AB334,AB$8:AB$507), "")</f>
        <v/>
      </c>
      <c r="AD334" s="55" t="str">
        <f aca="false">IF(ISBLANK($C334),"",IF(V334&lt;&gt;Constants!$B$14, V334, IF(W334=Constants!$B$7, AA334, IF(W334=Constants!$B$8, COUNT($AA$8:$AA$507) + AC334, ""))))</f>
        <v/>
      </c>
      <c r="AE334" s="55" t="str">
        <f aca="false">N334</f>
        <v/>
      </c>
      <c r="AF334" s="55" t="str">
        <f aca="false">IF(ISNUMBER(AE334), RANK(AE334,AE$8:AE$507,1), "")</f>
        <v/>
      </c>
      <c r="AG334" s="57" t="str">
        <f aca="false">IF(ISBLANK(C334), "", ABS(M334-S334))</f>
        <v/>
      </c>
      <c r="AH334" s="55" t="str">
        <f aca="false">IF(ISNUMBER(AG334), RANK(AG334,AG$8:AG$507,1), "")</f>
        <v/>
      </c>
      <c r="AI334" s="55" t="str">
        <f aca="false">IF(ISBLANK(C334),"",IF(V334&lt;&gt;Constants!$B$14, V334, RANK(AD334, AD$8:AD$507, 1)+ SUMPRODUCT(--(AD$8:AD$507=AD334),--(AF334&gt;AF$8:AF$507)) + SUMPRODUCT(--(AD$8:AD$507=AD334),--(AF334=AF$8:AF$507),--(AH334&gt;AH$8:AH$507))))</f>
        <v/>
      </c>
      <c r="AJ334" s="55" t="str">
        <f aca="false">IF(ISBLANK(C334),"",IF(V334&lt;&gt;Constants!$B$14, V334, AD334-AI334))</f>
        <v/>
      </c>
      <c r="AK334" s="59"/>
      <c r="AL334" s="60" t="str">
        <f aca="false">IF(ISBLANK($C334),"",IF($V334&lt;&gt;Constants!$B$14,$V334,X334))</f>
        <v/>
      </c>
      <c r="AM334" s="60" t="str">
        <f aca="false">IF(ISBLANK($C334),"",IF($V334&lt;&gt;Constants!$B$14,$V334,N334))</f>
        <v/>
      </c>
      <c r="AN334" s="62" t="str">
        <f aca="false">IF(ISBLANK(C334),"",IF(V334&lt;&gt;Constants!$B$14, V334, IF(W334=Constants!$B$7,Z334,IF(W334=Constants!$B$8,AB334,""))))</f>
        <v/>
      </c>
      <c r="AO334" s="63" t="str">
        <f aca="false">IF(ISBLANK(C334),"",W334)</f>
        <v/>
      </c>
      <c r="AP334" s="63" t="str">
        <f aca="false">IF(ISBLANK(C334),"",AJ334)</f>
        <v/>
      </c>
      <c r="AQ334" s="63" t="str">
        <f aca="false">IF(ISBLANK(C334),"",AI334)</f>
        <v/>
      </c>
      <c r="AR334" s="64" t="str">
        <f aca="false">IF(ISBLANK(C334),
  "",
IF(AQ334=Constants!$B$11,COUNTA($C$8:$C$507)+2,IF(AQ334=Constants!$B$12,COUNTA($C$8:$C$507)+1,IF(AQ334=Constants!$B$13,COUNTA($C$8:$C$507),AQ334))))</f>
        <v/>
      </c>
      <c r="AS334" s="3"/>
      <c r="AT334" s="65" t="n">
        <f aca="false">IF(OR(ISNUMBER(AQ334),AQ334="DQ",AQ334="P",AQ334="NS"),
    1,
    0
)</f>
        <v>0</v>
      </c>
      <c r="AU334" s="65" t="n">
        <v>327</v>
      </c>
      <c r="AV334" s="65" t="str">
        <f aca="false">IF(ISBLANK($C334),
    "",
   IF(ISNUMBER(AR334),AR334+ROW($B334)/1000,"")
)</f>
        <v/>
      </c>
      <c r="AW334" s="65" t="str">
        <f aca="false">IF(ISNUMBER(AV334), RANK(AV334,AV$8:AV$507,1), "")</f>
        <v/>
      </c>
      <c r="AX334" s="65" t="str">
        <f aca="false">IF(ISBLANK($C334),
    "",
    $B334
)</f>
        <v/>
      </c>
      <c r="AY334" s="65" t="str">
        <f aca="false">IF(ISBLANK($C334),
    "",
    $C334
)</f>
        <v/>
      </c>
      <c r="AZ334" s="65" t="str">
        <f aca="false">IF(ISBLANK($C334),
    "",
    $D334
)</f>
        <v/>
      </c>
      <c r="BA334" s="65" t="str">
        <f aca="false">AO334</f>
        <v/>
      </c>
      <c r="BB334" s="66" t="str">
        <f aca="false">AN334</f>
        <v/>
      </c>
      <c r="BC334" s="65" t="str">
        <f aca="false">IF(ISBLANK($C334),
    "",
    AQ334
)</f>
        <v/>
      </c>
      <c r="BD334" s="67" t="str">
        <f aca="false">IF(AU334&gt;AT$7,
    "",
    VLOOKUP(AU334,AW$8:BC$507,7,FALSE())
)</f>
        <v/>
      </c>
      <c r="BE334" s="68" t="str">
        <f aca="false">IF(AU334&gt;AT$7,
    "",
    VLOOKUP(AU334,AW$8:BC$507,2,FALSE())
)</f>
        <v/>
      </c>
      <c r="BF334" s="68" t="str">
        <f aca="false">IF(AU334&gt;AT$7,
    "",
    VLOOKUP(AU334,AW$8:BC$507,3,FALSE())
)</f>
        <v/>
      </c>
      <c r="BG334" s="68" t="str">
        <f aca="false">IF(AU334&gt;AT$7,
    "",
    VLOOKUP(AU334,AW$8:BC$507,4,FALSE())
)</f>
        <v/>
      </c>
      <c r="BH334" s="68" t="str">
        <f aca="false">IF(AU334&gt;AT$7,
    "",
    VLOOKUP(AU334,AW$8:BC$507,5,FALSE())
)</f>
        <v/>
      </c>
      <c r="BI334" s="69" t="str">
        <f aca="false">IF(AU334&gt;AT$7,
    "",
    VLOOKUP(AU334,AW$8:BC$507,6,FALSE())
)</f>
        <v/>
      </c>
      <c r="BJ334" s="46"/>
    </row>
    <row r="335" customFormat="false" ht="15.75" hidden="false" customHeight="false" outlineLevel="0" collapsed="false">
      <c r="A335" s="3"/>
      <c r="B335" s="105"/>
      <c r="C335" s="106"/>
      <c r="D335" s="99"/>
      <c r="E335" s="110"/>
      <c r="F335" s="107"/>
      <c r="G335" s="110"/>
      <c r="H335" s="103"/>
      <c r="I335" s="102"/>
      <c r="J335" s="103"/>
      <c r="K335" s="103"/>
      <c r="L335" s="85"/>
      <c r="M335" s="85" t="str">
        <f aca="false">IF(ISBLANK($C335),"",IF(ISBLANK(E335),0,E335))</f>
        <v/>
      </c>
      <c r="N335" s="85" t="str">
        <f aca="false">IF(ISBLANK($C335),"",IF(ISBLANK(F335),0,F335))</f>
        <v/>
      </c>
      <c r="O335" s="86" t="e">
        <f aca="false">IF(AND(NOT(ISBLANK($C335)),NOT($T335),COUNTA($E335:$K335)&gt;0),ISBLANK($F335),FALSE())</f>
        <v>#VALUE!</v>
      </c>
      <c r="P335" s="85" t="str">
        <f aca="false">IF(ISBLANK($C335),"",IF(G335=Constants!$B$9, TRUE(), IF(G335=Constants!$B$10, FALSE(), TRUE())))</f>
        <v/>
      </c>
      <c r="Q335" s="85" t="str">
        <f aca="false">IF(ISBLANK($C335),"",IF(H335=Constants!$B$9, TRUE(), IF(H335=Constants!$B$10, FALSE(), TRUE())))</f>
        <v/>
      </c>
      <c r="R335" s="85" t="str">
        <f aca="false">IF(ISBLANK($C335),"",IF(ISBLANK(I335),Constants!$B$3,I335))</f>
        <v/>
      </c>
      <c r="S335" s="85" t="str">
        <f aca="false">IF(ISBLANK($C335),"",IF(ISBLANK(J335),0,MIN(J335,Constants!$B$6)))</f>
        <v/>
      </c>
      <c r="T335" s="85" t="str">
        <f aca="false">IF(ISBLANK($C335),"",IF(K335=Constants!$B$9, TRUE(), IF(K335=Constants!$B$10, FALSE(),  FALSE())))</f>
        <v/>
      </c>
      <c r="U335" s="85" t="str">
        <f aca="false">IF(ISBLANK($C335),"",AND(R335=Constants!$B$4, S335&lt;Constants!$B$6))</f>
        <v/>
      </c>
      <c r="V335" s="85" t="str">
        <f aca="false">IF(ISBLANK(C335), "", IF(T335, Constants!$B$11, IF(COUNTA(E335:K335)=0, Constants!$B$12, IF(NOT(AND(P335,S335&lt;&gt;0)), Constants!$B$13, IF(O335, Constants!$B$15, Constants!$B$14)))))</f>
        <v/>
      </c>
      <c r="W335" s="85" t="str">
        <f aca="false">IF(OR(ISBLANK($C335), SUMPRODUCT(--(P335:T335&lt;&gt;""))=0), "", IF(V335&lt;&gt;Constants!$B$14, V335, IF(AND(NOT(ISBLANK(J335)),P335,Q335,R335&lt;&gt;Constants!$B$2), Constants!$B$7, IF(AND(P335,OR(NOT(Q335),R335=Constants!$B$2)), Constants!$B$8, "Error"))))</f>
        <v/>
      </c>
      <c r="X335" s="87" t="str">
        <f aca="false">IF(OR(W335=Constants!$B$7,W335=Constants!$B$8), MAX(0, MIN(Constants!$B$6, S335))+IF(AND(R335=Constants!$B$4, NOT(U335)), Constants!$B$5, 0), "")</f>
        <v/>
      </c>
      <c r="Y335" s="85" t="str">
        <f aca="false">IF(ISBLANK($C335),"",IF(AND(ISNUMBER(X335),N335&gt;0),X335/N335, "") )</f>
        <v/>
      </c>
      <c r="Z335" s="85" t="str">
        <f aca="false">IF(AND(NOT(ISBLANK($C335)), W335=Constants!$B$7), Y335, "")</f>
        <v/>
      </c>
      <c r="AA335" s="85" t="str">
        <f aca="false">IF(ISNUMBER(Z335), RANK(Z335,Z$8:Z$507), "")</f>
        <v/>
      </c>
      <c r="AB335" s="85" t="str">
        <f aca="false">IF(AND(NOT(ISBLANK($C335)), W335=Constants!$B$8), Y335, "")</f>
        <v/>
      </c>
      <c r="AC335" s="85" t="str">
        <f aca="false">IF(ISNUMBER(AB335), RANK(AB335,AB$8:AB$507), "")</f>
        <v/>
      </c>
      <c r="AD335" s="85" t="str">
        <f aca="false">IF(ISBLANK($C335),"",IF(V335&lt;&gt;Constants!$B$14, V335, IF(W335=Constants!$B$7, AA335, IF(W335=Constants!$B$8, COUNT($AA$8:$AA$507) + AC335, ""))))</f>
        <v/>
      </c>
      <c r="AE335" s="85" t="str">
        <f aca="false">N335</f>
        <v/>
      </c>
      <c r="AF335" s="85" t="str">
        <f aca="false">IF(ISNUMBER(AE335), RANK(AE335,AE$8:AE$507,1), "")</f>
        <v/>
      </c>
      <c r="AG335" s="88" t="str">
        <f aca="false">IF(ISBLANK(C335), "", ABS(M335-S335))</f>
        <v/>
      </c>
      <c r="AH335" s="85" t="str">
        <f aca="false">IF(ISNUMBER(AG335), RANK(AG335,AG$8:AG$507,1), "")</f>
        <v/>
      </c>
      <c r="AI335" s="85" t="str">
        <f aca="false">IF(ISBLANK(C335),"",IF(V335&lt;&gt;Constants!$B$14, V335, RANK(AD335, AD$8:AD$507, 1)+ SUMPRODUCT(--(AD$8:AD$507=AD335),--(AF335&gt;AF$8:AF$507)) + SUMPRODUCT(--(AD$8:AD$507=AD335),--(AF335=AF$8:AF$507),--(AH335&gt;AH$8:AH$507))))</f>
        <v/>
      </c>
      <c r="AJ335" s="85" t="str">
        <f aca="false">IF(ISBLANK(C335),"",IF(V335&lt;&gt;Constants!$B$14, V335, AD335-AI335))</f>
        <v/>
      </c>
      <c r="AK335" s="89"/>
      <c r="AL335" s="90" t="str">
        <f aca="false">IF(ISBLANK($C335),"",IF($V335&lt;&gt;Constants!$B$14,$V335,X335))</f>
        <v/>
      </c>
      <c r="AM335" s="90" t="str">
        <f aca="false">IF(ISBLANK($C335),"",IF($V335&lt;&gt;Constants!$B$14,$V335,N335))</f>
        <v/>
      </c>
      <c r="AN335" s="91" t="str">
        <f aca="false">IF(ISBLANK(C335),"",IF(V335&lt;&gt;Constants!$B$14, V335, IF(W335=Constants!$B$7,Z335,IF(W335=Constants!$B$8,AB335,""))))</f>
        <v/>
      </c>
      <c r="AO335" s="92" t="str">
        <f aca="false">IF(ISBLANK(C335),"",W335)</f>
        <v/>
      </c>
      <c r="AP335" s="92" t="str">
        <f aca="false">IF(ISBLANK(C335),"",AJ335)</f>
        <v/>
      </c>
      <c r="AQ335" s="92" t="str">
        <f aca="false">IF(ISBLANK(C335),"",AI335)</f>
        <v/>
      </c>
      <c r="AR335" s="93" t="str">
        <f aca="false">IF(ISBLANK(C335),
  "",
IF(AQ335=Constants!$B$11,COUNTA($C$8:$C$507)+2,IF(AQ335=Constants!$B$12,COUNTA($C$8:$C$507)+1,IF(AQ335=Constants!$B$13,COUNTA($C$8:$C$507),AQ335))))</f>
        <v/>
      </c>
      <c r="AS335" s="3"/>
      <c r="AT335" s="94" t="n">
        <f aca="false">IF(OR(ISNUMBER(AQ335),AQ335="DQ",AQ335="P",AQ335="NS"),
    1,
    0
)</f>
        <v>0</v>
      </c>
      <c r="AU335" s="94" t="n">
        <v>328</v>
      </c>
      <c r="AV335" s="94" t="str">
        <f aca="false">IF(ISBLANK($C335),
    "",
   IF(ISNUMBER(AR335),AR335+ROW($B335)/1000,"")
)</f>
        <v/>
      </c>
      <c r="AW335" s="94" t="str">
        <f aca="false">IF(ISNUMBER(AV335), RANK(AV335,AV$8:AV$507,1), "")</f>
        <v/>
      </c>
      <c r="AX335" s="94" t="str">
        <f aca="false">IF(ISBLANK($C335),
    "",
    $B335
)</f>
        <v/>
      </c>
      <c r="AY335" s="94" t="str">
        <f aca="false">IF(ISBLANK($C335),
    "",
    $C335
)</f>
        <v/>
      </c>
      <c r="AZ335" s="94" t="str">
        <f aca="false">IF(ISBLANK($C335),
    "",
    $D335
)</f>
        <v/>
      </c>
      <c r="BA335" s="94" t="str">
        <f aca="false">AO335</f>
        <v/>
      </c>
      <c r="BB335" s="95" t="str">
        <f aca="false">AN335</f>
        <v/>
      </c>
      <c r="BC335" s="94" t="str">
        <f aca="false">IF(ISBLANK($C335),
    "",
    AQ335
)</f>
        <v/>
      </c>
      <c r="BD335" s="96" t="str">
        <f aca="false">IF(AU335&gt;AT$7,
    "",
    VLOOKUP(AU335,AW$8:BC$507,7,FALSE())
)</f>
        <v/>
      </c>
      <c r="BE335" s="97" t="str">
        <f aca="false">IF(AU335&gt;AT$7,
    "",
    VLOOKUP(AU335,AW$8:BC$507,2,FALSE())
)</f>
        <v/>
      </c>
      <c r="BF335" s="97" t="str">
        <f aca="false">IF(AU335&gt;AT$7,
    "",
    VLOOKUP(AU335,AW$8:BC$507,3,FALSE())
)</f>
        <v/>
      </c>
      <c r="BG335" s="97" t="str">
        <f aca="false">IF(AU335&gt;AT$7,
    "",
    VLOOKUP(AU335,AW$8:BC$507,4,FALSE())
)</f>
        <v/>
      </c>
      <c r="BH335" s="97" t="str">
        <f aca="false">IF(AU335&gt;AT$7,
    "",
    VLOOKUP(AU335,AW$8:BC$507,5,FALSE())
)</f>
        <v/>
      </c>
      <c r="BI335" s="98" t="str">
        <f aca="false">IF(AU335&gt;AT$7,
    "",
    VLOOKUP(AU335,AW$8:BC$507,6,FALSE())
)</f>
        <v/>
      </c>
      <c r="BJ335" s="46"/>
    </row>
    <row r="336" customFormat="false" ht="15.75" hidden="false" customHeight="false" outlineLevel="0" collapsed="false">
      <c r="A336" s="3"/>
      <c r="B336" s="105"/>
      <c r="C336" s="106"/>
      <c r="D336" s="99"/>
      <c r="E336" s="110"/>
      <c r="F336" s="107"/>
      <c r="G336" s="110"/>
      <c r="H336" s="103"/>
      <c r="I336" s="102"/>
      <c r="J336" s="103"/>
      <c r="K336" s="103"/>
      <c r="L336" s="85"/>
      <c r="M336" s="85" t="str">
        <f aca="false">IF(ISBLANK($C336),"",IF(ISBLANK(E336),0,E336))</f>
        <v/>
      </c>
      <c r="N336" s="85" t="str">
        <f aca="false">IF(ISBLANK($C336),"",IF(ISBLANK(F336),0,F336))</f>
        <v/>
      </c>
      <c r="O336" s="86" t="e">
        <f aca="false">IF(AND(NOT(ISBLANK($C336)),NOT($T336),COUNTA($E336:$K336)&gt;0),ISBLANK($F336),FALSE())</f>
        <v>#VALUE!</v>
      </c>
      <c r="P336" s="85" t="str">
        <f aca="false">IF(ISBLANK($C336),"",IF(G336=Constants!$B$9, TRUE(), IF(G336=Constants!$B$10, FALSE(), TRUE())))</f>
        <v/>
      </c>
      <c r="Q336" s="85" t="str">
        <f aca="false">IF(ISBLANK($C336),"",IF(H336=Constants!$B$9, TRUE(), IF(H336=Constants!$B$10, FALSE(), TRUE())))</f>
        <v/>
      </c>
      <c r="R336" s="85" t="str">
        <f aca="false">IF(ISBLANK($C336),"",IF(ISBLANK(I336),Constants!$B$3,I336))</f>
        <v/>
      </c>
      <c r="S336" s="85" t="str">
        <f aca="false">IF(ISBLANK($C336),"",IF(ISBLANK(J336),0,MIN(J336,Constants!$B$6)))</f>
        <v/>
      </c>
      <c r="T336" s="85" t="str">
        <f aca="false">IF(ISBLANK($C336),"",IF(K336=Constants!$B$9, TRUE(), IF(K336=Constants!$B$10, FALSE(),  FALSE())))</f>
        <v/>
      </c>
      <c r="U336" s="85" t="str">
        <f aca="false">IF(ISBLANK($C336),"",AND(R336=Constants!$B$4, S336&lt;Constants!$B$6))</f>
        <v/>
      </c>
      <c r="V336" s="85" t="str">
        <f aca="false">IF(ISBLANK(C336), "", IF(T336, Constants!$B$11, IF(COUNTA(E336:K336)=0, Constants!$B$12, IF(NOT(AND(P336,S336&lt;&gt;0)), Constants!$B$13, IF(O336, Constants!$B$15, Constants!$B$14)))))</f>
        <v/>
      </c>
      <c r="W336" s="85" t="str">
        <f aca="false">IF(OR(ISBLANK($C336), SUMPRODUCT(--(P336:T336&lt;&gt;""))=0), "", IF(V336&lt;&gt;Constants!$B$14, V336, IF(AND(NOT(ISBLANK(J336)),P336,Q336,R336&lt;&gt;Constants!$B$2), Constants!$B$7, IF(AND(P336,OR(NOT(Q336),R336=Constants!$B$2)), Constants!$B$8, "Error"))))</f>
        <v/>
      </c>
      <c r="X336" s="87" t="str">
        <f aca="false">IF(OR(W336=Constants!$B$7,W336=Constants!$B$8), MAX(0, MIN(Constants!$B$6, S336))+IF(AND(R336=Constants!$B$4, NOT(U336)), Constants!$B$5, 0), "")</f>
        <v/>
      </c>
      <c r="Y336" s="85" t="str">
        <f aca="false">IF(ISBLANK($C336),"",IF(AND(ISNUMBER(X336),N336&gt;0),X336/N336, "") )</f>
        <v/>
      </c>
      <c r="Z336" s="85" t="str">
        <f aca="false">IF(AND(NOT(ISBLANK($C336)), W336=Constants!$B$7), Y336, "")</f>
        <v/>
      </c>
      <c r="AA336" s="85" t="str">
        <f aca="false">IF(ISNUMBER(Z336), RANK(Z336,Z$8:Z$507), "")</f>
        <v/>
      </c>
      <c r="AB336" s="85" t="str">
        <f aca="false">IF(AND(NOT(ISBLANK($C336)), W336=Constants!$B$8), Y336, "")</f>
        <v/>
      </c>
      <c r="AC336" s="85" t="str">
        <f aca="false">IF(ISNUMBER(AB336), RANK(AB336,AB$8:AB$507), "")</f>
        <v/>
      </c>
      <c r="AD336" s="85" t="str">
        <f aca="false">IF(ISBLANK($C336),"",IF(V336&lt;&gt;Constants!$B$14, V336, IF(W336=Constants!$B$7, AA336, IF(W336=Constants!$B$8, COUNT($AA$8:$AA$507) + AC336, ""))))</f>
        <v/>
      </c>
      <c r="AE336" s="85" t="str">
        <f aca="false">N336</f>
        <v/>
      </c>
      <c r="AF336" s="85" t="str">
        <f aca="false">IF(ISNUMBER(AE336), RANK(AE336,AE$8:AE$507,1), "")</f>
        <v/>
      </c>
      <c r="AG336" s="88" t="str">
        <f aca="false">IF(ISBLANK(C336), "", ABS(M336-S336))</f>
        <v/>
      </c>
      <c r="AH336" s="85" t="str">
        <f aca="false">IF(ISNUMBER(AG336), RANK(AG336,AG$8:AG$507,1), "")</f>
        <v/>
      </c>
      <c r="AI336" s="85" t="str">
        <f aca="false">IF(ISBLANK(C336),"",IF(V336&lt;&gt;Constants!$B$14, V336, RANK(AD336, AD$8:AD$507, 1)+ SUMPRODUCT(--(AD$8:AD$507=AD336),--(AF336&gt;AF$8:AF$507)) + SUMPRODUCT(--(AD$8:AD$507=AD336),--(AF336=AF$8:AF$507),--(AH336&gt;AH$8:AH$507))))</f>
        <v/>
      </c>
      <c r="AJ336" s="85" t="str">
        <f aca="false">IF(ISBLANK(C336),"",IF(V336&lt;&gt;Constants!$B$14, V336, AD336-AI336))</f>
        <v/>
      </c>
      <c r="AK336" s="89"/>
      <c r="AL336" s="90" t="str">
        <f aca="false">IF(ISBLANK($C336),"",IF($V336&lt;&gt;Constants!$B$14,$V336,X336))</f>
        <v/>
      </c>
      <c r="AM336" s="90" t="str">
        <f aca="false">IF(ISBLANK($C336),"",IF($V336&lt;&gt;Constants!$B$14,$V336,N336))</f>
        <v/>
      </c>
      <c r="AN336" s="91" t="str">
        <f aca="false">IF(ISBLANK(C336),"",IF(V336&lt;&gt;Constants!$B$14, V336, IF(W336=Constants!$B$7,Z336,IF(W336=Constants!$B$8,AB336,""))))</f>
        <v/>
      </c>
      <c r="AO336" s="92" t="str">
        <f aca="false">IF(ISBLANK(C336),"",W336)</f>
        <v/>
      </c>
      <c r="AP336" s="92" t="str">
        <f aca="false">IF(ISBLANK(C336),"",AJ336)</f>
        <v/>
      </c>
      <c r="AQ336" s="92" t="str">
        <f aca="false">IF(ISBLANK(C336),"",AI336)</f>
        <v/>
      </c>
      <c r="AR336" s="93" t="str">
        <f aca="false">IF(ISBLANK(C336),
  "",
IF(AQ336=Constants!$B$11,COUNTA($C$8:$C$507)+2,IF(AQ336=Constants!$B$12,COUNTA($C$8:$C$507)+1,IF(AQ336=Constants!$B$13,COUNTA($C$8:$C$507),AQ336))))</f>
        <v/>
      </c>
      <c r="AS336" s="3"/>
      <c r="AT336" s="94" t="n">
        <f aca="false">IF(OR(ISNUMBER(AQ336),AQ336="DQ",AQ336="P",AQ336="NS"),
    1,
    0
)</f>
        <v>0</v>
      </c>
      <c r="AU336" s="94" t="n">
        <v>329</v>
      </c>
      <c r="AV336" s="94" t="str">
        <f aca="false">IF(ISBLANK($C336),
    "",
   IF(ISNUMBER(AR336),AR336+ROW($B336)/1000,"")
)</f>
        <v/>
      </c>
      <c r="AW336" s="94" t="str">
        <f aca="false">IF(ISNUMBER(AV336), RANK(AV336,AV$8:AV$507,1), "")</f>
        <v/>
      </c>
      <c r="AX336" s="94" t="str">
        <f aca="false">IF(ISBLANK($C336),
    "",
    $B336
)</f>
        <v/>
      </c>
      <c r="AY336" s="94" t="str">
        <f aca="false">IF(ISBLANK($C336),
    "",
    $C336
)</f>
        <v/>
      </c>
      <c r="AZ336" s="94" t="str">
        <f aca="false">IF(ISBLANK($C336),
    "",
    $D336
)</f>
        <v/>
      </c>
      <c r="BA336" s="94" t="str">
        <f aca="false">AO336</f>
        <v/>
      </c>
      <c r="BB336" s="95" t="str">
        <f aca="false">AN336</f>
        <v/>
      </c>
      <c r="BC336" s="94" t="str">
        <f aca="false">IF(ISBLANK($C336),
    "",
    AQ336
)</f>
        <v/>
      </c>
      <c r="BD336" s="96" t="str">
        <f aca="false">IF(AU336&gt;AT$7,
    "",
    VLOOKUP(AU336,AW$8:BC$507,7,FALSE())
)</f>
        <v/>
      </c>
      <c r="BE336" s="97" t="str">
        <f aca="false">IF(AU336&gt;AT$7,
    "",
    VLOOKUP(AU336,AW$8:BC$507,2,FALSE())
)</f>
        <v/>
      </c>
      <c r="BF336" s="97" t="str">
        <f aca="false">IF(AU336&gt;AT$7,
    "",
    VLOOKUP(AU336,AW$8:BC$507,3,FALSE())
)</f>
        <v/>
      </c>
      <c r="BG336" s="97" t="str">
        <f aca="false">IF(AU336&gt;AT$7,
    "",
    VLOOKUP(AU336,AW$8:BC$507,4,FALSE())
)</f>
        <v/>
      </c>
      <c r="BH336" s="97" t="str">
        <f aca="false">IF(AU336&gt;AT$7,
    "",
    VLOOKUP(AU336,AW$8:BC$507,5,FALSE())
)</f>
        <v/>
      </c>
      <c r="BI336" s="98" t="str">
        <f aca="false">IF(AU336&gt;AT$7,
    "",
    VLOOKUP(AU336,AW$8:BC$507,6,FALSE())
)</f>
        <v/>
      </c>
      <c r="BJ336" s="46"/>
    </row>
    <row r="337" customFormat="false" ht="15.75" hidden="false" customHeight="false" outlineLevel="0" collapsed="false">
      <c r="A337" s="3"/>
      <c r="B337" s="105"/>
      <c r="C337" s="106"/>
      <c r="D337" s="99"/>
      <c r="E337" s="110"/>
      <c r="F337" s="107"/>
      <c r="G337" s="110"/>
      <c r="H337" s="103"/>
      <c r="I337" s="102"/>
      <c r="J337" s="103"/>
      <c r="K337" s="103"/>
      <c r="L337" s="85"/>
      <c r="M337" s="85" t="str">
        <f aca="false">IF(ISBLANK($C337),"",IF(ISBLANK(E337),0,E337))</f>
        <v/>
      </c>
      <c r="N337" s="85" t="str">
        <f aca="false">IF(ISBLANK($C337),"",IF(ISBLANK(F337),0,F337))</f>
        <v/>
      </c>
      <c r="O337" s="86" t="e">
        <f aca="false">IF(AND(NOT(ISBLANK($C337)),NOT($T337),COUNTA($E337:$K337)&gt;0),ISBLANK($F337),FALSE())</f>
        <v>#VALUE!</v>
      </c>
      <c r="P337" s="85" t="str">
        <f aca="false">IF(ISBLANK($C337),"",IF(G337=Constants!$B$9, TRUE(), IF(G337=Constants!$B$10, FALSE(), TRUE())))</f>
        <v/>
      </c>
      <c r="Q337" s="85" t="str">
        <f aca="false">IF(ISBLANK($C337),"",IF(H337=Constants!$B$9, TRUE(), IF(H337=Constants!$B$10, FALSE(), TRUE())))</f>
        <v/>
      </c>
      <c r="R337" s="85" t="str">
        <f aca="false">IF(ISBLANK($C337),"",IF(ISBLANK(I337),Constants!$B$3,I337))</f>
        <v/>
      </c>
      <c r="S337" s="85" t="str">
        <f aca="false">IF(ISBLANK($C337),"",IF(ISBLANK(J337),0,MIN(J337,Constants!$B$6)))</f>
        <v/>
      </c>
      <c r="T337" s="85" t="str">
        <f aca="false">IF(ISBLANK($C337),"",IF(K337=Constants!$B$9, TRUE(), IF(K337=Constants!$B$10, FALSE(),  FALSE())))</f>
        <v/>
      </c>
      <c r="U337" s="85" t="str">
        <f aca="false">IF(ISBLANK($C337),"",AND(R337=Constants!$B$4, S337&lt;Constants!$B$6))</f>
        <v/>
      </c>
      <c r="V337" s="85" t="str">
        <f aca="false">IF(ISBLANK(C337), "", IF(T337, Constants!$B$11, IF(COUNTA(E337:K337)=0, Constants!$B$12, IF(NOT(AND(P337,S337&lt;&gt;0)), Constants!$B$13, IF(O337, Constants!$B$15, Constants!$B$14)))))</f>
        <v/>
      </c>
      <c r="W337" s="85" t="str">
        <f aca="false">IF(OR(ISBLANK($C337), SUMPRODUCT(--(P337:T337&lt;&gt;""))=0), "", IF(V337&lt;&gt;Constants!$B$14, V337, IF(AND(NOT(ISBLANK(J337)),P337,Q337,R337&lt;&gt;Constants!$B$2), Constants!$B$7, IF(AND(P337,OR(NOT(Q337),R337=Constants!$B$2)), Constants!$B$8, "Error"))))</f>
        <v/>
      </c>
      <c r="X337" s="87" t="str">
        <f aca="false">IF(OR(W337=Constants!$B$7,W337=Constants!$B$8), MAX(0, MIN(Constants!$B$6, S337))+IF(AND(R337=Constants!$B$4, NOT(U337)), Constants!$B$5, 0), "")</f>
        <v/>
      </c>
      <c r="Y337" s="85" t="str">
        <f aca="false">IF(ISBLANK($C337),"",IF(AND(ISNUMBER(X337),N337&gt;0),X337/N337, "") )</f>
        <v/>
      </c>
      <c r="Z337" s="85" t="str">
        <f aca="false">IF(AND(NOT(ISBLANK($C337)), W337=Constants!$B$7), Y337, "")</f>
        <v/>
      </c>
      <c r="AA337" s="85" t="str">
        <f aca="false">IF(ISNUMBER(Z337), RANK(Z337,Z$8:Z$507), "")</f>
        <v/>
      </c>
      <c r="AB337" s="85" t="str">
        <f aca="false">IF(AND(NOT(ISBLANK($C337)), W337=Constants!$B$8), Y337, "")</f>
        <v/>
      </c>
      <c r="AC337" s="85" t="str">
        <f aca="false">IF(ISNUMBER(AB337), RANK(AB337,AB$8:AB$507), "")</f>
        <v/>
      </c>
      <c r="AD337" s="85" t="str">
        <f aca="false">IF(ISBLANK($C337),"",IF(V337&lt;&gt;Constants!$B$14, V337, IF(W337=Constants!$B$7, AA337, IF(W337=Constants!$B$8, COUNT($AA$8:$AA$507) + AC337, ""))))</f>
        <v/>
      </c>
      <c r="AE337" s="85" t="str">
        <f aca="false">N337</f>
        <v/>
      </c>
      <c r="AF337" s="85" t="str">
        <f aca="false">IF(ISNUMBER(AE337), RANK(AE337,AE$8:AE$507,1), "")</f>
        <v/>
      </c>
      <c r="AG337" s="88" t="str">
        <f aca="false">IF(ISBLANK(C337), "", ABS(M337-S337))</f>
        <v/>
      </c>
      <c r="AH337" s="85" t="str">
        <f aca="false">IF(ISNUMBER(AG337), RANK(AG337,AG$8:AG$507,1), "")</f>
        <v/>
      </c>
      <c r="AI337" s="85" t="str">
        <f aca="false">IF(ISBLANK(C337),"",IF(V337&lt;&gt;Constants!$B$14, V337, RANK(AD337, AD$8:AD$507, 1)+ SUMPRODUCT(--(AD$8:AD$507=AD337),--(AF337&gt;AF$8:AF$507)) + SUMPRODUCT(--(AD$8:AD$507=AD337),--(AF337=AF$8:AF$507),--(AH337&gt;AH$8:AH$507))))</f>
        <v/>
      </c>
      <c r="AJ337" s="85" t="str">
        <f aca="false">IF(ISBLANK(C337),"",IF(V337&lt;&gt;Constants!$B$14, V337, AD337-AI337))</f>
        <v/>
      </c>
      <c r="AK337" s="89"/>
      <c r="AL337" s="90" t="str">
        <f aca="false">IF(ISBLANK($C337),"",IF($V337&lt;&gt;Constants!$B$14,$V337,X337))</f>
        <v/>
      </c>
      <c r="AM337" s="90" t="str">
        <f aca="false">IF(ISBLANK($C337),"",IF($V337&lt;&gt;Constants!$B$14,$V337,N337))</f>
        <v/>
      </c>
      <c r="AN337" s="91" t="str">
        <f aca="false">IF(ISBLANK(C337),"",IF(V337&lt;&gt;Constants!$B$14, V337, IF(W337=Constants!$B$7,Z337,IF(W337=Constants!$B$8,AB337,""))))</f>
        <v/>
      </c>
      <c r="AO337" s="92" t="str">
        <f aca="false">IF(ISBLANK(C337),"",W337)</f>
        <v/>
      </c>
      <c r="AP337" s="92" t="str">
        <f aca="false">IF(ISBLANK(C337),"",AJ337)</f>
        <v/>
      </c>
      <c r="AQ337" s="92" t="str">
        <f aca="false">IF(ISBLANK(C337),"",AI337)</f>
        <v/>
      </c>
      <c r="AR337" s="93" t="str">
        <f aca="false">IF(ISBLANK(C337),
  "",
IF(AQ337=Constants!$B$11,COUNTA($C$8:$C$507)+2,IF(AQ337=Constants!$B$12,COUNTA($C$8:$C$507)+1,IF(AQ337=Constants!$B$13,COUNTA($C$8:$C$507),AQ337))))</f>
        <v/>
      </c>
      <c r="AS337" s="3"/>
      <c r="AT337" s="94" t="n">
        <f aca="false">IF(OR(ISNUMBER(AQ337),AQ337="DQ",AQ337="P",AQ337="NS"),
    1,
    0
)</f>
        <v>0</v>
      </c>
      <c r="AU337" s="94" t="n">
        <v>330</v>
      </c>
      <c r="AV337" s="94" t="str">
        <f aca="false">IF(ISBLANK($C337),
    "",
   IF(ISNUMBER(AR337),AR337+ROW($B337)/1000,"")
)</f>
        <v/>
      </c>
      <c r="AW337" s="94" t="str">
        <f aca="false">IF(ISNUMBER(AV337), RANK(AV337,AV$8:AV$507,1), "")</f>
        <v/>
      </c>
      <c r="AX337" s="94" t="str">
        <f aca="false">IF(ISBLANK($C337),
    "",
    $B337
)</f>
        <v/>
      </c>
      <c r="AY337" s="94" t="str">
        <f aca="false">IF(ISBLANK($C337),
    "",
    $C337
)</f>
        <v/>
      </c>
      <c r="AZ337" s="94" t="str">
        <f aca="false">IF(ISBLANK($C337),
    "",
    $D337
)</f>
        <v/>
      </c>
      <c r="BA337" s="94" t="str">
        <f aca="false">AO337</f>
        <v/>
      </c>
      <c r="BB337" s="95" t="str">
        <f aca="false">AN337</f>
        <v/>
      </c>
      <c r="BC337" s="94" t="str">
        <f aca="false">IF(ISBLANK($C337),
    "",
    AQ337
)</f>
        <v/>
      </c>
      <c r="BD337" s="96" t="str">
        <f aca="false">IF(AU337&gt;AT$7,
    "",
    VLOOKUP(AU337,AW$8:BC$507,7,FALSE())
)</f>
        <v/>
      </c>
      <c r="BE337" s="97" t="str">
        <f aca="false">IF(AU337&gt;AT$7,
    "",
    VLOOKUP(AU337,AW$8:BC$507,2,FALSE())
)</f>
        <v/>
      </c>
      <c r="BF337" s="97" t="str">
        <f aca="false">IF(AU337&gt;AT$7,
    "",
    VLOOKUP(AU337,AW$8:BC$507,3,FALSE())
)</f>
        <v/>
      </c>
      <c r="BG337" s="97" t="str">
        <f aca="false">IF(AU337&gt;AT$7,
    "",
    VLOOKUP(AU337,AW$8:BC$507,4,FALSE())
)</f>
        <v/>
      </c>
      <c r="BH337" s="97" t="str">
        <f aca="false">IF(AU337&gt;AT$7,
    "",
    VLOOKUP(AU337,AW$8:BC$507,5,FALSE())
)</f>
        <v/>
      </c>
      <c r="BI337" s="98" t="str">
        <f aca="false">IF(AU337&gt;AT$7,
    "",
    VLOOKUP(AU337,AW$8:BC$507,6,FALSE())
)</f>
        <v/>
      </c>
      <c r="BJ337" s="46"/>
    </row>
    <row r="338" customFormat="false" ht="15.75" hidden="false" customHeight="false" outlineLevel="0" collapsed="false">
      <c r="A338" s="3"/>
      <c r="B338" s="108"/>
      <c r="C338" s="70"/>
      <c r="D338" s="49"/>
      <c r="E338" s="109"/>
      <c r="F338" s="72"/>
      <c r="G338" s="109"/>
      <c r="H338" s="74"/>
      <c r="I338" s="104"/>
      <c r="J338" s="74"/>
      <c r="K338" s="74"/>
      <c r="L338" s="55"/>
      <c r="M338" s="55" t="str">
        <f aca="false">IF(ISBLANK($C338),"",IF(ISBLANK(E338),0,E338))</f>
        <v/>
      </c>
      <c r="N338" s="55" t="str">
        <f aca="false">IF(ISBLANK($C338),"",IF(ISBLANK(F338),0,F338))</f>
        <v/>
      </c>
      <c r="O338" s="55" t="e">
        <f aca="false">IF(AND(NOT(ISBLANK($C338)),NOT($T338),COUNTA($E338:$K338)&gt;0),ISBLANK($F338),FALSE())</f>
        <v>#VALUE!</v>
      </c>
      <c r="P338" s="55" t="str">
        <f aca="false">IF(ISBLANK($C338),"",IF(G338=Constants!$B$9, TRUE(), IF(G338=Constants!$B$10, FALSE(), TRUE())))</f>
        <v/>
      </c>
      <c r="Q338" s="55" t="str">
        <f aca="false">IF(ISBLANK($C338),"",IF(H338=Constants!$B$9, TRUE(), IF(H338=Constants!$B$10, FALSE(), TRUE())))</f>
        <v/>
      </c>
      <c r="R338" s="55" t="str">
        <f aca="false">IF(ISBLANK($C338),"",IF(ISBLANK(I338),Constants!$B$3,I338))</f>
        <v/>
      </c>
      <c r="S338" s="55" t="str">
        <f aca="false">IF(ISBLANK($C338),"",IF(ISBLANK(J338),0,MIN(J338,Constants!$B$6)))</f>
        <v/>
      </c>
      <c r="T338" s="55" t="str">
        <f aca="false">IF(ISBLANK($C338),"",IF(K338=Constants!$B$9, TRUE(), IF(K338=Constants!$B$10, FALSE(),  FALSE())))</f>
        <v/>
      </c>
      <c r="U338" s="55" t="str">
        <f aca="false">IF(ISBLANK($C338),"",AND(R338=Constants!$B$4, S338&lt;Constants!$B$6))</f>
        <v/>
      </c>
      <c r="V338" s="55" t="str">
        <f aca="false">IF(ISBLANK(C338), "", IF(T338, Constants!$B$11, IF(COUNTA(E338:K338)=0, Constants!$B$12, IF(NOT(AND(P338,S338&lt;&gt;0)), Constants!$B$13, IF(O338, Constants!$B$15, Constants!$B$14)))))</f>
        <v/>
      </c>
      <c r="W338" s="55" t="str">
        <f aca="false">IF(OR(ISBLANK($C338), SUMPRODUCT(--(P338:T338&lt;&gt;""))=0), "", IF(V338&lt;&gt;Constants!$B$14, V338, IF(AND(NOT(ISBLANK(J338)),P338,Q338,R338&lt;&gt;Constants!$B$2), Constants!$B$7, IF(AND(P338,OR(NOT(Q338),R338=Constants!$B$2)), Constants!$B$8, "Error"))))</f>
        <v/>
      </c>
      <c r="X338" s="56" t="str">
        <f aca="false">IF(OR(W338=Constants!$B$7,W338=Constants!$B$8), MAX(0, MIN(Constants!$B$6, S338))+IF(AND(R338=Constants!$B$4, NOT(U338)), Constants!$B$5, 0), "")</f>
        <v/>
      </c>
      <c r="Y338" s="55" t="str">
        <f aca="false">IF(ISBLANK($C338),"",IF(AND(ISNUMBER(X338),N338&gt;0),X338/N338, "") )</f>
        <v/>
      </c>
      <c r="Z338" s="55" t="str">
        <f aca="false">IF(AND(NOT(ISBLANK($C338)), W338=Constants!$B$7), Y338, "")</f>
        <v/>
      </c>
      <c r="AA338" s="55" t="str">
        <f aca="false">IF(ISNUMBER(Z338), RANK(Z338,Z$8:Z$507), "")</f>
        <v/>
      </c>
      <c r="AB338" s="55" t="str">
        <f aca="false">IF(AND(NOT(ISBLANK($C338)), W338=Constants!$B$8), Y338, "")</f>
        <v/>
      </c>
      <c r="AC338" s="55" t="str">
        <f aca="false">IF(ISNUMBER(AB338), RANK(AB338,AB$8:AB$507), "")</f>
        <v/>
      </c>
      <c r="AD338" s="55" t="str">
        <f aca="false">IF(ISBLANK($C338),"",IF(V338&lt;&gt;Constants!$B$14, V338, IF(W338=Constants!$B$7, AA338, IF(W338=Constants!$B$8, COUNT($AA$8:$AA$507) + AC338, ""))))</f>
        <v/>
      </c>
      <c r="AE338" s="55" t="str">
        <f aca="false">N338</f>
        <v/>
      </c>
      <c r="AF338" s="55" t="str">
        <f aca="false">IF(ISNUMBER(AE338), RANK(AE338,AE$8:AE$507,1), "")</f>
        <v/>
      </c>
      <c r="AG338" s="57" t="str">
        <f aca="false">IF(ISBLANK(C338), "", ABS(M338-S338))</f>
        <v/>
      </c>
      <c r="AH338" s="55" t="str">
        <f aca="false">IF(ISNUMBER(AG338), RANK(AG338,AG$8:AG$507,1), "")</f>
        <v/>
      </c>
      <c r="AI338" s="55" t="str">
        <f aca="false">IF(ISBLANK(C338),"",IF(V338&lt;&gt;Constants!$B$14, V338, RANK(AD338, AD$8:AD$507, 1)+ SUMPRODUCT(--(AD$8:AD$507=AD338),--(AF338&gt;AF$8:AF$507)) + SUMPRODUCT(--(AD$8:AD$507=AD338),--(AF338=AF$8:AF$507),--(AH338&gt;AH$8:AH$507))))</f>
        <v/>
      </c>
      <c r="AJ338" s="55" t="str">
        <f aca="false">IF(ISBLANK(C338),"",IF(V338&lt;&gt;Constants!$B$14, V338, AD338-AI338))</f>
        <v/>
      </c>
      <c r="AK338" s="59"/>
      <c r="AL338" s="60" t="str">
        <f aca="false">IF(ISBLANK($C338),"",IF($V338&lt;&gt;Constants!$B$14,$V338,X338))</f>
        <v/>
      </c>
      <c r="AM338" s="60" t="str">
        <f aca="false">IF(ISBLANK($C338),"",IF($V338&lt;&gt;Constants!$B$14,$V338,N338))</f>
        <v/>
      </c>
      <c r="AN338" s="62" t="str">
        <f aca="false">IF(ISBLANK(C338),"",IF(V338&lt;&gt;Constants!$B$14, V338, IF(W338=Constants!$B$7,Z338,IF(W338=Constants!$B$8,AB338,""))))</f>
        <v/>
      </c>
      <c r="AO338" s="63" t="str">
        <f aca="false">IF(ISBLANK(C338),"",W338)</f>
        <v/>
      </c>
      <c r="AP338" s="63" t="str">
        <f aca="false">IF(ISBLANK(C338),"",AJ338)</f>
        <v/>
      </c>
      <c r="AQ338" s="63" t="str">
        <f aca="false">IF(ISBLANK(C338),"",AI338)</f>
        <v/>
      </c>
      <c r="AR338" s="64" t="str">
        <f aca="false">IF(ISBLANK(C338),
  "",
IF(AQ338=Constants!$B$11,COUNTA($C$8:$C$507)+2,IF(AQ338=Constants!$B$12,COUNTA($C$8:$C$507)+1,IF(AQ338=Constants!$B$13,COUNTA($C$8:$C$507),AQ338))))</f>
        <v/>
      </c>
      <c r="AS338" s="3"/>
      <c r="AT338" s="65" t="n">
        <f aca="false">IF(OR(ISNUMBER(AQ338),AQ338="DQ",AQ338="P",AQ338="NS"),
    1,
    0
)</f>
        <v>0</v>
      </c>
      <c r="AU338" s="65" t="n">
        <v>331</v>
      </c>
      <c r="AV338" s="65" t="str">
        <f aca="false">IF(ISBLANK($C338),
    "",
   IF(ISNUMBER(AR338),AR338+ROW($B338)/1000,"")
)</f>
        <v/>
      </c>
      <c r="AW338" s="65" t="str">
        <f aca="false">IF(ISNUMBER(AV338), RANK(AV338,AV$8:AV$507,1), "")</f>
        <v/>
      </c>
      <c r="AX338" s="65" t="str">
        <f aca="false">IF(ISBLANK($C338),
    "",
    $B338
)</f>
        <v/>
      </c>
      <c r="AY338" s="65" t="str">
        <f aca="false">IF(ISBLANK($C338),
    "",
    $C338
)</f>
        <v/>
      </c>
      <c r="AZ338" s="65" t="str">
        <f aca="false">IF(ISBLANK($C338),
    "",
    $D338
)</f>
        <v/>
      </c>
      <c r="BA338" s="65" t="str">
        <f aca="false">AO338</f>
        <v/>
      </c>
      <c r="BB338" s="66" t="str">
        <f aca="false">AN338</f>
        <v/>
      </c>
      <c r="BC338" s="65" t="str">
        <f aca="false">IF(ISBLANK($C338),
    "",
    AQ338
)</f>
        <v/>
      </c>
      <c r="BD338" s="67" t="str">
        <f aca="false">IF(AU338&gt;AT$7,
    "",
    VLOOKUP(AU338,AW$8:BC$507,7,FALSE())
)</f>
        <v/>
      </c>
      <c r="BE338" s="68" t="str">
        <f aca="false">IF(AU338&gt;AT$7,
    "",
    VLOOKUP(AU338,AW$8:BC$507,2,FALSE())
)</f>
        <v/>
      </c>
      <c r="BF338" s="68" t="str">
        <f aca="false">IF(AU338&gt;AT$7,
    "",
    VLOOKUP(AU338,AW$8:BC$507,3,FALSE())
)</f>
        <v/>
      </c>
      <c r="BG338" s="68" t="str">
        <f aca="false">IF(AU338&gt;AT$7,
    "",
    VLOOKUP(AU338,AW$8:BC$507,4,FALSE())
)</f>
        <v/>
      </c>
      <c r="BH338" s="68" t="str">
        <f aca="false">IF(AU338&gt;AT$7,
    "",
    VLOOKUP(AU338,AW$8:BC$507,5,FALSE())
)</f>
        <v/>
      </c>
      <c r="BI338" s="69" t="str">
        <f aca="false">IF(AU338&gt;AT$7,
    "",
    VLOOKUP(AU338,AW$8:BC$507,6,FALSE())
)</f>
        <v/>
      </c>
      <c r="BJ338" s="46"/>
    </row>
    <row r="339" customFormat="false" ht="15.75" hidden="false" customHeight="false" outlineLevel="0" collapsed="false">
      <c r="A339" s="3"/>
      <c r="B339" s="108"/>
      <c r="C339" s="70"/>
      <c r="D339" s="49"/>
      <c r="E339" s="109"/>
      <c r="F339" s="72"/>
      <c r="G339" s="109"/>
      <c r="H339" s="74"/>
      <c r="I339" s="104"/>
      <c r="J339" s="74"/>
      <c r="K339" s="74"/>
      <c r="L339" s="55"/>
      <c r="M339" s="55" t="str">
        <f aca="false">IF(ISBLANK($C339),"",IF(ISBLANK(E339),0,E339))</f>
        <v/>
      </c>
      <c r="N339" s="55" t="str">
        <f aca="false">IF(ISBLANK($C339),"",IF(ISBLANK(F339),0,F339))</f>
        <v/>
      </c>
      <c r="O339" s="55" t="e">
        <f aca="false">IF(AND(NOT(ISBLANK($C339)),NOT($T339),COUNTA($E339:$K339)&gt;0),ISBLANK($F339),FALSE())</f>
        <v>#VALUE!</v>
      </c>
      <c r="P339" s="55" t="str">
        <f aca="false">IF(ISBLANK($C339),"",IF(G339=Constants!$B$9, TRUE(), IF(G339=Constants!$B$10, FALSE(), TRUE())))</f>
        <v/>
      </c>
      <c r="Q339" s="55" t="str">
        <f aca="false">IF(ISBLANK($C339),"",IF(H339=Constants!$B$9, TRUE(), IF(H339=Constants!$B$10, FALSE(), TRUE())))</f>
        <v/>
      </c>
      <c r="R339" s="55" t="str">
        <f aca="false">IF(ISBLANK($C339),"",IF(ISBLANK(I339),Constants!$B$3,I339))</f>
        <v/>
      </c>
      <c r="S339" s="55" t="str">
        <f aca="false">IF(ISBLANK($C339),"",IF(ISBLANK(J339),0,MIN(J339,Constants!$B$6)))</f>
        <v/>
      </c>
      <c r="T339" s="55" t="str">
        <f aca="false">IF(ISBLANK($C339),"",IF(K339=Constants!$B$9, TRUE(), IF(K339=Constants!$B$10, FALSE(),  FALSE())))</f>
        <v/>
      </c>
      <c r="U339" s="55" t="str">
        <f aca="false">IF(ISBLANK($C339),"",AND(R339=Constants!$B$4, S339&lt;Constants!$B$6))</f>
        <v/>
      </c>
      <c r="V339" s="55" t="str">
        <f aca="false">IF(ISBLANK(C339), "", IF(T339, Constants!$B$11, IF(COUNTA(E339:K339)=0, Constants!$B$12, IF(NOT(AND(P339,S339&lt;&gt;0)), Constants!$B$13, IF(O339, Constants!$B$15, Constants!$B$14)))))</f>
        <v/>
      </c>
      <c r="W339" s="55" t="str">
        <f aca="false">IF(OR(ISBLANK($C339), SUMPRODUCT(--(P339:T339&lt;&gt;""))=0), "", IF(V339&lt;&gt;Constants!$B$14, V339, IF(AND(NOT(ISBLANK(J339)),P339,Q339,R339&lt;&gt;Constants!$B$2), Constants!$B$7, IF(AND(P339,OR(NOT(Q339),R339=Constants!$B$2)), Constants!$B$8, "Error"))))</f>
        <v/>
      </c>
      <c r="X339" s="56" t="str">
        <f aca="false">IF(OR(W339=Constants!$B$7,W339=Constants!$B$8), MAX(0, MIN(Constants!$B$6, S339))+IF(AND(R339=Constants!$B$4, NOT(U339)), Constants!$B$5, 0), "")</f>
        <v/>
      </c>
      <c r="Y339" s="55" t="str">
        <f aca="false">IF(ISBLANK($C339),"",IF(AND(ISNUMBER(X339),N339&gt;0),X339/N339, "") )</f>
        <v/>
      </c>
      <c r="Z339" s="55" t="str">
        <f aca="false">IF(AND(NOT(ISBLANK($C339)), W339=Constants!$B$7), Y339, "")</f>
        <v/>
      </c>
      <c r="AA339" s="55" t="str">
        <f aca="false">IF(ISNUMBER(Z339), RANK(Z339,Z$8:Z$507), "")</f>
        <v/>
      </c>
      <c r="AB339" s="55" t="str">
        <f aca="false">IF(AND(NOT(ISBLANK($C339)), W339=Constants!$B$8), Y339, "")</f>
        <v/>
      </c>
      <c r="AC339" s="55" t="str">
        <f aca="false">IF(ISNUMBER(AB339), RANK(AB339,AB$8:AB$507), "")</f>
        <v/>
      </c>
      <c r="AD339" s="55" t="str">
        <f aca="false">IF(ISBLANK($C339),"",IF(V339&lt;&gt;Constants!$B$14, V339, IF(W339=Constants!$B$7, AA339, IF(W339=Constants!$B$8, COUNT($AA$8:$AA$507) + AC339, ""))))</f>
        <v/>
      </c>
      <c r="AE339" s="55" t="str">
        <f aca="false">N339</f>
        <v/>
      </c>
      <c r="AF339" s="55" t="str">
        <f aca="false">IF(ISNUMBER(AE339), RANK(AE339,AE$8:AE$507,1), "")</f>
        <v/>
      </c>
      <c r="AG339" s="57" t="str">
        <f aca="false">IF(ISBLANK(C339), "", ABS(M339-S339))</f>
        <v/>
      </c>
      <c r="AH339" s="55" t="str">
        <f aca="false">IF(ISNUMBER(AG339), RANK(AG339,AG$8:AG$507,1), "")</f>
        <v/>
      </c>
      <c r="AI339" s="55" t="str">
        <f aca="false">IF(ISBLANK(C339),"",IF(V339&lt;&gt;Constants!$B$14, V339, RANK(AD339, AD$8:AD$507, 1)+ SUMPRODUCT(--(AD$8:AD$507=AD339),--(AF339&gt;AF$8:AF$507)) + SUMPRODUCT(--(AD$8:AD$507=AD339),--(AF339=AF$8:AF$507),--(AH339&gt;AH$8:AH$507))))</f>
        <v/>
      </c>
      <c r="AJ339" s="55" t="str">
        <f aca="false">IF(ISBLANK(C339),"",IF(V339&lt;&gt;Constants!$B$14, V339, AD339-AI339))</f>
        <v/>
      </c>
      <c r="AK339" s="59"/>
      <c r="AL339" s="60" t="str">
        <f aca="false">IF(ISBLANK($C339),"",IF($V339&lt;&gt;Constants!$B$14,$V339,X339))</f>
        <v/>
      </c>
      <c r="AM339" s="60" t="str">
        <f aca="false">IF(ISBLANK($C339),"",IF($V339&lt;&gt;Constants!$B$14,$V339,N339))</f>
        <v/>
      </c>
      <c r="AN339" s="62" t="str">
        <f aca="false">IF(ISBLANK(C339),"",IF(V339&lt;&gt;Constants!$B$14, V339, IF(W339=Constants!$B$7,Z339,IF(W339=Constants!$B$8,AB339,""))))</f>
        <v/>
      </c>
      <c r="AO339" s="63" t="str">
        <f aca="false">IF(ISBLANK(C339),"",W339)</f>
        <v/>
      </c>
      <c r="AP339" s="63" t="str">
        <f aca="false">IF(ISBLANK(C339),"",AJ339)</f>
        <v/>
      </c>
      <c r="AQ339" s="63" t="str">
        <f aca="false">IF(ISBLANK(C339),"",AI339)</f>
        <v/>
      </c>
      <c r="AR339" s="64" t="str">
        <f aca="false">IF(ISBLANK(C339),
  "",
IF(AQ339=Constants!$B$11,COUNTA($C$8:$C$507)+2,IF(AQ339=Constants!$B$12,COUNTA($C$8:$C$507)+1,IF(AQ339=Constants!$B$13,COUNTA($C$8:$C$507),AQ339))))</f>
        <v/>
      </c>
      <c r="AS339" s="3"/>
      <c r="AT339" s="65" t="n">
        <f aca="false">IF(OR(ISNUMBER(AQ339),AQ339="DQ",AQ339="P",AQ339="NS"),
    1,
    0
)</f>
        <v>0</v>
      </c>
      <c r="AU339" s="65" t="n">
        <v>332</v>
      </c>
      <c r="AV339" s="65" t="str">
        <f aca="false">IF(ISBLANK($C339),
    "",
   IF(ISNUMBER(AR339),AR339+ROW($B339)/1000,"")
)</f>
        <v/>
      </c>
      <c r="AW339" s="65" t="str">
        <f aca="false">IF(ISNUMBER(AV339), RANK(AV339,AV$8:AV$507,1), "")</f>
        <v/>
      </c>
      <c r="AX339" s="65" t="str">
        <f aca="false">IF(ISBLANK($C339),
    "",
    $B339
)</f>
        <v/>
      </c>
      <c r="AY339" s="65" t="str">
        <f aca="false">IF(ISBLANK($C339),
    "",
    $C339
)</f>
        <v/>
      </c>
      <c r="AZ339" s="65" t="str">
        <f aca="false">IF(ISBLANK($C339),
    "",
    $D339
)</f>
        <v/>
      </c>
      <c r="BA339" s="65" t="str">
        <f aca="false">AO339</f>
        <v/>
      </c>
      <c r="BB339" s="66" t="str">
        <f aca="false">AN339</f>
        <v/>
      </c>
      <c r="BC339" s="65" t="str">
        <f aca="false">IF(ISBLANK($C339),
    "",
    AQ339
)</f>
        <v/>
      </c>
      <c r="BD339" s="67" t="str">
        <f aca="false">IF(AU339&gt;AT$7,
    "",
    VLOOKUP(AU339,AW$8:BC$507,7,FALSE())
)</f>
        <v/>
      </c>
      <c r="BE339" s="68" t="str">
        <f aca="false">IF(AU339&gt;AT$7,
    "",
    VLOOKUP(AU339,AW$8:BC$507,2,FALSE())
)</f>
        <v/>
      </c>
      <c r="BF339" s="68" t="str">
        <f aca="false">IF(AU339&gt;AT$7,
    "",
    VLOOKUP(AU339,AW$8:BC$507,3,FALSE())
)</f>
        <v/>
      </c>
      <c r="BG339" s="68" t="str">
        <f aca="false">IF(AU339&gt;AT$7,
    "",
    VLOOKUP(AU339,AW$8:BC$507,4,FALSE())
)</f>
        <v/>
      </c>
      <c r="BH339" s="68" t="str">
        <f aca="false">IF(AU339&gt;AT$7,
    "",
    VLOOKUP(AU339,AW$8:BC$507,5,FALSE())
)</f>
        <v/>
      </c>
      <c r="BI339" s="69" t="str">
        <f aca="false">IF(AU339&gt;AT$7,
    "",
    VLOOKUP(AU339,AW$8:BC$507,6,FALSE())
)</f>
        <v/>
      </c>
      <c r="BJ339" s="46"/>
    </row>
    <row r="340" customFormat="false" ht="15.75" hidden="false" customHeight="false" outlineLevel="0" collapsed="false">
      <c r="A340" s="3"/>
      <c r="B340" s="108"/>
      <c r="C340" s="70"/>
      <c r="D340" s="49"/>
      <c r="E340" s="109"/>
      <c r="F340" s="72"/>
      <c r="G340" s="109"/>
      <c r="H340" s="74"/>
      <c r="I340" s="104"/>
      <c r="J340" s="74"/>
      <c r="K340" s="74"/>
      <c r="L340" s="55"/>
      <c r="M340" s="55" t="str">
        <f aca="false">IF(ISBLANK($C340),"",IF(ISBLANK(E340),0,E340))</f>
        <v/>
      </c>
      <c r="N340" s="55" t="str">
        <f aca="false">IF(ISBLANK($C340),"",IF(ISBLANK(F340),0,F340))</f>
        <v/>
      </c>
      <c r="O340" s="55" t="e">
        <f aca="false">IF(AND(NOT(ISBLANK($C340)),NOT($T340),COUNTA($E340:$K340)&gt;0),ISBLANK($F340),FALSE())</f>
        <v>#VALUE!</v>
      </c>
      <c r="P340" s="55" t="str">
        <f aca="false">IF(ISBLANK($C340),"",IF(G340=Constants!$B$9, TRUE(), IF(G340=Constants!$B$10, FALSE(), TRUE())))</f>
        <v/>
      </c>
      <c r="Q340" s="55" t="str">
        <f aca="false">IF(ISBLANK($C340),"",IF(H340=Constants!$B$9, TRUE(), IF(H340=Constants!$B$10, FALSE(), TRUE())))</f>
        <v/>
      </c>
      <c r="R340" s="55" t="str">
        <f aca="false">IF(ISBLANK($C340),"",IF(ISBLANK(I340),Constants!$B$3,I340))</f>
        <v/>
      </c>
      <c r="S340" s="55" t="str">
        <f aca="false">IF(ISBLANK($C340),"",IF(ISBLANK(J340),0,MIN(J340,Constants!$B$6)))</f>
        <v/>
      </c>
      <c r="T340" s="55" t="str">
        <f aca="false">IF(ISBLANK($C340),"",IF(K340=Constants!$B$9, TRUE(), IF(K340=Constants!$B$10, FALSE(),  FALSE())))</f>
        <v/>
      </c>
      <c r="U340" s="55" t="str">
        <f aca="false">IF(ISBLANK($C340),"",AND(R340=Constants!$B$4, S340&lt;Constants!$B$6))</f>
        <v/>
      </c>
      <c r="V340" s="55" t="str">
        <f aca="false">IF(ISBLANK(C340), "", IF(T340, Constants!$B$11, IF(COUNTA(E340:K340)=0, Constants!$B$12, IF(NOT(AND(P340,S340&lt;&gt;0)), Constants!$B$13, IF(O340, Constants!$B$15, Constants!$B$14)))))</f>
        <v/>
      </c>
      <c r="W340" s="55" t="str">
        <f aca="false">IF(OR(ISBLANK($C340), SUMPRODUCT(--(P340:T340&lt;&gt;""))=0), "", IF(V340&lt;&gt;Constants!$B$14, V340, IF(AND(NOT(ISBLANK(J340)),P340,Q340,R340&lt;&gt;Constants!$B$2), Constants!$B$7, IF(AND(P340,OR(NOT(Q340),R340=Constants!$B$2)), Constants!$B$8, "Error"))))</f>
        <v/>
      </c>
      <c r="X340" s="56" t="str">
        <f aca="false">IF(OR(W340=Constants!$B$7,W340=Constants!$B$8), MAX(0, MIN(Constants!$B$6, S340))+IF(AND(R340=Constants!$B$4, NOT(U340)), Constants!$B$5, 0), "")</f>
        <v/>
      </c>
      <c r="Y340" s="55" t="str">
        <f aca="false">IF(ISBLANK($C340),"",IF(AND(ISNUMBER(X340),N340&gt;0),X340/N340, "") )</f>
        <v/>
      </c>
      <c r="Z340" s="55" t="str">
        <f aca="false">IF(AND(NOT(ISBLANK($C340)), W340=Constants!$B$7), Y340, "")</f>
        <v/>
      </c>
      <c r="AA340" s="55" t="str">
        <f aca="false">IF(ISNUMBER(Z340), RANK(Z340,Z$8:Z$507), "")</f>
        <v/>
      </c>
      <c r="AB340" s="55" t="str">
        <f aca="false">IF(AND(NOT(ISBLANK($C340)), W340=Constants!$B$8), Y340, "")</f>
        <v/>
      </c>
      <c r="AC340" s="55" t="str">
        <f aca="false">IF(ISNUMBER(AB340), RANK(AB340,AB$8:AB$507), "")</f>
        <v/>
      </c>
      <c r="AD340" s="55" t="str">
        <f aca="false">IF(ISBLANK($C340),"",IF(V340&lt;&gt;Constants!$B$14, V340, IF(W340=Constants!$B$7, AA340, IF(W340=Constants!$B$8, COUNT($AA$8:$AA$507) + AC340, ""))))</f>
        <v/>
      </c>
      <c r="AE340" s="55" t="str">
        <f aca="false">N340</f>
        <v/>
      </c>
      <c r="AF340" s="55" t="str">
        <f aca="false">IF(ISNUMBER(AE340), RANK(AE340,AE$8:AE$507,1), "")</f>
        <v/>
      </c>
      <c r="AG340" s="57" t="str">
        <f aca="false">IF(ISBLANK(C340), "", ABS(M340-S340))</f>
        <v/>
      </c>
      <c r="AH340" s="55" t="str">
        <f aca="false">IF(ISNUMBER(AG340), RANK(AG340,AG$8:AG$507,1), "")</f>
        <v/>
      </c>
      <c r="AI340" s="55" t="str">
        <f aca="false">IF(ISBLANK(C340),"",IF(V340&lt;&gt;Constants!$B$14, V340, RANK(AD340, AD$8:AD$507, 1)+ SUMPRODUCT(--(AD$8:AD$507=AD340),--(AF340&gt;AF$8:AF$507)) + SUMPRODUCT(--(AD$8:AD$507=AD340),--(AF340=AF$8:AF$507),--(AH340&gt;AH$8:AH$507))))</f>
        <v/>
      </c>
      <c r="AJ340" s="55" t="str">
        <f aca="false">IF(ISBLANK(C340),"",IF(V340&lt;&gt;Constants!$B$14, V340, AD340-AI340))</f>
        <v/>
      </c>
      <c r="AK340" s="59"/>
      <c r="AL340" s="60" t="str">
        <f aca="false">IF(ISBLANK($C340),"",IF($V340&lt;&gt;Constants!$B$14,$V340,X340))</f>
        <v/>
      </c>
      <c r="AM340" s="60" t="str">
        <f aca="false">IF(ISBLANK($C340),"",IF($V340&lt;&gt;Constants!$B$14,$V340,N340))</f>
        <v/>
      </c>
      <c r="AN340" s="62" t="str">
        <f aca="false">IF(ISBLANK(C340),"",IF(V340&lt;&gt;Constants!$B$14, V340, IF(W340=Constants!$B$7,Z340,IF(W340=Constants!$B$8,AB340,""))))</f>
        <v/>
      </c>
      <c r="AO340" s="63" t="str">
        <f aca="false">IF(ISBLANK(C340),"",W340)</f>
        <v/>
      </c>
      <c r="AP340" s="63" t="str">
        <f aca="false">IF(ISBLANK(C340),"",AJ340)</f>
        <v/>
      </c>
      <c r="AQ340" s="63" t="str">
        <f aca="false">IF(ISBLANK(C340),"",AI340)</f>
        <v/>
      </c>
      <c r="AR340" s="64" t="str">
        <f aca="false">IF(ISBLANK(C340),
  "",
IF(AQ340=Constants!$B$11,COUNTA($C$8:$C$507)+2,IF(AQ340=Constants!$B$12,COUNTA($C$8:$C$507)+1,IF(AQ340=Constants!$B$13,COUNTA($C$8:$C$507),AQ340))))</f>
        <v/>
      </c>
      <c r="AS340" s="3"/>
      <c r="AT340" s="65" t="n">
        <f aca="false">IF(OR(ISNUMBER(AQ340),AQ340="DQ",AQ340="P",AQ340="NS"),
    1,
    0
)</f>
        <v>0</v>
      </c>
      <c r="AU340" s="65" t="n">
        <v>333</v>
      </c>
      <c r="AV340" s="65" t="str">
        <f aca="false">IF(ISBLANK($C340),
    "",
   IF(ISNUMBER(AR340),AR340+ROW($B340)/1000,"")
)</f>
        <v/>
      </c>
      <c r="AW340" s="65" t="str">
        <f aca="false">IF(ISNUMBER(AV340), RANK(AV340,AV$8:AV$507,1), "")</f>
        <v/>
      </c>
      <c r="AX340" s="65" t="str">
        <f aca="false">IF(ISBLANK($C340),
    "",
    $B340
)</f>
        <v/>
      </c>
      <c r="AY340" s="65" t="str">
        <f aca="false">IF(ISBLANK($C340),
    "",
    $C340
)</f>
        <v/>
      </c>
      <c r="AZ340" s="65" t="str">
        <f aca="false">IF(ISBLANK($C340),
    "",
    $D340
)</f>
        <v/>
      </c>
      <c r="BA340" s="65" t="str">
        <f aca="false">AO340</f>
        <v/>
      </c>
      <c r="BB340" s="66" t="str">
        <f aca="false">AN340</f>
        <v/>
      </c>
      <c r="BC340" s="65" t="str">
        <f aca="false">IF(ISBLANK($C340),
    "",
    AQ340
)</f>
        <v/>
      </c>
      <c r="BD340" s="67" t="str">
        <f aca="false">IF(AU340&gt;AT$7,
    "",
    VLOOKUP(AU340,AW$8:BC$507,7,FALSE())
)</f>
        <v/>
      </c>
      <c r="BE340" s="68" t="str">
        <f aca="false">IF(AU340&gt;AT$7,
    "",
    VLOOKUP(AU340,AW$8:BC$507,2,FALSE())
)</f>
        <v/>
      </c>
      <c r="BF340" s="68" t="str">
        <f aca="false">IF(AU340&gt;AT$7,
    "",
    VLOOKUP(AU340,AW$8:BC$507,3,FALSE())
)</f>
        <v/>
      </c>
      <c r="BG340" s="68" t="str">
        <f aca="false">IF(AU340&gt;AT$7,
    "",
    VLOOKUP(AU340,AW$8:BC$507,4,FALSE())
)</f>
        <v/>
      </c>
      <c r="BH340" s="68" t="str">
        <f aca="false">IF(AU340&gt;AT$7,
    "",
    VLOOKUP(AU340,AW$8:BC$507,5,FALSE())
)</f>
        <v/>
      </c>
      <c r="BI340" s="69" t="str">
        <f aca="false">IF(AU340&gt;AT$7,
    "",
    VLOOKUP(AU340,AW$8:BC$507,6,FALSE())
)</f>
        <v/>
      </c>
      <c r="BJ340" s="46"/>
    </row>
    <row r="341" customFormat="false" ht="15.75" hidden="false" customHeight="false" outlineLevel="0" collapsed="false">
      <c r="A341" s="3"/>
      <c r="B341" s="105"/>
      <c r="C341" s="106"/>
      <c r="D341" s="99"/>
      <c r="E341" s="110"/>
      <c r="F341" s="107"/>
      <c r="G341" s="110"/>
      <c r="H341" s="103"/>
      <c r="I341" s="102"/>
      <c r="J341" s="103"/>
      <c r="K341" s="103"/>
      <c r="L341" s="85"/>
      <c r="M341" s="85" t="str">
        <f aca="false">IF(ISBLANK($C341),"",IF(ISBLANK(E341),0,E341))</f>
        <v/>
      </c>
      <c r="N341" s="85" t="str">
        <f aca="false">IF(ISBLANK($C341),"",IF(ISBLANK(F341),0,F341))</f>
        <v/>
      </c>
      <c r="O341" s="86" t="e">
        <f aca="false">IF(AND(NOT(ISBLANK($C341)),NOT($T341),COUNTA($E341:$K341)&gt;0),ISBLANK($F341),FALSE())</f>
        <v>#VALUE!</v>
      </c>
      <c r="P341" s="85" t="str">
        <f aca="false">IF(ISBLANK($C341),"",IF(G341=Constants!$B$9, TRUE(), IF(G341=Constants!$B$10, FALSE(), TRUE())))</f>
        <v/>
      </c>
      <c r="Q341" s="85" t="str">
        <f aca="false">IF(ISBLANK($C341),"",IF(H341=Constants!$B$9, TRUE(), IF(H341=Constants!$B$10, FALSE(), TRUE())))</f>
        <v/>
      </c>
      <c r="R341" s="85" t="str">
        <f aca="false">IF(ISBLANK($C341),"",IF(ISBLANK(I341),Constants!$B$3,I341))</f>
        <v/>
      </c>
      <c r="S341" s="85" t="str">
        <f aca="false">IF(ISBLANK($C341),"",IF(ISBLANK(J341),0,MIN(J341,Constants!$B$6)))</f>
        <v/>
      </c>
      <c r="T341" s="85" t="str">
        <f aca="false">IF(ISBLANK($C341),"",IF(K341=Constants!$B$9, TRUE(), IF(K341=Constants!$B$10, FALSE(),  FALSE())))</f>
        <v/>
      </c>
      <c r="U341" s="85" t="str">
        <f aca="false">IF(ISBLANK($C341),"",AND(R341=Constants!$B$4, S341&lt;Constants!$B$6))</f>
        <v/>
      </c>
      <c r="V341" s="85" t="str">
        <f aca="false">IF(ISBLANK(C341), "", IF(T341, Constants!$B$11, IF(COUNTA(E341:K341)=0, Constants!$B$12, IF(NOT(AND(P341,S341&lt;&gt;0)), Constants!$B$13, IF(O341, Constants!$B$15, Constants!$B$14)))))</f>
        <v/>
      </c>
      <c r="W341" s="85" t="str">
        <f aca="false">IF(OR(ISBLANK($C341), SUMPRODUCT(--(P341:T341&lt;&gt;""))=0), "", IF(V341&lt;&gt;Constants!$B$14, V341, IF(AND(NOT(ISBLANK(J341)),P341,Q341,R341&lt;&gt;Constants!$B$2), Constants!$B$7, IF(AND(P341,OR(NOT(Q341),R341=Constants!$B$2)), Constants!$B$8, "Error"))))</f>
        <v/>
      </c>
      <c r="X341" s="87" t="str">
        <f aca="false">IF(OR(W341=Constants!$B$7,W341=Constants!$B$8), MAX(0, MIN(Constants!$B$6, S341))+IF(AND(R341=Constants!$B$4, NOT(U341)), Constants!$B$5, 0), "")</f>
        <v/>
      </c>
      <c r="Y341" s="85" t="str">
        <f aca="false">IF(ISBLANK($C341),"",IF(AND(ISNUMBER(X341),N341&gt;0),X341/N341, "") )</f>
        <v/>
      </c>
      <c r="Z341" s="85" t="str">
        <f aca="false">IF(AND(NOT(ISBLANK($C341)), W341=Constants!$B$7), Y341, "")</f>
        <v/>
      </c>
      <c r="AA341" s="85" t="str">
        <f aca="false">IF(ISNUMBER(Z341), RANK(Z341,Z$8:Z$507), "")</f>
        <v/>
      </c>
      <c r="AB341" s="85" t="str">
        <f aca="false">IF(AND(NOT(ISBLANK($C341)), W341=Constants!$B$8), Y341, "")</f>
        <v/>
      </c>
      <c r="AC341" s="85" t="str">
        <f aca="false">IF(ISNUMBER(AB341), RANK(AB341,AB$8:AB$507), "")</f>
        <v/>
      </c>
      <c r="AD341" s="85" t="str">
        <f aca="false">IF(ISBLANK($C341),"",IF(V341&lt;&gt;Constants!$B$14, V341, IF(W341=Constants!$B$7, AA341, IF(W341=Constants!$B$8, COUNT($AA$8:$AA$507) + AC341, ""))))</f>
        <v/>
      </c>
      <c r="AE341" s="85" t="str">
        <f aca="false">N341</f>
        <v/>
      </c>
      <c r="AF341" s="85" t="str">
        <f aca="false">IF(ISNUMBER(AE341), RANK(AE341,AE$8:AE$507,1), "")</f>
        <v/>
      </c>
      <c r="AG341" s="88" t="str">
        <f aca="false">IF(ISBLANK(C341), "", ABS(M341-S341))</f>
        <v/>
      </c>
      <c r="AH341" s="85" t="str">
        <f aca="false">IF(ISNUMBER(AG341), RANK(AG341,AG$8:AG$507,1), "")</f>
        <v/>
      </c>
      <c r="AI341" s="85" t="str">
        <f aca="false">IF(ISBLANK(C341),"",IF(V341&lt;&gt;Constants!$B$14, V341, RANK(AD341, AD$8:AD$507, 1)+ SUMPRODUCT(--(AD$8:AD$507=AD341),--(AF341&gt;AF$8:AF$507)) + SUMPRODUCT(--(AD$8:AD$507=AD341),--(AF341=AF$8:AF$507),--(AH341&gt;AH$8:AH$507))))</f>
        <v/>
      </c>
      <c r="AJ341" s="85" t="str">
        <f aca="false">IF(ISBLANK(C341),"",IF(V341&lt;&gt;Constants!$B$14, V341, AD341-AI341))</f>
        <v/>
      </c>
      <c r="AK341" s="89"/>
      <c r="AL341" s="90" t="str">
        <f aca="false">IF(ISBLANK($C341),"",IF($V341&lt;&gt;Constants!$B$14,$V341,X341))</f>
        <v/>
      </c>
      <c r="AM341" s="90" t="str">
        <f aca="false">IF(ISBLANK($C341),"",IF($V341&lt;&gt;Constants!$B$14,$V341,N341))</f>
        <v/>
      </c>
      <c r="AN341" s="91" t="str">
        <f aca="false">IF(ISBLANK(C341),"",IF(V341&lt;&gt;Constants!$B$14, V341, IF(W341=Constants!$B$7,Z341,IF(W341=Constants!$B$8,AB341,""))))</f>
        <v/>
      </c>
      <c r="AO341" s="92" t="str">
        <f aca="false">IF(ISBLANK(C341),"",W341)</f>
        <v/>
      </c>
      <c r="AP341" s="92" t="str">
        <f aca="false">IF(ISBLANK(C341),"",AJ341)</f>
        <v/>
      </c>
      <c r="AQ341" s="92" t="str">
        <f aca="false">IF(ISBLANK(C341),"",AI341)</f>
        <v/>
      </c>
      <c r="AR341" s="93" t="str">
        <f aca="false">IF(ISBLANK(C341),
  "",
IF(AQ341=Constants!$B$11,COUNTA($C$8:$C$507)+2,IF(AQ341=Constants!$B$12,COUNTA($C$8:$C$507)+1,IF(AQ341=Constants!$B$13,COUNTA($C$8:$C$507),AQ341))))</f>
        <v/>
      </c>
      <c r="AS341" s="3"/>
      <c r="AT341" s="94" t="n">
        <f aca="false">IF(OR(ISNUMBER(AQ341),AQ341="DQ",AQ341="P",AQ341="NS"),
    1,
    0
)</f>
        <v>0</v>
      </c>
      <c r="AU341" s="94" t="n">
        <v>334</v>
      </c>
      <c r="AV341" s="94" t="str">
        <f aca="false">IF(ISBLANK($C341),
    "",
   IF(ISNUMBER(AR341),AR341+ROW($B341)/1000,"")
)</f>
        <v/>
      </c>
      <c r="AW341" s="94" t="str">
        <f aca="false">IF(ISNUMBER(AV341), RANK(AV341,AV$8:AV$507,1), "")</f>
        <v/>
      </c>
      <c r="AX341" s="94" t="str">
        <f aca="false">IF(ISBLANK($C341),
    "",
    $B341
)</f>
        <v/>
      </c>
      <c r="AY341" s="94" t="str">
        <f aca="false">IF(ISBLANK($C341),
    "",
    $C341
)</f>
        <v/>
      </c>
      <c r="AZ341" s="94" t="str">
        <f aca="false">IF(ISBLANK($C341),
    "",
    $D341
)</f>
        <v/>
      </c>
      <c r="BA341" s="94" t="str">
        <f aca="false">AO341</f>
        <v/>
      </c>
      <c r="BB341" s="95" t="str">
        <f aca="false">AN341</f>
        <v/>
      </c>
      <c r="BC341" s="94" t="str">
        <f aca="false">IF(ISBLANK($C341),
    "",
    AQ341
)</f>
        <v/>
      </c>
      <c r="BD341" s="96" t="str">
        <f aca="false">IF(AU341&gt;AT$7,
    "",
    VLOOKUP(AU341,AW$8:BC$507,7,FALSE())
)</f>
        <v/>
      </c>
      <c r="BE341" s="97" t="str">
        <f aca="false">IF(AU341&gt;AT$7,
    "",
    VLOOKUP(AU341,AW$8:BC$507,2,FALSE())
)</f>
        <v/>
      </c>
      <c r="BF341" s="97" t="str">
        <f aca="false">IF(AU341&gt;AT$7,
    "",
    VLOOKUP(AU341,AW$8:BC$507,3,FALSE())
)</f>
        <v/>
      </c>
      <c r="BG341" s="97" t="str">
        <f aca="false">IF(AU341&gt;AT$7,
    "",
    VLOOKUP(AU341,AW$8:BC$507,4,FALSE())
)</f>
        <v/>
      </c>
      <c r="BH341" s="97" t="str">
        <f aca="false">IF(AU341&gt;AT$7,
    "",
    VLOOKUP(AU341,AW$8:BC$507,5,FALSE())
)</f>
        <v/>
      </c>
      <c r="BI341" s="98" t="str">
        <f aca="false">IF(AU341&gt;AT$7,
    "",
    VLOOKUP(AU341,AW$8:BC$507,6,FALSE())
)</f>
        <v/>
      </c>
      <c r="BJ341" s="46"/>
    </row>
    <row r="342" customFormat="false" ht="15.75" hidden="false" customHeight="false" outlineLevel="0" collapsed="false">
      <c r="A342" s="3"/>
      <c r="B342" s="105"/>
      <c r="C342" s="106"/>
      <c r="D342" s="99"/>
      <c r="E342" s="110"/>
      <c r="F342" s="107"/>
      <c r="G342" s="110"/>
      <c r="H342" s="103"/>
      <c r="I342" s="102"/>
      <c r="J342" s="103"/>
      <c r="K342" s="103"/>
      <c r="L342" s="85"/>
      <c r="M342" s="85" t="str">
        <f aca="false">IF(ISBLANK($C342),"",IF(ISBLANK(E342),0,E342))</f>
        <v/>
      </c>
      <c r="N342" s="85" t="str">
        <f aca="false">IF(ISBLANK($C342),"",IF(ISBLANK(F342),0,F342))</f>
        <v/>
      </c>
      <c r="O342" s="86" t="e">
        <f aca="false">IF(AND(NOT(ISBLANK($C342)),NOT($T342),COUNTA($E342:$K342)&gt;0),ISBLANK($F342),FALSE())</f>
        <v>#VALUE!</v>
      </c>
      <c r="P342" s="85" t="str">
        <f aca="false">IF(ISBLANK($C342),"",IF(G342=Constants!$B$9, TRUE(), IF(G342=Constants!$B$10, FALSE(), TRUE())))</f>
        <v/>
      </c>
      <c r="Q342" s="85" t="str">
        <f aca="false">IF(ISBLANK($C342),"",IF(H342=Constants!$B$9, TRUE(), IF(H342=Constants!$B$10, FALSE(), TRUE())))</f>
        <v/>
      </c>
      <c r="R342" s="85" t="str">
        <f aca="false">IF(ISBLANK($C342),"",IF(ISBLANK(I342),Constants!$B$3,I342))</f>
        <v/>
      </c>
      <c r="S342" s="85" t="str">
        <f aca="false">IF(ISBLANK($C342),"",IF(ISBLANK(J342),0,MIN(J342,Constants!$B$6)))</f>
        <v/>
      </c>
      <c r="T342" s="85" t="str">
        <f aca="false">IF(ISBLANK($C342),"",IF(K342=Constants!$B$9, TRUE(), IF(K342=Constants!$B$10, FALSE(),  FALSE())))</f>
        <v/>
      </c>
      <c r="U342" s="85" t="str">
        <f aca="false">IF(ISBLANK($C342),"",AND(R342=Constants!$B$4, S342&lt;Constants!$B$6))</f>
        <v/>
      </c>
      <c r="V342" s="85" t="str">
        <f aca="false">IF(ISBLANK(C342), "", IF(T342, Constants!$B$11, IF(COUNTA(E342:K342)=0, Constants!$B$12, IF(NOT(AND(P342,S342&lt;&gt;0)), Constants!$B$13, IF(O342, Constants!$B$15, Constants!$B$14)))))</f>
        <v/>
      </c>
      <c r="W342" s="85" t="str">
        <f aca="false">IF(OR(ISBLANK($C342), SUMPRODUCT(--(P342:T342&lt;&gt;""))=0), "", IF(V342&lt;&gt;Constants!$B$14, V342, IF(AND(NOT(ISBLANK(J342)),P342,Q342,R342&lt;&gt;Constants!$B$2), Constants!$B$7, IF(AND(P342,OR(NOT(Q342),R342=Constants!$B$2)), Constants!$B$8, "Error"))))</f>
        <v/>
      </c>
      <c r="X342" s="87" t="str">
        <f aca="false">IF(OR(W342=Constants!$B$7,W342=Constants!$B$8), MAX(0, MIN(Constants!$B$6, S342))+IF(AND(R342=Constants!$B$4, NOT(U342)), Constants!$B$5, 0), "")</f>
        <v/>
      </c>
      <c r="Y342" s="85" t="str">
        <f aca="false">IF(ISBLANK($C342),"",IF(AND(ISNUMBER(X342),N342&gt;0),X342/N342, "") )</f>
        <v/>
      </c>
      <c r="Z342" s="85" t="str">
        <f aca="false">IF(AND(NOT(ISBLANK($C342)), W342=Constants!$B$7), Y342, "")</f>
        <v/>
      </c>
      <c r="AA342" s="85" t="str">
        <f aca="false">IF(ISNUMBER(Z342), RANK(Z342,Z$8:Z$507), "")</f>
        <v/>
      </c>
      <c r="AB342" s="85" t="str">
        <f aca="false">IF(AND(NOT(ISBLANK($C342)), W342=Constants!$B$8), Y342, "")</f>
        <v/>
      </c>
      <c r="AC342" s="85" t="str">
        <f aca="false">IF(ISNUMBER(AB342), RANK(AB342,AB$8:AB$507), "")</f>
        <v/>
      </c>
      <c r="AD342" s="85" t="str">
        <f aca="false">IF(ISBLANK($C342),"",IF(V342&lt;&gt;Constants!$B$14, V342, IF(W342=Constants!$B$7, AA342, IF(W342=Constants!$B$8, COUNT($AA$8:$AA$507) + AC342, ""))))</f>
        <v/>
      </c>
      <c r="AE342" s="85" t="str">
        <f aca="false">N342</f>
        <v/>
      </c>
      <c r="AF342" s="85" t="str">
        <f aca="false">IF(ISNUMBER(AE342), RANK(AE342,AE$8:AE$507,1), "")</f>
        <v/>
      </c>
      <c r="AG342" s="88" t="str">
        <f aca="false">IF(ISBLANK(C342), "", ABS(M342-S342))</f>
        <v/>
      </c>
      <c r="AH342" s="85" t="str">
        <f aca="false">IF(ISNUMBER(AG342), RANK(AG342,AG$8:AG$507,1), "")</f>
        <v/>
      </c>
      <c r="AI342" s="85" t="str">
        <f aca="false">IF(ISBLANK(C342),"",IF(V342&lt;&gt;Constants!$B$14, V342, RANK(AD342, AD$8:AD$507, 1)+ SUMPRODUCT(--(AD$8:AD$507=AD342),--(AF342&gt;AF$8:AF$507)) + SUMPRODUCT(--(AD$8:AD$507=AD342),--(AF342=AF$8:AF$507),--(AH342&gt;AH$8:AH$507))))</f>
        <v/>
      </c>
      <c r="AJ342" s="85" t="str">
        <f aca="false">IF(ISBLANK(C342),"",IF(V342&lt;&gt;Constants!$B$14, V342, AD342-AI342))</f>
        <v/>
      </c>
      <c r="AK342" s="89"/>
      <c r="AL342" s="90" t="str">
        <f aca="false">IF(ISBLANK($C342),"",IF($V342&lt;&gt;Constants!$B$14,$V342,X342))</f>
        <v/>
      </c>
      <c r="AM342" s="90" t="str">
        <f aca="false">IF(ISBLANK($C342),"",IF($V342&lt;&gt;Constants!$B$14,$V342,N342))</f>
        <v/>
      </c>
      <c r="AN342" s="91" t="str">
        <f aca="false">IF(ISBLANK(C342),"",IF(V342&lt;&gt;Constants!$B$14, V342, IF(W342=Constants!$B$7,Z342,IF(W342=Constants!$B$8,AB342,""))))</f>
        <v/>
      </c>
      <c r="AO342" s="92" t="str">
        <f aca="false">IF(ISBLANK(C342),"",W342)</f>
        <v/>
      </c>
      <c r="AP342" s="92" t="str">
        <f aca="false">IF(ISBLANK(C342),"",AJ342)</f>
        <v/>
      </c>
      <c r="AQ342" s="92" t="str">
        <f aca="false">IF(ISBLANK(C342),"",AI342)</f>
        <v/>
      </c>
      <c r="AR342" s="93" t="str">
        <f aca="false">IF(ISBLANK(C342),
  "",
IF(AQ342=Constants!$B$11,COUNTA($C$8:$C$507)+2,IF(AQ342=Constants!$B$12,COUNTA($C$8:$C$507)+1,IF(AQ342=Constants!$B$13,COUNTA($C$8:$C$507),AQ342))))</f>
        <v/>
      </c>
      <c r="AS342" s="3"/>
      <c r="AT342" s="94" t="n">
        <f aca="false">IF(OR(ISNUMBER(AQ342),AQ342="DQ",AQ342="P",AQ342="NS"),
    1,
    0
)</f>
        <v>0</v>
      </c>
      <c r="AU342" s="94" t="n">
        <v>335</v>
      </c>
      <c r="AV342" s="94" t="str">
        <f aca="false">IF(ISBLANK($C342),
    "",
   IF(ISNUMBER(AR342),AR342+ROW($B342)/1000,"")
)</f>
        <v/>
      </c>
      <c r="AW342" s="94" t="str">
        <f aca="false">IF(ISNUMBER(AV342), RANK(AV342,AV$8:AV$507,1), "")</f>
        <v/>
      </c>
      <c r="AX342" s="94" t="str">
        <f aca="false">IF(ISBLANK($C342),
    "",
    $B342
)</f>
        <v/>
      </c>
      <c r="AY342" s="94" t="str">
        <f aca="false">IF(ISBLANK($C342),
    "",
    $C342
)</f>
        <v/>
      </c>
      <c r="AZ342" s="94" t="str">
        <f aca="false">IF(ISBLANK($C342),
    "",
    $D342
)</f>
        <v/>
      </c>
      <c r="BA342" s="94" t="str">
        <f aca="false">AO342</f>
        <v/>
      </c>
      <c r="BB342" s="95" t="str">
        <f aca="false">AN342</f>
        <v/>
      </c>
      <c r="BC342" s="94" t="str">
        <f aca="false">IF(ISBLANK($C342),
    "",
    AQ342
)</f>
        <v/>
      </c>
      <c r="BD342" s="96" t="str">
        <f aca="false">IF(AU342&gt;AT$7,
    "",
    VLOOKUP(AU342,AW$8:BC$507,7,FALSE())
)</f>
        <v/>
      </c>
      <c r="BE342" s="97" t="str">
        <f aca="false">IF(AU342&gt;AT$7,
    "",
    VLOOKUP(AU342,AW$8:BC$507,2,FALSE())
)</f>
        <v/>
      </c>
      <c r="BF342" s="97" t="str">
        <f aca="false">IF(AU342&gt;AT$7,
    "",
    VLOOKUP(AU342,AW$8:BC$507,3,FALSE())
)</f>
        <v/>
      </c>
      <c r="BG342" s="97" t="str">
        <f aca="false">IF(AU342&gt;AT$7,
    "",
    VLOOKUP(AU342,AW$8:BC$507,4,FALSE())
)</f>
        <v/>
      </c>
      <c r="BH342" s="97" t="str">
        <f aca="false">IF(AU342&gt;AT$7,
    "",
    VLOOKUP(AU342,AW$8:BC$507,5,FALSE())
)</f>
        <v/>
      </c>
      <c r="BI342" s="98" t="str">
        <f aca="false">IF(AU342&gt;AT$7,
    "",
    VLOOKUP(AU342,AW$8:BC$507,6,FALSE())
)</f>
        <v/>
      </c>
      <c r="BJ342" s="46"/>
    </row>
    <row r="343" customFormat="false" ht="15.75" hidden="false" customHeight="false" outlineLevel="0" collapsed="false">
      <c r="A343" s="3"/>
      <c r="B343" s="105"/>
      <c r="C343" s="106"/>
      <c r="D343" s="99"/>
      <c r="E343" s="110"/>
      <c r="F343" s="107"/>
      <c r="G343" s="110"/>
      <c r="H343" s="103"/>
      <c r="I343" s="102"/>
      <c r="J343" s="103"/>
      <c r="K343" s="103"/>
      <c r="L343" s="85"/>
      <c r="M343" s="85" t="str">
        <f aca="false">IF(ISBLANK($C343),"",IF(ISBLANK(E343),0,E343))</f>
        <v/>
      </c>
      <c r="N343" s="85" t="str">
        <f aca="false">IF(ISBLANK($C343),"",IF(ISBLANK(F343),0,F343))</f>
        <v/>
      </c>
      <c r="O343" s="86" t="e">
        <f aca="false">IF(AND(NOT(ISBLANK($C343)),NOT($T343),COUNTA($E343:$K343)&gt;0),ISBLANK($F343),FALSE())</f>
        <v>#VALUE!</v>
      </c>
      <c r="P343" s="85" t="str">
        <f aca="false">IF(ISBLANK($C343),"",IF(G343=Constants!$B$9, TRUE(), IF(G343=Constants!$B$10, FALSE(), TRUE())))</f>
        <v/>
      </c>
      <c r="Q343" s="85" t="str">
        <f aca="false">IF(ISBLANK($C343),"",IF(H343=Constants!$B$9, TRUE(), IF(H343=Constants!$B$10, FALSE(), TRUE())))</f>
        <v/>
      </c>
      <c r="R343" s="85" t="str">
        <f aca="false">IF(ISBLANK($C343),"",IF(ISBLANK(I343),Constants!$B$3,I343))</f>
        <v/>
      </c>
      <c r="S343" s="85" t="str">
        <f aca="false">IF(ISBLANK($C343),"",IF(ISBLANK(J343),0,MIN(J343,Constants!$B$6)))</f>
        <v/>
      </c>
      <c r="T343" s="85" t="str">
        <f aca="false">IF(ISBLANK($C343),"",IF(K343=Constants!$B$9, TRUE(), IF(K343=Constants!$B$10, FALSE(),  FALSE())))</f>
        <v/>
      </c>
      <c r="U343" s="85" t="str">
        <f aca="false">IF(ISBLANK($C343),"",AND(R343=Constants!$B$4, S343&lt;Constants!$B$6))</f>
        <v/>
      </c>
      <c r="V343" s="85" t="str">
        <f aca="false">IF(ISBLANK(C343), "", IF(T343, Constants!$B$11, IF(COUNTA(E343:K343)=0, Constants!$B$12, IF(NOT(AND(P343,S343&lt;&gt;0)), Constants!$B$13, IF(O343, Constants!$B$15, Constants!$B$14)))))</f>
        <v/>
      </c>
      <c r="W343" s="85" t="str">
        <f aca="false">IF(OR(ISBLANK($C343), SUMPRODUCT(--(P343:T343&lt;&gt;""))=0), "", IF(V343&lt;&gt;Constants!$B$14, V343, IF(AND(NOT(ISBLANK(J343)),P343,Q343,R343&lt;&gt;Constants!$B$2), Constants!$B$7, IF(AND(P343,OR(NOT(Q343),R343=Constants!$B$2)), Constants!$B$8, "Error"))))</f>
        <v/>
      </c>
      <c r="X343" s="87" t="str">
        <f aca="false">IF(OR(W343=Constants!$B$7,W343=Constants!$B$8), MAX(0, MIN(Constants!$B$6, S343))+IF(AND(R343=Constants!$B$4, NOT(U343)), Constants!$B$5, 0), "")</f>
        <v/>
      </c>
      <c r="Y343" s="85" t="str">
        <f aca="false">IF(ISBLANK($C343),"",IF(AND(ISNUMBER(X343),N343&gt;0),X343/N343, "") )</f>
        <v/>
      </c>
      <c r="Z343" s="85" t="str">
        <f aca="false">IF(AND(NOT(ISBLANK($C343)), W343=Constants!$B$7), Y343, "")</f>
        <v/>
      </c>
      <c r="AA343" s="85" t="str">
        <f aca="false">IF(ISNUMBER(Z343), RANK(Z343,Z$8:Z$507), "")</f>
        <v/>
      </c>
      <c r="AB343" s="85" t="str">
        <f aca="false">IF(AND(NOT(ISBLANK($C343)), W343=Constants!$B$8), Y343, "")</f>
        <v/>
      </c>
      <c r="AC343" s="85" t="str">
        <f aca="false">IF(ISNUMBER(AB343), RANK(AB343,AB$8:AB$507), "")</f>
        <v/>
      </c>
      <c r="AD343" s="85" t="str">
        <f aca="false">IF(ISBLANK($C343),"",IF(V343&lt;&gt;Constants!$B$14, V343, IF(W343=Constants!$B$7, AA343, IF(W343=Constants!$B$8, COUNT($AA$8:$AA$507) + AC343, ""))))</f>
        <v/>
      </c>
      <c r="AE343" s="85" t="str">
        <f aca="false">N343</f>
        <v/>
      </c>
      <c r="AF343" s="85" t="str">
        <f aca="false">IF(ISNUMBER(AE343), RANK(AE343,AE$8:AE$507,1), "")</f>
        <v/>
      </c>
      <c r="AG343" s="88" t="str">
        <f aca="false">IF(ISBLANK(C343), "", ABS(M343-S343))</f>
        <v/>
      </c>
      <c r="AH343" s="85" t="str">
        <f aca="false">IF(ISNUMBER(AG343), RANK(AG343,AG$8:AG$507,1), "")</f>
        <v/>
      </c>
      <c r="AI343" s="85" t="str">
        <f aca="false">IF(ISBLANK(C343),"",IF(V343&lt;&gt;Constants!$B$14, V343, RANK(AD343, AD$8:AD$507, 1)+ SUMPRODUCT(--(AD$8:AD$507=AD343),--(AF343&gt;AF$8:AF$507)) + SUMPRODUCT(--(AD$8:AD$507=AD343),--(AF343=AF$8:AF$507),--(AH343&gt;AH$8:AH$507))))</f>
        <v/>
      </c>
      <c r="AJ343" s="85" t="str">
        <f aca="false">IF(ISBLANK(C343),"",IF(V343&lt;&gt;Constants!$B$14, V343, AD343-AI343))</f>
        <v/>
      </c>
      <c r="AK343" s="89"/>
      <c r="AL343" s="90" t="str">
        <f aca="false">IF(ISBLANK($C343),"",IF($V343&lt;&gt;Constants!$B$14,$V343,X343))</f>
        <v/>
      </c>
      <c r="AM343" s="90" t="str">
        <f aca="false">IF(ISBLANK($C343),"",IF($V343&lt;&gt;Constants!$B$14,$V343,N343))</f>
        <v/>
      </c>
      <c r="AN343" s="91" t="str">
        <f aca="false">IF(ISBLANK(C343),"",IF(V343&lt;&gt;Constants!$B$14, V343, IF(W343=Constants!$B$7,Z343,IF(W343=Constants!$B$8,AB343,""))))</f>
        <v/>
      </c>
      <c r="AO343" s="92" t="str">
        <f aca="false">IF(ISBLANK(C343),"",W343)</f>
        <v/>
      </c>
      <c r="AP343" s="92" t="str">
        <f aca="false">IF(ISBLANK(C343),"",AJ343)</f>
        <v/>
      </c>
      <c r="AQ343" s="92" t="str">
        <f aca="false">IF(ISBLANK(C343),"",AI343)</f>
        <v/>
      </c>
      <c r="AR343" s="93" t="str">
        <f aca="false">IF(ISBLANK(C343),
  "",
IF(AQ343=Constants!$B$11,COUNTA($C$8:$C$507)+2,IF(AQ343=Constants!$B$12,COUNTA($C$8:$C$507)+1,IF(AQ343=Constants!$B$13,COUNTA($C$8:$C$507),AQ343))))</f>
        <v/>
      </c>
      <c r="AS343" s="3"/>
      <c r="AT343" s="94" t="n">
        <f aca="false">IF(OR(ISNUMBER(AQ343),AQ343="DQ",AQ343="P",AQ343="NS"),
    1,
    0
)</f>
        <v>0</v>
      </c>
      <c r="AU343" s="94" t="n">
        <v>336</v>
      </c>
      <c r="AV343" s="94" t="str">
        <f aca="false">IF(ISBLANK($C343),
    "",
   IF(ISNUMBER(AR343),AR343+ROW($B343)/1000,"")
)</f>
        <v/>
      </c>
      <c r="AW343" s="94" t="str">
        <f aca="false">IF(ISNUMBER(AV343), RANK(AV343,AV$8:AV$507,1), "")</f>
        <v/>
      </c>
      <c r="AX343" s="94" t="str">
        <f aca="false">IF(ISBLANK($C343),
    "",
    $B343
)</f>
        <v/>
      </c>
      <c r="AY343" s="94" t="str">
        <f aca="false">IF(ISBLANK($C343),
    "",
    $C343
)</f>
        <v/>
      </c>
      <c r="AZ343" s="94" t="str">
        <f aca="false">IF(ISBLANK($C343),
    "",
    $D343
)</f>
        <v/>
      </c>
      <c r="BA343" s="94" t="str">
        <f aca="false">AO343</f>
        <v/>
      </c>
      <c r="BB343" s="95" t="str">
        <f aca="false">AN343</f>
        <v/>
      </c>
      <c r="BC343" s="94" t="str">
        <f aca="false">IF(ISBLANK($C343),
    "",
    AQ343
)</f>
        <v/>
      </c>
      <c r="BD343" s="96" t="str">
        <f aca="false">IF(AU343&gt;AT$7,
    "",
    VLOOKUP(AU343,AW$8:BC$507,7,FALSE())
)</f>
        <v/>
      </c>
      <c r="BE343" s="97" t="str">
        <f aca="false">IF(AU343&gt;AT$7,
    "",
    VLOOKUP(AU343,AW$8:BC$507,2,FALSE())
)</f>
        <v/>
      </c>
      <c r="BF343" s="97" t="str">
        <f aca="false">IF(AU343&gt;AT$7,
    "",
    VLOOKUP(AU343,AW$8:BC$507,3,FALSE())
)</f>
        <v/>
      </c>
      <c r="BG343" s="97" t="str">
        <f aca="false">IF(AU343&gt;AT$7,
    "",
    VLOOKUP(AU343,AW$8:BC$507,4,FALSE())
)</f>
        <v/>
      </c>
      <c r="BH343" s="97" t="str">
        <f aca="false">IF(AU343&gt;AT$7,
    "",
    VLOOKUP(AU343,AW$8:BC$507,5,FALSE())
)</f>
        <v/>
      </c>
      <c r="BI343" s="98" t="str">
        <f aca="false">IF(AU343&gt;AT$7,
    "",
    VLOOKUP(AU343,AW$8:BC$507,6,FALSE())
)</f>
        <v/>
      </c>
      <c r="BJ343" s="46"/>
    </row>
    <row r="344" customFormat="false" ht="15.75" hidden="false" customHeight="false" outlineLevel="0" collapsed="false">
      <c r="A344" s="3"/>
      <c r="B344" s="108"/>
      <c r="C344" s="70"/>
      <c r="D344" s="49"/>
      <c r="E344" s="109"/>
      <c r="F344" s="72"/>
      <c r="G344" s="109"/>
      <c r="H344" s="74"/>
      <c r="I344" s="104"/>
      <c r="J344" s="74"/>
      <c r="K344" s="74"/>
      <c r="L344" s="55"/>
      <c r="M344" s="55" t="str">
        <f aca="false">IF(ISBLANK($C344),"",IF(ISBLANK(E344),0,E344))</f>
        <v/>
      </c>
      <c r="N344" s="55" t="str">
        <f aca="false">IF(ISBLANK($C344),"",IF(ISBLANK(F344),0,F344))</f>
        <v/>
      </c>
      <c r="O344" s="55" t="e">
        <f aca="false">IF(AND(NOT(ISBLANK($C344)),NOT($T344),COUNTA($E344:$K344)&gt;0),ISBLANK($F344),FALSE())</f>
        <v>#VALUE!</v>
      </c>
      <c r="P344" s="55" t="str">
        <f aca="false">IF(ISBLANK($C344),"",IF(G344=Constants!$B$9, TRUE(), IF(G344=Constants!$B$10, FALSE(), TRUE())))</f>
        <v/>
      </c>
      <c r="Q344" s="55" t="str">
        <f aca="false">IF(ISBLANK($C344),"",IF(H344=Constants!$B$9, TRUE(), IF(H344=Constants!$B$10, FALSE(), TRUE())))</f>
        <v/>
      </c>
      <c r="R344" s="55" t="str">
        <f aca="false">IF(ISBLANK($C344),"",IF(ISBLANK(I344),Constants!$B$3,I344))</f>
        <v/>
      </c>
      <c r="S344" s="55" t="str">
        <f aca="false">IF(ISBLANK($C344),"",IF(ISBLANK(J344),0,MIN(J344,Constants!$B$6)))</f>
        <v/>
      </c>
      <c r="T344" s="55" t="str">
        <f aca="false">IF(ISBLANK($C344),"",IF(K344=Constants!$B$9, TRUE(), IF(K344=Constants!$B$10, FALSE(),  FALSE())))</f>
        <v/>
      </c>
      <c r="U344" s="55" t="str">
        <f aca="false">IF(ISBLANK($C344),"",AND(R344=Constants!$B$4, S344&lt;Constants!$B$6))</f>
        <v/>
      </c>
      <c r="V344" s="55" t="str">
        <f aca="false">IF(ISBLANK(C344), "", IF(T344, Constants!$B$11, IF(COUNTA(E344:K344)=0, Constants!$B$12, IF(NOT(AND(P344,S344&lt;&gt;0)), Constants!$B$13, IF(O344, Constants!$B$15, Constants!$B$14)))))</f>
        <v/>
      </c>
      <c r="W344" s="55" t="str">
        <f aca="false">IF(OR(ISBLANK($C344), SUMPRODUCT(--(P344:T344&lt;&gt;""))=0), "", IF(V344&lt;&gt;Constants!$B$14, V344, IF(AND(NOT(ISBLANK(J344)),P344,Q344,R344&lt;&gt;Constants!$B$2), Constants!$B$7, IF(AND(P344,OR(NOT(Q344),R344=Constants!$B$2)), Constants!$B$8, "Error"))))</f>
        <v/>
      </c>
      <c r="X344" s="56" t="str">
        <f aca="false">IF(OR(W344=Constants!$B$7,W344=Constants!$B$8), MAX(0, MIN(Constants!$B$6, S344))+IF(AND(R344=Constants!$B$4, NOT(U344)), Constants!$B$5, 0), "")</f>
        <v/>
      </c>
      <c r="Y344" s="55" t="str">
        <f aca="false">IF(ISBLANK($C344),"",IF(AND(ISNUMBER(X344),N344&gt;0),X344/N344, "") )</f>
        <v/>
      </c>
      <c r="Z344" s="55" t="str">
        <f aca="false">IF(AND(NOT(ISBLANK($C344)), W344=Constants!$B$7), Y344, "")</f>
        <v/>
      </c>
      <c r="AA344" s="55" t="str">
        <f aca="false">IF(ISNUMBER(Z344), RANK(Z344,Z$8:Z$507), "")</f>
        <v/>
      </c>
      <c r="AB344" s="55" t="str">
        <f aca="false">IF(AND(NOT(ISBLANK($C344)), W344=Constants!$B$8), Y344, "")</f>
        <v/>
      </c>
      <c r="AC344" s="55" t="str">
        <f aca="false">IF(ISNUMBER(AB344), RANK(AB344,AB$8:AB$507), "")</f>
        <v/>
      </c>
      <c r="AD344" s="55" t="str">
        <f aca="false">IF(ISBLANK($C344),"",IF(V344&lt;&gt;Constants!$B$14, V344, IF(W344=Constants!$B$7, AA344, IF(W344=Constants!$B$8, COUNT($AA$8:$AA$507) + AC344, ""))))</f>
        <v/>
      </c>
      <c r="AE344" s="55" t="str">
        <f aca="false">N344</f>
        <v/>
      </c>
      <c r="AF344" s="55" t="str">
        <f aca="false">IF(ISNUMBER(AE344), RANK(AE344,AE$8:AE$507,1), "")</f>
        <v/>
      </c>
      <c r="AG344" s="57" t="str">
        <f aca="false">IF(ISBLANK(C344), "", ABS(M344-S344))</f>
        <v/>
      </c>
      <c r="AH344" s="55" t="str">
        <f aca="false">IF(ISNUMBER(AG344), RANK(AG344,AG$8:AG$507,1), "")</f>
        <v/>
      </c>
      <c r="AI344" s="55" t="str">
        <f aca="false">IF(ISBLANK(C344),"",IF(V344&lt;&gt;Constants!$B$14, V344, RANK(AD344, AD$8:AD$507, 1)+ SUMPRODUCT(--(AD$8:AD$507=AD344),--(AF344&gt;AF$8:AF$507)) + SUMPRODUCT(--(AD$8:AD$507=AD344),--(AF344=AF$8:AF$507),--(AH344&gt;AH$8:AH$507))))</f>
        <v/>
      </c>
      <c r="AJ344" s="55" t="str">
        <f aca="false">IF(ISBLANK(C344),"",IF(V344&lt;&gt;Constants!$B$14, V344, AD344-AI344))</f>
        <v/>
      </c>
      <c r="AK344" s="59"/>
      <c r="AL344" s="60" t="str">
        <f aca="false">IF(ISBLANK($C344),"",IF($V344&lt;&gt;Constants!$B$14,$V344,X344))</f>
        <v/>
      </c>
      <c r="AM344" s="60" t="str">
        <f aca="false">IF(ISBLANK($C344),"",IF($V344&lt;&gt;Constants!$B$14,$V344,N344))</f>
        <v/>
      </c>
      <c r="AN344" s="62" t="str">
        <f aca="false">IF(ISBLANK(C344),"",IF(V344&lt;&gt;Constants!$B$14, V344, IF(W344=Constants!$B$7,Z344,IF(W344=Constants!$B$8,AB344,""))))</f>
        <v/>
      </c>
      <c r="AO344" s="63" t="str">
        <f aca="false">IF(ISBLANK(C344),"",W344)</f>
        <v/>
      </c>
      <c r="AP344" s="63" t="str">
        <f aca="false">IF(ISBLANK(C344),"",AJ344)</f>
        <v/>
      </c>
      <c r="AQ344" s="63" t="str">
        <f aca="false">IF(ISBLANK(C344),"",AI344)</f>
        <v/>
      </c>
      <c r="AR344" s="64" t="str">
        <f aca="false">IF(ISBLANK(C344),
  "",
IF(AQ344=Constants!$B$11,COUNTA($C$8:$C$507)+2,IF(AQ344=Constants!$B$12,COUNTA($C$8:$C$507)+1,IF(AQ344=Constants!$B$13,COUNTA($C$8:$C$507),AQ344))))</f>
        <v/>
      </c>
      <c r="AS344" s="3"/>
      <c r="AT344" s="65" t="n">
        <f aca="false">IF(OR(ISNUMBER(AQ344),AQ344="DQ",AQ344="P",AQ344="NS"),
    1,
    0
)</f>
        <v>0</v>
      </c>
      <c r="AU344" s="65" t="n">
        <v>337</v>
      </c>
      <c r="AV344" s="65" t="str">
        <f aca="false">IF(ISBLANK($C344),
    "",
   IF(ISNUMBER(AR344),AR344+ROW($B344)/1000,"")
)</f>
        <v/>
      </c>
      <c r="AW344" s="65" t="str">
        <f aca="false">IF(ISNUMBER(AV344), RANK(AV344,AV$8:AV$507,1), "")</f>
        <v/>
      </c>
      <c r="AX344" s="65" t="str">
        <f aca="false">IF(ISBLANK($C344),
    "",
    $B344
)</f>
        <v/>
      </c>
      <c r="AY344" s="65" t="str">
        <f aca="false">IF(ISBLANK($C344),
    "",
    $C344
)</f>
        <v/>
      </c>
      <c r="AZ344" s="65" t="str">
        <f aca="false">IF(ISBLANK($C344),
    "",
    $D344
)</f>
        <v/>
      </c>
      <c r="BA344" s="65" t="str">
        <f aca="false">AO344</f>
        <v/>
      </c>
      <c r="BB344" s="66" t="str">
        <f aca="false">AN344</f>
        <v/>
      </c>
      <c r="BC344" s="65" t="str">
        <f aca="false">IF(ISBLANK($C344),
    "",
    AQ344
)</f>
        <v/>
      </c>
      <c r="BD344" s="67" t="str">
        <f aca="false">IF(AU344&gt;AT$7,
    "",
    VLOOKUP(AU344,AW$8:BC$507,7,FALSE())
)</f>
        <v/>
      </c>
      <c r="BE344" s="68" t="str">
        <f aca="false">IF(AU344&gt;AT$7,
    "",
    VLOOKUP(AU344,AW$8:BC$507,2,FALSE())
)</f>
        <v/>
      </c>
      <c r="BF344" s="68" t="str">
        <f aca="false">IF(AU344&gt;AT$7,
    "",
    VLOOKUP(AU344,AW$8:BC$507,3,FALSE())
)</f>
        <v/>
      </c>
      <c r="BG344" s="68" t="str">
        <f aca="false">IF(AU344&gt;AT$7,
    "",
    VLOOKUP(AU344,AW$8:BC$507,4,FALSE())
)</f>
        <v/>
      </c>
      <c r="BH344" s="68" t="str">
        <f aca="false">IF(AU344&gt;AT$7,
    "",
    VLOOKUP(AU344,AW$8:BC$507,5,FALSE())
)</f>
        <v/>
      </c>
      <c r="BI344" s="69" t="str">
        <f aca="false">IF(AU344&gt;AT$7,
    "",
    VLOOKUP(AU344,AW$8:BC$507,6,FALSE())
)</f>
        <v/>
      </c>
      <c r="BJ344" s="46"/>
    </row>
    <row r="345" customFormat="false" ht="15.75" hidden="false" customHeight="false" outlineLevel="0" collapsed="false">
      <c r="A345" s="3"/>
      <c r="B345" s="108"/>
      <c r="C345" s="70"/>
      <c r="D345" s="49"/>
      <c r="E345" s="109"/>
      <c r="F345" s="72"/>
      <c r="G345" s="109"/>
      <c r="H345" s="74"/>
      <c r="I345" s="104"/>
      <c r="J345" s="74"/>
      <c r="K345" s="74"/>
      <c r="L345" s="55"/>
      <c r="M345" s="55" t="str">
        <f aca="false">IF(ISBLANK($C345),"",IF(ISBLANK(E345),0,E345))</f>
        <v/>
      </c>
      <c r="N345" s="55" t="str">
        <f aca="false">IF(ISBLANK($C345),"",IF(ISBLANK(F345),0,F345))</f>
        <v/>
      </c>
      <c r="O345" s="55" t="e">
        <f aca="false">IF(AND(NOT(ISBLANK($C345)),NOT($T345),COUNTA($E345:$K345)&gt;0),ISBLANK($F345),FALSE())</f>
        <v>#VALUE!</v>
      </c>
      <c r="P345" s="55" t="str">
        <f aca="false">IF(ISBLANK($C345),"",IF(G345=Constants!$B$9, TRUE(), IF(G345=Constants!$B$10, FALSE(), TRUE())))</f>
        <v/>
      </c>
      <c r="Q345" s="55" t="str">
        <f aca="false">IF(ISBLANK($C345),"",IF(H345=Constants!$B$9, TRUE(), IF(H345=Constants!$B$10, FALSE(), TRUE())))</f>
        <v/>
      </c>
      <c r="R345" s="55" t="str">
        <f aca="false">IF(ISBLANK($C345),"",IF(ISBLANK(I345),Constants!$B$3,I345))</f>
        <v/>
      </c>
      <c r="S345" s="55" t="str">
        <f aca="false">IF(ISBLANK($C345),"",IF(ISBLANK(J345),0,MIN(J345,Constants!$B$6)))</f>
        <v/>
      </c>
      <c r="T345" s="55" t="str">
        <f aca="false">IF(ISBLANK($C345),"",IF(K345=Constants!$B$9, TRUE(), IF(K345=Constants!$B$10, FALSE(),  FALSE())))</f>
        <v/>
      </c>
      <c r="U345" s="55" t="str">
        <f aca="false">IF(ISBLANK($C345),"",AND(R345=Constants!$B$4, S345&lt;Constants!$B$6))</f>
        <v/>
      </c>
      <c r="V345" s="55" t="str">
        <f aca="false">IF(ISBLANK(C345), "", IF(T345, Constants!$B$11, IF(COUNTA(E345:K345)=0, Constants!$B$12, IF(NOT(AND(P345,S345&lt;&gt;0)), Constants!$B$13, IF(O345, Constants!$B$15, Constants!$B$14)))))</f>
        <v/>
      </c>
      <c r="W345" s="55" t="str">
        <f aca="false">IF(OR(ISBLANK($C345), SUMPRODUCT(--(P345:T345&lt;&gt;""))=0), "", IF(V345&lt;&gt;Constants!$B$14, V345, IF(AND(NOT(ISBLANK(J345)),P345,Q345,R345&lt;&gt;Constants!$B$2), Constants!$B$7, IF(AND(P345,OR(NOT(Q345),R345=Constants!$B$2)), Constants!$B$8, "Error"))))</f>
        <v/>
      </c>
      <c r="X345" s="56" t="str">
        <f aca="false">IF(OR(W345=Constants!$B$7,W345=Constants!$B$8), MAX(0, MIN(Constants!$B$6, S345))+IF(AND(R345=Constants!$B$4, NOT(U345)), Constants!$B$5, 0), "")</f>
        <v/>
      </c>
      <c r="Y345" s="55" t="str">
        <f aca="false">IF(ISBLANK($C345),"",IF(AND(ISNUMBER(X345),N345&gt;0),X345/N345, "") )</f>
        <v/>
      </c>
      <c r="Z345" s="55" t="str">
        <f aca="false">IF(AND(NOT(ISBLANK($C345)), W345=Constants!$B$7), Y345, "")</f>
        <v/>
      </c>
      <c r="AA345" s="55" t="str">
        <f aca="false">IF(ISNUMBER(Z345), RANK(Z345,Z$8:Z$507), "")</f>
        <v/>
      </c>
      <c r="AB345" s="55" t="str">
        <f aca="false">IF(AND(NOT(ISBLANK($C345)), W345=Constants!$B$8), Y345, "")</f>
        <v/>
      </c>
      <c r="AC345" s="55" t="str">
        <f aca="false">IF(ISNUMBER(AB345), RANK(AB345,AB$8:AB$507), "")</f>
        <v/>
      </c>
      <c r="AD345" s="55" t="str">
        <f aca="false">IF(ISBLANK($C345),"",IF(V345&lt;&gt;Constants!$B$14, V345, IF(W345=Constants!$B$7, AA345, IF(W345=Constants!$B$8, COUNT($AA$8:$AA$507) + AC345, ""))))</f>
        <v/>
      </c>
      <c r="AE345" s="55" t="str">
        <f aca="false">N345</f>
        <v/>
      </c>
      <c r="AF345" s="55" t="str">
        <f aca="false">IF(ISNUMBER(AE345), RANK(AE345,AE$8:AE$507,1), "")</f>
        <v/>
      </c>
      <c r="AG345" s="57" t="str">
        <f aca="false">IF(ISBLANK(C345), "", ABS(M345-S345))</f>
        <v/>
      </c>
      <c r="AH345" s="55" t="str">
        <f aca="false">IF(ISNUMBER(AG345), RANK(AG345,AG$8:AG$507,1), "")</f>
        <v/>
      </c>
      <c r="AI345" s="55" t="str">
        <f aca="false">IF(ISBLANK(C345),"",IF(V345&lt;&gt;Constants!$B$14, V345, RANK(AD345, AD$8:AD$507, 1)+ SUMPRODUCT(--(AD$8:AD$507=AD345),--(AF345&gt;AF$8:AF$507)) + SUMPRODUCT(--(AD$8:AD$507=AD345),--(AF345=AF$8:AF$507),--(AH345&gt;AH$8:AH$507))))</f>
        <v/>
      </c>
      <c r="AJ345" s="55" t="str">
        <f aca="false">IF(ISBLANK(C345),"",IF(V345&lt;&gt;Constants!$B$14, V345, AD345-AI345))</f>
        <v/>
      </c>
      <c r="AK345" s="59"/>
      <c r="AL345" s="60" t="str">
        <f aca="false">IF(ISBLANK($C345),"",IF($V345&lt;&gt;Constants!$B$14,$V345,X345))</f>
        <v/>
      </c>
      <c r="AM345" s="60" t="str">
        <f aca="false">IF(ISBLANK($C345),"",IF($V345&lt;&gt;Constants!$B$14,$V345,N345))</f>
        <v/>
      </c>
      <c r="AN345" s="62" t="str">
        <f aca="false">IF(ISBLANK(C345),"",IF(V345&lt;&gt;Constants!$B$14, V345, IF(W345=Constants!$B$7,Z345,IF(W345=Constants!$B$8,AB345,""))))</f>
        <v/>
      </c>
      <c r="AO345" s="63" t="str">
        <f aca="false">IF(ISBLANK(C345),"",W345)</f>
        <v/>
      </c>
      <c r="AP345" s="63" t="str">
        <f aca="false">IF(ISBLANK(C345),"",AJ345)</f>
        <v/>
      </c>
      <c r="AQ345" s="63" t="str">
        <f aca="false">IF(ISBLANK(C345),"",AI345)</f>
        <v/>
      </c>
      <c r="AR345" s="64" t="str">
        <f aca="false">IF(ISBLANK(C345),
  "",
IF(AQ345=Constants!$B$11,COUNTA($C$8:$C$507)+2,IF(AQ345=Constants!$B$12,COUNTA($C$8:$C$507)+1,IF(AQ345=Constants!$B$13,COUNTA($C$8:$C$507),AQ345))))</f>
        <v/>
      </c>
      <c r="AS345" s="3"/>
      <c r="AT345" s="65" t="n">
        <f aca="false">IF(OR(ISNUMBER(AQ345),AQ345="DQ",AQ345="P",AQ345="NS"),
    1,
    0
)</f>
        <v>0</v>
      </c>
      <c r="AU345" s="65" t="n">
        <v>338</v>
      </c>
      <c r="AV345" s="65" t="str">
        <f aca="false">IF(ISBLANK($C345),
    "",
   IF(ISNUMBER(AR345),AR345+ROW($B345)/1000,"")
)</f>
        <v/>
      </c>
      <c r="AW345" s="65" t="str">
        <f aca="false">IF(ISNUMBER(AV345), RANK(AV345,AV$8:AV$507,1), "")</f>
        <v/>
      </c>
      <c r="AX345" s="65" t="str">
        <f aca="false">IF(ISBLANK($C345),
    "",
    $B345
)</f>
        <v/>
      </c>
      <c r="AY345" s="65" t="str">
        <f aca="false">IF(ISBLANK($C345),
    "",
    $C345
)</f>
        <v/>
      </c>
      <c r="AZ345" s="65" t="str">
        <f aca="false">IF(ISBLANK($C345),
    "",
    $D345
)</f>
        <v/>
      </c>
      <c r="BA345" s="65" t="str">
        <f aca="false">AO345</f>
        <v/>
      </c>
      <c r="BB345" s="66" t="str">
        <f aca="false">AN345</f>
        <v/>
      </c>
      <c r="BC345" s="65" t="str">
        <f aca="false">IF(ISBLANK($C345),
    "",
    AQ345
)</f>
        <v/>
      </c>
      <c r="BD345" s="67" t="str">
        <f aca="false">IF(AU345&gt;AT$7,
    "",
    VLOOKUP(AU345,AW$8:BC$507,7,FALSE())
)</f>
        <v/>
      </c>
      <c r="BE345" s="68" t="str">
        <f aca="false">IF(AU345&gt;AT$7,
    "",
    VLOOKUP(AU345,AW$8:BC$507,2,FALSE())
)</f>
        <v/>
      </c>
      <c r="BF345" s="68" t="str">
        <f aca="false">IF(AU345&gt;AT$7,
    "",
    VLOOKUP(AU345,AW$8:BC$507,3,FALSE())
)</f>
        <v/>
      </c>
      <c r="BG345" s="68" t="str">
        <f aca="false">IF(AU345&gt;AT$7,
    "",
    VLOOKUP(AU345,AW$8:BC$507,4,FALSE())
)</f>
        <v/>
      </c>
      <c r="BH345" s="68" t="str">
        <f aca="false">IF(AU345&gt;AT$7,
    "",
    VLOOKUP(AU345,AW$8:BC$507,5,FALSE())
)</f>
        <v/>
      </c>
      <c r="BI345" s="69" t="str">
        <f aca="false">IF(AU345&gt;AT$7,
    "",
    VLOOKUP(AU345,AW$8:BC$507,6,FALSE())
)</f>
        <v/>
      </c>
      <c r="BJ345" s="46"/>
    </row>
    <row r="346" customFormat="false" ht="15.75" hidden="false" customHeight="false" outlineLevel="0" collapsed="false">
      <c r="A346" s="3"/>
      <c r="B346" s="108"/>
      <c r="C346" s="70"/>
      <c r="D346" s="49"/>
      <c r="E346" s="109"/>
      <c r="F346" s="72"/>
      <c r="G346" s="109"/>
      <c r="H346" s="74"/>
      <c r="I346" s="104"/>
      <c r="J346" s="74"/>
      <c r="K346" s="74"/>
      <c r="L346" s="55"/>
      <c r="M346" s="55" t="str">
        <f aca="false">IF(ISBLANK($C346),"",IF(ISBLANK(E346),0,E346))</f>
        <v/>
      </c>
      <c r="N346" s="55" t="str">
        <f aca="false">IF(ISBLANK($C346),"",IF(ISBLANK(F346),0,F346))</f>
        <v/>
      </c>
      <c r="O346" s="55" t="e">
        <f aca="false">IF(AND(NOT(ISBLANK($C346)),NOT($T346),COUNTA($E346:$K346)&gt;0),ISBLANK($F346),FALSE())</f>
        <v>#VALUE!</v>
      </c>
      <c r="P346" s="55" t="str">
        <f aca="false">IF(ISBLANK($C346),"",IF(G346=Constants!$B$9, TRUE(), IF(G346=Constants!$B$10, FALSE(), TRUE())))</f>
        <v/>
      </c>
      <c r="Q346" s="55" t="str">
        <f aca="false">IF(ISBLANK($C346),"",IF(H346=Constants!$B$9, TRUE(), IF(H346=Constants!$B$10, FALSE(), TRUE())))</f>
        <v/>
      </c>
      <c r="R346" s="55" t="str">
        <f aca="false">IF(ISBLANK($C346),"",IF(ISBLANK(I346),Constants!$B$3,I346))</f>
        <v/>
      </c>
      <c r="S346" s="55" t="str">
        <f aca="false">IF(ISBLANK($C346),"",IF(ISBLANK(J346),0,MIN(J346,Constants!$B$6)))</f>
        <v/>
      </c>
      <c r="T346" s="55" t="str">
        <f aca="false">IF(ISBLANK($C346),"",IF(K346=Constants!$B$9, TRUE(), IF(K346=Constants!$B$10, FALSE(),  FALSE())))</f>
        <v/>
      </c>
      <c r="U346" s="55" t="str">
        <f aca="false">IF(ISBLANK($C346),"",AND(R346=Constants!$B$4, S346&lt;Constants!$B$6))</f>
        <v/>
      </c>
      <c r="V346" s="55" t="str">
        <f aca="false">IF(ISBLANK(C346), "", IF(T346, Constants!$B$11, IF(COUNTA(E346:K346)=0, Constants!$B$12, IF(NOT(AND(P346,S346&lt;&gt;0)), Constants!$B$13, IF(O346, Constants!$B$15, Constants!$B$14)))))</f>
        <v/>
      </c>
      <c r="W346" s="55" t="str">
        <f aca="false">IF(OR(ISBLANK($C346), SUMPRODUCT(--(P346:T346&lt;&gt;""))=0), "", IF(V346&lt;&gt;Constants!$B$14, V346, IF(AND(NOT(ISBLANK(J346)),P346,Q346,R346&lt;&gt;Constants!$B$2), Constants!$B$7, IF(AND(P346,OR(NOT(Q346),R346=Constants!$B$2)), Constants!$B$8, "Error"))))</f>
        <v/>
      </c>
      <c r="X346" s="56" t="str">
        <f aca="false">IF(OR(W346=Constants!$B$7,W346=Constants!$B$8), MAX(0, MIN(Constants!$B$6, S346))+IF(AND(R346=Constants!$B$4, NOT(U346)), Constants!$B$5, 0), "")</f>
        <v/>
      </c>
      <c r="Y346" s="55" t="str">
        <f aca="false">IF(ISBLANK($C346),"",IF(AND(ISNUMBER(X346),N346&gt;0),X346/N346, "") )</f>
        <v/>
      </c>
      <c r="Z346" s="55" t="str">
        <f aca="false">IF(AND(NOT(ISBLANK($C346)), W346=Constants!$B$7), Y346, "")</f>
        <v/>
      </c>
      <c r="AA346" s="55" t="str">
        <f aca="false">IF(ISNUMBER(Z346), RANK(Z346,Z$8:Z$507), "")</f>
        <v/>
      </c>
      <c r="AB346" s="55" t="str">
        <f aca="false">IF(AND(NOT(ISBLANK($C346)), W346=Constants!$B$8), Y346, "")</f>
        <v/>
      </c>
      <c r="AC346" s="55" t="str">
        <f aca="false">IF(ISNUMBER(AB346), RANK(AB346,AB$8:AB$507), "")</f>
        <v/>
      </c>
      <c r="AD346" s="55" t="str">
        <f aca="false">IF(ISBLANK($C346),"",IF(V346&lt;&gt;Constants!$B$14, V346, IF(W346=Constants!$B$7, AA346, IF(W346=Constants!$B$8, COUNT($AA$8:$AA$507) + AC346, ""))))</f>
        <v/>
      </c>
      <c r="AE346" s="55" t="str">
        <f aca="false">N346</f>
        <v/>
      </c>
      <c r="AF346" s="55" t="str">
        <f aca="false">IF(ISNUMBER(AE346), RANK(AE346,AE$8:AE$507,1), "")</f>
        <v/>
      </c>
      <c r="AG346" s="57" t="str">
        <f aca="false">IF(ISBLANK(C346), "", ABS(M346-S346))</f>
        <v/>
      </c>
      <c r="AH346" s="55" t="str">
        <f aca="false">IF(ISNUMBER(AG346), RANK(AG346,AG$8:AG$507,1), "")</f>
        <v/>
      </c>
      <c r="AI346" s="55" t="str">
        <f aca="false">IF(ISBLANK(C346),"",IF(V346&lt;&gt;Constants!$B$14, V346, RANK(AD346, AD$8:AD$507, 1)+ SUMPRODUCT(--(AD$8:AD$507=AD346),--(AF346&gt;AF$8:AF$507)) + SUMPRODUCT(--(AD$8:AD$507=AD346),--(AF346=AF$8:AF$507),--(AH346&gt;AH$8:AH$507))))</f>
        <v/>
      </c>
      <c r="AJ346" s="55" t="str">
        <f aca="false">IF(ISBLANK(C346),"",IF(V346&lt;&gt;Constants!$B$14, V346, AD346-AI346))</f>
        <v/>
      </c>
      <c r="AK346" s="59"/>
      <c r="AL346" s="60" t="str">
        <f aca="false">IF(ISBLANK($C346),"",IF($V346&lt;&gt;Constants!$B$14,$V346,X346))</f>
        <v/>
      </c>
      <c r="AM346" s="60" t="str">
        <f aca="false">IF(ISBLANK($C346),"",IF($V346&lt;&gt;Constants!$B$14,$V346,N346))</f>
        <v/>
      </c>
      <c r="AN346" s="62" t="str">
        <f aca="false">IF(ISBLANK(C346),"",IF(V346&lt;&gt;Constants!$B$14, V346, IF(W346=Constants!$B$7,Z346,IF(W346=Constants!$B$8,AB346,""))))</f>
        <v/>
      </c>
      <c r="AO346" s="63" t="str">
        <f aca="false">IF(ISBLANK(C346),"",W346)</f>
        <v/>
      </c>
      <c r="AP346" s="63" t="str">
        <f aca="false">IF(ISBLANK(C346),"",AJ346)</f>
        <v/>
      </c>
      <c r="AQ346" s="63" t="str">
        <f aca="false">IF(ISBLANK(C346),"",AI346)</f>
        <v/>
      </c>
      <c r="AR346" s="64" t="str">
        <f aca="false">IF(ISBLANK(C346),
  "",
IF(AQ346=Constants!$B$11,COUNTA($C$8:$C$507)+2,IF(AQ346=Constants!$B$12,COUNTA($C$8:$C$507)+1,IF(AQ346=Constants!$B$13,COUNTA($C$8:$C$507),AQ346))))</f>
        <v/>
      </c>
      <c r="AS346" s="3"/>
      <c r="AT346" s="65" t="n">
        <f aca="false">IF(OR(ISNUMBER(AQ346),AQ346="DQ",AQ346="P",AQ346="NS"),
    1,
    0
)</f>
        <v>0</v>
      </c>
      <c r="AU346" s="65" t="n">
        <v>339</v>
      </c>
      <c r="AV346" s="65" t="str">
        <f aca="false">IF(ISBLANK($C346),
    "",
   IF(ISNUMBER(AR346),AR346+ROW($B346)/1000,"")
)</f>
        <v/>
      </c>
      <c r="AW346" s="65" t="str">
        <f aca="false">IF(ISNUMBER(AV346), RANK(AV346,AV$8:AV$507,1), "")</f>
        <v/>
      </c>
      <c r="AX346" s="65" t="str">
        <f aca="false">IF(ISBLANK($C346),
    "",
    $B346
)</f>
        <v/>
      </c>
      <c r="AY346" s="65" t="str">
        <f aca="false">IF(ISBLANK($C346),
    "",
    $C346
)</f>
        <v/>
      </c>
      <c r="AZ346" s="65" t="str">
        <f aca="false">IF(ISBLANK($C346),
    "",
    $D346
)</f>
        <v/>
      </c>
      <c r="BA346" s="65" t="str">
        <f aca="false">AO346</f>
        <v/>
      </c>
      <c r="BB346" s="66" t="str">
        <f aca="false">AN346</f>
        <v/>
      </c>
      <c r="BC346" s="65" t="str">
        <f aca="false">IF(ISBLANK($C346),
    "",
    AQ346
)</f>
        <v/>
      </c>
      <c r="BD346" s="67" t="str">
        <f aca="false">IF(AU346&gt;AT$7,
    "",
    VLOOKUP(AU346,AW$8:BC$507,7,FALSE())
)</f>
        <v/>
      </c>
      <c r="BE346" s="68" t="str">
        <f aca="false">IF(AU346&gt;AT$7,
    "",
    VLOOKUP(AU346,AW$8:BC$507,2,FALSE())
)</f>
        <v/>
      </c>
      <c r="BF346" s="68" t="str">
        <f aca="false">IF(AU346&gt;AT$7,
    "",
    VLOOKUP(AU346,AW$8:BC$507,3,FALSE())
)</f>
        <v/>
      </c>
      <c r="BG346" s="68" t="str">
        <f aca="false">IF(AU346&gt;AT$7,
    "",
    VLOOKUP(AU346,AW$8:BC$507,4,FALSE())
)</f>
        <v/>
      </c>
      <c r="BH346" s="68" t="str">
        <f aca="false">IF(AU346&gt;AT$7,
    "",
    VLOOKUP(AU346,AW$8:BC$507,5,FALSE())
)</f>
        <v/>
      </c>
      <c r="BI346" s="69" t="str">
        <f aca="false">IF(AU346&gt;AT$7,
    "",
    VLOOKUP(AU346,AW$8:BC$507,6,FALSE())
)</f>
        <v/>
      </c>
      <c r="BJ346" s="46"/>
    </row>
    <row r="347" customFormat="false" ht="15.75" hidden="false" customHeight="false" outlineLevel="0" collapsed="false">
      <c r="A347" s="3"/>
      <c r="B347" s="105"/>
      <c r="C347" s="106"/>
      <c r="D347" s="99"/>
      <c r="E347" s="110"/>
      <c r="F347" s="107"/>
      <c r="G347" s="110"/>
      <c r="H347" s="103"/>
      <c r="I347" s="102"/>
      <c r="J347" s="103"/>
      <c r="K347" s="103"/>
      <c r="L347" s="85"/>
      <c r="M347" s="85" t="str">
        <f aca="false">IF(ISBLANK($C347),"",IF(ISBLANK(E347),0,E347))</f>
        <v/>
      </c>
      <c r="N347" s="85" t="str">
        <f aca="false">IF(ISBLANK($C347),"",IF(ISBLANK(F347),0,F347))</f>
        <v/>
      </c>
      <c r="O347" s="86" t="e">
        <f aca="false">IF(AND(NOT(ISBLANK($C347)),NOT($T347),COUNTA($E347:$K347)&gt;0),ISBLANK($F347),FALSE())</f>
        <v>#VALUE!</v>
      </c>
      <c r="P347" s="85" t="str">
        <f aca="false">IF(ISBLANK($C347),"",IF(G347=Constants!$B$9, TRUE(), IF(G347=Constants!$B$10, FALSE(), TRUE())))</f>
        <v/>
      </c>
      <c r="Q347" s="85" t="str">
        <f aca="false">IF(ISBLANK($C347),"",IF(H347=Constants!$B$9, TRUE(), IF(H347=Constants!$B$10, FALSE(), TRUE())))</f>
        <v/>
      </c>
      <c r="R347" s="85" t="str">
        <f aca="false">IF(ISBLANK($C347),"",IF(ISBLANK(I347),Constants!$B$3,I347))</f>
        <v/>
      </c>
      <c r="S347" s="85" t="str">
        <f aca="false">IF(ISBLANK($C347),"",IF(ISBLANK(J347),0,MIN(J347,Constants!$B$6)))</f>
        <v/>
      </c>
      <c r="T347" s="85" t="str">
        <f aca="false">IF(ISBLANK($C347),"",IF(K347=Constants!$B$9, TRUE(), IF(K347=Constants!$B$10, FALSE(),  FALSE())))</f>
        <v/>
      </c>
      <c r="U347" s="85" t="str">
        <f aca="false">IF(ISBLANK($C347),"",AND(R347=Constants!$B$4, S347&lt;Constants!$B$6))</f>
        <v/>
      </c>
      <c r="V347" s="85" t="str">
        <f aca="false">IF(ISBLANK(C347), "", IF(T347, Constants!$B$11, IF(COUNTA(E347:K347)=0, Constants!$B$12, IF(NOT(AND(P347,S347&lt;&gt;0)), Constants!$B$13, IF(O347, Constants!$B$15, Constants!$B$14)))))</f>
        <v/>
      </c>
      <c r="W347" s="85" t="str">
        <f aca="false">IF(OR(ISBLANK($C347), SUMPRODUCT(--(P347:T347&lt;&gt;""))=0), "", IF(V347&lt;&gt;Constants!$B$14, V347, IF(AND(NOT(ISBLANK(J347)),P347,Q347,R347&lt;&gt;Constants!$B$2), Constants!$B$7, IF(AND(P347,OR(NOT(Q347),R347=Constants!$B$2)), Constants!$B$8, "Error"))))</f>
        <v/>
      </c>
      <c r="X347" s="87" t="str">
        <f aca="false">IF(OR(W347=Constants!$B$7,W347=Constants!$B$8), MAX(0, MIN(Constants!$B$6, S347))+IF(AND(R347=Constants!$B$4, NOT(U347)), Constants!$B$5, 0), "")</f>
        <v/>
      </c>
      <c r="Y347" s="85" t="str">
        <f aca="false">IF(ISBLANK($C347),"",IF(AND(ISNUMBER(X347),N347&gt;0),X347/N347, "") )</f>
        <v/>
      </c>
      <c r="Z347" s="85" t="str">
        <f aca="false">IF(AND(NOT(ISBLANK($C347)), W347=Constants!$B$7), Y347, "")</f>
        <v/>
      </c>
      <c r="AA347" s="85" t="str">
        <f aca="false">IF(ISNUMBER(Z347), RANK(Z347,Z$8:Z$507), "")</f>
        <v/>
      </c>
      <c r="AB347" s="85" t="str">
        <f aca="false">IF(AND(NOT(ISBLANK($C347)), W347=Constants!$B$8), Y347, "")</f>
        <v/>
      </c>
      <c r="AC347" s="85" t="str">
        <f aca="false">IF(ISNUMBER(AB347), RANK(AB347,AB$8:AB$507), "")</f>
        <v/>
      </c>
      <c r="AD347" s="85" t="str">
        <f aca="false">IF(ISBLANK($C347),"",IF(V347&lt;&gt;Constants!$B$14, V347, IF(W347=Constants!$B$7, AA347, IF(W347=Constants!$B$8, COUNT($AA$8:$AA$507) + AC347, ""))))</f>
        <v/>
      </c>
      <c r="AE347" s="85" t="str">
        <f aca="false">N347</f>
        <v/>
      </c>
      <c r="AF347" s="85" t="str">
        <f aca="false">IF(ISNUMBER(AE347), RANK(AE347,AE$8:AE$507,1), "")</f>
        <v/>
      </c>
      <c r="AG347" s="88" t="str">
        <f aca="false">IF(ISBLANK(C347), "", ABS(M347-S347))</f>
        <v/>
      </c>
      <c r="AH347" s="85" t="str">
        <f aca="false">IF(ISNUMBER(AG347), RANK(AG347,AG$8:AG$507,1), "")</f>
        <v/>
      </c>
      <c r="AI347" s="85" t="str">
        <f aca="false">IF(ISBLANK(C347),"",IF(V347&lt;&gt;Constants!$B$14, V347, RANK(AD347, AD$8:AD$507, 1)+ SUMPRODUCT(--(AD$8:AD$507=AD347),--(AF347&gt;AF$8:AF$507)) + SUMPRODUCT(--(AD$8:AD$507=AD347),--(AF347=AF$8:AF$507),--(AH347&gt;AH$8:AH$507))))</f>
        <v/>
      </c>
      <c r="AJ347" s="85" t="str">
        <f aca="false">IF(ISBLANK(C347),"",IF(V347&lt;&gt;Constants!$B$14, V347, AD347-AI347))</f>
        <v/>
      </c>
      <c r="AK347" s="89"/>
      <c r="AL347" s="90" t="str">
        <f aca="false">IF(ISBLANK($C347),"",IF($V347&lt;&gt;Constants!$B$14,$V347,X347))</f>
        <v/>
      </c>
      <c r="AM347" s="90" t="str">
        <f aca="false">IF(ISBLANK($C347),"",IF($V347&lt;&gt;Constants!$B$14,$V347,N347))</f>
        <v/>
      </c>
      <c r="AN347" s="91" t="str">
        <f aca="false">IF(ISBLANK(C347),"",IF(V347&lt;&gt;Constants!$B$14, V347, IF(W347=Constants!$B$7,Z347,IF(W347=Constants!$B$8,AB347,""))))</f>
        <v/>
      </c>
      <c r="AO347" s="92" t="str">
        <f aca="false">IF(ISBLANK(C347),"",W347)</f>
        <v/>
      </c>
      <c r="AP347" s="92" t="str">
        <f aca="false">IF(ISBLANK(C347),"",AJ347)</f>
        <v/>
      </c>
      <c r="AQ347" s="92" t="str">
        <f aca="false">IF(ISBLANK(C347),"",AI347)</f>
        <v/>
      </c>
      <c r="AR347" s="93" t="str">
        <f aca="false">IF(ISBLANK(C347),
  "",
IF(AQ347=Constants!$B$11,COUNTA($C$8:$C$507)+2,IF(AQ347=Constants!$B$12,COUNTA($C$8:$C$507)+1,IF(AQ347=Constants!$B$13,COUNTA($C$8:$C$507),AQ347))))</f>
        <v/>
      </c>
      <c r="AS347" s="3"/>
      <c r="AT347" s="94" t="n">
        <f aca="false">IF(OR(ISNUMBER(AQ347),AQ347="DQ",AQ347="P",AQ347="NS"),
    1,
    0
)</f>
        <v>0</v>
      </c>
      <c r="AU347" s="94" t="n">
        <v>340</v>
      </c>
      <c r="AV347" s="94" t="str">
        <f aca="false">IF(ISBLANK($C347),
    "",
   IF(ISNUMBER(AR347),AR347+ROW($B347)/1000,"")
)</f>
        <v/>
      </c>
      <c r="AW347" s="94" t="str">
        <f aca="false">IF(ISNUMBER(AV347), RANK(AV347,AV$8:AV$507,1), "")</f>
        <v/>
      </c>
      <c r="AX347" s="94" t="str">
        <f aca="false">IF(ISBLANK($C347),
    "",
    $B347
)</f>
        <v/>
      </c>
      <c r="AY347" s="94" t="str">
        <f aca="false">IF(ISBLANK($C347),
    "",
    $C347
)</f>
        <v/>
      </c>
      <c r="AZ347" s="94" t="str">
        <f aca="false">IF(ISBLANK($C347),
    "",
    $D347
)</f>
        <v/>
      </c>
      <c r="BA347" s="94" t="str">
        <f aca="false">AO347</f>
        <v/>
      </c>
      <c r="BB347" s="95" t="str">
        <f aca="false">AN347</f>
        <v/>
      </c>
      <c r="BC347" s="94" t="str">
        <f aca="false">IF(ISBLANK($C347),
    "",
    AQ347
)</f>
        <v/>
      </c>
      <c r="BD347" s="96" t="str">
        <f aca="false">IF(AU347&gt;AT$7,
    "",
    VLOOKUP(AU347,AW$8:BC$507,7,FALSE())
)</f>
        <v/>
      </c>
      <c r="BE347" s="97" t="str">
        <f aca="false">IF(AU347&gt;AT$7,
    "",
    VLOOKUP(AU347,AW$8:BC$507,2,FALSE())
)</f>
        <v/>
      </c>
      <c r="BF347" s="97" t="str">
        <f aca="false">IF(AU347&gt;AT$7,
    "",
    VLOOKUP(AU347,AW$8:BC$507,3,FALSE())
)</f>
        <v/>
      </c>
      <c r="BG347" s="97" t="str">
        <f aca="false">IF(AU347&gt;AT$7,
    "",
    VLOOKUP(AU347,AW$8:BC$507,4,FALSE())
)</f>
        <v/>
      </c>
      <c r="BH347" s="97" t="str">
        <f aca="false">IF(AU347&gt;AT$7,
    "",
    VLOOKUP(AU347,AW$8:BC$507,5,FALSE())
)</f>
        <v/>
      </c>
      <c r="BI347" s="98" t="str">
        <f aca="false">IF(AU347&gt;AT$7,
    "",
    VLOOKUP(AU347,AW$8:BC$507,6,FALSE())
)</f>
        <v/>
      </c>
      <c r="BJ347" s="46"/>
    </row>
    <row r="348" customFormat="false" ht="15.75" hidden="false" customHeight="false" outlineLevel="0" collapsed="false">
      <c r="A348" s="3"/>
      <c r="B348" s="105"/>
      <c r="C348" s="106"/>
      <c r="D348" s="99"/>
      <c r="E348" s="110"/>
      <c r="F348" s="107"/>
      <c r="G348" s="110"/>
      <c r="H348" s="103"/>
      <c r="I348" s="102"/>
      <c r="J348" s="103"/>
      <c r="K348" s="103"/>
      <c r="L348" s="85"/>
      <c r="M348" s="85" t="str">
        <f aca="false">IF(ISBLANK($C348),"",IF(ISBLANK(E348),0,E348))</f>
        <v/>
      </c>
      <c r="N348" s="85" t="str">
        <f aca="false">IF(ISBLANK($C348),"",IF(ISBLANK(F348),0,F348))</f>
        <v/>
      </c>
      <c r="O348" s="86" t="e">
        <f aca="false">IF(AND(NOT(ISBLANK($C348)),NOT($T348),COUNTA($E348:$K348)&gt;0),ISBLANK($F348),FALSE())</f>
        <v>#VALUE!</v>
      </c>
      <c r="P348" s="85" t="str">
        <f aca="false">IF(ISBLANK($C348),"",IF(G348=Constants!$B$9, TRUE(), IF(G348=Constants!$B$10, FALSE(), TRUE())))</f>
        <v/>
      </c>
      <c r="Q348" s="85" t="str">
        <f aca="false">IF(ISBLANK($C348),"",IF(H348=Constants!$B$9, TRUE(), IF(H348=Constants!$B$10, FALSE(), TRUE())))</f>
        <v/>
      </c>
      <c r="R348" s="85" t="str">
        <f aca="false">IF(ISBLANK($C348),"",IF(ISBLANK(I348),Constants!$B$3,I348))</f>
        <v/>
      </c>
      <c r="S348" s="85" t="str">
        <f aca="false">IF(ISBLANK($C348),"",IF(ISBLANK(J348),0,MIN(J348,Constants!$B$6)))</f>
        <v/>
      </c>
      <c r="T348" s="85" t="str">
        <f aca="false">IF(ISBLANK($C348),"",IF(K348=Constants!$B$9, TRUE(), IF(K348=Constants!$B$10, FALSE(),  FALSE())))</f>
        <v/>
      </c>
      <c r="U348" s="85" t="str">
        <f aca="false">IF(ISBLANK($C348),"",AND(R348=Constants!$B$4, S348&lt;Constants!$B$6))</f>
        <v/>
      </c>
      <c r="V348" s="85" t="str">
        <f aca="false">IF(ISBLANK(C348), "", IF(T348, Constants!$B$11, IF(COUNTA(E348:K348)=0, Constants!$B$12, IF(NOT(AND(P348,S348&lt;&gt;0)), Constants!$B$13, IF(O348, Constants!$B$15, Constants!$B$14)))))</f>
        <v/>
      </c>
      <c r="W348" s="85" t="str">
        <f aca="false">IF(OR(ISBLANK($C348), SUMPRODUCT(--(P348:T348&lt;&gt;""))=0), "", IF(V348&lt;&gt;Constants!$B$14, V348, IF(AND(NOT(ISBLANK(J348)),P348,Q348,R348&lt;&gt;Constants!$B$2), Constants!$B$7, IF(AND(P348,OR(NOT(Q348),R348=Constants!$B$2)), Constants!$B$8, "Error"))))</f>
        <v/>
      </c>
      <c r="X348" s="87" t="str">
        <f aca="false">IF(OR(W348=Constants!$B$7,W348=Constants!$B$8), MAX(0, MIN(Constants!$B$6, S348))+IF(AND(R348=Constants!$B$4, NOT(U348)), Constants!$B$5, 0), "")</f>
        <v/>
      </c>
      <c r="Y348" s="85" t="str">
        <f aca="false">IF(ISBLANK($C348),"",IF(AND(ISNUMBER(X348),N348&gt;0),X348/N348, "") )</f>
        <v/>
      </c>
      <c r="Z348" s="85" t="str">
        <f aca="false">IF(AND(NOT(ISBLANK($C348)), W348=Constants!$B$7), Y348, "")</f>
        <v/>
      </c>
      <c r="AA348" s="85" t="str">
        <f aca="false">IF(ISNUMBER(Z348), RANK(Z348,Z$8:Z$507), "")</f>
        <v/>
      </c>
      <c r="AB348" s="85" t="str">
        <f aca="false">IF(AND(NOT(ISBLANK($C348)), W348=Constants!$B$8), Y348, "")</f>
        <v/>
      </c>
      <c r="AC348" s="85" t="str">
        <f aca="false">IF(ISNUMBER(AB348), RANK(AB348,AB$8:AB$507), "")</f>
        <v/>
      </c>
      <c r="AD348" s="85" t="str">
        <f aca="false">IF(ISBLANK($C348),"",IF(V348&lt;&gt;Constants!$B$14, V348, IF(W348=Constants!$B$7, AA348, IF(W348=Constants!$B$8, COUNT($AA$8:$AA$507) + AC348, ""))))</f>
        <v/>
      </c>
      <c r="AE348" s="85" t="str">
        <f aca="false">N348</f>
        <v/>
      </c>
      <c r="AF348" s="85" t="str">
        <f aca="false">IF(ISNUMBER(AE348), RANK(AE348,AE$8:AE$507,1), "")</f>
        <v/>
      </c>
      <c r="AG348" s="88" t="str">
        <f aca="false">IF(ISBLANK(C348), "", ABS(M348-S348))</f>
        <v/>
      </c>
      <c r="AH348" s="85" t="str">
        <f aca="false">IF(ISNUMBER(AG348), RANK(AG348,AG$8:AG$507,1), "")</f>
        <v/>
      </c>
      <c r="AI348" s="85" t="str">
        <f aca="false">IF(ISBLANK(C348),"",IF(V348&lt;&gt;Constants!$B$14, V348, RANK(AD348, AD$8:AD$507, 1)+ SUMPRODUCT(--(AD$8:AD$507=AD348),--(AF348&gt;AF$8:AF$507)) + SUMPRODUCT(--(AD$8:AD$507=AD348),--(AF348=AF$8:AF$507),--(AH348&gt;AH$8:AH$507))))</f>
        <v/>
      </c>
      <c r="AJ348" s="85" t="str">
        <f aca="false">IF(ISBLANK(C348),"",IF(V348&lt;&gt;Constants!$B$14, V348, AD348-AI348))</f>
        <v/>
      </c>
      <c r="AK348" s="89"/>
      <c r="AL348" s="90" t="str">
        <f aca="false">IF(ISBLANK($C348),"",IF($V348&lt;&gt;Constants!$B$14,$V348,X348))</f>
        <v/>
      </c>
      <c r="AM348" s="90" t="str">
        <f aca="false">IF(ISBLANK($C348),"",IF($V348&lt;&gt;Constants!$B$14,$V348,N348))</f>
        <v/>
      </c>
      <c r="AN348" s="91" t="str">
        <f aca="false">IF(ISBLANK(C348),"",IF(V348&lt;&gt;Constants!$B$14, V348, IF(W348=Constants!$B$7,Z348,IF(W348=Constants!$B$8,AB348,""))))</f>
        <v/>
      </c>
      <c r="AO348" s="92" t="str">
        <f aca="false">IF(ISBLANK(C348),"",W348)</f>
        <v/>
      </c>
      <c r="AP348" s="92" t="str">
        <f aca="false">IF(ISBLANK(C348),"",AJ348)</f>
        <v/>
      </c>
      <c r="AQ348" s="92" t="str">
        <f aca="false">IF(ISBLANK(C348),"",AI348)</f>
        <v/>
      </c>
      <c r="AR348" s="93" t="str">
        <f aca="false">IF(ISBLANK(C348),
  "",
IF(AQ348=Constants!$B$11,COUNTA($C$8:$C$507)+2,IF(AQ348=Constants!$B$12,COUNTA($C$8:$C$507)+1,IF(AQ348=Constants!$B$13,COUNTA($C$8:$C$507),AQ348))))</f>
        <v/>
      </c>
      <c r="AS348" s="3"/>
      <c r="AT348" s="94" t="n">
        <f aca="false">IF(OR(ISNUMBER(AQ348),AQ348="DQ",AQ348="P",AQ348="NS"),
    1,
    0
)</f>
        <v>0</v>
      </c>
      <c r="AU348" s="94" t="n">
        <v>341</v>
      </c>
      <c r="AV348" s="94" t="str">
        <f aca="false">IF(ISBLANK($C348),
    "",
   IF(ISNUMBER(AR348),AR348+ROW($B348)/1000,"")
)</f>
        <v/>
      </c>
      <c r="AW348" s="94" t="str">
        <f aca="false">IF(ISNUMBER(AV348), RANK(AV348,AV$8:AV$507,1), "")</f>
        <v/>
      </c>
      <c r="AX348" s="94" t="str">
        <f aca="false">IF(ISBLANK($C348),
    "",
    $B348
)</f>
        <v/>
      </c>
      <c r="AY348" s="94" t="str">
        <f aca="false">IF(ISBLANK($C348),
    "",
    $C348
)</f>
        <v/>
      </c>
      <c r="AZ348" s="94" t="str">
        <f aca="false">IF(ISBLANK($C348),
    "",
    $D348
)</f>
        <v/>
      </c>
      <c r="BA348" s="94" t="str">
        <f aca="false">AO348</f>
        <v/>
      </c>
      <c r="BB348" s="95" t="str">
        <f aca="false">AN348</f>
        <v/>
      </c>
      <c r="BC348" s="94" t="str">
        <f aca="false">IF(ISBLANK($C348),
    "",
    AQ348
)</f>
        <v/>
      </c>
      <c r="BD348" s="96" t="str">
        <f aca="false">IF(AU348&gt;AT$7,
    "",
    VLOOKUP(AU348,AW$8:BC$507,7,FALSE())
)</f>
        <v/>
      </c>
      <c r="BE348" s="97" t="str">
        <f aca="false">IF(AU348&gt;AT$7,
    "",
    VLOOKUP(AU348,AW$8:BC$507,2,FALSE())
)</f>
        <v/>
      </c>
      <c r="BF348" s="97" t="str">
        <f aca="false">IF(AU348&gt;AT$7,
    "",
    VLOOKUP(AU348,AW$8:BC$507,3,FALSE())
)</f>
        <v/>
      </c>
      <c r="BG348" s="97" t="str">
        <f aca="false">IF(AU348&gt;AT$7,
    "",
    VLOOKUP(AU348,AW$8:BC$507,4,FALSE())
)</f>
        <v/>
      </c>
      <c r="BH348" s="97" t="str">
        <f aca="false">IF(AU348&gt;AT$7,
    "",
    VLOOKUP(AU348,AW$8:BC$507,5,FALSE())
)</f>
        <v/>
      </c>
      <c r="BI348" s="98" t="str">
        <f aca="false">IF(AU348&gt;AT$7,
    "",
    VLOOKUP(AU348,AW$8:BC$507,6,FALSE())
)</f>
        <v/>
      </c>
      <c r="BJ348" s="46"/>
    </row>
    <row r="349" customFormat="false" ht="15.75" hidden="false" customHeight="false" outlineLevel="0" collapsed="false">
      <c r="A349" s="3"/>
      <c r="B349" s="105"/>
      <c r="C349" s="106"/>
      <c r="D349" s="99"/>
      <c r="E349" s="110"/>
      <c r="F349" s="107"/>
      <c r="G349" s="110"/>
      <c r="H349" s="103"/>
      <c r="I349" s="102"/>
      <c r="J349" s="103"/>
      <c r="K349" s="103"/>
      <c r="L349" s="85"/>
      <c r="M349" s="85" t="str">
        <f aca="false">IF(ISBLANK($C349),"",IF(ISBLANK(E349),0,E349))</f>
        <v/>
      </c>
      <c r="N349" s="85" t="str">
        <f aca="false">IF(ISBLANK($C349),"",IF(ISBLANK(F349),0,F349))</f>
        <v/>
      </c>
      <c r="O349" s="86" t="e">
        <f aca="false">IF(AND(NOT(ISBLANK($C349)),NOT($T349),COUNTA($E349:$K349)&gt;0),ISBLANK($F349),FALSE())</f>
        <v>#VALUE!</v>
      </c>
      <c r="P349" s="85" t="str">
        <f aca="false">IF(ISBLANK($C349),"",IF(G349=Constants!$B$9, TRUE(), IF(G349=Constants!$B$10, FALSE(), TRUE())))</f>
        <v/>
      </c>
      <c r="Q349" s="85" t="str">
        <f aca="false">IF(ISBLANK($C349),"",IF(H349=Constants!$B$9, TRUE(), IF(H349=Constants!$B$10, FALSE(), TRUE())))</f>
        <v/>
      </c>
      <c r="R349" s="85" t="str">
        <f aca="false">IF(ISBLANK($C349),"",IF(ISBLANK(I349),Constants!$B$3,I349))</f>
        <v/>
      </c>
      <c r="S349" s="85" t="str">
        <f aca="false">IF(ISBLANK($C349),"",IF(ISBLANK(J349),0,MIN(J349,Constants!$B$6)))</f>
        <v/>
      </c>
      <c r="T349" s="85" t="str">
        <f aca="false">IF(ISBLANK($C349),"",IF(K349=Constants!$B$9, TRUE(), IF(K349=Constants!$B$10, FALSE(),  FALSE())))</f>
        <v/>
      </c>
      <c r="U349" s="85" t="str">
        <f aca="false">IF(ISBLANK($C349),"",AND(R349=Constants!$B$4, S349&lt;Constants!$B$6))</f>
        <v/>
      </c>
      <c r="V349" s="85" t="str">
        <f aca="false">IF(ISBLANK(C349), "", IF(T349, Constants!$B$11, IF(COUNTA(E349:K349)=0, Constants!$B$12, IF(NOT(AND(P349,S349&lt;&gt;0)), Constants!$B$13, IF(O349, Constants!$B$15, Constants!$B$14)))))</f>
        <v/>
      </c>
      <c r="W349" s="85" t="str">
        <f aca="false">IF(OR(ISBLANK($C349), SUMPRODUCT(--(P349:T349&lt;&gt;""))=0), "", IF(V349&lt;&gt;Constants!$B$14, V349, IF(AND(NOT(ISBLANK(J349)),P349,Q349,R349&lt;&gt;Constants!$B$2), Constants!$B$7, IF(AND(P349,OR(NOT(Q349),R349=Constants!$B$2)), Constants!$B$8, "Error"))))</f>
        <v/>
      </c>
      <c r="X349" s="87" t="str">
        <f aca="false">IF(OR(W349=Constants!$B$7,W349=Constants!$B$8), MAX(0, MIN(Constants!$B$6, S349))+IF(AND(R349=Constants!$B$4, NOT(U349)), Constants!$B$5, 0), "")</f>
        <v/>
      </c>
      <c r="Y349" s="85" t="str">
        <f aca="false">IF(ISBLANK($C349),"",IF(AND(ISNUMBER(X349),N349&gt;0),X349/N349, "") )</f>
        <v/>
      </c>
      <c r="Z349" s="85" t="str">
        <f aca="false">IF(AND(NOT(ISBLANK($C349)), W349=Constants!$B$7), Y349, "")</f>
        <v/>
      </c>
      <c r="AA349" s="85" t="str">
        <f aca="false">IF(ISNUMBER(Z349), RANK(Z349,Z$8:Z$507), "")</f>
        <v/>
      </c>
      <c r="AB349" s="85" t="str">
        <f aca="false">IF(AND(NOT(ISBLANK($C349)), W349=Constants!$B$8), Y349, "")</f>
        <v/>
      </c>
      <c r="AC349" s="85" t="str">
        <f aca="false">IF(ISNUMBER(AB349), RANK(AB349,AB$8:AB$507), "")</f>
        <v/>
      </c>
      <c r="AD349" s="85" t="str">
        <f aca="false">IF(ISBLANK($C349),"",IF(V349&lt;&gt;Constants!$B$14, V349, IF(W349=Constants!$B$7, AA349, IF(W349=Constants!$B$8, COUNT($AA$8:$AA$507) + AC349, ""))))</f>
        <v/>
      </c>
      <c r="AE349" s="85" t="str">
        <f aca="false">N349</f>
        <v/>
      </c>
      <c r="AF349" s="85" t="str">
        <f aca="false">IF(ISNUMBER(AE349), RANK(AE349,AE$8:AE$507,1), "")</f>
        <v/>
      </c>
      <c r="AG349" s="88" t="str">
        <f aca="false">IF(ISBLANK(C349), "", ABS(M349-S349))</f>
        <v/>
      </c>
      <c r="AH349" s="85" t="str">
        <f aca="false">IF(ISNUMBER(AG349), RANK(AG349,AG$8:AG$507,1), "")</f>
        <v/>
      </c>
      <c r="AI349" s="85" t="str">
        <f aca="false">IF(ISBLANK(C349),"",IF(V349&lt;&gt;Constants!$B$14, V349, RANK(AD349, AD$8:AD$507, 1)+ SUMPRODUCT(--(AD$8:AD$507=AD349),--(AF349&gt;AF$8:AF$507)) + SUMPRODUCT(--(AD$8:AD$507=AD349),--(AF349=AF$8:AF$507),--(AH349&gt;AH$8:AH$507))))</f>
        <v/>
      </c>
      <c r="AJ349" s="85" t="str">
        <f aca="false">IF(ISBLANK(C349),"",IF(V349&lt;&gt;Constants!$B$14, V349, AD349-AI349))</f>
        <v/>
      </c>
      <c r="AK349" s="89"/>
      <c r="AL349" s="90" t="str">
        <f aca="false">IF(ISBLANK($C349),"",IF($V349&lt;&gt;Constants!$B$14,$V349,X349))</f>
        <v/>
      </c>
      <c r="AM349" s="90" t="str">
        <f aca="false">IF(ISBLANK($C349),"",IF($V349&lt;&gt;Constants!$B$14,$V349,N349))</f>
        <v/>
      </c>
      <c r="AN349" s="91" t="str">
        <f aca="false">IF(ISBLANK(C349),"",IF(V349&lt;&gt;Constants!$B$14, V349, IF(W349=Constants!$B$7,Z349,IF(W349=Constants!$B$8,AB349,""))))</f>
        <v/>
      </c>
      <c r="AO349" s="92" t="str">
        <f aca="false">IF(ISBLANK(C349),"",W349)</f>
        <v/>
      </c>
      <c r="AP349" s="92" t="str">
        <f aca="false">IF(ISBLANK(C349),"",AJ349)</f>
        <v/>
      </c>
      <c r="AQ349" s="92" t="str">
        <f aca="false">IF(ISBLANK(C349),"",AI349)</f>
        <v/>
      </c>
      <c r="AR349" s="93" t="str">
        <f aca="false">IF(ISBLANK(C349),
  "",
IF(AQ349=Constants!$B$11,COUNTA($C$8:$C$507)+2,IF(AQ349=Constants!$B$12,COUNTA($C$8:$C$507)+1,IF(AQ349=Constants!$B$13,COUNTA($C$8:$C$507),AQ349))))</f>
        <v/>
      </c>
      <c r="AS349" s="3"/>
      <c r="AT349" s="94" t="n">
        <f aca="false">IF(OR(ISNUMBER(AQ349),AQ349="DQ",AQ349="P",AQ349="NS"),
    1,
    0
)</f>
        <v>0</v>
      </c>
      <c r="AU349" s="94" t="n">
        <v>342</v>
      </c>
      <c r="AV349" s="94" t="str">
        <f aca="false">IF(ISBLANK($C349),
    "",
   IF(ISNUMBER(AR349),AR349+ROW($B349)/1000,"")
)</f>
        <v/>
      </c>
      <c r="AW349" s="94" t="str">
        <f aca="false">IF(ISNUMBER(AV349), RANK(AV349,AV$8:AV$507,1), "")</f>
        <v/>
      </c>
      <c r="AX349" s="94" t="str">
        <f aca="false">IF(ISBLANK($C349),
    "",
    $B349
)</f>
        <v/>
      </c>
      <c r="AY349" s="94" t="str">
        <f aca="false">IF(ISBLANK($C349),
    "",
    $C349
)</f>
        <v/>
      </c>
      <c r="AZ349" s="94" t="str">
        <f aca="false">IF(ISBLANK($C349),
    "",
    $D349
)</f>
        <v/>
      </c>
      <c r="BA349" s="94" t="str">
        <f aca="false">AO349</f>
        <v/>
      </c>
      <c r="BB349" s="95" t="str">
        <f aca="false">AN349</f>
        <v/>
      </c>
      <c r="BC349" s="94" t="str">
        <f aca="false">IF(ISBLANK($C349),
    "",
    AQ349
)</f>
        <v/>
      </c>
      <c r="BD349" s="96" t="str">
        <f aca="false">IF(AU349&gt;AT$7,
    "",
    VLOOKUP(AU349,AW$8:BC$507,7,FALSE())
)</f>
        <v/>
      </c>
      <c r="BE349" s="97" t="str">
        <f aca="false">IF(AU349&gt;AT$7,
    "",
    VLOOKUP(AU349,AW$8:BC$507,2,FALSE())
)</f>
        <v/>
      </c>
      <c r="BF349" s="97" t="str">
        <f aca="false">IF(AU349&gt;AT$7,
    "",
    VLOOKUP(AU349,AW$8:BC$507,3,FALSE())
)</f>
        <v/>
      </c>
      <c r="BG349" s="97" t="str">
        <f aca="false">IF(AU349&gt;AT$7,
    "",
    VLOOKUP(AU349,AW$8:BC$507,4,FALSE())
)</f>
        <v/>
      </c>
      <c r="BH349" s="97" t="str">
        <f aca="false">IF(AU349&gt;AT$7,
    "",
    VLOOKUP(AU349,AW$8:BC$507,5,FALSE())
)</f>
        <v/>
      </c>
      <c r="BI349" s="98" t="str">
        <f aca="false">IF(AU349&gt;AT$7,
    "",
    VLOOKUP(AU349,AW$8:BC$507,6,FALSE())
)</f>
        <v/>
      </c>
      <c r="BJ349" s="46"/>
    </row>
    <row r="350" customFormat="false" ht="15.75" hidden="false" customHeight="false" outlineLevel="0" collapsed="false">
      <c r="A350" s="3"/>
      <c r="B350" s="108"/>
      <c r="C350" s="70"/>
      <c r="D350" s="49"/>
      <c r="E350" s="109"/>
      <c r="F350" s="72"/>
      <c r="G350" s="109"/>
      <c r="H350" s="74"/>
      <c r="I350" s="104"/>
      <c r="J350" s="74"/>
      <c r="K350" s="74"/>
      <c r="L350" s="55"/>
      <c r="M350" s="55" t="str">
        <f aca="false">IF(ISBLANK($C350),"",IF(ISBLANK(E350),0,E350))</f>
        <v/>
      </c>
      <c r="N350" s="55" t="str">
        <f aca="false">IF(ISBLANK($C350),"",IF(ISBLANK(F350),0,F350))</f>
        <v/>
      </c>
      <c r="O350" s="55" t="e">
        <f aca="false">IF(AND(NOT(ISBLANK($C350)),NOT($T350),COUNTA($E350:$K350)&gt;0),ISBLANK($F350),FALSE())</f>
        <v>#VALUE!</v>
      </c>
      <c r="P350" s="55" t="str">
        <f aca="false">IF(ISBLANK($C350),"",IF(G350=Constants!$B$9, TRUE(), IF(G350=Constants!$B$10, FALSE(), TRUE())))</f>
        <v/>
      </c>
      <c r="Q350" s="55" t="str">
        <f aca="false">IF(ISBLANK($C350),"",IF(H350=Constants!$B$9, TRUE(), IF(H350=Constants!$B$10, FALSE(), TRUE())))</f>
        <v/>
      </c>
      <c r="R350" s="55" t="str">
        <f aca="false">IF(ISBLANK($C350),"",IF(ISBLANK(I350),Constants!$B$3,I350))</f>
        <v/>
      </c>
      <c r="S350" s="55" t="str">
        <f aca="false">IF(ISBLANK($C350),"",IF(ISBLANK(J350),0,MIN(J350,Constants!$B$6)))</f>
        <v/>
      </c>
      <c r="T350" s="55" t="str">
        <f aca="false">IF(ISBLANK($C350),"",IF(K350=Constants!$B$9, TRUE(), IF(K350=Constants!$B$10, FALSE(),  FALSE())))</f>
        <v/>
      </c>
      <c r="U350" s="55" t="str">
        <f aca="false">IF(ISBLANK($C350),"",AND(R350=Constants!$B$4, S350&lt;Constants!$B$6))</f>
        <v/>
      </c>
      <c r="V350" s="55" t="str">
        <f aca="false">IF(ISBLANK(C350), "", IF(T350, Constants!$B$11, IF(COUNTA(E350:K350)=0, Constants!$B$12, IF(NOT(AND(P350,S350&lt;&gt;0)), Constants!$B$13, IF(O350, Constants!$B$15, Constants!$B$14)))))</f>
        <v/>
      </c>
      <c r="W350" s="55" t="str">
        <f aca="false">IF(OR(ISBLANK($C350), SUMPRODUCT(--(P350:T350&lt;&gt;""))=0), "", IF(V350&lt;&gt;Constants!$B$14, V350, IF(AND(NOT(ISBLANK(J350)),P350,Q350,R350&lt;&gt;Constants!$B$2), Constants!$B$7, IF(AND(P350,OR(NOT(Q350),R350=Constants!$B$2)), Constants!$B$8, "Error"))))</f>
        <v/>
      </c>
      <c r="X350" s="56" t="str">
        <f aca="false">IF(OR(W350=Constants!$B$7,W350=Constants!$B$8), MAX(0, MIN(Constants!$B$6, S350))+IF(AND(R350=Constants!$B$4, NOT(U350)), Constants!$B$5, 0), "")</f>
        <v/>
      </c>
      <c r="Y350" s="55" t="str">
        <f aca="false">IF(ISBLANK($C350),"",IF(AND(ISNUMBER(X350),N350&gt;0),X350/N350, "") )</f>
        <v/>
      </c>
      <c r="Z350" s="55" t="str">
        <f aca="false">IF(AND(NOT(ISBLANK($C350)), W350=Constants!$B$7), Y350, "")</f>
        <v/>
      </c>
      <c r="AA350" s="55" t="str">
        <f aca="false">IF(ISNUMBER(Z350), RANK(Z350,Z$8:Z$507), "")</f>
        <v/>
      </c>
      <c r="AB350" s="55" t="str">
        <f aca="false">IF(AND(NOT(ISBLANK($C350)), W350=Constants!$B$8), Y350, "")</f>
        <v/>
      </c>
      <c r="AC350" s="55" t="str">
        <f aca="false">IF(ISNUMBER(AB350), RANK(AB350,AB$8:AB$507), "")</f>
        <v/>
      </c>
      <c r="AD350" s="55" t="str">
        <f aca="false">IF(ISBLANK($C350),"",IF(V350&lt;&gt;Constants!$B$14, V350, IF(W350=Constants!$B$7, AA350, IF(W350=Constants!$B$8, COUNT($AA$8:$AA$507) + AC350, ""))))</f>
        <v/>
      </c>
      <c r="AE350" s="55" t="str">
        <f aca="false">N350</f>
        <v/>
      </c>
      <c r="AF350" s="55" t="str">
        <f aca="false">IF(ISNUMBER(AE350), RANK(AE350,AE$8:AE$507,1), "")</f>
        <v/>
      </c>
      <c r="AG350" s="57" t="str">
        <f aca="false">IF(ISBLANK(C350), "", ABS(M350-S350))</f>
        <v/>
      </c>
      <c r="AH350" s="55" t="str">
        <f aca="false">IF(ISNUMBER(AG350), RANK(AG350,AG$8:AG$507,1), "")</f>
        <v/>
      </c>
      <c r="AI350" s="55" t="str">
        <f aca="false">IF(ISBLANK(C350),"",IF(V350&lt;&gt;Constants!$B$14, V350, RANK(AD350, AD$8:AD$507, 1)+ SUMPRODUCT(--(AD$8:AD$507=AD350),--(AF350&gt;AF$8:AF$507)) + SUMPRODUCT(--(AD$8:AD$507=AD350),--(AF350=AF$8:AF$507),--(AH350&gt;AH$8:AH$507))))</f>
        <v/>
      </c>
      <c r="AJ350" s="55" t="str">
        <f aca="false">IF(ISBLANK(C350),"",IF(V350&lt;&gt;Constants!$B$14, V350, AD350-AI350))</f>
        <v/>
      </c>
      <c r="AK350" s="59"/>
      <c r="AL350" s="60" t="str">
        <f aca="false">IF(ISBLANK($C350),"",IF($V350&lt;&gt;Constants!$B$14,$V350,X350))</f>
        <v/>
      </c>
      <c r="AM350" s="60" t="str">
        <f aca="false">IF(ISBLANK($C350),"",IF($V350&lt;&gt;Constants!$B$14,$V350,N350))</f>
        <v/>
      </c>
      <c r="AN350" s="62" t="str">
        <f aca="false">IF(ISBLANK(C350),"",IF(V350&lt;&gt;Constants!$B$14, V350, IF(W350=Constants!$B$7,Z350,IF(W350=Constants!$B$8,AB350,""))))</f>
        <v/>
      </c>
      <c r="AO350" s="63" t="str">
        <f aca="false">IF(ISBLANK(C350),"",W350)</f>
        <v/>
      </c>
      <c r="AP350" s="63" t="str">
        <f aca="false">IF(ISBLANK(C350),"",AJ350)</f>
        <v/>
      </c>
      <c r="AQ350" s="63" t="str">
        <f aca="false">IF(ISBLANK(C350),"",AI350)</f>
        <v/>
      </c>
      <c r="AR350" s="64" t="str">
        <f aca="false">IF(ISBLANK(C350),
  "",
IF(AQ350=Constants!$B$11,COUNTA($C$8:$C$507)+2,IF(AQ350=Constants!$B$12,COUNTA($C$8:$C$507)+1,IF(AQ350=Constants!$B$13,COUNTA($C$8:$C$507),AQ350))))</f>
        <v/>
      </c>
      <c r="AS350" s="3"/>
      <c r="AT350" s="65" t="n">
        <f aca="false">IF(OR(ISNUMBER(AQ350),AQ350="DQ",AQ350="P",AQ350="NS"),
    1,
    0
)</f>
        <v>0</v>
      </c>
      <c r="AU350" s="65" t="n">
        <v>343</v>
      </c>
      <c r="AV350" s="65" t="str">
        <f aca="false">IF(ISBLANK($C350),
    "",
   IF(ISNUMBER(AR350),AR350+ROW($B350)/1000,"")
)</f>
        <v/>
      </c>
      <c r="AW350" s="65" t="str">
        <f aca="false">IF(ISNUMBER(AV350), RANK(AV350,AV$8:AV$507,1), "")</f>
        <v/>
      </c>
      <c r="AX350" s="65" t="str">
        <f aca="false">IF(ISBLANK($C350),
    "",
    $B350
)</f>
        <v/>
      </c>
      <c r="AY350" s="65" t="str">
        <f aca="false">IF(ISBLANK($C350),
    "",
    $C350
)</f>
        <v/>
      </c>
      <c r="AZ350" s="65" t="str">
        <f aca="false">IF(ISBLANK($C350),
    "",
    $D350
)</f>
        <v/>
      </c>
      <c r="BA350" s="65" t="str">
        <f aca="false">AO350</f>
        <v/>
      </c>
      <c r="BB350" s="66" t="str">
        <f aca="false">AN350</f>
        <v/>
      </c>
      <c r="BC350" s="65" t="str">
        <f aca="false">IF(ISBLANK($C350),
    "",
    AQ350
)</f>
        <v/>
      </c>
      <c r="BD350" s="67" t="str">
        <f aca="false">IF(AU350&gt;AT$7,
    "",
    VLOOKUP(AU350,AW$8:BC$507,7,FALSE())
)</f>
        <v/>
      </c>
      <c r="BE350" s="68" t="str">
        <f aca="false">IF(AU350&gt;AT$7,
    "",
    VLOOKUP(AU350,AW$8:BC$507,2,FALSE())
)</f>
        <v/>
      </c>
      <c r="BF350" s="68" t="str">
        <f aca="false">IF(AU350&gt;AT$7,
    "",
    VLOOKUP(AU350,AW$8:BC$507,3,FALSE())
)</f>
        <v/>
      </c>
      <c r="BG350" s="68" t="str">
        <f aca="false">IF(AU350&gt;AT$7,
    "",
    VLOOKUP(AU350,AW$8:BC$507,4,FALSE())
)</f>
        <v/>
      </c>
      <c r="BH350" s="68" t="str">
        <f aca="false">IF(AU350&gt;AT$7,
    "",
    VLOOKUP(AU350,AW$8:BC$507,5,FALSE())
)</f>
        <v/>
      </c>
      <c r="BI350" s="69" t="str">
        <f aca="false">IF(AU350&gt;AT$7,
    "",
    VLOOKUP(AU350,AW$8:BC$507,6,FALSE())
)</f>
        <v/>
      </c>
      <c r="BJ350" s="46"/>
    </row>
    <row r="351" customFormat="false" ht="15.75" hidden="false" customHeight="false" outlineLevel="0" collapsed="false">
      <c r="A351" s="3"/>
      <c r="B351" s="108"/>
      <c r="C351" s="70"/>
      <c r="D351" s="49"/>
      <c r="E351" s="109"/>
      <c r="F351" s="72"/>
      <c r="G351" s="109"/>
      <c r="H351" s="74"/>
      <c r="I351" s="104"/>
      <c r="J351" s="74"/>
      <c r="K351" s="74"/>
      <c r="L351" s="55"/>
      <c r="M351" s="55" t="str">
        <f aca="false">IF(ISBLANK($C351),"",IF(ISBLANK(E351),0,E351))</f>
        <v/>
      </c>
      <c r="N351" s="55" t="str">
        <f aca="false">IF(ISBLANK($C351),"",IF(ISBLANK(F351),0,F351))</f>
        <v/>
      </c>
      <c r="O351" s="55" t="e">
        <f aca="false">IF(AND(NOT(ISBLANK($C351)),NOT($T351),COUNTA($E351:$K351)&gt;0),ISBLANK($F351),FALSE())</f>
        <v>#VALUE!</v>
      </c>
      <c r="P351" s="55" t="str">
        <f aca="false">IF(ISBLANK($C351),"",IF(G351=Constants!$B$9, TRUE(), IF(G351=Constants!$B$10, FALSE(), TRUE())))</f>
        <v/>
      </c>
      <c r="Q351" s="55" t="str">
        <f aca="false">IF(ISBLANK($C351),"",IF(H351=Constants!$B$9, TRUE(), IF(H351=Constants!$B$10, FALSE(), TRUE())))</f>
        <v/>
      </c>
      <c r="R351" s="55" t="str">
        <f aca="false">IF(ISBLANK($C351),"",IF(ISBLANK(I351),Constants!$B$3,I351))</f>
        <v/>
      </c>
      <c r="S351" s="55" t="str">
        <f aca="false">IF(ISBLANK($C351),"",IF(ISBLANK(J351),0,MIN(J351,Constants!$B$6)))</f>
        <v/>
      </c>
      <c r="T351" s="55" t="str">
        <f aca="false">IF(ISBLANK($C351),"",IF(K351=Constants!$B$9, TRUE(), IF(K351=Constants!$B$10, FALSE(),  FALSE())))</f>
        <v/>
      </c>
      <c r="U351" s="55" t="str">
        <f aca="false">IF(ISBLANK($C351),"",AND(R351=Constants!$B$4, S351&lt;Constants!$B$6))</f>
        <v/>
      </c>
      <c r="V351" s="55" t="str">
        <f aca="false">IF(ISBLANK(C351), "", IF(T351, Constants!$B$11, IF(COUNTA(E351:K351)=0, Constants!$B$12, IF(NOT(AND(P351,S351&lt;&gt;0)), Constants!$B$13, IF(O351, Constants!$B$15, Constants!$B$14)))))</f>
        <v/>
      </c>
      <c r="W351" s="55" t="str">
        <f aca="false">IF(OR(ISBLANK($C351), SUMPRODUCT(--(P351:T351&lt;&gt;""))=0), "", IF(V351&lt;&gt;Constants!$B$14, V351, IF(AND(NOT(ISBLANK(J351)),P351,Q351,R351&lt;&gt;Constants!$B$2), Constants!$B$7, IF(AND(P351,OR(NOT(Q351),R351=Constants!$B$2)), Constants!$B$8, "Error"))))</f>
        <v/>
      </c>
      <c r="X351" s="56" t="str">
        <f aca="false">IF(OR(W351=Constants!$B$7,W351=Constants!$B$8), MAX(0, MIN(Constants!$B$6, S351))+IF(AND(R351=Constants!$B$4, NOT(U351)), Constants!$B$5, 0), "")</f>
        <v/>
      </c>
      <c r="Y351" s="55" t="str">
        <f aca="false">IF(ISBLANK($C351),"",IF(AND(ISNUMBER(X351),N351&gt;0),X351/N351, "") )</f>
        <v/>
      </c>
      <c r="Z351" s="55" t="str">
        <f aca="false">IF(AND(NOT(ISBLANK($C351)), W351=Constants!$B$7), Y351, "")</f>
        <v/>
      </c>
      <c r="AA351" s="55" t="str">
        <f aca="false">IF(ISNUMBER(Z351), RANK(Z351,Z$8:Z$507), "")</f>
        <v/>
      </c>
      <c r="AB351" s="55" t="str">
        <f aca="false">IF(AND(NOT(ISBLANK($C351)), W351=Constants!$B$8), Y351, "")</f>
        <v/>
      </c>
      <c r="AC351" s="55" t="str">
        <f aca="false">IF(ISNUMBER(AB351), RANK(AB351,AB$8:AB$507), "")</f>
        <v/>
      </c>
      <c r="AD351" s="55" t="str">
        <f aca="false">IF(ISBLANK($C351),"",IF(V351&lt;&gt;Constants!$B$14, V351, IF(W351=Constants!$B$7, AA351, IF(W351=Constants!$B$8, COUNT($AA$8:$AA$507) + AC351, ""))))</f>
        <v/>
      </c>
      <c r="AE351" s="55" t="str">
        <f aca="false">N351</f>
        <v/>
      </c>
      <c r="AF351" s="55" t="str">
        <f aca="false">IF(ISNUMBER(AE351), RANK(AE351,AE$8:AE$507,1), "")</f>
        <v/>
      </c>
      <c r="AG351" s="57" t="str">
        <f aca="false">IF(ISBLANK(C351), "", ABS(M351-S351))</f>
        <v/>
      </c>
      <c r="AH351" s="55" t="str">
        <f aca="false">IF(ISNUMBER(AG351), RANK(AG351,AG$8:AG$507,1), "")</f>
        <v/>
      </c>
      <c r="AI351" s="55" t="str">
        <f aca="false">IF(ISBLANK(C351),"",IF(V351&lt;&gt;Constants!$B$14, V351, RANK(AD351, AD$8:AD$507, 1)+ SUMPRODUCT(--(AD$8:AD$507=AD351),--(AF351&gt;AF$8:AF$507)) + SUMPRODUCT(--(AD$8:AD$507=AD351),--(AF351=AF$8:AF$507),--(AH351&gt;AH$8:AH$507))))</f>
        <v/>
      </c>
      <c r="AJ351" s="55" t="str">
        <f aca="false">IF(ISBLANK(C351),"",IF(V351&lt;&gt;Constants!$B$14, V351, AD351-AI351))</f>
        <v/>
      </c>
      <c r="AK351" s="59"/>
      <c r="AL351" s="60" t="str">
        <f aca="false">IF(ISBLANK($C351),"",IF($V351&lt;&gt;Constants!$B$14,$V351,X351))</f>
        <v/>
      </c>
      <c r="AM351" s="60" t="str">
        <f aca="false">IF(ISBLANK($C351),"",IF($V351&lt;&gt;Constants!$B$14,$V351,N351))</f>
        <v/>
      </c>
      <c r="AN351" s="62" t="str">
        <f aca="false">IF(ISBLANK(C351),"",IF(V351&lt;&gt;Constants!$B$14, V351, IF(W351=Constants!$B$7,Z351,IF(W351=Constants!$B$8,AB351,""))))</f>
        <v/>
      </c>
      <c r="AO351" s="63" t="str">
        <f aca="false">IF(ISBLANK(C351),"",W351)</f>
        <v/>
      </c>
      <c r="AP351" s="63" t="str">
        <f aca="false">IF(ISBLANK(C351),"",AJ351)</f>
        <v/>
      </c>
      <c r="AQ351" s="63" t="str">
        <f aca="false">IF(ISBLANK(C351),"",AI351)</f>
        <v/>
      </c>
      <c r="AR351" s="64" t="str">
        <f aca="false">IF(ISBLANK(C351),
  "",
IF(AQ351=Constants!$B$11,COUNTA($C$8:$C$507)+2,IF(AQ351=Constants!$B$12,COUNTA($C$8:$C$507)+1,IF(AQ351=Constants!$B$13,COUNTA($C$8:$C$507),AQ351))))</f>
        <v/>
      </c>
      <c r="AS351" s="3"/>
      <c r="AT351" s="65" t="n">
        <f aca="false">IF(OR(ISNUMBER(AQ351),AQ351="DQ",AQ351="P",AQ351="NS"),
    1,
    0
)</f>
        <v>0</v>
      </c>
      <c r="AU351" s="65" t="n">
        <v>344</v>
      </c>
      <c r="AV351" s="65" t="str">
        <f aca="false">IF(ISBLANK($C351),
    "",
   IF(ISNUMBER(AR351),AR351+ROW($B351)/1000,"")
)</f>
        <v/>
      </c>
      <c r="AW351" s="65" t="str">
        <f aca="false">IF(ISNUMBER(AV351), RANK(AV351,AV$8:AV$507,1), "")</f>
        <v/>
      </c>
      <c r="AX351" s="65" t="str">
        <f aca="false">IF(ISBLANK($C351),
    "",
    $B351
)</f>
        <v/>
      </c>
      <c r="AY351" s="65" t="str">
        <f aca="false">IF(ISBLANK($C351),
    "",
    $C351
)</f>
        <v/>
      </c>
      <c r="AZ351" s="65" t="str">
        <f aca="false">IF(ISBLANK($C351),
    "",
    $D351
)</f>
        <v/>
      </c>
      <c r="BA351" s="65" t="str">
        <f aca="false">AO351</f>
        <v/>
      </c>
      <c r="BB351" s="66" t="str">
        <f aca="false">AN351</f>
        <v/>
      </c>
      <c r="BC351" s="65" t="str">
        <f aca="false">IF(ISBLANK($C351),
    "",
    AQ351
)</f>
        <v/>
      </c>
      <c r="BD351" s="67" t="str">
        <f aca="false">IF(AU351&gt;AT$7,
    "",
    VLOOKUP(AU351,AW$8:BC$507,7,FALSE())
)</f>
        <v/>
      </c>
      <c r="BE351" s="68" t="str">
        <f aca="false">IF(AU351&gt;AT$7,
    "",
    VLOOKUP(AU351,AW$8:BC$507,2,FALSE())
)</f>
        <v/>
      </c>
      <c r="BF351" s="68" t="str">
        <f aca="false">IF(AU351&gt;AT$7,
    "",
    VLOOKUP(AU351,AW$8:BC$507,3,FALSE())
)</f>
        <v/>
      </c>
      <c r="BG351" s="68" t="str">
        <f aca="false">IF(AU351&gt;AT$7,
    "",
    VLOOKUP(AU351,AW$8:BC$507,4,FALSE())
)</f>
        <v/>
      </c>
      <c r="BH351" s="68" t="str">
        <f aca="false">IF(AU351&gt;AT$7,
    "",
    VLOOKUP(AU351,AW$8:BC$507,5,FALSE())
)</f>
        <v/>
      </c>
      <c r="BI351" s="69" t="str">
        <f aca="false">IF(AU351&gt;AT$7,
    "",
    VLOOKUP(AU351,AW$8:BC$507,6,FALSE())
)</f>
        <v/>
      </c>
      <c r="BJ351" s="46"/>
    </row>
    <row r="352" customFormat="false" ht="15.75" hidden="false" customHeight="false" outlineLevel="0" collapsed="false">
      <c r="A352" s="3"/>
      <c r="B352" s="108"/>
      <c r="C352" s="70"/>
      <c r="D352" s="49"/>
      <c r="E352" s="109"/>
      <c r="F352" s="72"/>
      <c r="G352" s="109"/>
      <c r="H352" s="74"/>
      <c r="I352" s="104"/>
      <c r="J352" s="74"/>
      <c r="K352" s="74"/>
      <c r="L352" s="55"/>
      <c r="M352" s="55" t="str">
        <f aca="false">IF(ISBLANK($C352),"",IF(ISBLANK(E352),0,E352))</f>
        <v/>
      </c>
      <c r="N352" s="55" t="str">
        <f aca="false">IF(ISBLANK($C352),"",IF(ISBLANK(F352),0,F352))</f>
        <v/>
      </c>
      <c r="O352" s="55" t="e">
        <f aca="false">IF(AND(NOT(ISBLANK($C352)),NOT($T352),COUNTA($E352:$K352)&gt;0),ISBLANK($F352),FALSE())</f>
        <v>#VALUE!</v>
      </c>
      <c r="P352" s="55" t="str">
        <f aca="false">IF(ISBLANK($C352),"",IF(G352=Constants!$B$9, TRUE(), IF(G352=Constants!$B$10, FALSE(), TRUE())))</f>
        <v/>
      </c>
      <c r="Q352" s="55" t="str">
        <f aca="false">IF(ISBLANK($C352),"",IF(H352=Constants!$B$9, TRUE(), IF(H352=Constants!$B$10, FALSE(), TRUE())))</f>
        <v/>
      </c>
      <c r="R352" s="55" t="str">
        <f aca="false">IF(ISBLANK($C352),"",IF(ISBLANK(I352),Constants!$B$3,I352))</f>
        <v/>
      </c>
      <c r="S352" s="55" t="str">
        <f aca="false">IF(ISBLANK($C352),"",IF(ISBLANK(J352),0,MIN(J352,Constants!$B$6)))</f>
        <v/>
      </c>
      <c r="T352" s="55" t="str">
        <f aca="false">IF(ISBLANK($C352),"",IF(K352=Constants!$B$9, TRUE(), IF(K352=Constants!$B$10, FALSE(),  FALSE())))</f>
        <v/>
      </c>
      <c r="U352" s="55" t="str">
        <f aca="false">IF(ISBLANK($C352),"",AND(R352=Constants!$B$4, S352&lt;Constants!$B$6))</f>
        <v/>
      </c>
      <c r="V352" s="55" t="str">
        <f aca="false">IF(ISBLANK(C352), "", IF(T352, Constants!$B$11, IF(COUNTA(E352:K352)=0, Constants!$B$12, IF(NOT(AND(P352,S352&lt;&gt;0)), Constants!$B$13, IF(O352, Constants!$B$15, Constants!$B$14)))))</f>
        <v/>
      </c>
      <c r="W352" s="55" t="str">
        <f aca="false">IF(OR(ISBLANK($C352), SUMPRODUCT(--(P352:T352&lt;&gt;""))=0), "", IF(V352&lt;&gt;Constants!$B$14, V352, IF(AND(NOT(ISBLANK(J352)),P352,Q352,R352&lt;&gt;Constants!$B$2), Constants!$B$7, IF(AND(P352,OR(NOT(Q352),R352=Constants!$B$2)), Constants!$B$8, "Error"))))</f>
        <v/>
      </c>
      <c r="X352" s="56" t="str">
        <f aca="false">IF(OR(W352=Constants!$B$7,W352=Constants!$B$8), MAX(0, MIN(Constants!$B$6, S352))+IF(AND(R352=Constants!$B$4, NOT(U352)), Constants!$B$5, 0), "")</f>
        <v/>
      </c>
      <c r="Y352" s="55" t="str">
        <f aca="false">IF(ISBLANK($C352),"",IF(AND(ISNUMBER(X352),N352&gt;0),X352/N352, "") )</f>
        <v/>
      </c>
      <c r="Z352" s="55" t="str">
        <f aca="false">IF(AND(NOT(ISBLANK($C352)), W352=Constants!$B$7), Y352, "")</f>
        <v/>
      </c>
      <c r="AA352" s="55" t="str">
        <f aca="false">IF(ISNUMBER(Z352), RANK(Z352,Z$8:Z$507), "")</f>
        <v/>
      </c>
      <c r="AB352" s="55" t="str">
        <f aca="false">IF(AND(NOT(ISBLANK($C352)), W352=Constants!$B$8), Y352, "")</f>
        <v/>
      </c>
      <c r="AC352" s="55" t="str">
        <f aca="false">IF(ISNUMBER(AB352), RANK(AB352,AB$8:AB$507), "")</f>
        <v/>
      </c>
      <c r="AD352" s="55" t="str">
        <f aca="false">IF(ISBLANK($C352),"",IF(V352&lt;&gt;Constants!$B$14, V352, IF(W352=Constants!$B$7, AA352, IF(W352=Constants!$B$8, COUNT($AA$8:$AA$507) + AC352, ""))))</f>
        <v/>
      </c>
      <c r="AE352" s="55" t="str">
        <f aca="false">N352</f>
        <v/>
      </c>
      <c r="AF352" s="55" t="str">
        <f aca="false">IF(ISNUMBER(AE352), RANK(AE352,AE$8:AE$507,1), "")</f>
        <v/>
      </c>
      <c r="AG352" s="57" t="str">
        <f aca="false">IF(ISBLANK(C352), "", ABS(M352-S352))</f>
        <v/>
      </c>
      <c r="AH352" s="55" t="str">
        <f aca="false">IF(ISNUMBER(AG352), RANK(AG352,AG$8:AG$507,1), "")</f>
        <v/>
      </c>
      <c r="AI352" s="55" t="str">
        <f aca="false">IF(ISBLANK(C352),"",IF(V352&lt;&gt;Constants!$B$14, V352, RANK(AD352, AD$8:AD$507, 1)+ SUMPRODUCT(--(AD$8:AD$507=AD352),--(AF352&gt;AF$8:AF$507)) + SUMPRODUCT(--(AD$8:AD$507=AD352),--(AF352=AF$8:AF$507),--(AH352&gt;AH$8:AH$507))))</f>
        <v/>
      </c>
      <c r="AJ352" s="55" t="str">
        <f aca="false">IF(ISBLANK(C352),"",IF(V352&lt;&gt;Constants!$B$14, V352, AD352-AI352))</f>
        <v/>
      </c>
      <c r="AK352" s="59"/>
      <c r="AL352" s="60" t="str">
        <f aca="false">IF(ISBLANK($C352),"",IF($V352&lt;&gt;Constants!$B$14,$V352,X352))</f>
        <v/>
      </c>
      <c r="AM352" s="60" t="str">
        <f aca="false">IF(ISBLANK($C352),"",IF($V352&lt;&gt;Constants!$B$14,$V352,N352))</f>
        <v/>
      </c>
      <c r="AN352" s="62" t="str">
        <f aca="false">IF(ISBLANK(C352),"",IF(V352&lt;&gt;Constants!$B$14, V352, IF(W352=Constants!$B$7,Z352,IF(W352=Constants!$B$8,AB352,""))))</f>
        <v/>
      </c>
      <c r="AO352" s="63" t="str">
        <f aca="false">IF(ISBLANK(C352),"",W352)</f>
        <v/>
      </c>
      <c r="AP352" s="63" t="str">
        <f aca="false">IF(ISBLANK(C352),"",AJ352)</f>
        <v/>
      </c>
      <c r="AQ352" s="63" t="str">
        <f aca="false">IF(ISBLANK(C352),"",AI352)</f>
        <v/>
      </c>
      <c r="AR352" s="64" t="str">
        <f aca="false">IF(ISBLANK(C352),
  "",
IF(AQ352=Constants!$B$11,COUNTA($C$8:$C$507)+2,IF(AQ352=Constants!$B$12,COUNTA($C$8:$C$507)+1,IF(AQ352=Constants!$B$13,COUNTA($C$8:$C$507),AQ352))))</f>
        <v/>
      </c>
      <c r="AS352" s="3"/>
      <c r="AT352" s="65" t="n">
        <f aca="false">IF(OR(ISNUMBER(AQ352),AQ352="DQ",AQ352="P",AQ352="NS"),
    1,
    0
)</f>
        <v>0</v>
      </c>
      <c r="AU352" s="65" t="n">
        <v>345</v>
      </c>
      <c r="AV352" s="65" t="str">
        <f aca="false">IF(ISBLANK($C352),
    "",
   IF(ISNUMBER(AR352),AR352+ROW($B352)/1000,"")
)</f>
        <v/>
      </c>
      <c r="AW352" s="65" t="str">
        <f aca="false">IF(ISNUMBER(AV352), RANK(AV352,AV$8:AV$507,1), "")</f>
        <v/>
      </c>
      <c r="AX352" s="65" t="str">
        <f aca="false">IF(ISBLANK($C352),
    "",
    $B352
)</f>
        <v/>
      </c>
      <c r="AY352" s="65" t="str">
        <f aca="false">IF(ISBLANK($C352),
    "",
    $C352
)</f>
        <v/>
      </c>
      <c r="AZ352" s="65" t="str">
        <f aca="false">IF(ISBLANK($C352),
    "",
    $D352
)</f>
        <v/>
      </c>
      <c r="BA352" s="65" t="str">
        <f aca="false">AO352</f>
        <v/>
      </c>
      <c r="BB352" s="66" t="str">
        <f aca="false">AN352</f>
        <v/>
      </c>
      <c r="BC352" s="65" t="str">
        <f aca="false">IF(ISBLANK($C352),
    "",
    AQ352
)</f>
        <v/>
      </c>
      <c r="BD352" s="67" t="str">
        <f aca="false">IF(AU352&gt;AT$7,
    "",
    VLOOKUP(AU352,AW$8:BC$507,7,FALSE())
)</f>
        <v/>
      </c>
      <c r="BE352" s="68" t="str">
        <f aca="false">IF(AU352&gt;AT$7,
    "",
    VLOOKUP(AU352,AW$8:BC$507,2,FALSE())
)</f>
        <v/>
      </c>
      <c r="BF352" s="68" t="str">
        <f aca="false">IF(AU352&gt;AT$7,
    "",
    VLOOKUP(AU352,AW$8:BC$507,3,FALSE())
)</f>
        <v/>
      </c>
      <c r="BG352" s="68" t="str">
        <f aca="false">IF(AU352&gt;AT$7,
    "",
    VLOOKUP(AU352,AW$8:BC$507,4,FALSE())
)</f>
        <v/>
      </c>
      <c r="BH352" s="68" t="str">
        <f aca="false">IF(AU352&gt;AT$7,
    "",
    VLOOKUP(AU352,AW$8:BC$507,5,FALSE())
)</f>
        <v/>
      </c>
      <c r="BI352" s="69" t="str">
        <f aca="false">IF(AU352&gt;AT$7,
    "",
    VLOOKUP(AU352,AW$8:BC$507,6,FALSE())
)</f>
        <v/>
      </c>
      <c r="BJ352" s="46"/>
    </row>
    <row r="353" customFormat="false" ht="15.75" hidden="false" customHeight="false" outlineLevel="0" collapsed="false">
      <c r="A353" s="3"/>
      <c r="B353" s="105"/>
      <c r="C353" s="106"/>
      <c r="D353" s="99"/>
      <c r="E353" s="110"/>
      <c r="F353" s="107"/>
      <c r="G353" s="110"/>
      <c r="H353" s="103"/>
      <c r="I353" s="102"/>
      <c r="J353" s="103"/>
      <c r="K353" s="103"/>
      <c r="L353" s="85"/>
      <c r="M353" s="85" t="str">
        <f aca="false">IF(ISBLANK($C353),"",IF(ISBLANK(E353),0,E353))</f>
        <v/>
      </c>
      <c r="N353" s="85" t="str">
        <f aca="false">IF(ISBLANK($C353),"",IF(ISBLANK(F353),0,F353))</f>
        <v/>
      </c>
      <c r="O353" s="86" t="e">
        <f aca="false">IF(AND(NOT(ISBLANK($C353)),NOT($T353),COUNTA($E353:$K353)&gt;0),ISBLANK($F353),FALSE())</f>
        <v>#VALUE!</v>
      </c>
      <c r="P353" s="85" t="str">
        <f aca="false">IF(ISBLANK($C353),"",IF(G353=Constants!$B$9, TRUE(), IF(G353=Constants!$B$10, FALSE(), TRUE())))</f>
        <v/>
      </c>
      <c r="Q353" s="85" t="str">
        <f aca="false">IF(ISBLANK($C353),"",IF(H353=Constants!$B$9, TRUE(), IF(H353=Constants!$B$10, FALSE(), TRUE())))</f>
        <v/>
      </c>
      <c r="R353" s="85" t="str">
        <f aca="false">IF(ISBLANK($C353),"",IF(ISBLANK(I353),Constants!$B$3,I353))</f>
        <v/>
      </c>
      <c r="S353" s="85" t="str">
        <f aca="false">IF(ISBLANK($C353),"",IF(ISBLANK(J353),0,MIN(J353,Constants!$B$6)))</f>
        <v/>
      </c>
      <c r="T353" s="85" t="str">
        <f aca="false">IF(ISBLANK($C353),"",IF(K353=Constants!$B$9, TRUE(), IF(K353=Constants!$B$10, FALSE(),  FALSE())))</f>
        <v/>
      </c>
      <c r="U353" s="85" t="str">
        <f aca="false">IF(ISBLANK($C353),"",AND(R353=Constants!$B$4, S353&lt;Constants!$B$6))</f>
        <v/>
      </c>
      <c r="V353" s="85" t="str">
        <f aca="false">IF(ISBLANK(C353), "", IF(T353, Constants!$B$11, IF(COUNTA(E353:K353)=0, Constants!$B$12, IF(NOT(AND(P353,S353&lt;&gt;0)), Constants!$B$13, IF(O353, Constants!$B$15, Constants!$B$14)))))</f>
        <v/>
      </c>
      <c r="W353" s="85" t="str">
        <f aca="false">IF(OR(ISBLANK($C353), SUMPRODUCT(--(P353:T353&lt;&gt;""))=0), "", IF(V353&lt;&gt;Constants!$B$14, V353, IF(AND(NOT(ISBLANK(J353)),P353,Q353,R353&lt;&gt;Constants!$B$2), Constants!$B$7, IF(AND(P353,OR(NOT(Q353),R353=Constants!$B$2)), Constants!$B$8, "Error"))))</f>
        <v/>
      </c>
      <c r="X353" s="87" t="str">
        <f aca="false">IF(OR(W353=Constants!$B$7,W353=Constants!$B$8), MAX(0, MIN(Constants!$B$6, S353))+IF(AND(R353=Constants!$B$4, NOT(U353)), Constants!$B$5, 0), "")</f>
        <v/>
      </c>
      <c r="Y353" s="85" t="str">
        <f aca="false">IF(ISBLANK($C353),"",IF(AND(ISNUMBER(X353),N353&gt;0),X353/N353, "") )</f>
        <v/>
      </c>
      <c r="Z353" s="85" t="str">
        <f aca="false">IF(AND(NOT(ISBLANK($C353)), W353=Constants!$B$7), Y353, "")</f>
        <v/>
      </c>
      <c r="AA353" s="85" t="str">
        <f aca="false">IF(ISNUMBER(Z353), RANK(Z353,Z$8:Z$507), "")</f>
        <v/>
      </c>
      <c r="AB353" s="85" t="str">
        <f aca="false">IF(AND(NOT(ISBLANK($C353)), W353=Constants!$B$8), Y353, "")</f>
        <v/>
      </c>
      <c r="AC353" s="85" t="str">
        <f aca="false">IF(ISNUMBER(AB353), RANK(AB353,AB$8:AB$507), "")</f>
        <v/>
      </c>
      <c r="AD353" s="85" t="str">
        <f aca="false">IF(ISBLANK($C353),"",IF(V353&lt;&gt;Constants!$B$14, V353, IF(W353=Constants!$B$7, AA353, IF(W353=Constants!$B$8, COUNT($AA$8:$AA$507) + AC353, ""))))</f>
        <v/>
      </c>
      <c r="AE353" s="85" t="str">
        <f aca="false">N353</f>
        <v/>
      </c>
      <c r="AF353" s="85" t="str">
        <f aca="false">IF(ISNUMBER(AE353), RANK(AE353,AE$8:AE$507,1), "")</f>
        <v/>
      </c>
      <c r="AG353" s="88" t="str">
        <f aca="false">IF(ISBLANK(C353), "", ABS(M353-S353))</f>
        <v/>
      </c>
      <c r="AH353" s="85" t="str">
        <f aca="false">IF(ISNUMBER(AG353), RANK(AG353,AG$8:AG$507,1), "")</f>
        <v/>
      </c>
      <c r="AI353" s="85" t="str">
        <f aca="false">IF(ISBLANK(C353),"",IF(V353&lt;&gt;Constants!$B$14, V353, RANK(AD353, AD$8:AD$507, 1)+ SUMPRODUCT(--(AD$8:AD$507=AD353),--(AF353&gt;AF$8:AF$507)) + SUMPRODUCT(--(AD$8:AD$507=AD353),--(AF353=AF$8:AF$507),--(AH353&gt;AH$8:AH$507))))</f>
        <v/>
      </c>
      <c r="AJ353" s="85" t="str">
        <f aca="false">IF(ISBLANK(C353),"",IF(V353&lt;&gt;Constants!$B$14, V353, AD353-AI353))</f>
        <v/>
      </c>
      <c r="AK353" s="89"/>
      <c r="AL353" s="90" t="str">
        <f aca="false">IF(ISBLANK($C353),"",IF($V353&lt;&gt;Constants!$B$14,$V353,X353))</f>
        <v/>
      </c>
      <c r="AM353" s="90" t="str">
        <f aca="false">IF(ISBLANK($C353),"",IF($V353&lt;&gt;Constants!$B$14,$V353,N353))</f>
        <v/>
      </c>
      <c r="AN353" s="91" t="str">
        <f aca="false">IF(ISBLANK(C353),"",IF(V353&lt;&gt;Constants!$B$14, V353, IF(W353=Constants!$B$7,Z353,IF(W353=Constants!$B$8,AB353,""))))</f>
        <v/>
      </c>
      <c r="AO353" s="92" t="str">
        <f aca="false">IF(ISBLANK(C353),"",W353)</f>
        <v/>
      </c>
      <c r="AP353" s="92" t="str">
        <f aca="false">IF(ISBLANK(C353),"",AJ353)</f>
        <v/>
      </c>
      <c r="AQ353" s="92" t="str">
        <f aca="false">IF(ISBLANK(C353),"",AI353)</f>
        <v/>
      </c>
      <c r="AR353" s="93" t="str">
        <f aca="false">IF(ISBLANK(C353),
  "",
IF(AQ353=Constants!$B$11,COUNTA($C$8:$C$507)+2,IF(AQ353=Constants!$B$12,COUNTA($C$8:$C$507)+1,IF(AQ353=Constants!$B$13,COUNTA($C$8:$C$507),AQ353))))</f>
        <v/>
      </c>
      <c r="AS353" s="3"/>
      <c r="AT353" s="94" t="n">
        <f aca="false">IF(OR(ISNUMBER(AQ353),AQ353="DQ",AQ353="P",AQ353="NS"),
    1,
    0
)</f>
        <v>0</v>
      </c>
      <c r="AU353" s="94" t="n">
        <v>346</v>
      </c>
      <c r="AV353" s="94" t="str">
        <f aca="false">IF(ISBLANK($C353),
    "",
   IF(ISNUMBER(AR353),AR353+ROW($B353)/1000,"")
)</f>
        <v/>
      </c>
      <c r="AW353" s="94" t="str">
        <f aca="false">IF(ISNUMBER(AV353), RANK(AV353,AV$8:AV$507,1), "")</f>
        <v/>
      </c>
      <c r="AX353" s="94" t="str">
        <f aca="false">IF(ISBLANK($C353),
    "",
    $B353
)</f>
        <v/>
      </c>
      <c r="AY353" s="94" t="str">
        <f aca="false">IF(ISBLANK($C353),
    "",
    $C353
)</f>
        <v/>
      </c>
      <c r="AZ353" s="94" t="str">
        <f aca="false">IF(ISBLANK($C353),
    "",
    $D353
)</f>
        <v/>
      </c>
      <c r="BA353" s="94" t="str">
        <f aca="false">AO353</f>
        <v/>
      </c>
      <c r="BB353" s="95" t="str">
        <f aca="false">AN353</f>
        <v/>
      </c>
      <c r="BC353" s="94" t="str">
        <f aca="false">IF(ISBLANK($C353),
    "",
    AQ353
)</f>
        <v/>
      </c>
      <c r="BD353" s="96" t="str">
        <f aca="false">IF(AU353&gt;AT$7,
    "",
    VLOOKUP(AU353,AW$8:BC$507,7,FALSE())
)</f>
        <v/>
      </c>
      <c r="BE353" s="97" t="str">
        <f aca="false">IF(AU353&gt;AT$7,
    "",
    VLOOKUP(AU353,AW$8:BC$507,2,FALSE())
)</f>
        <v/>
      </c>
      <c r="BF353" s="97" t="str">
        <f aca="false">IF(AU353&gt;AT$7,
    "",
    VLOOKUP(AU353,AW$8:BC$507,3,FALSE())
)</f>
        <v/>
      </c>
      <c r="BG353" s="97" t="str">
        <f aca="false">IF(AU353&gt;AT$7,
    "",
    VLOOKUP(AU353,AW$8:BC$507,4,FALSE())
)</f>
        <v/>
      </c>
      <c r="BH353" s="97" t="str">
        <f aca="false">IF(AU353&gt;AT$7,
    "",
    VLOOKUP(AU353,AW$8:BC$507,5,FALSE())
)</f>
        <v/>
      </c>
      <c r="BI353" s="98" t="str">
        <f aca="false">IF(AU353&gt;AT$7,
    "",
    VLOOKUP(AU353,AW$8:BC$507,6,FALSE())
)</f>
        <v/>
      </c>
      <c r="BJ353" s="46"/>
    </row>
    <row r="354" customFormat="false" ht="15.75" hidden="false" customHeight="false" outlineLevel="0" collapsed="false">
      <c r="A354" s="3"/>
      <c r="B354" s="105"/>
      <c r="C354" s="106"/>
      <c r="D354" s="99"/>
      <c r="E354" s="110"/>
      <c r="F354" s="107"/>
      <c r="G354" s="110"/>
      <c r="H354" s="103"/>
      <c r="I354" s="102"/>
      <c r="J354" s="103"/>
      <c r="K354" s="103"/>
      <c r="L354" s="85"/>
      <c r="M354" s="85" t="str">
        <f aca="false">IF(ISBLANK($C354),"",IF(ISBLANK(E354),0,E354))</f>
        <v/>
      </c>
      <c r="N354" s="85" t="str">
        <f aca="false">IF(ISBLANK($C354),"",IF(ISBLANK(F354),0,F354))</f>
        <v/>
      </c>
      <c r="O354" s="86" t="e">
        <f aca="false">IF(AND(NOT(ISBLANK($C354)),NOT($T354),COUNTA($E354:$K354)&gt;0),ISBLANK($F354),FALSE())</f>
        <v>#VALUE!</v>
      </c>
      <c r="P354" s="85" t="str">
        <f aca="false">IF(ISBLANK($C354),"",IF(G354=Constants!$B$9, TRUE(), IF(G354=Constants!$B$10, FALSE(), TRUE())))</f>
        <v/>
      </c>
      <c r="Q354" s="85" t="str">
        <f aca="false">IF(ISBLANK($C354),"",IF(H354=Constants!$B$9, TRUE(), IF(H354=Constants!$B$10, FALSE(), TRUE())))</f>
        <v/>
      </c>
      <c r="R354" s="85" t="str">
        <f aca="false">IF(ISBLANK($C354),"",IF(ISBLANK(I354),Constants!$B$3,I354))</f>
        <v/>
      </c>
      <c r="S354" s="85" t="str">
        <f aca="false">IF(ISBLANK($C354),"",IF(ISBLANK(J354),0,MIN(J354,Constants!$B$6)))</f>
        <v/>
      </c>
      <c r="T354" s="85" t="str">
        <f aca="false">IF(ISBLANK($C354),"",IF(K354=Constants!$B$9, TRUE(), IF(K354=Constants!$B$10, FALSE(),  FALSE())))</f>
        <v/>
      </c>
      <c r="U354" s="85" t="str">
        <f aca="false">IF(ISBLANK($C354),"",AND(R354=Constants!$B$4, S354&lt;Constants!$B$6))</f>
        <v/>
      </c>
      <c r="V354" s="85" t="str">
        <f aca="false">IF(ISBLANK(C354), "", IF(T354, Constants!$B$11, IF(COUNTA(E354:K354)=0, Constants!$B$12, IF(NOT(AND(P354,S354&lt;&gt;0)), Constants!$B$13, IF(O354, Constants!$B$15, Constants!$B$14)))))</f>
        <v/>
      </c>
      <c r="W354" s="85" t="str">
        <f aca="false">IF(OR(ISBLANK($C354), SUMPRODUCT(--(P354:T354&lt;&gt;""))=0), "", IF(V354&lt;&gt;Constants!$B$14, V354, IF(AND(NOT(ISBLANK(J354)),P354,Q354,R354&lt;&gt;Constants!$B$2), Constants!$B$7, IF(AND(P354,OR(NOT(Q354),R354=Constants!$B$2)), Constants!$B$8, "Error"))))</f>
        <v/>
      </c>
      <c r="X354" s="87" t="str">
        <f aca="false">IF(OR(W354=Constants!$B$7,W354=Constants!$B$8), MAX(0, MIN(Constants!$B$6, S354))+IF(AND(R354=Constants!$B$4, NOT(U354)), Constants!$B$5, 0), "")</f>
        <v/>
      </c>
      <c r="Y354" s="85" t="str">
        <f aca="false">IF(ISBLANK($C354),"",IF(AND(ISNUMBER(X354),N354&gt;0),X354/N354, "") )</f>
        <v/>
      </c>
      <c r="Z354" s="85" t="str">
        <f aca="false">IF(AND(NOT(ISBLANK($C354)), W354=Constants!$B$7), Y354, "")</f>
        <v/>
      </c>
      <c r="AA354" s="85" t="str">
        <f aca="false">IF(ISNUMBER(Z354), RANK(Z354,Z$8:Z$507), "")</f>
        <v/>
      </c>
      <c r="AB354" s="85" t="str">
        <f aca="false">IF(AND(NOT(ISBLANK($C354)), W354=Constants!$B$8), Y354, "")</f>
        <v/>
      </c>
      <c r="AC354" s="85" t="str">
        <f aca="false">IF(ISNUMBER(AB354), RANK(AB354,AB$8:AB$507), "")</f>
        <v/>
      </c>
      <c r="AD354" s="85" t="str">
        <f aca="false">IF(ISBLANK($C354),"",IF(V354&lt;&gt;Constants!$B$14, V354, IF(W354=Constants!$B$7, AA354, IF(W354=Constants!$B$8, COUNT($AA$8:$AA$507) + AC354, ""))))</f>
        <v/>
      </c>
      <c r="AE354" s="85" t="str">
        <f aca="false">N354</f>
        <v/>
      </c>
      <c r="AF354" s="85" t="str">
        <f aca="false">IF(ISNUMBER(AE354), RANK(AE354,AE$8:AE$507,1), "")</f>
        <v/>
      </c>
      <c r="AG354" s="88" t="str">
        <f aca="false">IF(ISBLANK(C354), "", ABS(M354-S354))</f>
        <v/>
      </c>
      <c r="AH354" s="85" t="str">
        <f aca="false">IF(ISNUMBER(AG354), RANK(AG354,AG$8:AG$507,1), "")</f>
        <v/>
      </c>
      <c r="AI354" s="85" t="str">
        <f aca="false">IF(ISBLANK(C354),"",IF(V354&lt;&gt;Constants!$B$14, V354, RANK(AD354, AD$8:AD$507, 1)+ SUMPRODUCT(--(AD$8:AD$507=AD354),--(AF354&gt;AF$8:AF$507)) + SUMPRODUCT(--(AD$8:AD$507=AD354),--(AF354=AF$8:AF$507),--(AH354&gt;AH$8:AH$507))))</f>
        <v/>
      </c>
      <c r="AJ354" s="85" t="str">
        <f aca="false">IF(ISBLANK(C354),"",IF(V354&lt;&gt;Constants!$B$14, V354, AD354-AI354))</f>
        <v/>
      </c>
      <c r="AK354" s="89"/>
      <c r="AL354" s="90" t="str">
        <f aca="false">IF(ISBLANK($C354),"",IF($V354&lt;&gt;Constants!$B$14,$V354,X354))</f>
        <v/>
      </c>
      <c r="AM354" s="90" t="str">
        <f aca="false">IF(ISBLANK($C354),"",IF($V354&lt;&gt;Constants!$B$14,$V354,N354))</f>
        <v/>
      </c>
      <c r="AN354" s="91" t="str">
        <f aca="false">IF(ISBLANK(C354),"",IF(V354&lt;&gt;Constants!$B$14, V354, IF(W354=Constants!$B$7,Z354,IF(W354=Constants!$B$8,AB354,""))))</f>
        <v/>
      </c>
      <c r="AO354" s="92" t="str">
        <f aca="false">IF(ISBLANK(C354),"",W354)</f>
        <v/>
      </c>
      <c r="AP354" s="92" t="str">
        <f aca="false">IF(ISBLANK(C354),"",AJ354)</f>
        <v/>
      </c>
      <c r="AQ354" s="92" t="str">
        <f aca="false">IF(ISBLANK(C354),"",AI354)</f>
        <v/>
      </c>
      <c r="AR354" s="93" t="str">
        <f aca="false">IF(ISBLANK(C354),
  "",
IF(AQ354=Constants!$B$11,COUNTA($C$8:$C$507)+2,IF(AQ354=Constants!$B$12,COUNTA($C$8:$C$507)+1,IF(AQ354=Constants!$B$13,COUNTA($C$8:$C$507),AQ354))))</f>
        <v/>
      </c>
      <c r="AS354" s="3"/>
      <c r="AT354" s="94" t="n">
        <f aca="false">IF(OR(ISNUMBER(AQ354),AQ354="DQ",AQ354="P",AQ354="NS"),
    1,
    0
)</f>
        <v>0</v>
      </c>
      <c r="AU354" s="94" t="n">
        <v>347</v>
      </c>
      <c r="AV354" s="94" t="str">
        <f aca="false">IF(ISBLANK($C354),
    "",
   IF(ISNUMBER(AR354),AR354+ROW($B354)/1000,"")
)</f>
        <v/>
      </c>
      <c r="AW354" s="94" t="str">
        <f aca="false">IF(ISNUMBER(AV354), RANK(AV354,AV$8:AV$507,1), "")</f>
        <v/>
      </c>
      <c r="AX354" s="94" t="str">
        <f aca="false">IF(ISBLANK($C354),
    "",
    $B354
)</f>
        <v/>
      </c>
      <c r="AY354" s="94" t="str">
        <f aca="false">IF(ISBLANK($C354),
    "",
    $C354
)</f>
        <v/>
      </c>
      <c r="AZ354" s="94" t="str">
        <f aca="false">IF(ISBLANK($C354),
    "",
    $D354
)</f>
        <v/>
      </c>
      <c r="BA354" s="94" t="str">
        <f aca="false">AO354</f>
        <v/>
      </c>
      <c r="BB354" s="95" t="str">
        <f aca="false">AN354</f>
        <v/>
      </c>
      <c r="BC354" s="94" t="str">
        <f aca="false">IF(ISBLANK($C354),
    "",
    AQ354
)</f>
        <v/>
      </c>
      <c r="BD354" s="96" t="str">
        <f aca="false">IF(AU354&gt;AT$7,
    "",
    VLOOKUP(AU354,AW$8:BC$507,7,FALSE())
)</f>
        <v/>
      </c>
      <c r="BE354" s="97" t="str">
        <f aca="false">IF(AU354&gt;AT$7,
    "",
    VLOOKUP(AU354,AW$8:BC$507,2,FALSE())
)</f>
        <v/>
      </c>
      <c r="BF354" s="97" t="str">
        <f aca="false">IF(AU354&gt;AT$7,
    "",
    VLOOKUP(AU354,AW$8:BC$507,3,FALSE())
)</f>
        <v/>
      </c>
      <c r="BG354" s="97" t="str">
        <f aca="false">IF(AU354&gt;AT$7,
    "",
    VLOOKUP(AU354,AW$8:BC$507,4,FALSE())
)</f>
        <v/>
      </c>
      <c r="BH354" s="97" t="str">
        <f aca="false">IF(AU354&gt;AT$7,
    "",
    VLOOKUP(AU354,AW$8:BC$507,5,FALSE())
)</f>
        <v/>
      </c>
      <c r="BI354" s="98" t="str">
        <f aca="false">IF(AU354&gt;AT$7,
    "",
    VLOOKUP(AU354,AW$8:BC$507,6,FALSE())
)</f>
        <v/>
      </c>
      <c r="BJ354" s="46"/>
    </row>
    <row r="355" customFormat="false" ht="15.75" hidden="false" customHeight="false" outlineLevel="0" collapsed="false">
      <c r="A355" s="3"/>
      <c r="B355" s="105"/>
      <c r="C355" s="106"/>
      <c r="D355" s="99"/>
      <c r="E355" s="110"/>
      <c r="F355" s="107"/>
      <c r="G355" s="110"/>
      <c r="H355" s="103"/>
      <c r="I355" s="102"/>
      <c r="J355" s="103"/>
      <c r="K355" s="103"/>
      <c r="L355" s="85"/>
      <c r="M355" s="85" t="str">
        <f aca="false">IF(ISBLANK($C355),"",IF(ISBLANK(E355),0,E355))</f>
        <v/>
      </c>
      <c r="N355" s="85" t="str">
        <f aca="false">IF(ISBLANK($C355),"",IF(ISBLANK(F355),0,F355))</f>
        <v/>
      </c>
      <c r="O355" s="86" t="e">
        <f aca="false">IF(AND(NOT(ISBLANK($C355)),NOT($T355),COUNTA($E355:$K355)&gt;0),ISBLANK($F355),FALSE())</f>
        <v>#VALUE!</v>
      </c>
      <c r="P355" s="85" t="str">
        <f aca="false">IF(ISBLANK($C355),"",IF(G355=Constants!$B$9, TRUE(), IF(G355=Constants!$B$10, FALSE(), TRUE())))</f>
        <v/>
      </c>
      <c r="Q355" s="85" t="str">
        <f aca="false">IF(ISBLANK($C355),"",IF(H355=Constants!$B$9, TRUE(), IF(H355=Constants!$B$10, FALSE(), TRUE())))</f>
        <v/>
      </c>
      <c r="R355" s="85" t="str">
        <f aca="false">IF(ISBLANK($C355),"",IF(ISBLANK(I355),Constants!$B$3,I355))</f>
        <v/>
      </c>
      <c r="S355" s="85" t="str">
        <f aca="false">IF(ISBLANK($C355),"",IF(ISBLANK(J355),0,MIN(J355,Constants!$B$6)))</f>
        <v/>
      </c>
      <c r="T355" s="85" t="str">
        <f aca="false">IF(ISBLANK($C355),"",IF(K355=Constants!$B$9, TRUE(), IF(K355=Constants!$B$10, FALSE(),  FALSE())))</f>
        <v/>
      </c>
      <c r="U355" s="85" t="str">
        <f aca="false">IF(ISBLANK($C355),"",AND(R355=Constants!$B$4, S355&lt;Constants!$B$6))</f>
        <v/>
      </c>
      <c r="V355" s="85" t="str">
        <f aca="false">IF(ISBLANK(C355), "", IF(T355, Constants!$B$11, IF(COUNTA(E355:K355)=0, Constants!$B$12, IF(NOT(AND(P355,S355&lt;&gt;0)), Constants!$B$13, IF(O355, Constants!$B$15, Constants!$B$14)))))</f>
        <v/>
      </c>
      <c r="W355" s="85" t="str">
        <f aca="false">IF(OR(ISBLANK($C355), SUMPRODUCT(--(P355:T355&lt;&gt;""))=0), "", IF(V355&lt;&gt;Constants!$B$14, V355, IF(AND(NOT(ISBLANK(J355)),P355,Q355,R355&lt;&gt;Constants!$B$2), Constants!$B$7, IF(AND(P355,OR(NOT(Q355),R355=Constants!$B$2)), Constants!$B$8, "Error"))))</f>
        <v/>
      </c>
      <c r="X355" s="87" t="str">
        <f aca="false">IF(OR(W355=Constants!$B$7,W355=Constants!$B$8), MAX(0, MIN(Constants!$B$6, S355))+IF(AND(R355=Constants!$B$4, NOT(U355)), Constants!$B$5, 0), "")</f>
        <v/>
      </c>
      <c r="Y355" s="85" t="str">
        <f aca="false">IF(ISBLANK($C355),"",IF(AND(ISNUMBER(X355),N355&gt;0),X355/N355, "") )</f>
        <v/>
      </c>
      <c r="Z355" s="85" t="str">
        <f aca="false">IF(AND(NOT(ISBLANK($C355)), W355=Constants!$B$7), Y355, "")</f>
        <v/>
      </c>
      <c r="AA355" s="85" t="str">
        <f aca="false">IF(ISNUMBER(Z355), RANK(Z355,Z$8:Z$507), "")</f>
        <v/>
      </c>
      <c r="AB355" s="85" t="str">
        <f aca="false">IF(AND(NOT(ISBLANK($C355)), W355=Constants!$B$8), Y355, "")</f>
        <v/>
      </c>
      <c r="AC355" s="85" t="str">
        <f aca="false">IF(ISNUMBER(AB355), RANK(AB355,AB$8:AB$507), "")</f>
        <v/>
      </c>
      <c r="AD355" s="85" t="str">
        <f aca="false">IF(ISBLANK($C355),"",IF(V355&lt;&gt;Constants!$B$14, V355, IF(W355=Constants!$B$7, AA355, IF(W355=Constants!$B$8, COUNT($AA$8:$AA$507) + AC355, ""))))</f>
        <v/>
      </c>
      <c r="AE355" s="85" t="str">
        <f aca="false">N355</f>
        <v/>
      </c>
      <c r="AF355" s="85" t="str">
        <f aca="false">IF(ISNUMBER(AE355), RANK(AE355,AE$8:AE$507,1), "")</f>
        <v/>
      </c>
      <c r="AG355" s="88" t="str">
        <f aca="false">IF(ISBLANK(C355), "", ABS(M355-S355))</f>
        <v/>
      </c>
      <c r="AH355" s="85" t="str">
        <f aca="false">IF(ISNUMBER(AG355), RANK(AG355,AG$8:AG$507,1), "")</f>
        <v/>
      </c>
      <c r="AI355" s="85" t="str">
        <f aca="false">IF(ISBLANK(C355),"",IF(V355&lt;&gt;Constants!$B$14, V355, RANK(AD355, AD$8:AD$507, 1)+ SUMPRODUCT(--(AD$8:AD$507=AD355),--(AF355&gt;AF$8:AF$507)) + SUMPRODUCT(--(AD$8:AD$507=AD355),--(AF355=AF$8:AF$507),--(AH355&gt;AH$8:AH$507))))</f>
        <v/>
      </c>
      <c r="AJ355" s="85" t="str">
        <f aca="false">IF(ISBLANK(C355),"",IF(V355&lt;&gt;Constants!$B$14, V355, AD355-AI355))</f>
        <v/>
      </c>
      <c r="AK355" s="89"/>
      <c r="AL355" s="90" t="str">
        <f aca="false">IF(ISBLANK($C355),"",IF($V355&lt;&gt;Constants!$B$14,$V355,X355))</f>
        <v/>
      </c>
      <c r="AM355" s="90" t="str">
        <f aca="false">IF(ISBLANK($C355),"",IF($V355&lt;&gt;Constants!$B$14,$V355,N355))</f>
        <v/>
      </c>
      <c r="AN355" s="91" t="str">
        <f aca="false">IF(ISBLANK(C355),"",IF(V355&lt;&gt;Constants!$B$14, V355, IF(W355=Constants!$B$7,Z355,IF(W355=Constants!$B$8,AB355,""))))</f>
        <v/>
      </c>
      <c r="AO355" s="92" t="str">
        <f aca="false">IF(ISBLANK(C355),"",W355)</f>
        <v/>
      </c>
      <c r="AP355" s="92" t="str">
        <f aca="false">IF(ISBLANK(C355),"",AJ355)</f>
        <v/>
      </c>
      <c r="AQ355" s="92" t="str">
        <f aca="false">IF(ISBLANK(C355),"",AI355)</f>
        <v/>
      </c>
      <c r="AR355" s="93" t="str">
        <f aca="false">IF(ISBLANK(C355),
  "",
IF(AQ355=Constants!$B$11,COUNTA($C$8:$C$507)+2,IF(AQ355=Constants!$B$12,COUNTA($C$8:$C$507)+1,IF(AQ355=Constants!$B$13,COUNTA($C$8:$C$507),AQ355))))</f>
        <v/>
      </c>
      <c r="AS355" s="3"/>
      <c r="AT355" s="94" t="n">
        <f aca="false">IF(OR(ISNUMBER(AQ355),AQ355="DQ",AQ355="P",AQ355="NS"),
    1,
    0
)</f>
        <v>0</v>
      </c>
      <c r="AU355" s="94" t="n">
        <v>348</v>
      </c>
      <c r="AV355" s="94" t="str">
        <f aca="false">IF(ISBLANK($C355),
    "",
   IF(ISNUMBER(AR355),AR355+ROW($B355)/1000,"")
)</f>
        <v/>
      </c>
      <c r="AW355" s="94" t="str">
        <f aca="false">IF(ISNUMBER(AV355), RANK(AV355,AV$8:AV$507,1), "")</f>
        <v/>
      </c>
      <c r="AX355" s="94" t="str">
        <f aca="false">IF(ISBLANK($C355),
    "",
    $B355
)</f>
        <v/>
      </c>
      <c r="AY355" s="94" t="str">
        <f aca="false">IF(ISBLANK($C355),
    "",
    $C355
)</f>
        <v/>
      </c>
      <c r="AZ355" s="94" t="str">
        <f aca="false">IF(ISBLANK($C355),
    "",
    $D355
)</f>
        <v/>
      </c>
      <c r="BA355" s="94" t="str">
        <f aca="false">AO355</f>
        <v/>
      </c>
      <c r="BB355" s="95" t="str">
        <f aca="false">AN355</f>
        <v/>
      </c>
      <c r="BC355" s="94" t="str">
        <f aca="false">IF(ISBLANK($C355),
    "",
    AQ355
)</f>
        <v/>
      </c>
      <c r="BD355" s="96" t="str">
        <f aca="false">IF(AU355&gt;AT$7,
    "",
    VLOOKUP(AU355,AW$8:BC$507,7,FALSE())
)</f>
        <v/>
      </c>
      <c r="BE355" s="97" t="str">
        <f aca="false">IF(AU355&gt;AT$7,
    "",
    VLOOKUP(AU355,AW$8:BC$507,2,FALSE())
)</f>
        <v/>
      </c>
      <c r="BF355" s="97" t="str">
        <f aca="false">IF(AU355&gt;AT$7,
    "",
    VLOOKUP(AU355,AW$8:BC$507,3,FALSE())
)</f>
        <v/>
      </c>
      <c r="BG355" s="97" t="str">
        <f aca="false">IF(AU355&gt;AT$7,
    "",
    VLOOKUP(AU355,AW$8:BC$507,4,FALSE())
)</f>
        <v/>
      </c>
      <c r="BH355" s="97" t="str">
        <f aca="false">IF(AU355&gt;AT$7,
    "",
    VLOOKUP(AU355,AW$8:BC$507,5,FALSE())
)</f>
        <v/>
      </c>
      <c r="BI355" s="98" t="str">
        <f aca="false">IF(AU355&gt;AT$7,
    "",
    VLOOKUP(AU355,AW$8:BC$507,6,FALSE())
)</f>
        <v/>
      </c>
      <c r="BJ355" s="46"/>
    </row>
    <row r="356" customFormat="false" ht="15.75" hidden="false" customHeight="false" outlineLevel="0" collapsed="false">
      <c r="A356" s="3"/>
      <c r="B356" s="108"/>
      <c r="C356" s="70"/>
      <c r="D356" s="49"/>
      <c r="E356" s="109"/>
      <c r="F356" s="72"/>
      <c r="G356" s="109"/>
      <c r="H356" s="74"/>
      <c r="I356" s="104"/>
      <c r="J356" s="74"/>
      <c r="K356" s="74"/>
      <c r="L356" s="55"/>
      <c r="M356" s="55" t="str">
        <f aca="false">IF(ISBLANK($C356),"",IF(ISBLANK(E356),0,E356))</f>
        <v/>
      </c>
      <c r="N356" s="55" t="str">
        <f aca="false">IF(ISBLANK($C356),"",IF(ISBLANK(F356),0,F356))</f>
        <v/>
      </c>
      <c r="O356" s="55" t="e">
        <f aca="false">IF(AND(NOT(ISBLANK($C356)),NOT($T356),COUNTA($E356:$K356)&gt;0),ISBLANK($F356),FALSE())</f>
        <v>#VALUE!</v>
      </c>
      <c r="P356" s="55" t="str">
        <f aca="false">IF(ISBLANK($C356),"",IF(G356=Constants!$B$9, TRUE(), IF(G356=Constants!$B$10, FALSE(), TRUE())))</f>
        <v/>
      </c>
      <c r="Q356" s="55" t="str">
        <f aca="false">IF(ISBLANK($C356),"",IF(H356=Constants!$B$9, TRUE(), IF(H356=Constants!$B$10, FALSE(), TRUE())))</f>
        <v/>
      </c>
      <c r="R356" s="55" t="str">
        <f aca="false">IF(ISBLANK($C356),"",IF(ISBLANK(I356),Constants!$B$3,I356))</f>
        <v/>
      </c>
      <c r="S356" s="55" t="str">
        <f aca="false">IF(ISBLANK($C356),"",IF(ISBLANK(J356),0,MIN(J356,Constants!$B$6)))</f>
        <v/>
      </c>
      <c r="T356" s="55" t="str">
        <f aca="false">IF(ISBLANK($C356),"",IF(K356=Constants!$B$9, TRUE(), IF(K356=Constants!$B$10, FALSE(),  FALSE())))</f>
        <v/>
      </c>
      <c r="U356" s="55" t="str">
        <f aca="false">IF(ISBLANK($C356),"",AND(R356=Constants!$B$4, S356&lt;Constants!$B$6))</f>
        <v/>
      </c>
      <c r="V356" s="55" t="str">
        <f aca="false">IF(ISBLANK(C356), "", IF(T356, Constants!$B$11, IF(COUNTA(E356:K356)=0, Constants!$B$12, IF(NOT(AND(P356,S356&lt;&gt;0)), Constants!$B$13, IF(O356, Constants!$B$15, Constants!$B$14)))))</f>
        <v/>
      </c>
      <c r="W356" s="55" t="str">
        <f aca="false">IF(OR(ISBLANK($C356), SUMPRODUCT(--(P356:T356&lt;&gt;""))=0), "", IF(V356&lt;&gt;Constants!$B$14, V356, IF(AND(NOT(ISBLANK(J356)),P356,Q356,R356&lt;&gt;Constants!$B$2), Constants!$B$7, IF(AND(P356,OR(NOT(Q356),R356=Constants!$B$2)), Constants!$B$8, "Error"))))</f>
        <v/>
      </c>
      <c r="X356" s="56" t="str">
        <f aca="false">IF(OR(W356=Constants!$B$7,W356=Constants!$B$8), MAX(0, MIN(Constants!$B$6, S356))+IF(AND(R356=Constants!$B$4, NOT(U356)), Constants!$B$5, 0), "")</f>
        <v/>
      </c>
      <c r="Y356" s="55" t="str">
        <f aca="false">IF(ISBLANK($C356),"",IF(AND(ISNUMBER(X356),N356&gt;0),X356/N356, "") )</f>
        <v/>
      </c>
      <c r="Z356" s="55" t="str">
        <f aca="false">IF(AND(NOT(ISBLANK($C356)), W356=Constants!$B$7), Y356, "")</f>
        <v/>
      </c>
      <c r="AA356" s="55" t="str">
        <f aca="false">IF(ISNUMBER(Z356), RANK(Z356,Z$8:Z$507), "")</f>
        <v/>
      </c>
      <c r="AB356" s="55" t="str">
        <f aca="false">IF(AND(NOT(ISBLANK($C356)), W356=Constants!$B$8), Y356, "")</f>
        <v/>
      </c>
      <c r="AC356" s="55" t="str">
        <f aca="false">IF(ISNUMBER(AB356), RANK(AB356,AB$8:AB$507), "")</f>
        <v/>
      </c>
      <c r="AD356" s="55" t="str">
        <f aca="false">IF(ISBLANK($C356),"",IF(V356&lt;&gt;Constants!$B$14, V356, IF(W356=Constants!$B$7, AA356, IF(W356=Constants!$B$8, COUNT($AA$8:$AA$507) + AC356, ""))))</f>
        <v/>
      </c>
      <c r="AE356" s="55" t="str">
        <f aca="false">N356</f>
        <v/>
      </c>
      <c r="AF356" s="55" t="str">
        <f aca="false">IF(ISNUMBER(AE356), RANK(AE356,AE$8:AE$507,1), "")</f>
        <v/>
      </c>
      <c r="AG356" s="57" t="str">
        <f aca="false">IF(ISBLANK(C356), "", ABS(M356-S356))</f>
        <v/>
      </c>
      <c r="AH356" s="55" t="str">
        <f aca="false">IF(ISNUMBER(AG356), RANK(AG356,AG$8:AG$507,1), "")</f>
        <v/>
      </c>
      <c r="AI356" s="55" t="str">
        <f aca="false">IF(ISBLANK(C356),"",IF(V356&lt;&gt;Constants!$B$14, V356, RANK(AD356, AD$8:AD$507, 1)+ SUMPRODUCT(--(AD$8:AD$507=AD356),--(AF356&gt;AF$8:AF$507)) + SUMPRODUCT(--(AD$8:AD$507=AD356),--(AF356=AF$8:AF$507),--(AH356&gt;AH$8:AH$507))))</f>
        <v/>
      </c>
      <c r="AJ356" s="55" t="str">
        <f aca="false">IF(ISBLANK(C356),"",IF(V356&lt;&gt;Constants!$B$14, V356, AD356-AI356))</f>
        <v/>
      </c>
      <c r="AK356" s="59"/>
      <c r="AL356" s="60" t="str">
        <f aca="false">IF(ISBLANK($C356),"",IF($V356&lt;&gt;Constants!$B$14,$V356,X356))</f>
        <v/>
      </c>
      <c r="AM356" s="60" t="str">
        <f aca="false">IF(ISBLANK($C356),"",IF($V356&lt;&gt;Constants!$B$14,$V356,N356))</f>
        <v/>
      </c>
      <c r="AN356" s="62" t="str">
        <f aca="false">IF(ISBLANK(C356),"",IF(V356&lt;&gt;Constants!$B$14, V356, IF(W356=Constants!$B$7,Z356,IF(W356=Constants!$B$8,AB356,""))))</f>
        <v/>
      </c>
      <c r="AO356" s="63" t="str">
        <f aca="false">IF(ISBLANK(C356),"",W356)</f>
        <v/>
      </c>
      <c r="AP356" s="63" t="str">
        <f aca="false">IF(ISBLANK(C356),"",AJ356)</f>
        <v/>
      </c>
      <c r="AQ356" s="63" t="str">
        <f aca="false">IF(ISBLANK(C356),"",AI356)</f>
        <v/>
      </c>
      <c r="AR356" s="64" t="str">
        <f aca="false">IF(ISBLANK(C356),
  "",
IF(AQ356=Constants!$B$11,COUNTA($C$8:$C$507)+2,IF(AQ356=Constants!$B$12,COUNTA($C$8:$C$507)+1,IF(AQ356=Constants!$B$13,COUNTA($C$8:$C$507),AQ356))))</f>
        <v/>
      </c>
      <c r="AS356" s="3"/>
      <c r="AT356" s="65" t="n">
        <f aca="false">IF(OR(ISNUMBER(AQ356),AQ356="DQ",AQ356="P",AQ356="NS"),
    1,
    0
)</f>
        <v>0</v>
      </c>
      <c r="AU356" s="65" t="n">
        <v>349</v>
      </c>
      <c r="AV356" s="65" t="str">
        <f aca="false">IF(ISBLANK($C356),
    "",
   IF(ISNUMBER(AR356),AR356+ROW($B356)/1000,"")
)</f>
        <v/>
      </c>
      <c r="AW356" s="65" t="str">
        <f aca="false">IF(ISNUMBER(AV356), RANK(AV356,AV$8:AV$507,1), "")</f>
        <v/>
      </c>
      <c r="AX356" s="65" t="str">
        <f aca="false">IF(ISBLANK($C356),
    "",
    $B356
)</f>
        <v/>
      </c>
      <c r="AY356" s="65" t="str">
        <f aca="false">IF(ISBLANK($C356),
    "",
    $C356
)</f>
        <v/>
      </c>
      <c r="AZ356" s="65" t="str">
        <f aca="false">IF(ISBLANK($C356),
    "",
    $D356
)</f>
        <v/>
      </c>
      <c r="BA356" s="65" t="str">
        <f aca="false">AO356</f>
        <v/>
      </c>
      <c r="BB356" s="66" t="str">
        <f aca="false">AN356</f>
        <v/>
      </c>
      <c r="BC356" s="65" t="str">
        <f aca="false">IF(ISBLANK($C356),
    "",
    AQ356
)</f>
        <v/>
      </c>
      <c r="BD356" s="67" t="str">
        <f aca="false">IF(AU356&gt;AT$7,
    "",
    VLOOKUP(AU356,AW$8:BC$507,7,FALSE())
)</f>
        <v/>
      </c>
      <c r="BE356" s="68" t="str">
        <f aca="false">IF(AU356&gt;AT$7,
    "",
    VLOOKUP(AU356,AW$8:BC$507,2,FALSE())
)</f>
        <v/>
      </c>
      <c r="BF356" s="68" t="str">
        <f aca="false">IF(AU356&gt;AT$7,
    "",
    VLOOKUP(AU356,AW$8:BC$507,3,FALSE())
)</f>
        <v/>
      </c>
      <c r="BG356" s="68" t="str">
        <f aca="false">IF(AU356&gt;AT$7,
    "",
    VLOOKUP(AU356,AW$8:BC$507,4,FALSE())
)</f>
        <v/>
      </c>
      <c r="BH356" s="68" t="str">
        <f aca="false">IF(AU356&gt;AT$7,
    "",
    VLOOKUP(AU356,AW$8:BC$507,5,FALSE())
)</f>
        <v/>
      </c>
      <c r="BI356" s="69" t="str">
        <f aca="false">IF(AU356&gt;AT$7,
    "",
    VLOOKUP(AU356,AW$8:BC$507,6,FALSE())
)</f>
        <v/>
      </c>
      <c r="BJ356" s="46"/>
    </row>
    <row r="357" customFormat="false" ht="15.75" hidden="false" customHeight="false" outlineLevel="0" collapsed="false">
      <c r="A357" s="3"/>
      <c r="B357" s="108"/>
      <c r="C357" s="70"/>
      <c r="D357" s="49"/>
      <c r="E357" s="109"/>
      <c r="F357" s="72"/>
      <c r="G357" s="109"/>
      <c r="H357" s="74"/>
      <c r="I357" s="104"/>
      <c r="J357" s="74"/>
      <c r="K357" s="74"/>
      <c r="L357" s="55"/>
      <c r="M357" s="55" t="str">
        <f aca="false">IF(ISBLANK($C357),"",IF(ISBLANK(E357),0,E357))</f>
        <v/>
      </c>
      <c r="N357" s="55" t="str">
        <f aca="false">IF(ISBLANK($C357),"",IF(ISBLANK(F357),0,F357))</f>
        <v/>
      </c>
      <c r="O357" s="55" t="e">
        <f aca="false">IF(AND(NOT(ISBLANK($C357)),NOT($T357),COUNTA($E357:$K357)&gt;0),ISBLANK($F357),FALSE())</f>
        <v>#VALUE!</v>
      </c>
      <c r="P357" s="55" t="str">
        <f aca="false">IF(ISBLANK($C357),"",IF(G357=Constants!$B$9, TRUE(), IF(G357=Constants!$B$10, FALSE(), TRUE())))</f>
        <v/>
      </c>
      <c r="Q357" s="55" t="str">
        <f aca="false">IF(ISBLANK($C357),"",IF(H357=Constants!$B$9, TRUE(), IF(H357=Constants!$B$10, FALSE(), TRUE())))</f>
        <v/>
      </c>
      <c r="R357" s="55" t="str">
        <f aca="false">IF(ISBLANK($C357),"",IF(ISBLANK(I357),Constants!$B$3,I357))</f>
        <v/>
      </c>
      <c r="S357" s="55" t="str">
        <f aca="false">IF(ISBLANK($C357),"",IF(ISBLANK(J357),0,MIN(J357,Constants!$B$6)))</f>
        <v/>
      </c>
      <c r="T357" s="55" t="str">
        <f aca="false">IF(ISBLANK($C357),"",IF(K357=Constants!$B$9, TRUE(), IF(K357=Constants!$B$10, FALSE(),  FALSE())))</f>
        <v/>
      </c>
      <c r="U357" s="55" t="str">
        <f aca="false">IF(ISBLANK($C357),"",AND(R357=Constants!$B$4, S357&lt;Constants!$B$6))</f>
        <v/>
      </c>
      <c r="V357" s="55" t="str">
        <f aca="false">IF(ISBLANK(C357), "", IF(T357, Constants!$B$11, IF(COUNTA(E357:K357)=0, Constants!$B$12, IF(NOT(AND(P357,S357&lt;&gt;0)), Constants!$B$13, IF(O357, Constants!$B$15, Constants!$B$14)))))</f>
        <v/>
      </c>
      <c r="W357" s="55" t="str">
        <f aca="false">IF(OR(ISBLANK($C357), SUMPRODUCT(--(P357:T357&lt;&gt;""))=0), "", IF(V357&lt;&gt;Constants!$B$14, V357, IF(AND(NOT(ISBLANK(J357)),P357,Q357,R357&lt;&gt;Constants!$B$2), Constants!$B$7, IF(AND(P357,OR(NOT(Q357),R357=Constants!$B$2)), Constants!$B$8, "Error"))))</f>
        <v/>
      </c>
      <c r="X357" s="56" t="str">
        <f aca="false">IF(OR(W357=Constants!$B$7,W357=Constants!$B$8), MAX(0, MIN(Constants!$B$6, S357))+IF(AND(R357=Constants!$B$4, NOT(U357)), Constants!$B$5, 0), "")</f>
        <v/>
      </c>
      <c r="Y357" s="55" t="str">
        <f aca="false">IF(ISBLANK($C357),"",IF(AND(ISNUMBER(X357),N357&gt;0),X357/N357, "") )</f>
        <v/>
      </c>
      <c r="Z357" s="55" t="str">
        <f aca="false">IF(AND(NOT(ISBLANK($C357)), W357=Constants!$B$7), Y357, "")</f>
        <v/>
      </c>
      <c r="AA357" s="55" t="str">
        <f aca="false">IF(ISNUMBER(Z357), RANK(Z357,Z$8:Z$507), "")</f>
        <v/>
      </c>
      <c r="AB357" s="55" t="str">
        <f aca="false">IF(AND(NOT(ISBLANK($C357)), W357=Constants!$B$8), Y357, "")</f>
        <v/>
      </c>
      <c r="AC357" s="55" t="str">
        <f aca="false">IF(ISNUMBER(AB357), RANK(AB357,AB$8:AB$507), "")</f>
        <v/>
      </c>
      <c r="AD357" s="55" t="str">
        <f aca="false">IF(ISBLANK($C357),"",IF(V357&lt;&gt;Constants!$B$14, V357, IF(W357=Constants!$B$7, AA357, IF(W357=Constants!$B$8, COUNT($AA$8:$AA$507) + AC357, ""))))</f>
        <v/>
      </c>
      <c r="AE357" s="55" t="str">
        <f aca="false">N357</f>
        <v/>
      </c>
      <c r="AF357" s="55" t="str">
        <f aca="false">IF(ISNUMBER(AE357), RANK(AE357,AE$8:AE$507,1), "")</f>
        <v/>
      </c>
      <c r="AG357" s="57" t="str">
        <f aca="false">IF(ISBLANK(C357), "", ABS(M357-S357))</f>
        <v/>
      </c>
      <c r="AH357" s="55" t="str">
        <f aca="false">IF(ISNUMBER(AG357), RANK(AG357,AG$8:AG$507,1), "")</f>
        <v/>
      </c>
      <c r="AI357" s="55" t="str">
        <f aca="false">IF(ISBLANK(C357),"",IF(V357&lt;&gt;Constants!$B$14, V357, RANK(AD357, AD$8:AD$507, 1)+ SUMPRODUCT(--(AD$8:AD$507=AD357),--(AF357&gt;AF$8:AF$507)) + SUMPRODUCT(--(AD$8:AD$507=AD357),--(AF357=AF$8:AF$507),--(AH357&gt;AH$8:AH$507))))</f>
        <v/>
      </c>
      <c r="AJ357" s="55" t="str">
        <f aca="false">IF(ISBLANK(C357),"",IF(V357&lt;&gt;Constants!$B$14, V357, AD357-AI357))</f>
        <v/>
      </c>
      <c r="AK357" s="59"/>
      <c r="AL357" s="60" t="str">
        <f aca="false">IF(ISBLANK($C357),"",IF($V357&lt;&gt;Constants!$B$14,$V357,X357))</f>
        <v/>
      </c>
      <c r="AM357" s="60" t="str">
        <f aca="false">IF(ISBLANK($C357),"",IF($V357&lt;&gt;Constants!$B$14,$V357,N357))</f>
        <v/>
      </c>
      <c r="AN357" s="62" t="str">
        <f aca="false">IF(ISBLANK(C357),"",IF(V357&lt;&gt;Constants!$B$14, V357, IF(W357=Constants!$B$7,Z357,IF(W357=Constants!$B$8,AB357,""))))</f>
        <v/>
      </c>
      <c r="AO357" s="63" t="str">
        <f aca="false">IF(ISBLANK(C357),"",W357)</f>
        <v/>
      </c>
      <c r="AP357" s="63" t="str">
        <f aca="false">IF(ISBLANK(C357),"",AJ357)</f>
        <v/>
      </c>
      <c r="AQ357" s="63" t="str">
        <f aca="false">IF(ISBLANK(C357),"",AI357)</f>
        <v/>
      </c>
      <c r="AR357" s="64" t="str">
        <f aca="false">IF(ISBLANK(C357),
  "",
IF(AQ357=Constants!$B$11,COUNTA($C$8:$C$507)+2,IF(AQ357=Constants!$B$12,COUNTA($C$8:$C$507)+1,IF(AQ357=Constants!$B$13,COUNTA($C$8:$C$507),AQ357))))</f>
        <v/>
      </c>
      <c r="AS357" s="3"/>
      <c r="AT357" s="65" t="n">
        <f aca="false">IF(OR(ISNUMBER(AQ357),AQ357="DQ",AQ357="P",AQ357="NS"),
    1,
    0
)</f>
        <v>0</v>
      </c>
      <c r="AU357" s="65" t="n">
        <v>350</v>
      </c>
      <c r="AV357" s="65" t="str">
        <f aca="false">IF(ISBLANK($C357),
    "",
   IF(ISNUMBER(AR357),AR357+ROW($B357)/1000,"")
)</f>
        <v/>
      </c>
      <c r="AW357" s="65" t="str">
        <f aca="false">IF(ISNUMBER(AV357), RANK(AV357,AV$8:AV$507,1), "")</f>
        <v/>
      </c>
      <c r="AX357" s="65" t="str">
        <f aca="false">IF(ISBLANK($C357),
    "",
    $B357
)</f>
        <v/>
      </c>
      <c r="AY357" s="65" t="str">
        <f aca="false">IF(ISBLANK($C357),
    "",
    $C357
)</f>
        <v/>
      </c>
      <c r="AZ357" s="65" t="str">
        <f aca="false">IF(ISBLANK($C357),
    "",
    $D357
)</f>
        <v/>
      </c>
      <c r="BA357" s="65" t="str">
        <f aca="false">AO357</f>
        <v/>
      </c>
      <c r="BB357" s="66" t="str">
        <f aca="false">AN357</f>
        <v/>
      </c>
      <c r="BC357" s="65" t="str">
        <f aca="false">IF(ISBLANK($C357),
    "",
    AQ357
)</f>
        <v/>
      </c>
      <c r="BD357" s="67" t="str">
        <f aca="false">IF(AU357&gt;AT$7,
    "",
    VLOOKUP(AU357,AW$8:BC$507,7,FALSE())
)</f>
        <v/>
      </c>
      <c r="BE357" s="68" t="str">
        <f aca="false">IF(AU357&gt;AT$7,
    "",
    VLOOKUP(AU357,AW$8:BC$507,2,FALSE())
)</f>
        <v/>
      </c>
      <c r="BF357" s="68" t="str">
        <f aca="false">IF(AU357&gt;AT$7,
    "",
    VLOOKUP(AU357,AW$8:BC$507,3,FALSE())
)</f>
        <v/>
      </c>
      <c r="BG357" s="68" t="str">
        <f aca="false">IF(AU357&gt;AT$7,
    "",
    VLOOKUP(AU357,AW$8:BC$507,4,FALSE())
)</f>
        <v/>
      </c>
      <c r="BH357" s="68" t="str">
        <f aca="false">IF(AU357&gt;AT$7,
    "",
    VLOOKUP(AU357,AW$8:BC$507,5,FALSE())
)</f>
        <v/>
      </c>
      <c r="BI357" s="69" t="str">
        <f aca="false">IF(AU357&gt;AT$7,
    "",
    VLOOKUP(AU357,AW$8:BC$507,6,FALSE())
)</f>
        <v/>
      </c>
      <c r="BJ357" s="46"/>
    </row>
    <row r="358" customFormat="false" ht="15.75" hidden="false" customHeight="false" outlineLevel="0" collapsed="false">
      <c r="A358" s="3"/>
      <c r="B358" s="108"/>
      <c r="C358" s="70"/>
      <c r="D358" s="49"/>
      <c r="E358" s="109"/>
      <c r="F358" s="72"/>
      <c r="G358" s="109"/>
      <c r="H358" s="74"/>
      <c r="I358" s="104"/>
      <c r="J358" s="74"/>
      <c r="K358" s="74"/>
      <c r="L358" s="55"/>
      <c r="M358" s="55" t="str">
        <f aca="false">IF(ISBLANK($C358),"",IF(ISBLANK(E358),0,E358))</f>
        <v/>
      </c>
      <c r="N358" s="55" t="str">
        <f aca="false">IF(ISBLANK($C358),"",IF(ISBLANK(F358),0,F358))</f>
        <v/>
      </c>
      <c r="O358" s="55" t="e">
        <f aca="false">IF(AND(NOT(ISBLANK($C358)),NOT($T358),COUNTA($E358:$K358)&gt;0),ISBLANK($F358),FALSE())</f>
        <v>#VALUE!</v>
      </c>
      <c r="P358" s="55" t="str">
        <f aca="false">IF(ISBLANK($C358),"",IF(G358=Constants!$B$9, TRUE(), IF(G358=Constants!$B$10, FALSE(), TRUE())))</f>
        <v/>
      </c>
      <c r="Q358" s="55" t="str">
        <f aca="false">IF(ISBLANK($C358),"",IF(H358=Constants!$B$9, TRUE(), IF(H358=Constants!$B$10, FALSE(), TRUE())))</f>
        <v/>
      </c>
      <c r="R358" s="55" t="str">
        <f aca="false">IF(ISBLANK($C358),"",IF(ISBLANK(I358),Constants!$B$3,I358))</f>
        <v/>
      </c>
      <c r="S358" s="55" t="str">
        <f aca="false">IF(ISBLANK($C358),"",IF(ISBLANK(J358),0,MIN(J358,Constants!$B$6)))</f>
        <v/>
      </c>
      <c r="T358" s="55" t="str">
        <f aca="false">IF(ISBLANK($C358),"",IF(K358=Constants!$B$9, TRUE(), IF(K358=Constants!$B$10, FALSE(),  FALSE())))</f>
        <v/>
      </c>
      <c r="U358" s="55" t="str">
        <f aca="false">IF(ISBLANK($C358),"",AND(R358=Constants!$B$4, S358&lt;Constants!$B$6))</f>
        <v/>
      </c>
      <c r="V358" s="55" t="str">
        <f aca="false">IF(ISBLANK(C358), "", IF(T358, Constants!$B$11, IF(COUNTA(E358:K358)=0, Constants!$B$12, IF(NOT(AND(P358,S358&lt;&gt;0)), Constants!$B$13, IF(O358, Constants!$B$15, Constants!$B$14)))))</f>
        <v/>
      </c>
      <c r="W358" s="55" t="str">
        <f aca="false">IF(OR(ISBLANK($C358), SUMPRODUCT(--(P358:T358&lt;&gt;""))=0), "", IF(V358&lt;&gt;Constants!$B$14, V358, IF(AND(NOT(ISBLANK(J358)),P358,Q358,R358&lt;&gt;Constants!$B$2), Constants!$B$7, IF(AND(P358,OR(NOT(Q358),R358=Constants!$B$2)), Constants!$B$8, "Error"))))</f>
        <v/>
      </c>
      <c r="X358" s="56" t="str">
        <f aca="false">IF(OR(W358=Constants!$B$7,W358=Constants!$B$8), MAX(0, MIN(Constants!$B$6, S358))+IF(AND(R358=Constants!$B$4, NOT(U358)), Constants!$B$5, 0), "")</f>
        <v/>
      </c>
      <c r="Y358" s="55" t="str">
        <f aca="false">IF(ISBLANK($C358),"",IF(AND(ISNUMBER(X358),N358&gt;0),X358/N358, "") )</f>
        <v/>
      </c>
      <c r="Z358" s="55" t="str">
        <f aca="false">IF(AND(NOT(ISBLANK($C358)), W358=Constants!$B$7), Y358, "")</f>
        <v/>
      </c>
      <c r="AA358" s="55" t="str">
        <f aca="false">IF(ISNUMBER(Z358), RANK(Z358,Z$8:Z$507), "")</f>
        <v/>
      </c>
      <c r="AB358" s="55" t="str">
        <f aca="false">IF(AND(NOT(ISBLANK($C358)), W358=Constants!$B$8), Y358, "")</f>
        <v/>
      </c>
      <c r="AC358" s="55" t="str">
        <f aca="false">IF(ISNUMBER(AB358), RANK(AB358,AB$8:AB$507), "")</f>
        <v/>
      </c>
      <c r="AD358" s="55" t="str">
        <f aca="false">IF(ISBLANK($C358),"",IF(V358&lt;&gt;Constants!$B$14, V358, IF(W358=Constants!$B$7, AA358, IF(W358=Constants!$B$8, COUNT($AA$8:$AA$507) + AC358, ""))))</f>
        <v/>
      </c>
      <c r="AE358" s="55" t="str">
        <f aca="false">N358</f>
        <v/>
      </c>
      <c r="AF358" s="55" t="str">
        <f aca="false">IF(ISNUMBER(AE358), RANK(AE358,AE$8:AE$507,1), "")</f>
        <v/>
      </c>
      <c r="AG358" s="57" t="str">
        <f aca="false">IF(ISBLANK(C358), "", ABS(M358-S358))</f>
        <v/>
      </c>
      <c r="AH358" s="55" t="str">
        <f aca="false">IF(ISNUMBER(AG358), RANK(AG358,AG$8:AG$507,1), "")</f>
        <v/>
      </c>
      <c r="AI358" s="55" t="str">
        <f aca="false">IF(ISBLANK(C358),"",IF(V358&lt;&gt;Constants!$B$14, V358, RANK(AD358, AD$8:AD$507, 1)+ SUMPRODUCT(--(AD$8:AD$507=AD358),--(AF358&gt;AF$8:AF$507)) + SUMPRODUCT(--(AD$8:AD$507=AD358),--(AF358=AF$8:AF$507),--(AH358&gt;AH$8:AH$507))))</f>
        <v/>
      </c>
      <c r="AJ358" s="55" t="str">
        <f aca="false">IF(ISBLANK(C358),"",IF(V358&lt;&gt;Constants!$B$14, V358, AD358-AI358))</f>
        <v/>
      </c>
      <c r="AK358" s="59"/>
      <c r="AL358" s="60" t="str">
        <f aca="false">IF(ISBLANK($C358),"",IF($V358&lt;&gt;Constants!$B$14,$V358,X358))</f>
        <v/>
      </c>
      <c r="AM358" s="60" t="str">
        <f aca="false">IF(ISBLANK($C358),"",IF($V358&lt;&gt;Constants!$B$14,$V358,N358))</f>
        <v/>
      </c>
      <c r="AN358" s="62" t="str">
        <f aca="false">IF(ISBLANK(C358),"",IF(V358&lt;&gt;Constants!$B$14, V358, IF(W358=Constants!$B$7,Z358,IF(W358=Constants!$B$8,AB358,""))))</f>
        <v/>
      </c>
      <c r="AO358" s="63" t="str">
        <f aca="false">IF(ISBLANK(C358),"",W358)</f>
        <v/>
      </c>
      <c r="AP358" s="63" t="str">
        <f aca="false">IF(ISBLANK(C358),"",AJ358)</f>
        <v/>
      </c>
      <c r="AQ358" s="63" t="str">
        <f aca="false">IF(ISBLANK(C358),"",AI358)</f>
        <v/>
      </c>
      <c r="AR358" s="64" t="str">
        <f aca="false">IF(ISBLANK(C358),
  "",
IF(AQ358=Constants!$B$11,COUNTA($C$8:$C$507)+2,IF(AQ358=Constants!$B$12,COUNTA($C$8:$C$507)+1,IF(AQ358=Constants!$B$13,COUNTA($C$8:$C$507),AQ358))))</f>
        <v/>
      </c>
      <c r="AS358" s="3"/>
      <c r="AT358" s="65" t="n">
        <f aca="false">IF(OR(ISNUMBER(AQ358),AQ358="DQ",AQ358="P",AQ358="NS"),
    1,
    0
)</f>
        <v>0</v>
      </c>
      <c r="AU358" s="65" t="n">
        <v>351</v>
      </c>
      <c r="AV358" s="65" t="str">
        <f aca="false">IF(ISBLANK($C358),
    "",
   IF(ISNUMBER(AR358),AR358+ROW($B358)/1000,"")
)</f>
        <v/>
      </c>
      <c r="AW358" s="65" t="str">
        <f aca="false">IF(ISNUMBER(AV358), RANK(AV358,AV$8:AV$507,1), "")</f>
        <v/>
      </c>
      <c r="AX358" s="65" t="str">
        <f aca="false">IF(ISBLANK($C358),
    "",
    $B358
)</f>
        <v/>
      </c>
      <c r="AY358" s="65" t="str">
        <f aca="false">IF(ISBLANK($C358),
    "",
    $C358
)</f>
        <v/>
      </c>
      <c r="AZ358" s="65" t="str">
        <f aca="false">IF(ISBLANK($C358),
    "",
    $D358
)</f>
        <v/>
      </c>
      <c r="BA358" s="65" t="str">
        <f aca="false">AO358</f>
        <v/>
      </c>
      <c r="BB358" s="66" t="str">
        <f aca="false">AN358</f>
        <v/>
      </c>
      <c r="BC358" s="65" t="str">
        <f aca="false">IF(ISBLANK($C358),
    "",
    AQ358
)</f>
        <v/>
      </c>
      <c r="BD358" s="67" t="str">
        <f aca="false">IF(AU358&gt;AT$7,
    "",
    VLOOKUP(AU358,AW$8:BC$507,7,FALSE())
)</f>
        <v/>
      </c>
      <c r="BE358" s="68" t="str">
        <f aca="false">IF(AU358&gt;AT$7,
    "",
    VLOOKUP(AU358,AW$8:BC$507,2,FALSE())
)</f>
        <v/>
      </c>
      <c r="BF358" s="68" t="str">
        <f aca="false">IF(AU358&gt;AT$7,
    "",
    VLOOKUP(AU358,AW$8:BC$507,3,FALSE())
)</f>
        <v/>
      </c>
      <c r="BG358" s="68" t="str">
        <f aca="false">IF(AU358&gt;AT$7,
    "",
    VLOOKUP(AU358,AW$8:BC$507,4,FALSE())
)</f>
        <v/>
      </c>
      <c r="BH358" s="68" t="str">
        <f aca="false">IF(AU358&gt;AT$7,
    "",
    VLOOKUP(AU358,AW$8:BC$507,5,FALSE())
)</f>
        <v/>
      </c>
      <c r="BI358" s="69" t="str">
        <f aca="false">IF(AU358&gt;AT$7,
    "",
    VLOOKUP(AU358,AW$8:BC$507,6,FALSE())
)</f>
        <v/>
      </c>
      <c r="BJ358" s="46"/>
    </row>
    <row r="359" customFormat="false" ht="15.75" hidden="false" customHeight="false" outlineLevel="0" collapsed="false">
      <c r="A359" s="3"/>
      <c r="B359" s="105"/>
      <c r="C359" s="106"/>
      <c r="D359" s="99"/>
      <c r="E359" s="110"/>
      <c r="F359" s="107"/>
      <c r="G359" s="110"/>
      <c r="H359" s="103"/>
      <c r="I359" s="102"/>
      <c r="J359" s="103"/>
      <c r="K359" s="103"/>
      <c r="L359" s="85"/>
      <c r="M359" s="85" t="str">
        <f aca="false">IF(ISBLANK($C359),"",IF(ISBLANK(E359),0,E359))</f>
        <v/>
      </c>
      <c r="N359" s="85" t="str">
        <f aca="false">IF(ISBLANK($C359),"",IF(ISBLANK(F359),0,F359))</f>
        <v/>
      </c>
      <c r="O359" s="86" t="e">
        <f aca="false">IF(AND(NOT(ISBLANK($C359)),NOT($T359),COUNTA($E359:$K359)&gt;0),ISBLANK($F359),FALSE())</f>
        <v>#VALUE!</v>
      </c>
      <c r="P359" s="85" t="str">
        <f aca="false">IF(ISBLANK($C359),"",IF(G359=Constants!$B$9, TRUE(), IF(G359=Constants!$B$10, FALSE(), TRUE())))</f>
        <v/>
      </c>
      <c r="Q359" s="85" t="str">
        <f aca="false">IF(ISBLANK($C359),"",IF(H359=Constants!$B$9, TRUE(), IF(H359=Constants!$B$10, FALSE(), TRUE())))</f>
        <v/>
      </c>
      <c r="R359" s="85" t="str">
        <f aca="false">IF(ISBLANK($C359),"",IF(ISBLANK(I359),Constants!$B$3,I359))</f>
        <v/>
      </c>
      <c r="S359" s="85" t="str">
        <f aca="false">IF(ISBLANK($C359),"",IF(ISBLANK(J359),0,MIN(J359,Constants!$B$6)))</f>
        <v/>
      </c>
      <c r="T359" s="85" t="str">
        <f aca="false">IF(ISBLANK($C359),"",IF(K359=Constants!$B$9, TRUE(), IF(K359=Constants!$B$10, FALSE(),  FALSE())))</f>
        <v/>
      </c>
      <c r="U359" s="85" t="str">
        <f aca="false">IF(ISBLANK($C359),"",AND(R359=Constants!$B$4, S359&lt;Constants!$B$6))</f>
        <v/>
      </c>
      <c r="V359" s="85" t="str">
        <f aca="false">IF(ISBLANK(C359), "", IF(T359, Constants!$B$11, IF(COUNTA(E359:K359)=0, Constants!$B$12, IF(NOT(AND(P359,S359&lt;&gt;0)), Constants!$B$13, IF(O359, Constants!$B$15, Constants!$B$14)))))</f>
        <v/>
      </c>
      <c r="W359" s="85" t="str">
        <f aca="false">IF(OR(ISBLANK($C359), SUMPRODUCT(--(P359:T359&lt;&gt;""))=0), "", IF(V359&lt;&gt;Constants!$B$14, V359, IF(AND(NOT(ISBLANK(J359)),P359,Q359,R359&lt;&gt;Constants!$B$2), Constants!$B$7, IF(AND(P359,OR(NOT(Q359),R359=Constants!$B$2)), Constants!$B$8, "Error"))))</f>
        <v/>
      </c>
      <c r="X359" s="87" t="str">
        <f aca="false">IF(OR(W359=Constants!$B$7,W359=Constants!$B$8), MAX(0, MIN(Constants!$B$6, S359))+IF(AND(R359=Constants!$B$4, NOT(U359)), Constants!$B$5, 0), "")</f>
        <v/>
      </c>
      <c r="Y359" s="85" t="str">
        <f aca="false">IF(ISBLANK($C359),"",IF(AND(ISNUMBER(X359),N359&gt;0),X359/N359, "") )</f>
        <v/>
      </c>
      <c r="Z359" s="85" t="str">
        <f aca="false">IF(AND(NOT(ISBLANK($C359)), W359=Constants!$B$7), Y359, "")</f>
        <v/>
      </c>
      <c r="AA359" s="85" t="str">
        <f aca="false">IF(ISNUMBER(Z359), RANK(Z359,Z$8:Z$507), "")</f>
        <v/>
      </c>
      <c r="AB359" s="85" t="str">
        <f aca="false">IF(AND(NOT(ISBLANK($C359)), W359=Constants!$B$8), Y359, "")</f>
        <v/>
      </c>
      <c r="AC359" s="85" t="str">
        <f aca="false">IF(ISNUMBER(AB359), RANK(AB359,AB$8:AB$507), "")</f>
        <v/>
      </c>
      <c r="AD359" s="85" t="str">
        <f aca="false">IF(ISBLANK($C359),"",IF(V359&lt;&gt;Constants!$B$14, V359, IF(W359=Constants!$B$7, AA359, IF(W359=Constants!$B$8, COUNT($AA$8:$AA$507) + AC359, ""))))</f>
        <v/>
      </c>
      <c r="AE359" s="85" t="str">
        <f aca="false">N359</f>
        <v/>
      </c>
      <c r="AF359" s="85" t="str">
        <f aca="false">IF(ISNUMBER(AE359), RANK(AE359,AE$8:AE$507,1), "")</f>
        <v/>
      </c>
      <c r="AG359" s="88" t="str">
        <f aca="false">IF(ISBLANK(C359), "", ABS(M359-S359))</f>
        <v/>
      </c>
      <c r="AH359" s="85" t="str">
        <f aca="false">IF(ISNUMBER(AG359), RANK(AG359,AG$8:AG$507,1), "")</f>
        <v/>
      </c>
      <c r="AI359" s="85" t="str">
        <f aca="false">IF(ISBLANK(C359),"",IF(V359&lt;&gt;Constants!$B$14, V359, RANK(AD359, AD$8:AD$507, 1)+ SUMPRODUCT(--(AD$8:AD$507=AD359),--(AF359&gt;AF$8:AF$507)) + SUMPRODUCT(--(AD$8:AD$507=AD359),--(AF359=AF$8:AF$507),--(AH359&gt;AH$8:AH$507))))</f>
        <v/>
      </c>
      <c r="AJ359" s="85" t="str">
        <f aca="false">IF(ISBLANK(C359),"",IF(V359&lt;&gt;Constants!$B$14, V359, AD359-AI359))</f>
        <v/>
      </c>
      <c r="AK359" s="89"/>
      <c r="AL359" s="90" t="str">
        <f aca="false">IF(ISBLANK($C359),"",IF($V359&lt;&gt;Constants!$B$14,$V359,X359))</f>
        <v/>
      </c>
      <c r="AM359" s="90" t="str">
        <f aca="false">IF(ISBLANK($C359),"",IF($V359&lt;&gt;Constants!$B$14,$V359,N359))</f>
        <v/>
      </c>
      <c r="AN359" s="91" t="str">
        <f aca="false">IF(ISBLANK(C359),"",IF(V359&lt;&gt;Constants!$B$14, V359, IF(W359=Constants!$B$7,Z359,IF(W359=Constants!$B$8,AB359,""))))</f>
        <v/>
      </c>
      <c r="AO359" s="92" t="str">
        <f aca="false">IF(ISBLANK(C359),"",W359)</f>
        <v/>
      </c>
      <c r="AP359" s="92" t="str">
        <f aca="false">IF(ISBLANK(C359),"",AJ359)</f>
        <v/>
      </c>
      <c r="AQ359" s="92" t="str">
        <f aca="false">IF(ISBLANK(C359),"",AI359)</f>
        <v/>
      </c>
      <c r="AR359" s="93" t="str">
        <f aca="false">IF(ISBLANK(C359),
  "",
IF(AQ359=Constants!$B$11,COUNTA($C$8:$C$507)+2,IF(AQ359=Constants!$B$12,COUNTA($C$8:$C$507)+1,IF(AQ359=Constants!$B$13,COUNTA($C$8:$C$507),AQ359))))</f>
        <v/>
      </c>
      <c r="AS359" s="3"/>
      <c r="AT359" s="94" t="n">
        <f aca="false">IF(OR(ISNUMBER(AQ359),AQ359="DQ",AQ359="P",AQ359="NS"),
    1,
    0
)</f>
        <v>0</v>
      </c>
      <c r="AU359" s="94" t="n">
        <v>352</v>
      </c>
      <c r="AV359" s="94" t="str">
        <f aca="false">IF(ISBLANK($C359),
    "",
   IF(ISNUMBER(AR359),AR359+ROW($B359)/1000,"")
)</f>
        <v/>
      </c>
      <c r="AW359" s="94" t="str">
        <f aca="false">IF(ISNUMBER(AV359), RANK(AV359,AV$8:AV$507,1), "")</f>
        <v/>
      </c>
      <c r="AX359" s="94" t="str">
        <f aca="false">IF(ISBLANK($C359),
    "",
    $B359
)</f>
        <v/>
      </c>
      <c r="AY359" s="94" t="str">
        <f aca="false">IF(ISBLANK($C359),
    "",
    $C359
)</f>
        <v/>
      </c>
      <c r="AZ359" s="94" t="str">
        <f aca="false">IF(ISBLANK($C359),
    "",
    $D359
)</f>
        <v/>
      </c>
      <c r="BA359" s="94" t="str">
        <f aca="false">AO359</f>
        <v/>
      </c>
      <c r="BB359" s="95" t="str">
        <f aca="false">AN359</f>
        <v/>
      </c>
      <c r="BC359" s="94" t="str">
        <f aca="false">IF(ISBLANK($C359),
    "",
    AQ359
)</f>
        <v/>
      </c>
      <c r="BD359" s="96" t="str">
        <f aca="false">IF(AU359&gt;AT$7,
    "",
    VLOOKUP(AU359,AW$8:BC$507,7,FALSE())
)</f>
        <v/>
      </c>
      <c r="BE359" s="97" t="str">
        <f aca="false">IF(AU359&gt;AT$7,
    "",
    VLOOKUP(AU359,AW$8:BC$507,2,FALSE())
)</f>
        <v/>
      </c>
      <c r="BF359" s="97" t="str">
        <f aca="false">IF(AU359&gt;AT$7,
    "",
    VLOOKUP(AU359,AW$8:BC$507,3,FALSE())
)</f>
        <v/>
      </c>
      <c r="BG359" s="97" t="str">
        <f aca="false">IF(AU359&gt;AT$7,
    "",
    VLOOKUP(AU359,AW$8:BC$507,4,FALSE())
)</f>
        <v/>
      </c>
      <c r="BH359" s="97" t="str">
        <f aca="false">IF(AU359&gt;AT$7,
    "",
    VLOOKUP(AU359,AW$8:BC$507,5,FALSE())
)</f>
        <v/>
      </c>
      <c r="BI359" s="98" t="str">
        <f aca="false">IF(AU359&gt;AT$7,
    "",
    VLOOKUP(AU359,AW$8:BC$507,6,FALSE())
)</f>
        <v/>
      </c>
      <c r="BJ359" s="46"/>
    </row>
    <row r="360" customFormat="false" ht="15.75" hidden="false" customHeight="false" outlineLevel="0" collapsed="false">
      <c r="A360" s="3"/>
      <c r="B360" s="105"/>
      <c r="C360" s="106"/>
      <c r="D360" s="99"/>
      <c r="E360" s="110"/>
      <c r="F360" s="107"/>
      <c r="G360" s="110"/>
      <c r="H360" s="103"/>
      <c r="I360" s="102"/>
      <c r="J360" s="103"/>
      <c r="K360" s="103"/>
      <c r="L360" s="85"/>
      <c r="M360" s="85" t="str">
        <f aca="false">IF(ISBLANK($C360),"",IF(ISBLANK(E360),0,E360))</f>
        <v/>
      </c>
      <c r="N360" s="85" t="str">
        <f aca="false">IF(ISBLANK($C360),"",IF(ISBLANK(F360),0,F360))</f>
        <v/>
      </c>
      <c r="O360" s="86" t="e">
        <f aca="false">IF(AND(NOT(ISBLANK($C360)),NOT($T360),COUNTA($E360:$K360)&gt;0),ISBLANK($F360),FALSE())</f>
        <v>#VALUE!</v>
      </c>
      <c r="P360" s="85" t="str">
        <f aca="false">IF(ISBLANK($C360),"",IF(G360=Constants!$B$9, TRUE(), IF(G360=Constants!$B$10, FALSE(), TRUE())))</f>
        <v/>
      </c>
      <c r="Q360" s="85" t="str">
        <f aca="false">IF(ISBLANK($C360),"",IF(H360=Constants!$B$9, TRUE(), IF(H360=Constants!$B$10, FALSE(), TRUE())))</f>
        <v/>
      </c>
      <c r="R360" s="85" t="str">
        <f aca="false">IF(ISBLANK($C360),"",IF(ISBLANK(I360),Constants!$B$3,I360))</f>
        <v/>
      </c>
      <c r="S360" s="85" t="str">
        <f aca="false">IF(ISBLANK($C360),"",IF(ISBLANK(J360),0,MIN(J360,Constants!$B$6)))</f>
        <v/>
      </c>
      <c r="T360" s="85" t="str">
        <f aca="false">IF(ISBLANK($C360),"",IF(K360=Constants!$B$9, TRUE(), IF(K360=Constants!$B$10, FALSE(),  FALSE())))</f>
        <v/>
      </c>
      <c r="U360" s="85" t="str">
        <f aca="false">IF(ISBLANK($C360),"",AND(R360=Constants!$B$4, S360&lt;Constants!$B$6))</f>
        <v/>
      </c>
      <c r="V360" s="85" t="str">
        <f aca="false">IF(ISBLANK(C360), "", IF(T360, Constants!$B$11, IF(COUNTA(E360:K360)=0, Constants!$B$12, IF(NOT(AND(P360,S360&lt;&gt;0)), Constants!$B$13, IF(O360, Constants!$B$15, Constants!$B$14)))))</f>
        <v/>
      </c>
      <c r="W360" s="85" t="str">
        <f aca="false">IF(OR(ISBLANK($C360), SUMPRODUCT(--(P360:T360&lt;&gt;""))=0), "", IF(V360&lt;&gt;Constants!$B$14, V360, IF(AND(NOT(ISBLANK(J360)),P360,Q360,R360&lt;&gt;Constants!$B$2), Constants!$B$7, IF(AND(P360,OR(NOT(Q360),R360=Constants!$B$2)), Constants!$B$8, "Error"))))</f>
        <v/>
      </c>
      <c r="X360" s="87" t="str">
        <f aca="false">IF(OR(W360=Constants!$B$7,W360=Constants!$B$8), MAX(0, MIN(Constants!$B$6, S360))+IF(AND(R360=Constants!$B$4, NOT(U360)), Constants!$B$5, 0), "")</f>
        <v/>
      </c>
      <c r="Y360" s="85" t="str">
        <f aca="false">IF(ISBLANK($C360),"",IF(AND(ISNUMBER(X360),N360&gt;0),X360/N360, "") )</f>
        <v/>
      </c>
      <c r="Z360" s="85" t="str">
        <f aca="false">IF(AND(NOT(ISBLANK($C360)), W360=Constants!$B$7), Y360, "")</f>
        <v/>
      </c>
      <c r="AA360" s="85" t="str">
        <f aca="false">IF(ISNUMBER(Z360), RANK(Z360,Z$8:Z$507), "")</f>
        <v/>
      </c>
      <c r="AB360" s="85" t="str">
        <f aca="false">IF(AND(NOT(ISBLANK($C360)), W360=Constants!$B$8), Y360, "")</f>
        <v/>
      </c>
      <c r="AC360" s="85" t="str">
        <f aca="false">IF(ISNUMBER(AB360), RANK(AB360,AB$8:AB$507), "")</f>
        <v/>
      </c>
      <c r="AD360" s="85" t="str">
        <f aca="false">IF(ISBLANK($C360),"",IF(V360&lt;&gt;Constants!$B$14, V360, IF(W360=Constants!$B$7, AA360, IF(W360=Constants!$B$8, COUNT($AA$8:$AA$507) + AC360, ""))))</f>
        <v/>
      </c>
      <c r="AE360" s="85" t="str">
        <f aca="false">N360</f>
        <v/>
      </c>
      <c r="AF360" s="85" t="str">
        <f aca="false">IF(ISNUMBER(AE360), RANK(AE360,AE$8:AE$507,1), "")</f>
        <v/>
      </c>
      <c r="AG360" s="88" t="str">
        <f aca="false">IF(ISBLANK(C360), "", ABS(M360-S360))</f>
        <v/>
      </c>
      <c r="AH360" s="85" t="str">
        <f aca="false">IF(ISNUMBER(AG360), RANK(AG360,AG$8:AG$507,1), "")</f>
        <v/>
      </c>
      <c r="AI360" s="85" t="str">
        <f aca="false">IF(ISBLANK(C360),"",IF(V360&lt;&gt;Constants!$B$14, V360, RANK(AD360, AD$8:AD$507, 1)+ SUMPRODUCT(--(AD$8:AD$507=AD360),--(AF360&gt;AF$8:AF$507)) + SUMPRODUCT(--(AD$8:AD$507=AD360),--(AF360=AF$8:AF$507),--(AH360&gt;AH$8:AH$507))))</f>
        <v/>
      </c>
      <c r="AJ360" s="85" t="str">
        <f aca="false">IF(ISBLANK(C360),"",IF(V360&lt;&gt;Constants!$B$14, V360, AD360-AI360))</f>
        <v/>
      </c>
      <c r="AK360" s="89"/>
      <c r="AL360" s="90" t="str">
        <f aca="false">IF(ISBLANK($C360),"",IF($V360&lt;&gt;Constants!$B$14,$V360,X360))</f>
        <v/>
      </c>
      <c r="AM360" s="90" t="str">
        <f aca="false">IF(ISBLANK($C360),"",IF($V360&lt;&gt;Constants!$B$14,$V360,N360))</f>
        <v/>
      </c>
      <c r="AN360" s="91" t="str">
        <f aca="false">IF(ISBLANK(C360),"",IF(V360&lt;&gt;Constants!$B$14, V360, IF(W360=Constants!$B$7,Z360,IF(W360=Constants!$B$8,AB360,""))))</f>
        <v/>
      </c>
      <c r="AO360" s="92" t="str">
        <f aca="false">IF(ISBLANK(C360),"",W360)</f>
        <v/>
      </c>
      <c r="AP360" s="92" t="str">
        <f aca="false">IF(ISBLANK(C360),"",AJ360)</f>
        <v/>
      </c>
      <c r="AQ360" s="92" t="str">
        <f aca="false">IF(ISBLANK(C360),"",AI360)</f>
        <v/>
      </c>
      <c r="AR360" s="93" t="str">
        <f aca="false">IF(ISBLANK(C360),
  "",
IF(AQ360=Constants!$B$11,COUNTA($C$8:$C$507)+2,IF(AQ360=Constants!$B$12,COUNTA($C$8:$C$507)+1,IF(AQ360=Constants!$B$13,COUNTA($C$8:$C$507),AQ360))))</f>
        <v/>
      </c>
      <c r="AS360" s="3"/>
      <c r="AT360" s="94" t="n">
        <f aca="false">IF(OR(ISNUMBER(AQ360),AQ360="DQ",AQ360="P",AQ360="NS"),
    1,
    0
)</f>
        <v>0</v>
      </c>
      <c r="AU360" s="94" t="n">
        <v>353</v>
      </c>
      <c r="AV360" s="94" t="str">
        <f aca="false">IF(ISBLANK($C360),
    "",
   IF(ISNUMBER(AR360),AR360+ROW($B360)/1000,"")
)</f>
        <v/>
      </c>
      <c r="AW360" s="94" t="str">
        <f aca="false">IF(ISNUMBER(AV360), RANK(AV360,AV$8:AV$507,1), "")</f>
        <v/>
      </c>
      <c r="AX360" s="94" t="str">
        <f aca="false">IF(ISBLANK($C360),
    "",
    $B360
)</f>
        <v/>
      </c>
      <c r="AY360" s="94" t="str">
        <f aca="false">IF(ISBLANK($C360),
    "",
    $C360
)</f>
        <v/>
      </c>
      <c r="AZ360" s="94" t="str">
        <f aca="false">IF(ISBLANK($C360),
    "",
    $D360
)</f>
        <v/>
      </c>
      <c r="BA360" s="94" t="str">
        <f aca="false">AO360</f>
        <v/>
      </c>
      <c r="BB360" s="95" t="str">
        <f aca="false">AN360</f>
        <v/>
      </c>
      <c r="BC360" s="94" t="str">
        <f aca="false">IF(ISBLANK($C360),
    "",
    AQ360
)</f>
        <v/>
      </c>
      <c r="BD360" s="96" t="str">
        <f aca="false">IF(AU360&gt;AT$7,
    "",
    VLOOKUP(AU360,AW$8:BC$507,7,FALSE())
)</f>
        <v/>
      </c>
      <c r="BE360" s="97" t="str">
        <f aca="false">IF(AU360&gt;AT$7,
    "",
    VLOOKUP(AU360,AW$8:BC$507,2,FALSE())
)</f>
        <v/>
      </c>
      <c r="BF360" s="97" t="str">
        <f aca="false">IF(AU360&gt;AT$7,
    "",
    VLOOKUP(AU360,AW$8:BC$507,3,FALSE())
)</f>
        <v/>
      </c>
      <c r="BG360" s="97" t="str">
        <f aca="false">IF(AU360&gt;AT$7,
    "",
    VLOOKUP(AU360,AW$8:BC$507,4,FALSE())
)</f>
        <v/>
      </c>
      <c r="BH360" s="97" t="str">
        <f aca="false">IF(AU360&gt;AT$7,
    "",
    VLOOKUP(AU360,AW$8:BC$507,5,FALSE())
)</f>
        <v/>
      </c>
      <c r="BI360" s="98" t="str">
        <f aca="false">IF(AU360&gt;AT$7,
    "",
    VLOOKUP(AU360,AW$8:BC$507,6,FALSE())
)</f>
        <v/>
      </c>
      <c r="BJ360" s="46"/>
    </row>
    <row r="361" customFormat="false" ht="15.75" hidden="false" customHeight="false" outlineLevel="0" collapsed="false">
      <c r="A361" s="3"/>
      <c r="B361" s="105"/>
      <c r="C361" s="106"/>
      <c r="D361" s="99"/>
      <c r="E361" s="110"/>
      <c r="F361" s="107"/>
      <c r="G361" s="110"/>
      <c r="H361" s="103"/>
      <c r="I361" s="102"/>
      <c r="J361" s="103"/>
      <c r="K361" s="103"/>
      <c r="L361" s="85"/>
      <c r="M361" s="85" t="str">
        <f aca="false">IF(ISBLANK($C361),"",IF(ISBLANK(E361),0,E361))</f>
        <v/>
      </c>
      <c r="N361" s="85" t="str">
        <f aca="false">IF(ISBLANK($C361),"",IF(ISBLANK(F361),0,F361))</f>
        <v/>
      </c>
      <c r="O361" s="86" t="e">
        <f aca="false">IF(AND(NOT(ISBLANK($C361)),NOT($T361),COUNTA($E361:$K361)&gt;0),ISBLANK($F361),FALSE())</f>
        <v>#VALUE!</v>
      </c>
      <c r="P361" s="85" t="str">
        <f aca="false">IF(ISBLANK($C361),"",IF(G361=Constants!$B$9, TRUE(), IF(G361=Constants!$B$10, FALSE(), TRUE())))</f>
        <v/>
      </c>
      <c r="Q361" s="85" t="str">
        <f aca="false">IF(ISBLANK($C361),"",IF(H361=Constants!$B$9, TRUE(), IF(H361=Constants!$B$10, FALSE(), TRUE())))</f>
        <v/>
      </c>
      <c r="R361" s="85" t="str">
        <f aca="false">IF(ISBLANK($C361),"",IF(ISBLANK(I361),Constants!$B$3,I361))</f>
        <v/>
      </c>
      <c r="S361" s="85" t="str">
        <f aca="false">IF(ISBLANK($C361),"",IF(ISBLANK(J361),0,MIN(J361,Constants!$B$6)))</f>
        <v/>
      </c>
      <c r="T361" s="85" t="str">
        <f aca="false">IF(ISBLANK($C361),"",IF(K361=Constants!$B$9, TRUE(), IF(K361=Constants!$B$10, FALSE(),  FALSE())))</f>
        <v/>
      </c>
      <c r="U361" s="85" t="str">
        <f aca="false">IF(ISBLANK($C361),"",AND(R361=Constants!$B$4, S361&lt;Constants!$B$6))</f>
        <v/>
      </c>
      <c r="V361" s="85" t="str">
        <f aca="false">IF(ISBLANK(C361), "", IF(T361, Constants!$B$11, IF(COUNTA(E361:K361)=0, Constants!$B$12, IF(NOT(AND(P361,S361&lt;&gt;0)), Constants!$B$13, IF(O361, Constants!$B$15, Constants!$B$14)))))</f>
        <v/>
      </c>
      <c r="W361" s="85" t="str">
        <f aca="false">IF(OR(ISBLANK($C361), SUMPRODUCT(--(P361:T361&lt;&gt;""))=0), "", IF(V361&lt;&gt;Constants!$B$14, V361, IF(AND(NOT(ISBLANK(J361)),P361,Q361,R361&lt;&gt;Constants!$B$2), Constants!$B$7, IF(AND(P361,OR(NOT(Q361),R361=Constants!$B$2)), Constants!$B$8, "Error"))))</f>
        <v/>
      </c>
      <c r="X361" s="87" t="str">
        <f aca="false">IF(OR(W361=Constants!$B$7,W361=Constants!$B$8), MAX(0, MIN(Constants!$B$6, S361))+IF(AND(R361=Constants!$B$4, NOT(U361)), Constants!$B$5, 0), "")</f>
        <v/>
      </c>
      <c r="Y361" s="85" t="str">
        <f aca="false">IF(ISBLANK($C361),"",IF(AND(ISNUMBER(X361),N361&gt;0),X361/N361, "") )</f>
        <v/>
      </c>
      <c r="Z361" s="85" t="str">
        <f aca="false">IF(AND(NOT(ISBLANK($C361)), W361=Constants!$B$7), Y361, "")</f>
        <v/>
      </c>
      <c r="AA361" s="85" t="str">
        <f aca="false">IF(ISNUMBER(Z361), RANK(Z361,Z$8:Z$507), "")</f>
        <v/>
      </c>
      <c r="AB361" s="85" t="str">
        <f aca="false">IF(AND(NOT(ISBLANK($C361)), W361=Constants!$B$8), Y361, "")</f>
        <v/>
      </c>
      <c r="AC361" s="85" t="str">
        <f aca="false">IF(ISNUMBER(AB361), RANK(AB361,AB$8:AB$507), "")</f>
        <v/>
      </c>
      <c r="AD361" s="85" t="str">
        <f aca="false">IF(ISBLANK($C361),"",IF(V361&lt;&gt;Constants!$B$14, V361, IF(W361=Constants!$B$7, AA361, IF(W361=Constants!$B$8, COUNT($AA$8:$AA$507) + AC361, ""))))</f>
        <v/>
      </c>
      <c r="AE361" s="85" t="str">
        <f aca="false">N361</f>
        <v/>
      </c>
      <c r="AF361" s="85" t="str">
        <f aca="false">IF(ISNUMBER(AE361), RANK(AE361,AE$8:AE$507,1), "")</f>
        <v/>
      </c>
      <c r="AG361" s="88" t="str">
        <f aca="false">IF(ISBLANK(C361), "", ABS(M361-S361))</f>
        <v/>
      </c>
      <c r="AH361" s="85" t="str">
        <f aca="false">IF(ISNUMBER(AG361), RANK(AG361,AG$8:AG$507,1), "")</f>
        <v/>
      </c>
      <c r="AI361" s="85" t="str">
        <f aca="false">IF(ISBLANK(C361),"",IF(V361&lt;&gt;Constants!$B$14, V361, RANK(AD361, AD$8:AD$507, 1)+ SUMPRODUCT(--(AD$8:AD$507=AD361),--(AF361&gt;AF$8:AF$507)) + SUMPRODUCT(--(AD$8:AD$507=AD361),--(AF361=AF$8:AF$507),--(AH361&gt;AH$8:AH$507))))</f>
        <v/>
      </c>
      <c r="AJ361" s="85" t="str">
        <f aca="false">IF(ISBLANK(C361),"",IF(V361&lt;&gt;Constants!$B$14, V361, AD361-AI361))</f>
        <v/>
      </c>
      <c r="AK361" s="89"/>
      <c r="AL361" s="90" t="str">
        <f aca="false">IF(ISBLANK($C361),"",IF($V361&lt;&gt;Constants!$B$14,$V361,X361))</f>
        <v/>
      </c>
      <c r="AM361" s="90" t="str">
        <f aca="false">IF(ISBLANK($C361),"",IF($V361&lt;&gt;Constants!$B$14,$V361,N361))</f>
        <v/>
      </c>
      <c r="AN361" s="91" t="str">
        <f aca="false">IF(ISBLANK(C361),"",IF(V361&lt;&gt;Constants!$B$14, V361, IF(W361=Constants!$B$7,Z361,IF(W361=Constants!$B$8,AB361,""))))</f>
        <v/>
      </c>
      <c r="AO361" s="92" t="str">
        <f aca="false">IF(ISBLANK(C361),"",W361)</f>
        <v/>
      </c>
      <c r="AP361" s="92" t="str">
        <f aca="false">IF(ISBLANK(C361),"",AJ361)</f>
        <v/>
      </c>
      <c r="AQ361" s="92" t="str">
        <f aca="false">IF(ISBLANK(C361),"",AI361)</f>
        <v/>
      </c>
      <c r="AR361" s="93" t="str">
        <f aca="false">IF(ISBLANK(C361),
  "",
IF(AQ361=Constants!$B$11,COUNTA($C$8:$C$507)+2,IF(AQ361=Constants!$B$12,COUNTA($C$8:$C$507)+1,IF(AQ361=Constants!$B$13,COUNTA($C$8:$C$507),AQ361))))</f>
        <v/>
      </c>
      <c r="AS361" s="3"/>
      <c r="AT361" s="94" t="n">
        <f aca="false">IF(OR(ISNUMBER(AQ361),AQ361="DQ",AQ361="P",AQ361="NS"),
    1,
    0
)</f>
        <v>0</v>
      </c>
      <c r="AU361" s="94" t="n">
        <v>354</v>
      </c>
      <c r="AV361" s="94" t="str">
        <f aca="false">IF(ISBLANK($C361),
    "",
   IF(ISNUMBER(AR361),AR361+ROW($B361)/1000,"")
)</f>
        <v/>
      </c>
      <c r="AW361" s="94" t="str">
        <f aca="false">IF(ISNUMBER(AV361), RANK(AV361,AV$8:AV$507,1), "")</f>
        <v/>
      </c>
      <c r="AX361" s="94" t="str">
        <f aca="false">IF(ISBLANK($C361),
    "",
    $B361
)</f>
        <v/>
      </c>
      <c r="AY361" s="94" t="str">
        <f aca="false">IF(ISBLANK($C361),
    "",
    $C361
)</f>
        <v/>
      </c>
      <c r="AZ361" s="94" t="str">
        <f aca="false">IF(ISBLANK($C361),
    "",
    $D361
)</f>
        <v/>
      </c>
      <c r="BA361" s="94" t="str">
        <f aca="false">AO361</f>
        <v/>
      </c>
      <c r="BB361" s="95" t="str">
        <f aca="false">AN361</f>
        <v/>
      </c>
      <c r="BC361" s="94" t="str">
        <f aca="false">IF(ISBLANK($C361),
    "",
    AQ361
)</f>
        <v/>
      </c>
      <c r="BD361" s="96" t="str">
        <f aca="false">IF(AU361&gt;AT$7,
    "",
    VLOOKUP(AU361,AW$8:BC$507,7,FALSE())
)</f>
        <v/>
      </c>
      <c r="BE361" s="97" t="str">
        <f aca="false">IF(AU361&gt;AT$7,
    "",
    VLOOKUP(AU361,AW$8:BC$507,2,FALSE())
)</f>
        <v/>
      </c>
      <c r="BF361" s="97" t="str">
        <f aca="false">IF(AU361&gt;AT$7,
    "",
    VLOOKUP(AU361,AW$8:BC$507,3,FALSE())
)</f>
        <v/>
      </c>
      <c r="BG361" s="97" t="str">
        <f aca="false">IF(AU361&gt;AT$7,
    "",
    VLOOKUP(AU361,AW$8:BC$507,4,FALSE())
)</f>
        <v/>
      </c>
      <c r="BH361" s="97" t="str">
        <f aca="false">IF(AU361&gt;AT$7,
    "",
    VLOOKUP(AU361,AW$8:BC$507,5,FALSE())
)</f>
        <v/>
      </c>
      <c r="BI361" s="98" t="str">
        <f aca="false">IF(AU361&gt;AT$7,
    "",
    VLOOKUP(AU361,AW$8:BC$507,6,FALSE())
)</f>
        <v/>
      </c>
      <c r="BJ361" s="46"/>
    </row>
    <row r="362" customFormat="false" ht="15.75" hidden="false" customHeight="false" outlineLevel="0" collapsed="false">
      <c r="A362" s="3"/>
      <c r="B362" s="108"/>
      <c r="C362" s="70"/>
      <c r="D362" s="49"/>
      <c r="E362" s="109"/>
      <c r="F362" s="72"/>
      <c r="G362" s="109"/>
      <c r="H362" s="74"/>
      <c r="I362" s="104"/>
      <c r="J362" s="74"/>
      <c r="K362" s="74"/>
      <c r="L362" s="55"/>
      <c r="M362" s="55" t="str">
        <f aca="false">IF(ISBLANK($C362),"",IF(ISBLANK(E362),0,E362))</f>
        <v/>
      </c>
      <c r="N362" s="55" t="str">
        <f aca="false">IF(ISBLANK($C362),"",IF(ISBLANK(F362),0,F362))</f>
        <v/>
      </c>
      <c r="O362" s="55" t="e">
        <f aca="false">IF(AND(NOT(ISBLANK($C362)),NOT($T362),COUNTA($E362:$K362)&gt;0),ISBLANK($F362),FALSE())</f>
        <v>#VALUE!</v>
      </c>
      <c r="P362" s="55" t="str">
        <f aca="false">IF(ISBLANK($C362),"",IF(G362=Constants!$B$9, TRUE(), IF(G362=Constants!$B$10, FALSE(), TRUE())))</f>
        <v/>
      </c>
      <c r="Q362" s="55" t="str">
        <f aca="false">IF(ISBLANK($C362),"",IF(H362=Constants!$B$9, TRUE(), IF(H362=Constants!$B$10, FALSE(), TRUE())))</f>
        <v/>
      </c>
      <c r="R362" s="55" t="str">
        <f aca="false">IF(ISBLANK($C362),"",IF(ISBLANK(I362),Constants!$B$3,I362))</f>
        <v/>
      </c>
      <c r="S362" s="55" t="str">
        <f aca="false">IF(ISBLANK($C362),"",IF(ISBLANK(J362),0,MIN(J362,Constants!$B$6)))</f>
        <v/>
      </c>
      <c r="T362" s="55" t="str">
        <f aca="false">IF(ISBLANK($C362),"",IF(K362=Constants!$B$9, TRUE(), IF(K362=Constants!$B$10, FALSE(),  FALSE())))</f>
        <v/>
      </c>
      <c r="U362" s="55" t="str">
        <f aca="false">IF(ISBLANK($C362),"",AND(R362=Constants!$B$4, S362&lt;Constants!$B$6))</f>
        <v/>
      </c>
      <c r="V362" s="55" t="str">
        <f aca="false">IF(ISBLANK(C362), "", IF(T362, Constants!$B$11, IF(COUNTA(E362:K362)=0, Constants!$B$12, IF(NOT(AND(P362,S362&lt;&gt;0)), Constants!$B$13, IF(O362, Constants!$B$15, Constants!$B$14)))))</f>
        <v/>
      </c>
      <c r="W362" s="55" t="str">
        <f aca="false">IF(OR(ISBLANK($C362), SUMPRODUCT(--(P362:T362&lt;&gt;""))=0), "", IF(V362&lt;&gt;Constants!$B$14, V362, IF(AND(NOT(ISBLANK(J362)),P362,Q362,R362&lt;&gt;Constants!$B$2), Constants!$B$7, IF(AND(P362,OR(NOT(Q362),R362=Constants!$B$2)), Constants!$B$8, "Error"))))</f>
        <v/>
      </c>
      <c r="X362" s="56" t="str">
        <f aca="false">IF(OR(W362=Constants!$B$7,W362=Constants!$B$8), MAX(0, MIN(Constants!$B$6, S362))+IF(AND(R362=Constants!$B$4, NOT(U362)), Constants!$B$5, 0), "")</f>
        <v/>
      </c>
      <c r="Y362" s="55" t="str">
        <f aca="false">IF(ISBLANK($C362),"",IF(AND(ISNUMBER(X362),N362&gt;0),X362/N362, "") )</f>
        <v/>
      </c>
      <c r="Z362" s="55" t="str">
        <f aca="false">IF(AND(NOT(ISBLANK($C362)), W362=Constants!$B$7), Y362, "")</f>
        <v/>
      </c>
      <c r="AA362" s="55" t="str">
        <f aca="false">IF(ISNUMBER(Z362), RANK(Z362,Z$8:Z$507), "")</f>
        <v/>
      </c>
      <c r="AB362" s="55" t="str">
        <f aca="false">IF(AND(NOT(ISBLANK($C362)), W362=Constants!$B$8), Y362, "")</f>
        <v/>
      </c>
      <c r="AC362" s="55" t="str">
        <f aca="false">IF(ISNUMBER(AB362), RANK(AB362,AB$8:AB$507), "")</f>
        <v/>
      </c>
      <c r="AD362" s="55" t="str">
        <f aca="false">IF(ISBLANK($C362),"",IF(V362&lt;&gt;Constants!$B$14, V362, IF(W362=Constants!$B$7, AA362, IF(W362=Constants!$B$8, COUNT($AA$8:$AA$507) + AC362, ""))))</f>
        <v/>
      </c>
      <c r="AE362" s="55" t="str">
        <f aca="false">N362</f>
        <v/>
      </c>
      <c r="AF362" s="55" t="str">
        <f aca="false">IF(ISNUMBER(AE362), RANK(AE362,AE$8:AE$507,1), "")</f>
        <v/>
      </c>
      <c r="AG362" s="57" t="str">
        <f aca="false">IF(ISBLANK(C362), "", ABS(M362-S362))</f>
        <v/>
      </c>
      <c r="AH362" s="55" t="str">
        <f aca="false">IF(ISNUMBER(AG362), RANK(AG362,AG$8:AG$507,1), "")</f>
        <v/>
      </c>
      <c r="AI362" s="55" t="str">
        <f aca="false">IF(ISBLANK(C362),"",IF(V362&lt;&gt;Constants!$B$14, V362, RANK(AD362, AD$8:AD$507, 1)+ SUMPRODUCT(--(AD$8:AD$507=AD362),--(AF362&gt;AF$8:AF$507)) + SUMPRODUCT(--(AD$8:AD$507=AD362),--(AF362=AF$8:AF$507),--(AH362&gt;AH$8:AH$507))))</f>
        <v/>
      </c>
      <c r="AJ362" s="55" t="str">
        <f aca="false">IF(ISBLANK(C362),"",IF(V362&lt;&gt;Constants!$B$14, V362, AD362-AI362))</f>
        <v/>
      </c>
      <c r="AK362" s="59"/>
      <c r="AL362" s="60" t="str">
        <f aca="false">IF(ISBLANK($C362),"",IF($V362&lt;&gt;Constants!$B$14,$V362,X362))</f>
        <v/>
      </c>
      <c r="AM362" s="60" t="str">
        <f aca="false">IF(ISBLANK($C362),"",IF($V362&lt;&gt;Constants!$B$14,$V362,N362))</f>
        <v/>
      </c>
      <c r="AN362" s="62" t="str">
        <f aca="false">IF(ISBLANK(C362),"",IF(V362&lt;&gt;Constants!$B$14, V362, IF(W362=Constants!$B$7,Z362,IF(W362=Constants!$B$8,AB362,""))))</f>
        <v/>
      </c>
      <c r="AO362" s="63" t="str">
        <f aca="false">IF(ISBLANK(C362),"",W362)</f>
        <v/>
      </c>
      <c r="AP362" s="63" t="str">
        <f aca="false">IF(ISBLANK(C362),"",AJ362)</f>
        <v/>
      </c>
      <c r="AQ362" s="63" t="str">
        <f aca="false">IF(ISBLANK(C362),"",AI362)</f>
        <v/>
      </c>
      <c r="AR362" s="64" t="str">
        <f aca="false">IF(ISBLANK(C362),
  "",
IF(AQ362=Constants!$B$11,COUNTA($C$8:$C$507)+2,IF(AQ362=Constants!$B$12,COUNTA($C$8:$C$507)+1,IF(AQ362=Constants!$B$13,COUNTA($C$8:$C$507),AQ362))))</f>
        <v/>
      </c>
      <c r="AS362" s="3"/>
      <c r="AT362" s="65" t="n">
        <f aca="false">IF(OR(ISNUMBER(AQ362),AQ362="DQ",AQ362="P",AQ362="NS"),
    1,
    0
)</f>
        <v>0</v>
      </c>
      <c r="AU362" s="65" t="n">
        <v>355</v>
      </c>
      <c r="AV362" s="65" t="str">
        <f aca="false">IF(ISBLANK($C362),
    "",
   IF(ISNUMBER(AR362),AR362+ROW($B362)/1000,"")
)</f>
        <v/>
      </c>
      <c r="AW362" s="65" t="str">
        <f aca="false">IF(ISNUMBER(AV362), RANK(AV362,AV$8:AV$507,1), "")</f>
        <v/>
      </c>
      <c r="AX362" s="65" t="str">
        <f aca="false">IF(ISBLANK($C362),
    "",
    $B362
)</f>
        <v/>
      </c>
      <c r="AY362" s="65" t="str">
        <f aca="false">IF(ISBLANK($C362),
    "",
    $C362
)</f>
        <v/>
      </c>
      <c r="AZ362" s="65" t="str">
        <f aca="false">IF(ISBLANK($C362),
    "",
    $D362
)</f>
        <v/>
      </c>
      <c r="BA362" s="65" t="str">
        <f aca="false">AO362</f>
        <v/>
      </c>
      <c r="BB362" s="66" t="str">
        <f aca="false">AN362</f>
        <v/>
      </c>
      <c r="BC362" s="65" t="str">
        <f aca="false">IF(ISBLANK($C362),
    "",
    AQ362
)</f>
        <v/>
      </c>
      <c r="BD362" s="67" t="str">
        <f aca="false">IF(AU362&gt;AT$7,
    "",
    VLOOKUP(AU362,AW$8:BC$507,7,FALSE())
)</f>
        <v/>
      </c>
      <c r="BE362" s="68" t="str">
        <f aca="false">IF(AU362&gt;AT$7,
    "",
    VLOOKUP(AU362,AW$8:BC$507,2,FALSE())
)</f>
        <v/>
      </c>
      <c r="BF362" s="68" t="str">
        <f aca="false">IF(AU362&gt;AT$7,
    "",
    VLOOKUP(AU362,AW$8:BC$507,3,FALSE())
)</f>
        <v/>
      </c>
      <c r="BG362" s="68" t="str">
        <f aca="false">IF(AU362&gt;AT$7,
    "",
    VLOOKUP(AU362,AW$8:BC$507,4,FALSE())
)</f>
        <v/>
      </c>
      <c r="BH362" s="68" t="str">
        <f aca="false">IF(AU362&gt;AT$7,
    "",
    VLOOKUP(AU362,AW$8:BC$507,5,FALSE())
)</f>
        <v/>
      </c>
      <c r="BI362" s="69" t="str">
        <f aca="false">IF(AU362&gt;AT$7,
    "",
    VLOOKUP(AU362,AW$8:BC$507,6,FALSE())
)</f>
        <v/>
      </c>
      <c r="BJ362" s="46"/>
    </row>
    <row r="363" customFormat="false" ht="15.75" hidden="false" customHeight="false" outlineLevel="0" collapsed="false">
      <c r="A363" s="3"/>
      <c r="B363" s="108"/>
      <c r="C363" s="70"/>
      <c r="D363" s="49"/>
      <c r="E363" s="109"/>
      <c r="F363" s="72"/>
      <c r="G363" s="109"/>
      <c r="H363" s="74"/>
      <c r="I363" s="104"/>
      <c r="J363" s="74"/>
      <c r="K363" s="74"/>
      <c r="L363" s="55"/>
      <c r="M363" s="55" t="str">
        <f aca="false">IF(ISBLANK($C363),"",IF(ISBLANK(E363),0,E363))</f>
        <v/>
      </c>
      <c r="N363" s="55" t="str">
        <f aca="false">IF(ISBLANK($C363),"",IF(ISBLANK(F363),0,F363))</f>
        <v/>
      </c>
      <c r="O363" s="55" t="e">
        <f aca="false">IF(AND(NOT(ISBLANK($C363)),NOT($T363),COUNTA($E363:$K363)&gt;0),ISBLANK($F363),FALSE())</f>
        <v>#VALUE!</v>
      </c>
      <c r="P363" s="55" t="str">
        <f aca="false">IF(ISBLANK($C363),"",IF(G363=Constants!$B$9, TRUE(), IF(G363=Constants!$B$10, FALSE(), TRUE())))</f>
        <v/>
      </c>
      <c r="Q363" s="55" t="str">
        <f aca="false">IF(ISBLANK($C363),"",IF(H363=Constants!$B$9, TRUE(), IF(H363=Constants!$B$10, FALSE(), TRUE())))</f>
        <v/>
      </c>
      <c r="R363" s="55" t="str">
        <f aca="false">IF(ISBLANK($C363),"",IF(ISBLANK(I363),Constants!$B$3,I363))</f>
        <v/>
      </c>
      <c r="S363" s="55" t="str">
        <f aca="false">IF(ISBLANK($C363),"",IF(ISBLANK(J363),0,MIN(J363,Constants!$B$6)))</f>
        <v/>
      </c>
      <c r="T363" s="55" t="str">
        <f aca="false">IF(ISBLANK($C363),"",IF(K363=Constants!$B$9, TRUE(), IF(K363=Constants!$B$10, FALSE(),  FALSE())))</f>
        <v/>
      </c>
      <c r="U363" s="55" t="str">
        <f aca="false">IF(ISBLANK($C363),"",AND(R363=Constants!$B$4, S363&lt;Constants!$B$6))</f>
        <v/>
      </c>
      <c r="V363" s="55" t="str">
        <f aca="false">IF(ISBLANK(C363), "", IF(T363, Constants!$B$11, IF(COUNTA(E363:K363)=0, Constants!$B$12, IF(NOT(AND(P363,S363&lt;&gt;0)), Constants!$B$13, IF(O363, Constants!$B$15, Constants!$B$14)))))</f>
        <v/>
      </c>
      <c r="W363" s="55" t="str">
        <f aca="false">IF(OR(ISBLANK($C363), SUMPRODUCT(--(P363:T363&lt;&gt;""))=0), "", IF(V363&lt;&gt;Constants!$B$14, V363, IF(AND(NOT(ISBLANK(J363)),P363,Q363,R363&lt;&gt;Constants!$B$2), Constants!$B$7, IF(AND(P363,OR(NOT(Q363),R363=Constants!$B$2)), Constants!$B$8, "Error"))))</f>
        <v/>
      </c>
      <c r="X363" s="56" t="str">
        <f aca="false">IF(OR(W363=Constants!$B$7,W363=Constants!$B$8), MAX(0, MIN(Constants!$B$6, S363))+IF(AND(R363=Constants!$B$4, NOT(U363)), Constants!$B$5, 0), "")</f>
        <v/>
      </c>
      <c r="Y363" s="55" t="str">
        <f aca="false">IF(ISBLANK($C363),"",IF(AND(ISNUMBER(X363),N363&gt;0),X363/N363, "") )</f>
        <v/>
      </c>
      <c r="Z363" s="55" t="str">
        <f aca="false">IF(AND(NOT(ISBLANK($C363)), W363=Constants!$B$7), Y363, "")</f>
        <v/>
      </c>
      <c r="AA363" s="55" t="str">
        <f aca="false">IF(ISNUMBER(Z363), RANK(Z363,Z$8:Z$507), "")</f>
        <v/>
      </c>
      <c r="AB363" s="55" t="str">
        <f aca="false">IF(AND(NOT(ISBLANK($C363)), W363=Constants!$B$8), Y363, "")</f>
        <v/>
      </c>
      <c r="AC363" s="55" t="str">
        <f aca="false">IF(ISNUMBER(AB363), RANK(AB363,AB$8:AB$507), "")</f>
        <v/>
      </c>
      <c r="AD363" s="55" t="str">
        <f aca="false">IF(ISBLANK($C363),"",IF(V363&lt;&gt;Constants!$B$14, V363, IF(W363=Constants!$B$7, AA363, IF(W363=Constants!$B$8, COUNT($AA$8:$AA$507) + AC363, ""))))</f>
        <v/>
      </c>
      <c r="AE363" s="55" t="str">
        <f aca="false">N363</f>
        <v/>
      </c>
      <c r="AF363" s="55" t="str">
        <f aca="false">IF(ISNUMBER(AE363), RANK(AE363,AE$8:AE$507,1), "")</f>
        <v/>
      </c>
      <c r="AG363" s="57" t="str">
        <f aca="false">IF(ISBLANK(C363), "", ABS(M363-S363))</f>
        <v/>
      </c>
      <c r="AH363" s="55" t="str">
        <f aca="false">IF(ISNUMBER(AG363), RANK(AG363,AG$8:AG$507,1), "")</f>
        <v/>
      </c>
      <c r="AI363" s="55" t="str">
        <f aca="false">IF(ISBLANK(C363),"",IF(V363&lt;&gt;Constants!$B$14, V363, RANK(AD363, AD$8:AD$507, 1)+ SUMPRODUCT(--(AD$8:AD$507=AD363),--(AF363&gt;AF$8:AF$507)) + SUMPRODUCT(--(AD$8:AD$507=AD363),--(AF363=AF$8:AF$507),--(AH363&gt;AH$8:AH$507))))</f>
        <v/>
      </c>
      <c r="AJ363" s="55" t="str">
        <f aca="false">IF(ISBLANK(C363),"",IF(V363&lt;&gt;Constants!$B$14, V363, AD363-AI363))</f>
        <v/>
      </c>
      <c r="AK363" s="59"/>
      <c r="AL363" s="60" t="str">
        <f aca="false">IF(ISBLANK($C363),"",IF($V363&lt;&gt;Constants!$B$14,$V363,X363))</f>
        <v/>
      </c>
      <c r="AM363" s="60" t="str">
        <f aca="false">IF(ISBLANK($C363),"",IF($V363&lt;&gt;Constants!$B$14,$V363,N363))</f>
        <v/>
      </c>
      <c r="AN363" s="62" t="str">
        <f aca="false">IF(ISBLANK(C363),"",IF(V363&lt;&gt;Constants!$B$14, V363, IF(W363=Constants!$B$7,Z363,IF(W363=Constants!$B$8,AB363,""))))</f>
        <v/>
      </c>
      <c r="AO363" s="63" t="str">
        <f aca="false">IF(ISBLANK(C363),"",W363)</f>
        <v/>
      </c>
      <c r="AP363" s="63" t="str">
        <f aca="false">IF(ISBLANK(C363),"",AJ363)</f>
        <v/>
      </c>
      <c r="AQ363" s="63" t="str">
        <f aca="false">IF(ISBLANK(C363),"",AI363)</f>
        <v/>
      </c>
      <c r="AR363" s="64" t="str">
        <f aca="false">IF(ISBLANK(C363),
  "",
IF(AQ363=Constants!$B$11,COUNTA($C$8:$C$507)+2,IF(AQ363=Constants!$B$12,COUNTA($C$8:$C$507)+1,IF(AQ363=Constants!$B$13,COUNTA($C$8:$C$507),AQ363))))</f>
        <v/>
      </c>
      <c r="AS363" s="3"/>
      <c r="AT363" s="65" t="n">
        <f aca="false">IF(OR(ISNUMBER(AQ363),AQ363="DQ",AQ363="P",AQ363="NS"),
    1,
    0
)</f>
        <v>0</v>
      </c>
      <c r="AU363" s="65" t="n">
        <v>356</v>
      </c>
      <c r="AV363" s="65" t="str">
        <f aca="false">IF(ISBLANK($C363),
    "",
   IF(ISNUMBER(AR363),AR363+ROW($B363)/1000,"")
)</f>
        <v/>
      </c>
      <c r="AW363" s="65" t="str">
        <f aca="false">IF(ISNUMBER(AV363), RANK(AV363,AV$8:AV$507,1), "")</f>
        <v/>
      </c>
      <c r="AX363" s="65" t="str">
        <f aca="false">IF(ISBLANK($C363),
    "",
    $B363
)</f>
        <v/>
      </c>
      <c r="AY363" s="65" t="str">
        <f aca="false">IF(ISBLANK($C363),
    "",
    $C363
)</f>
        <v/>
      </c>
      <c r="AZ363" s="65" t="str">
        <f aca="false">IF(ISBLANK($C363),
    "",
    $D363
)</f>
        <v/>
      </c>
      <c r="BA363" s="65" t="str">
        <f aca="false">AO363</f>
        <v/>
      </c>
      <c r="BB363" s="66" t="str">
        <f aca="false">AN363</f>
        <v/>
      </c>
      <c r="BC363" s="65" t="str">
        <f aca="false">IF(ISBLANK($C363),
    "",
    AQ363
)</f>
        <v/>
      </c>
      <c r="BD363" s="67" t="str">
        <f aca="false">IF(AU363&gt;AT$7,
    "",
    VLOOKUP(AU363,AW$8:BC$507,7,FALSE())
)</f>
        <v/>
      </c>
      <c r="BE363" s="68" t="str">
        <f aca="false">IF(AU363&gt;AT$7,
    "",
    VLOOKUP(AU363,AW$8:BC$507,2,FALSE())
)</f>
        <v/>
      </c>
      <c r="BF363" s="68" t="str">
        <f aca="false">IF(AU363&gt;AT$7,
    "",
    VLOOKUP(AU363,AW$8:BC$507,3,FALSE())
)</f>
        <v/>
      </c>
      <c r="BG363" s="68" t="str">
        <f aca="false">IF(AU363&gt;AT$7,
    "",
    VLOOKUP(AU363,AW$8:BC$507,4,FALSE())
)</f>
        <v/>
      </c>
      <c r="BH363" s="68" t="str">
        <f aca="false">IF(AU363&gt;AT$7,
    "",
    VLOOKUP(AU363,AW$8:BC$507,5,FALSE())
)</f>
        <v/>
      </c>
      <c r="BI363" s="69" t="str">
        <f aca="false">IF(AU363&gt;AT$7,
    "",
    VLOOKUP(AU363,AW$8:BC$507,6,FALSE())
)</f>
        <v/>
      </c>
      <c r="BJ363" s="46"/>
    </row>
    <row r="364" customFormat="false" ht="15.75" hidden="false" customHeight="false" outlineLevel="0" collapsed="false">
      <c r="A364" s="3"/>
      <c r="B364" s="108"/>
      <c r="C364" s="70"/>
      <c r="D364" s="49"/>
      <c r="E364" s="109"/>
      <c r="F364" s="72"/>
      <c r="G364" s="109"/>
      <c r="H364" s="74"/>
      <c r="I364" s="104"/>
      <c r="J364" s="74"/>
      <c r="K364" s="74"/>
      <c r="L364" s="55"/>
      <c r="M364" s="55" t="str">
        <f aca="false">IF(ISBLANK($C364),"",IF(ISBLANK(E364),0,E364))</f>
        <v/>
      </c>
      <c r="N364" s="55" t="str">
        <f aca="false">IF(ISBLANK($C364),"",IF(ISBLANK(F364),0,F364))</f>
        <v/>
      </c>
      <c r="O364" s="55" t="e">
        <f aca="false">IF(AND(NOT(ISBLANK($C364)),NOT($T364),COUNTA($E364:$K364)&gt;0),ISBLANK($F364),FALSE())</f>
        <v>#VALUE!</v>
      </c>
      <c r="P364" s="55" t="str">
        <f aca="false">IF(ISBLANK($C364),"",IF(G364=Constants!$B$9, TRUE(), IF(G364=Constants!$B$10, FALSE(), TRUE())))</f>
        <v/>
      </c>
      <c r="Q364" s="55" t="str">
        <f aca="false">IF(ISBLANK($C364),"",IF(H364=Constants!$B$9, TRUE(), IF(H364=Constants!$B$10, FALSE(), TRUE())))</f>
        <v/>
      </c>
      <c r="R364" s="55" t="str">
        <f aca="false">IF(ISBLANK($C364),"",IF(ISBLANK(I364),Constants!$B$3,I364))</f>
        <v/>
      </c>
      <c r="S364" s="55" t="str">
        <f aca="false">IF(ISBLANK($C364),"",IF(ISBLANK(J364),0,MIN(J364,Constants!$B$6)))</f>
        <v/>
      </c>
      <c r="T364" s="55" t="str">
        <f aca="false">IF(ISBLANK($C364),"",IF(K364=Constants!$B$9, TRUE(), IF(K364=Constants!$B$10, FALSE(),  FALSE())))</f>
        <v/>
      </c>
      <c r="U364" s="55" t="str">
        <f aca="false">IF(ISBLANK($C364),"",AND(R364=Constants!$B$4, S364&lt;Constants!$B$6))</f>
        <v/>
      </c>
      <c r="V364" s="55" t="str">
        <f aca="false">IF(ISBLANK(C364), "", IF(T364, Constants!$B$11, IF(COUNTA(E364:K364)=0, Constants!$B$12, IF(NOT(AND(P364,S364&lt;&gt;0)), Constants!$B$13, IF(O364, Constants!$B$15, Constants!$B$14)))))</f>
        <v/>
      </c>
      <c r="W364" s="55" t="str">
        <f aca="false">IF(OR(ISBLANK($C364), SUMPRODUCT(--(P364:T364&lt;&gt;""))=0), "", IF(V364&lt;&gt;Constants!$B$14, V364, IF(AND(NOT(ISBLANK(J364)),P364,Q364,R364&lt;&gt;Constants!$B$2), Constants!$B$7, IF(AND(P364,OR(NOT(Q364),R364=Constants!$B$2)), Constants!$B$8, "Error"))))</f>
        <v/>
      </c>
      <c r="X364" s="56" t="str">
        <f aca="false">IF(OR(W364=Constants!$B$7,W364=Constants!$B$8), MAX(0, MIN(Constants!$B$6, S364))+IF(AND(R364=Constants!$B$4, NOT(U364)), Constants!$B$5, 0), "")</f>
        <v/>
      </c>
      <c r="Y364" s="55" t="str">
        <f aca="false">IF(ISBLANK($C364),"",IF(AND(ISNUMBER(X364),N364&gt;0),X364/N364, "") )</f>
        <v/>
      </c>
      <c r="Z364" s="55" t="str">
        <f aca="false">IF(AND(NOT(ISBLANK($C364)), W364=Constants!$B$7), Y364, "")</f>
        <v/>
      </c>
      <c r="AA364" s="55" t="str">
        <f aca="false">IF(ISNUMBER(Z364), RANK(Z364,Z$8:Z$507), "")</f>
        <v/>
      </c>
      <c r="AB364" s="55" t="str">
        <f aca="false">IF(AND(NOT(ISBLANK($C364)), W364=Constants!$B$8), Y364, "")</f>
        <v/>
      </c>
      <c r="AC364" s="55" t="str">
        <f aca="false">IF(ISNUMBER(AB364), RANK(AB364,AB$8:AB$507), "")</f>
        <v/>
      </c>
      <c r="AD364" s="55" t="str">
        <f aca="false">IF(ISBLANK($C364),"",IF(V364&lt;&gt;Constants!$B$14, V364, IF(W364=Constants!$B$7, AA364, IF(W364=Constants!$B$8, COUNT($AA$8:$AA$507) + AC364, ""))))</f>
        <v/>
      </c>
      <c r="AE364" s="55" t="str">
        <f aca="false">N364</f>
        <v/>
      </c>
      <c r="AF364" s="55" t="str">
        <f aca="false">IF(ISNUMBER(AE364), RANK(AE364,AE$8:AE$507,1), "")</f>
        <v/>
      </c>
      <c r="AG364" s="57" t="str">
        <f aca="false">IF(ISBLANK(C364), "", ABS(M364-S364))</f>
        <v/>
      </c>
      <c r="AH364" s="55" t="str">
        <f aca="false">IF(ISNUMBER(AG364), RANK(AG364,AG$8:AG$507,1), "")</f>
        <v/>
      </c>
      <c r="AI364" s="55" t="str">
        <f aca="false">IF(ISBLANK(C364),"",IF(V364&lt;&gt;Constants!$B$14, V364, RANK(AD364, AD$8:AD$507, 1)+ SUMPRODUCT(--(AD$8:AD$507=AD364),--(AF364&gt;AF$8:AF$507)) + SUMPRODUCT(--(AD$8:AD$507=AD364),--(AF364=AF$8:AF$507),--(AH364&gt;AH$8:AH$507))))</f>
        <v/>
      </c>
      <c r="AJ364" s="55" t="str">
        <f aca="false">IF(ISBLANK(C364),"",IF(V364&lt;&gt;Constants!$B$14, V364, AD364-AI364))</f>
        <v/>
      </c>
      <c r="AK364" s="59"/>
      <c r="AL364" s="60" t="str">
        <f aca="false">IF(ISBLANK($C364),"",IF($V364&lt;&gt;Constants!$B$14,$V364,X364))</f>
        <v/>
      </c>
      <c r="AM364" s="60" t="str">
        <f aca="false">IF(ISBLANK($C364),"",IF($V364&lt;&gt;Constants!$B$14,$V364,N364))</f>
        <v/>
      </c>
      <c r="AN364" s="62" t="str">
        <f aca="false">IF(ISBLANK(C364),"",IF(V364&lt;&gt;Constants!$B$14, V364, IF(W364=Constants!$B$7,Z364,IF(W364=Constants!$B$8,AB364,""))))</f>
        <v/>
      </c>
      <c r="AO364" s="63" t="str">
        <f aca="false">IF(ISBLANK(C364),"",W364)</f>
        <v/>
      </c>
      <c r="AP364" s="63" t="str">
        <f aca="false">IF(ISBLANK(C364),"",AJ364)</f>
        <v/>
      </c>
      <c r="AQ364" s="63" t="str">
        <f aca="false">IF(ISBLANK(C364),"",AI364)</f>
        <v/>
      </c>
      <c r="AR364" s="64" t="str">
        <f aca="false">IF(ISBLANK(C364),
  "",
IF(AQ364=Constants!$B$11,COUNTA($C$8:$C$507)+2,IF(AQ364=Constants!$B$12,COUNTA($C$8:$C$507)+1,IF(AQ364=Constants!$B$13,COUNTA($C$8:$C$507),AQ364))))</f>
        <v/>
      </c>
      <c r="AS364" s="3"/>
      <c r="AT364" s="65" t="n">
        <f aca="false">IF(OR(ISNUMBER(AQ364),AQ364="DQ",AQ364="P",AQ364="NS"),
    1,
    0
)</f>
        <v>0</v>
      </c>
      <c r="AU364" s="65" t="n">
        <v>357</v>
      </c>
      <c r="AV364" s="65" t="str">
        <f aca="false">IF(ISBLANK($C364),
    "",
   IF(ISNUMBER(AR364),AR364+ROW($B364)/1000,"")
)</f>
        <v/>
      </c>
      <c r="AW364" s="65" t="str">
        <f aca="false">IF(ISNUMBER(AV364), RANK(AV364,AV$8:AV$507,1), "")</f>
        <v/>
      </c>
      <c r="AX364" s="65" t="str">
        <f aca="false">IF(ISBLANK($C364),
    "",
    $B364
)</f>
        <v/>
      </c>
      <c r="AY364" s="65" t="str">
        <f aca="false">IF(ISBLANK($C364),
    "",
    $C364
)</f>
        <v/>
      </c>
      <c r="AZ364" s="65" t="str">
        <f aca="false">IF(ISBLANK($C364),
    "",
    $D364
)</f>
        <v/>
      </c>
      <c r="BA364" s="65" t="str">
        <f aca="false">AO364</f>
        <v/>
      </c>
      <c r="BB364" s="66" t="str">
        <f aca="false">AN364</f>
        <v/>
      </c>
      <c r="BC364" s="65" t="str">
        <f aca="false">IF(ISBLANK($C364),
    "",
    AQ364
)</f>
        <v/>
      </c>
      <c r="BD364" s="67" t="str">
        <f aca="false">IF(AU364&gt;AT$7,
    "",
    VLOOKUP(AU364,AW$8:BC$507,7,FALSE())
)</f>
        <v/>
      </c>
      <c r="BE364" s="68" t="str">
        <f aca="false">IF(AU364&gt;AT$7,
    "",
    VLOOKUP(AU364,AW$8:BC$507,2,FALSE())
)</f>
        <v/>
      </c>
      <c r="BF364" s="68" t="str">
        <f aca="false">IF(AU364&gt;AT$7,
    "",
    VLOOKUP(AU364,AW$8:BC$507,3,FALSE())
)</f>
        <v/>
      </c>
      <c r="BG364" s="68" t="str">
        <f aca="false">IF(AU364&gt;AT$7,
    "",
    VLOOKUP(AU364,AW$8:BC$507,4,FALSE())
)</f>
        <v/>
      </c>
      <c r="BH364" s="68" t="str">
        <f aca="false">IF(AU364&gt;AT$7,
    "",
    VLOOKUP(AU364,AW$8:BC$507,5,FALSE())
)</f>
        <v/>
      </c>
      <c r="BI364" s="69" t="str">
        <f aca="false">IF(AU364&gt;AT$7,
    "",
    VLOOKUP(AU364,AW$8:BC$507,6,FALSE())
)</f>
        <v/>
      </c>
      <c r="BJ364" s="46"/>
    </row>
    <row r="365" customFormat="false" ht="15.75" hidden="false" customHeight="false" outlineLevel="0" collapsed="false">
      <c r="A365" s="3"/>
      <c r="B365" s="105"/>
      <c r="C365" s="106"/>
      <c r="D365" s="99"/>
      <c r="E365" s="110"/>
      <c r="F365" s="107"/>
      <c r="G365" s="110"/>
      <c r="H365" s="103"/>
      <c r="I365" s="102"/>
      <c r="J365" s="103"/>
      <c r="K365" s="103"/>
      <c r="L365" s="85"/>
      <c r="M365" s="85" t="str">
        <f aca="false">IF(ISBLANK($C365),"",IF(ISBLANK(E365),0,E365))</f>
        <v/>
      </c>
      <c r="N365" s="85" t="str">
        <f aca="false">IF(ISBLANK($C365),"",IF(ISBLANK(F365),0,F365))</f>
        <v/>
      </c>
      <c r="O365" s="86" t="e">
        <f aca="false">IF(AND(NOT(ISBLANK($C365)),NOT($T365),COUNTA($E365:$K365)&gt;0),ISBLANK($F365),FALSE())</f>
        <v>#VALUE!</v>
      </c>
      <c r="P365" s="85" t="str">
        <f aca="false">IF(ISBLANK($C365),"",IF(G365=Constants!$B$9, TRUE(), IF(G365=Constants!$B$10, FALSE(), TRUE())))</f>
        <v/>
      </c>
      <c r="Q365" s="85" t="str">
        <f aca="false">IF(ISBLANK($C365),"",IF(H365=Constants!$B$9, TRUE(), IF(H365=Constants!$B$10, FALSE(), TRUE())))</f>
        <v/>
      </c>
      <c r="R365" s="85" t="str">
        <f aca="false">IF(ISBLANK($C365),"",IF(ISBLANK(I365),Constants!$B$3,I365))</f>
        <v/>
      </c>
      <c r="S365" s="85" t="str">
        <f aca="false">IF(ISBLANK($C365),"",IF(ISBLANK(J365),0,MIN(J365,Constants!$B$6)))</f>
        <v/>
      </c>
      <c r="T365" s="85" t="str">
        <f aca="false">IF(ISBLANK($C365),"",IF(K365=Constants!$B$9, TRUE(), IF(K365=Constants!$B$10, FALSE(),  FALSE())))</f>
        <v/>
      </c>
      <c r="U365" s="85" t="str">
        <f aca="false">IF(ISBLANK($C365),"",AND(R365=Constants!$B$4, S365&lt;Constants!$B$6))</f>
        <v/>
      </c>
      <c r="V365" s="85" t="str">
        <f aca="false">IF(ISBLANK(C365), "", IF(T365, Constants!$B$11, IF(COUNTA(E365:K365)=0, Constants!$B$12, IF(NOT(AND(P365,S365&lt;&gt;0)), Constants!$B$13, IF(O365, Constants!$B$15, Constants!$B$14)))))</f>
        <v/>
      </c>
      <c r="W365" s="85" t="str">
        <f aca="false">IF(OR(ISBLANK($C365), SUMPRODUCT(--(P365:T365&lt;&gt;""))=0), "", IF(V365&lt;&gt;Constants!$B$14, V365, IF(AND(NOT(ISBLANK(J365)),P365,Q365,R365&lt;&gt;Constants!$B$2), Constants!$B$7, IF(AND(P365,OR(NOT(Q365),R365=Constants!$B$2)), Constants!$B$8, "Error"))))</f>
        <v/>
      </c>
      <c r="X365" s="87" t="str">
        <f aca="false">IF(OR(W365=Constants!$B$7,W365=Constants!$B$8), MAX(0, MIN(Constants!$B$6, S365))+IF(AND(R365=Constants!$B$4, NOT(U365)), Constants!$B$5, 0), "")</f>
        <v/>
      </c>
      <c r="Y365" s="85" t="str">
        <f aca="false">IF(ISBLANK($C365),"",IF(AND(ISNUMBER(X365),N365&gt;0),X365/N365, "") )</f>
        <v/>
      </c>
      <c r="Z365" s="85" t="str">
        <f aca="false">IF(AND(NOT(ISBLANK($C365)), W365=Constants!$B$7), Y365, "")</f>
        <v/>
      </c>
      <c r="AA365" s="85" t="str">
        <f aca="false">IF(ISNUMBER(Z365), RANK(Z365,Z$8:Z$507), "")</f>
        <v/>
      </c>
      <c r="AB365" s="85" t="str">
        <f aca="false">IF(AND(NOT(ISBLANK($C365)), W365=Constants!$B$8), Y365, "")</f>
        <v/>
      </c>
      <c r="AC365" s="85" t="str">
        <f aca="false">IF(ISNUMBER(AB365), RANK(AB365,AB$8:AB$507), "")</f>
        <v/>
      </c>
      <c r="AD365" s="85" t="str">
        <f aca="false">IF(ISBLANK($C365),"",IF(V365&lt;&gt;Constants!$B$14, V365, IF(W365=Constants!$B$7, AA365, IF(W365=Constants!$B$8, COUNT($AA$8:$AA$507) + AC365, ""))))</f>
        <v/>
      </c>
      <c r="AE365" s="85" t="str">
        <f aca="false">N365</f>
        <v/>
      </c>
      <c r="AF365" s="85" t="str">
        <f aca="false">IF(ISNUMBER(AE365), RANK(AE365,AE$8:AE$507,1), "")</f>
        <v/>
      </c>
      <c r="AG365" s="88" t="str">
        <f aca="false">IF(ISBLANK(C365), "", ABS(M365-S365))</f>
        <v/>
      </c>
      <c r="AH365" s="85" t="str">
        <f aca="false">IF(ISNUMBER(AG365), RANK(AG365,AG$8:AG$507,1), "")</f>
        <v/>
      </c>
      <c r="AI365" s="85" t="str">
        <f aca="false">IF(ISBLANK(C365),"",IF(V365&lt;&gt;Constants!$B$14, V365, RANK(AD365, AD$8:AD$507, 1)+ SUMPRODUCT(--(AD$8:AD$507=AD365),--(AF365&gt;AF$8:AF$507)) + SUMPRODUCT(--(AD$8:AD$507=AD365),--(AF365=AF$8:AF$507),--(AH365&gt;AH$8:AH$507))))</f>
        <v/>
      </c>
      <c r="AJ365" s="85" t="str">
        <f aca="false">IF(ISBLANK(C365),"",IF(V365&lt;&gt;Constants!$B$14, V365, AD365-AI365))</f>
        <v/>
      </c>
      <c r="AK365" s="89"/>
      <c r="AL365" s="90" t="str">
        <f aca="false">IF(ISBLANK($C365),"",IF($V365&lt;&gt;Constants!$B$14,$V365,X365))</f>
        <v/>
      </c>
      <c r="AM365" s="90" t="str">
        <f aca="false">IF(ISBLANK($C365),"",IF($V365&lt;&gt;Constants!$B$14,$V365,N365))</f>
        <v/>
      </c>
      <c r="AN365" s="91" t="str">
        <f aca="false">IF(ISBLANK(C365),"",IF(V365&lt;&gt;Constants!$B$14, V365, IF(W365=Constants!$B$7,Z365,IF(W365=Constants!$B$8,AB365,""))))</f>
        <v/>
      </c>
      <c r="AO365" s="92" t="str">
        <f aca="false">IF(ISBLANK(C365),"",W365)</f>
        <v/>
      </c>
      <c r="AP365" s="92" t="str">
        <f aca="false">IF(ISBLANK(C365),"",AJ365)</f>
        <v/>
      </c>
      <c r="AQ365" s="92" t="str">
        <f aca="false">IF(ISBLANK(C365),"",AI365)</f>
        <v/>
      </c>
      <c r="AR365" s="93" t="str">
        <f aca="false">IF(ISBLANK(C365),
  "",
IF(AQ365=Constants!$B$11,COUNTA($C$8:$C$507)+2,IF(AQ365=Constants!$B$12,COUNTA($C$8:$C$507)+1,IF(AQ365=Constants!$B$13,COUNTA($C$8:$C$507),AQ365))))</f>
        <v/>
      </c>
      <c r="AS365" s="3"/>
      <c r="AT365" s="94" t="n">
        <f aca="false">IF(OR(ISNUMBER(AQ365),AQ365="DQ",AQ365="P",AQ365="NS"),
    1,
    0
)</f>
        <v>0</v>
      </c>
      <c r="AU365" s="94" t="n">
        <v>358</v>
      </c>
      <c r="AV365" s="94" t="str">
        <f aca="false">IF(ISBLANK($C365),
    "",
   IF(ISNUMBER(AR365),AR365+ROW($B365)/1000,"")
)</f>
        <v/>
      </c>
      <c r="AW365" s="94" t="str">
        <f aca="false">IF(ISNUMBER(AV365), RANK(AV365,AV$8:AV$507,1), "")</f>
        <v/>
      </c>
      <c r="AX365" s="94" t="str">
        <f aca="false">IF(ISBLANK($C365),
    "",
    $B365
)</f>
        <v/>
      </c>
      <c r="AY365" s="94" t="str">
        <f aca="false">IF(ISBLANK($C365),
    "",
    $C365
)</f>
        <v/>
      </c>
      <c r="AZ365" s="94" t="str">
        <f aca="false">IF(ISBLANK($C365),
    "",
    $D365
)</f>
        <v/>
      </c>
      <c r="BA365" s="94" t="str">
        <f aca="false">AO365</f>
        <v/>
      </c>
      <c r="BB365" s="95" t="str">
        <f aca="false">AN365</f>
        <v/>
      </c>
      <c r="BC365" s="94" t="str">
        <f aca="false">IF(ISBLANK($C365),
    "",
    AQ365
)</f>
        <v/>
      </c>
      <c r="BD365" s="96" t="str">
        <f aca="false">IF(AU365&gt;AT$7,
    "",
    VLOOKUP(AU365,AW$8:BC$507,7,FALSE())
)</f>
        <v/>
      </c>
      <c r="BE365" s="97" t="str">
        <f aca="false">IF(AU365&gt;AT$7,
    "",
    VLOOKUP(AU365,AW$8:BC$507,2,FALSE())
)</f>
        <v/>
      </c>
      <c r="BF365" s="97" t="str">
        <f aca="false">IF(AU365&gt;AT$7,
    "",
    VLOOKUP(AU365,AW$8:BC$507,3,FALSE())
)</f>
        <v/>
      </c>
      <c r="BG365" s="97" t="str">
        <f aca="false">IF(AU365&gt;AT$7,
    "",
    VLOOKUP(AU365,AW$8:BC$507,4,FALSE())
)</f>
        <v/>
      </c>
      <c r="BH365" s="97" t="str">
        <f aca="false">IF(AU365&gt;AT$7,
    "",
    VLOOKUP(AU365,AW$8:BC$507,5,FALSE())
)</f>
        <v/>
      </c>
      <c r="BI365" s="98" t="str">
        <f aca="false">IF(AU365&gt;AT$7,
    "",
    VLOOKUP(AU365,AW$8:BC$507,6,FALSE())
)</f>
        <v/>
      </c>
      <c r="BJ365" s="46"/>
    </row>
    <row r="366" customFormat="false" ht="15.75" hidden="false" customHeight="false" outlineLevel="0" collapsed="false">
      <c r="A366" s="3"/>
      <c r="B366" s="105"/>
      <c r="C366" s="106"/>
      <c r="D366" s="99"/>
      <c r="E366" s="110"/>
      <c r="F366" s="107"/>
      <c r="G366" s="110"/>
      <c r="H366" s="103"/>
      <c r="I366" s="102"/>
      <c r="J366" s="103"/>
      <c r="K366" s="103"/>
      <c r="L366" s="85"/>
      <c r="M366" s="85" t="str">
        <f aca="false">IF(ISBLANK($C366),"",IF(ISBLANK(E366),0,E366))</f>
        <v/>
      </c>
      <c r="N366" s="85" t="str">
        <f aca="false">IF(ISBLANK($C366),"",IF(ISBLANK(F366),0,F366))</f>
        <v/>
      </c>
      <c r="O366" s="86" t="e">
        <f aca="false">IF(AND(NOT(ISBLANK($C366)),NOT($T366),COUNTA($E366:$K366)&gt;0),ISBLANK($F366),FALSE())</f>
        <v>#VALUE!</v>
      </c>
      <c r="P366" s="85" t="str">
        <f aca="false">IF(ISBLANK($C366),"",IF(G366=Constants!$B$9, TRUE(), IF(G366=Constants!$B$10, FALSE(), TRUE())))</f>
        <v/>
      </c>
      <c r="Q366" s="85" t="str">
        <f aca="false">IF(ISBLANK($C366),"",IF(H366=Constants!$B$9, TRUE(), IF(H366=Constants!$B$10, FALSE(), TRUE())))</f>
        <v/>
      </c>
      <c r="R366" s="85" t="str">
        <f aca="false">IF(ISBLANK($C366),"",IF(ISBLANK(I366),Constants!$B$3,I366))</f>
        <v/>
      </c>
      <c r="S366" s="85" t="str">
        <f aca="false">IF(ISBLANK($C366),"",IF(ISBLANK(J366),0,MIN(J366,Constants!$B$6)))</f>
        <v/>
      </c>
      <c r="T366" s="85" t="str">
        <f aca="false">IF(ISBLANK($C366),"",IF(K366=Constants!$B$9, TRUE(), IF(K366=Constants!$B$10, FALSE(),  FALSE())))</f>
        <v/>
      </c>
      <c r="U366" s="85" t="str">
        <f aca="false">IF(ISBLANK($C366),"",AND(R366=Constants!$B$4, S366&lt;Constants!$B$6))</f>
        <v/>
      </c>
      <c r="V366" s="85" t="str">
        <f aca="false">IF(ISBLANK(C366), "", IF(T366, Constants!$B$11, IF(COUNTA(E366:K366)=0, Constants!$B$12, IF(NOT(AND(P366,S366&lt;&gt;0)), Constants!$B$13, IF(O366, Constants!$B$15, Constants!$B$14)))))</f>
        <v/>
      </c>
      <c r="W366" s="85" t="str">
        <f aca="false">IF(OR(ISBLANK($C366), SUMPRODUCT(--(P366:T366&lt;&gt;""))=0), "", IF(V366&lt;&gt;Constants!$B$14, V366, IF(AND(NOT(ISBLANK(J366)),P366,Q366,R366&lt;&gt;Constants!$B$2), Constants!$B$7, IF(AND(P366,OR(NOT(Q366),R366=Constants!$B$2)), Constants!$B$8, "Error"))))</f>
        <v/>
      </c>
      <c r="X366" s="87" t="str">
        <f aca="false">IF(OR(W366=Constants!$B$7,W366=Constants!$B$8), MAX(0, MIN(Constants!$B$6, S366))+IF(AND(R366=Constants!$B$4, NOT(U366)), Constants!$B$5, 0), "")</f>
        <v/>
      </c>
      <c r="Y366" s="85" t="str">
        <f aca="false">IF(ISBLANK($C366),"",IF(AND(ISNUMBER(X366),N366&gt;0),X366/N366, "") )</f>
        <v/>
      </c>
      <c r="Z366" s="85" t="str">
        <f aca="false">IF(AND(NOT(ISBLANK($C366)), W366=Constants!$B$7), Y366, "")</f>
        <v/>
      </c>
      <c r="AA366" s="85" t="str">
        <f aca="false">IF(ISNUMBER(Z366), RANK(Z366,Z$8:Z$507), "")</f>
        <v/>
      </c>
      <c r="AB366" s="85" t="str">
        <f aca="false">IF(AND(NOT(ISBLANK($C366)), W366=Constants!$B$8), Y366, "")</f>
        <v/>
      </c>
      <c r="AC366" s="85" t="str">
        <f aca="false">IF(ISNUMBER(AB366), RANK(AB366,AB$8:AB$507), "")</f>
        <v/>
      </c>
      <c r="AD366" s="85" t="str">
        <f aca="false">IF(ISBLANK($C366),"",IF(V366&lt;&gt;Constants!$B$14, V366, IF(W366=Constants!$B$7, AA366, IF(W366=Constants!$B$8, COUNT($AA$8:$AA$507) + AC366, ""))))</f>
        <v/>
      </c>
      <c r="AE366" s="85" t="str">
        <f aca="false">N366</f>
        <v/>
      </c>
      <c r="AF366" s="85" t="str">
        <f aca="false">IF(ISNUMBER(AE366), RANK(AE366,AE$8:AE$507,1), "")</f>
        <v/>
      </c>
      <c r="AG366" s="88" t="str">
        <f aca="false">IF(ISBLANK(C366), "", ABS(M366-S366))</f>
        <v/>
      </c>
      <c r="AH366" s="85" t="str">
        <f aca="false">IF(ISNUMBER(AG366), RANK(AG366,AG$8:AG$507,1), "")</f>
        <v/>
      </c>
      <c r="AI366" s="85" t="str">
        <f aca="false">IF(ISBLANK(C366),"",IF(V366&lt;&gt;Constants!$B$14, V366, RANK(AD366, AD$8:AD$507, 1)+ SUMPRODUCT(--(AD$8:AD$507=AD366),--(AF366&gt;AF$8:AF$507)) + SUMPRODUCT(--(AD$8:AD$507=AD366),--(AF366=AF$8:AF$507),--(AH366&gt;AH$8:AH$507))))</f>
        <v/>
      </c>
      <c r="AJ366" s="85" t="str">
        <f aca="false">IF(ISBLANK(C366),"",IF(V366&lt;&gt;Constants!$B$14, V366, AD366-AI366))</f>
        <v/>
      </c>
      <c r="AK366" s="89"/>
      <c r="AL366" s="90" t="str">
        <f aca="false">IF(ISBLANK($C366),"",IF($V366&lt;&gt;Constants!$B$14,$V366,X366))</f>
        <v/>
      </c>
      <c r="AM366" s="90" t="str">
        <f aca="false">IF(ISBLANK($C366),"",IF($V366&lt;&gt;Constants!$B$14,$V366,N366))</f>
        <v/>
      </c>
      <c r="AN366" s="91" t="str">
        <f aca="false">IF(ISBLANK(C366),"",IF(V366&lt;&gt;Constants!$B$14, V366, IF(W366=Constants!$B$7,Z366,IF(W366=Constants!$B$8,AB366,""))))</f>
        <v/>
      </c>
      <c r="AO366" s="92" t="str">
        <f aca="false">IF(ISBLANK(C366),"",W366)</f>
        <v/>
      </c>
      <c r="AP366" s="92" t="str">
        <f aca="false">IF(ISBLANK(C366),"",AJ366)</f>
        <v/>
      </c>
      <c r="AQ366" s="92" t="str">
        <f aca="false">IF(ISBLANK(C366),"",AI366)</f>
        <v/>
      </c>
      <c r="AR366" s="93" t="str">
        <f aca="false">IF(ISBLANK(C366),
  "",
IF(AQ366=Constants!$B$11,COUNTA($C$8:$C$507)+2,IF(AQ366=Constants!$B$12,COUNTA($C$8:$C$507)+1,IF(AQ366=Constants!$B$13,COUNTA($C$8:$C$507),AQ366))))</f>
        <v/>
      </c>
      <c r="AS366" s="3"/>
      <c r="AT366" s="94" t="n">
        <f aca="false">IF(OR(ISNUMBER(AQ366),AQ366="DQ",AQ366="P",AQ366="NS"),
    1,
    0
)</f>
        <v>0</v>
      </c>
      <c r="AU366" s="94" t="n">
        <v>359</v>
      </c>
      <c r="AV366" s="94" t="str">
        <f aca="false">IF(ISBLANK($C366),
    "",
   IF(ISNUMBER(AR366),AR366+ROW($B366)/1000,"")
)</f>
        <v/>
      </c>
      <c r="AW366" s="94" t="str">
        <f aca="false">IF(ISNUMBER(AV366), RANK(AV366,AV$8:AV$507,1), "")</f>
        <v/>
      </c>
      <c r="AX366" s="94" t="str">
        <f aca="false">IF(ISBLANK($C366),
    "",
    $B366
)</f>
        <v/>
      </c>
      <c r="AY366" s="94" t="str">
        <f aca="false">IF(ISBLANK($C366),
    "",
    $C366
)</f>
        <v/>
      </c>
      <c r="AZ366" s="94" t="str">
        <f aca="false">IF(ISBLANK($C366),
    "",
    $D366
)</f>
        <v/>
      </c>
      <c r="BA366" s="94" t="str">
        <f aca="false">AO366</f>
        <v/>
      </c>
      <c r="BB366" s="95" t="str">
        <f aca="false">AN366</f>
        <v/>
      </c>
      <c r="BC366" s="94" t="str">
        <f aca="false">IF(ISBLANK($C366),
    "",
    AQ366
)</f>
        <v/>
      </c>
      <c r="BD366" s="96" t="str">
        <f aca="false">IF(AU366&gt;AT$7,
    "",
    VLOOKUP(AU366,AW$8:BC$507,7,FALSE())
)</f>
        <v/>
      </c>
      <c r="BE366" s="97" t="str">
        <f aca="false">IF(AU366&gt;AT$7,
    "",
    VLOOKUP(AU366,AW$8:BC$507,2,FALSE())
)</f>
        <v/>
      </c>
      <c r="BF366" s="97" t="str">
        <f aca="false">IF(AU366&gt;AT$7,
    "",
    VLOOKUP(AU366,AW$8:BC$507,3,FALSE())
)</f>
        <v/>
      </c>
      <c r="BG366" s="97" t="str">
        <f aca="false">IF(AU366&gt;AT$7,
    "",
    VLOOKUP(AU366,AW$8:BC$507,4,FALSE())
)</f>
        <v/>
      </c>
      <c r="BH366" s="97" t="str">
        <f aca="false">IF(AU366&gt;AT$7,
    "",
    VLOOKUP(AU366,AW$8:BC$507,5,FALSE())
)</f>
        <v/>
      </c>
      <c r="BI366" s="98" t="str">
        <f aca="false">IF(AU366&gt;AT$7,
    "",
    VLOOKUP(AU366,AW$8:BC$507,6,FALSE())
)</f>
        <v/>
      </c>
      <c r="BJ366" s="46"/>
    </row>
    <row r="367" customFormat="false" ht="15.75" hidden="false" customHeight="false" outlineLevel="0" collapsed="false">
      <c r="A367" s="3"/>
      <c r="B367" s="105"/>
      <c r="C367" s="106"/>
      <c r="D367" s="99"/>
      <c r="E367" s="110"/>
      <c r="F367" s="107"/>
      <c r="G367" s="110"/>
      <c r="H367" s="103"/>
      <c r="I367" s="102"/>
      <c r="J367" s="103"/>
      <c r="K367" s="103"/>
      <c r="L367" s="85"/>
      <c r="M367" s="85" t="str">
        <f aca="false">IF(ISBLANK($C367),"",IF(ISBLANK(E367),0,E367))</f>
        <v/>
      </c>
      <c r="N367" s="85" t="str">
        <f aca="false">IF(ISBLANK($C367),"",IF(ISBLANK(F367),0,F367))</f>
        <v/>
      </c>
      <c r="O367" s="86" t="e">
        <f aca="false">IF(AND(NOT(ISBLANK($C367)),NOT($T367),COUNTA($E367:$K367)&gt;0),ISBLANK($F367),FALSE())</f>
        <v>#VALUE!</v>
      </c>
      <c r="P367" s="85" t="str">
        <f aca="false">IF(ISBLANK($C367),"",IF(G367=Constants!$B$9, TRUE(), IF(G367=Constants!$B$10, FALSE(), TRUE())))</f>
        <v/>
      </c>
      <c r="Q367" s="85" t="str">
        <f aca="false">IF(ISBLANK($C367),"",IF(H367=Constants!$B$9, TRUE(), IF(H367=Constants!$B$10, FALSE(), TRUE())))</f>
        <v/>
      </c>
      <c r="R367" s="85" t="str">
        <f aca="false">IF(ISBLANK($C367),"",IF(ISBLANK(I367),Constants!$B$3,I367))</f>
        <v/>
      </c>
      <c r="S367" s="85" t="str">
        <f aca="false">IF(ISBLANK($C367),"",IF(ISBLANK(J367),0,MIN(J367,Constants!$B$6)))</f>
        <v/>
      </c>
      <c r="T367" s="85" t="str">
        <f aca="false">IF(ISBLANK($C367),"",IF(K367=Constants!$B$9, TRUE(), IF(K367=Constants!$B$10, FALSE(),  FALSE())))</f>
        <v/>
      </c>
      <c r="U367" s="85" t="str">
        <f aca="false">IF(ISBLANK($C367),"",AND(R367=Constants!$B$4, S367&lt;Constants!$B$6))</f>
        <v/>
      </c>
      <c r="V367" s="85" t="str">
        <f aca="false">IF(ISBLANK(C367), "", IF(T367, Constants!$B$11, IF(COUNTA(E367:K367)=0, Constants!$B$12, IF(NOT(AND(P367,S367&lt;&gt;0)), Constants!$B$13, IF(O367, Constants!$B$15, Constants!$B$14)))))</f>
        <v/>
      </c>
      <c r="W367" s="85" t="str">
        <f aca="false">IF(OR(ISBLANK($C367), SUMPRODUCT(--(P367:T367&lt;&gt;""))=0), "", IF(V367&lt;&gt;Constants!$B$14, V367, IF(AND(NOT(ISBLANK(J367)),P367,Q367,R367&lt;&gt;Constants!$B$2), Constants!$B$7, IF(AND(P367,OR(NOT(Q367),R367=Constants!$B$2)), Constants!$B$8, "Error"))))</f>
        <v/>
      </c>
      <c r="X367" s="87" t="str">
        <f aca="false">IF(OR(W367=Constants!$B$7,W367=Constants!$B$8), MAX(0, MIN(Constants!$B$6, S367))+IF(AND(R367=Constants!$B$4, NOT(U367)), Constants!$B$5, 0), "")</f>
        <v/>
      </c>
      <c r="Y367" s="85" t="str">
        <f aca="false">IF(ISBLANK($C367),"",IF(AND(ISNUMBER(X367),N367&gt;0),X367/N367, "") )</f>
        <v/>
      </c>
      <c r="Z367" s="85" t="str">
        <f aca="false">IF(AND(NOT(ISBLANK($C367)), W367=Constants!$B$7), Y367, "")</f>
        <v/>
      </c>
      <c r="AA367" s="85" t="str">
        <f aca="false">IF(ISNUMBER(Z367), RANK(Z367,Z$8:Z$507), "")</f>
        <v/>
      </c>
      <c r="AB367" s="85" t="str">
        <f aca="false">IF(AND(NOT(ISBLANK($C367)), W367=Constants!$B$8), Y367, "")</f>
        <v/>
      </c>
      <c r="AC367" s="85" t="str">
        <f aca="false">IF(ISNUMBER(AB367), RANK(AB367,AB$8:AB$507), "")</f>
        <v/>
      </c>
      <c r="AD367" s="85" t="str">
        <f aca="false">IF(ISBLANK($C367),"",IF(V367&lt;&gt;Constants!$B$14, V367, IF(W367=Constants!$B$7, AA367, IF(W367=Constants!$B$8, COUNT($AA$8:$AA$507) + AC367, ""))))</f>
        <v/>
      </c>
      <c r="AE367" s="85" t="str">
        <f aca="false">N367</f>
        <v/>
      </c>
      <c r="AF367" s="85" t="str">
        <f aca="false">IF(ISNUMBER(AE367), RANK(AE367,AE$8:AE$507,1), "")</f>
        <v/>
      </c>
      <c r="AG367" s="88" t="str">
        <f aca="false">IF(ISBLANK(C367), "", ABS(M367-S367))</f>
        <v/>
      </c>
      <c r="AH367" s="85" t="str">
        <f aca="false">IF(ISNUMBER(AG367), RANK(AG367,AG$8:AG$507,1), "")</f>
        <v/>
      </c>
      <c r="AI367" s="85" t="str">
        <f aca="false">IF(ISBLANK(C367),"",IF(V367&lt;&gt;Constants!$B$14, V367, RANK(AD367, AD$8:AD$507, 1)+ SUMPRODUCT(--(AD$8:AD$507=AD367),--(AF367&gt;AF$8:AF$507)) + SUMPRODUCT(--(AD$8:AD$507=AD367),--(AF367=AF$8:AF$507),--(AH367&gt;AH$8:AH$507))))</f>
        <v/>
      </c>
      <c r="AJ367" s="85" t="str">
        <f aca="false">IF(ISBLANK(C367),"",IF(V367&lt;&gt;Constants!$B$14, V367, AD367-AI367))</f>
        <v/>
      </c>
      <c r="AK367" s="89"/>
      <c r="AL367" s="90" t="str">
        <f aca="false">IF(ISBLANK($C367),"",IF($V367&lt;&gt;Constants!$B$14,$V367,X367))</f>
        <v/>
      </c>
      <c r="AM367" s="90" t="str">
        <f aca="false">IF(ISBLANK($C367),"",IF($V367&lt;&gt;Constants!$B$14,$V367,N367))</f>
        <v/>
      </c>
      <c r="AN367" s="91" t="str">
        <f aca="false">IF(ISBLANK(C367),"",IF(V367&lt;&gt;Constants!$B$14, V367, IF(W367=Constants!$B$7,Z367,IF(W367=Constants!$B$8,AB367,""))))</f>
        <v/>
      </c>
      <c r="AO367" s="92" t="str">
        <f aca="false">IF(ISBLANK(C367),"",W367)</f>
        <v/>
      </c>
      <c r="AP367" s="92" t="str">
        <f aca="false">IF(ISBLANK(C367),"",AJ367)</f>
        <v/>
      </c>
      <c r="AQ367" s="92" t="str">
        <f aca="false">IF(ISBLANK(C367),"",AI367)</f>
        <v/>
      </c>
      <c r="AR367" s="93" t="str">
        <f aca="false">IF(ISBLANK(C367),
  "",
IF(AQ367=Constants!$B$11,COUNTA($C$8:$C$507)+2,IF(AQ367=Constants!$B$12,COUNTA($C$8:$C$507)+1,IF(AQ367=Constants!$B$13,COUNTA($C$8:$C$507),AQ367))))</f>
        <v/>
      </c>
      <c r="AS367" s="3"/>
      <c r="AT367" s="94" t="n">
        <f aca="false">IF(OR(ISNUMBER(AQ367),AQ367="DQ",AQ367="P",AQ367="NS"),
    1,
    0
)</f>
        <v>0</v>
      </c>
      <c r="AU367" s="94" t="n">
        <v>360</v>
      </c>
      <c r="AV367" s="94" t="str">
        <f aca="false">IF(ISBLANK($C367),
    "",
   IF(ISNUMBER(AR367),AR367+ROW($B367)/1000,"")
)</f>
        <v/>
      </c>
      <c r="AW367" s="94" t="str">
        <f aca="false">IF(ISNUMBER(AV367), RANK(AV367,AV$8:AV$507,1), "")</f>
        <v/>
      </c>
      <c r="AX367" s="94" t="str">
        <f aca="false">IF(ISBLANK($C367),
    "",
    $B367
)</f>
        <v/>
      </c>
      <c r="AY367" s="94" t="str">
        <f aca="false">IF(ISBLANK($C367),
    "",
    $C367
)</f>
        <v/>
      </c>
      <c r="AZ367" s="94" t="str">
        <f aca="false">IF(ISBLANK($C367),
    "",
    $D367
)</f>
        <v/>
      </c>
      <c r="BA367" s="94" t="str">
        <f aca="false">AO367</f>
        <v/>
      </c>
      <c r="BB367" s="95" t="str">
        <f aca="false">AN367</f>
        <v/>
      </c>
      <c r="BC367" s="94" t="str">
        <f aca="false">IF(ISBLANK($C367),
    "",
    AQ367
)</f>
        <v/>
      </c>
      <c r="BD367" s="96" t="str">
        <f aca="false">IF(AU367&gt;AT$7,
    "",
    VLOOKUP(AU367,AW$8:BC$507,7,FALSE())
)</f>
        <v/>
      </c>
      <c r="BE367" s="97" t="str">
        <f aca="false">IF(AU367&gt;AT$7,
    "",
    VLOOKUP(AU367,AW$8:BC$507,2,FALSE())
)</f>
        <v/>
      </c>
      <c r="BF367" s="97" t="str">
        <f aca="false">IF(AU367&gt;AT$7,
    "",
    VLOOKUP(AU367,AW$8:BC$507,3,FALSE())
)</f>
        <v/>
      </c>
      <c r="BG367" s="97" t="str">
        <f aca="false">IF(AU367&gt;AT$7,
    "",
    VLOOKUP(AU367,AW$8:BC$507,4,FALSE())
)</f>
        <v/>
      </c>
      <c r="BH367" s="97" t="str">
        <f aca="false">IF(AU367&gt;AT$7,
    "",
    VLOOKUP(AU367,AW$8:BC$507,5,FALSE())
)</f>
        <v/>
      </c>
      <c r="BI367" s="98" t="str">
        <f aca="false">IF(AU367&gt;AT$7,
    "",
    VLOOKUP(AU367,AW$8:BC$507,6,FALSE())
)</f>
        <v/>
      </c>
      <c r="BJ367" s="46"/>
    </row>
    <row r="368" customFormat="false" ht="15.75" hidden="false" customHeight="false" outlineLevel="0" collapsed="false">
      <c r="A368" s="3"/>
      <c r="B368" s="108"/>
      <c r="C368" s="70"/>
      <c r="D368" s="49"/>
      <c r="E368" s="109"/>
      <c r="F368" s="72"/>
      <c r="G368" s="109"/>
      <c r="H368" s="74"/>
      <c r="I368" s="104"/>
      <c r="J368" s="74"/>
      <c r="K368" s="74"/>
      <c r="L368" s="55"/>
      <c r="M368" s="55" t="str">
        <f aca="false">IF(ISBLANK($C368),"",IF(ISBLANK(E368),0,E368))</f>
        <v/>
      </c>
      <c r="N368" s="55" t="str">
        <f aca="false">IF(ISBLANK($C368),"",IF(ISBLANK(F368),0,F368))</f>
        <v/>
      </c>
      <c r="O368" s="55" t="e">
        <f aca="false">IF(AND(NOT(ISBLANK($C368)),NOT($T368),COUNTA($E368:$K368)&gt;0),ISBLANK($F368),FALSE())</f>
        <v>#VALUE!</v>
      </c>
      <c r="P368" s="55" t="str">
        <f aca="false">IF(ISBLANK($C368),"",IF(G368=Constants!$B$9, TRUE(), IF(G368=Constants!$B$10, FALSE(), TRUE())))</f>
        <v/>
      </c>
      <c r="Q368" s="55" t="str">
        <f aca="false">IF(ISBLANK($C368),"",IF(H368=Constants!$B$9, TRUE(), IF(H368=Constants!$B$10, FALSE(), TRUE())))</f>
        <v/>
      </c>
      <c r="R368" s="55" t="str">
        <f aca="false">IF(ISBLANK($C368),"",IF(ISBLANK(I368),Constants!$B$3,I368))</f>
        <v/>
      </c>
      <c r="S368" s="55" t="str">
        <f aca="false">IF(ISBLANK($C368),"",IF(ISBLANK(J368),0,MIN(J368,Constants!$B$6)))</f>
        <v/>
      </c>
      <c r="T368" s="55" t="str">
        <f aca="false">IF(ISBLANK($C368),"",IF(K368=Constants!$B$9, TRUE(), IF(K368=Constants!$B$10, FALSE(),  FALSE())))</f>
        <v/>
      </c>
      <c r="U368" s="55" t="str">
        <f aca="false">IF(ISBLANK($C368),"",AND(R368=Constants!$B$4, S368&lt;Constants!$B$6))</f>
        <v/>
      </c>
      <c r="V368" s="55" t="str">
        <f aca="false">IF(ISBLANK(C368), "", IF(T368, Constants!$B$11, IF(COUNTA(E368:K368)=0, Constants!$B$12, IF(NOT(AND(P368,S368&lt;&gt;0)), Constants!$B$13, IF(O368, Constants!$B$15, Constants!$B$14)))))</f>
        <v/>
      </c>
      <c r="W368" s="55" t="str">
        <f aca="false">IF(OR(ISBLANK($C368), SUMPRODUCT(--(P368:T368&lt;&gt;""))=0), "", IF(V368&lt;&gt;Constants!$B$14, V368, IF(AND(NOT(ISBLANK(J368)),P368,Q368,R368&lt;&gt;Constants!$B$2), Constants!$B$7, IF(AND(P368,OR(NOT(Q368),R368=Constants!$B$2)), Constants!$B$8, "Error"))))</f>
        <v/>
      </c>
      <c r="X368" s="56" t="str">
        <f aca="false">IF(OR(W368=Constants!$B$7,W368=Constants!$B$8), MAX(0, MIN(Constants!$B$6, S368))+IF(AND(R368=Constants!$B$4, NOT(U368)), Constants!$B$5, 0), "")</f>
        <v/>
      </c>
      <c r="Y368" s="55" t="str">
        <f aca="false">IF(ISBLANK($C368),"",IF(AND(ISNUMBER(X368),N368&gt;0),X368/N368, "") )</f>
        <v/>
      </c>
      <c r="Z368" s="55" t="str">
        <f aca="false">IF(AND(NOT(ISBLANK($C368)), W368=Constants!$B$7), Y368, "")</f>
        <v/>
      </c>
      <c r="AA368" s="55" t="str">
        <f aca="false">IF(ISNUMBER(Z368), RANK(Z368,Z$8:Z$507), "")</f>
        <v/>
      </c>
      <c r="AB368" s="55" t="str">
        <f aca="false">IF(AND(NOT(ISBLANK($C368)), W368=Constants!$B$8), Y368, "")</f>
        <v/>
      </c>
      <c r="AC368" s="55" t="str">
        <f aca="false">IF(ISNUMBER(AB368), RANK(AB368,AB$8:AB$507), "")</f>
        <v/>
      </c>
      <c r="AD368" s="55" t="str">
        <f aca="false">IF(ISBLANK($C368),"",IF(V368&lt;&gt;Constants!$B$14, V368, IF(W368=Constants!$B$7, AA368, IF(W368=Constants!$B$8, COUNT($AA$8:$AA$507) + AC368, ""))))</f>
        <v/>
      </c>
      <c r="AE368" s="55" t="str">
        <f aca="false">N368</f>
        <v/>
      </c>
      <c r="AF368" s="55" t="str">
        <f aca="false">IF(ISNUMBER(AE368), RANK(AE368,AE$8:AE$507,1), "")</f>
        <v/>
      </c>
      <c r="AG368" s="57" t="str">
        <f aca="false">IF(ISBLANK(C368), "", ABS(M368-S368))</f>
        <v/>
      </c>
      <c r="AH368" s="55" t="str">
        <f aca="false">IF(ISNUMBER(AG368), RANK(AG368,AG$8:AG$507,1), "")</f>
        <v/>
      </c>
      <c r="AI368" s="55" t="str">
        <f aca="false">IF(ISBLANK(C368),"",IF(V368&lt;&gt;Constants!$B$14, V368, RANK(AD368, AD$8:AD$507, 1)+ SUMPRODUCT(--(AD$8:AD$507=AD368),--(AF368&gt;AF$8:AF$507)) + SUMPRODUCT(--(AD$8:AD$507=AD368),--(AF368=AF$8:AF$507),--(AH368&gt;AH$8:AH$507))))</f>
        <v/>
      </c>
      <c r="AJ368" s="55" t="str">
        <f aca="false">IF(ISBLANK(C368),"",IF(V368&lt;&gt;Constants!$B$14, V368, AD368-AI368))</f>
        <v/>
      </c>
      <c r="AK368" s="59"/>
      <c r="AL368" s="60" t="str">
        <f aca="false">IF(ISBLANK($C368),"",IF($V368&lt;&gt;Constants!$B$14,$V368,X368))</f>
        <v/>
      </c>
      <c r="AM368" s="60" t="str">
        <f aca="false">IF(ISBLANK($C368),"",IF($V368&lt;&gt;Constants!$B$14,$V368,N368))</f>
        <v/>
      </c>
      <c r="AN368" s="62" t="str">
        <f aca="false">IF(ISBLANK(C368),"",IF(V368&lt;&gt;Constants!$B$14, V368, IF(W368=Constants!$B$7,Z368,IF(W368=Constants!$B$8,AB368,""))))</f>
        <v/>
      </c>
      <c r="AO368" s="63" t="str">
        <f aca="false">IF(ISBLANK(C368),"",W368)</f>
        <v/>
      </c>
      <c r="AP368" s="63" t="str">
        <f aca="false">IF(ISBLANK(C368),"",AJ368)</f>
        <v/>
      </c>
      <c r="AQ368" s="63" t="str">
        <f aca="false">IF(ISBLANK(C368),"",AI368)</f>
        <v/>
      </c>
      <c r="AR368" s="64" t="str">
        <f aca="false">IF(ISBLANK(C368),
  "",
IF(AQ368=Constants!$B$11,COUNTA($C$8:$C$507)+2,IF(AQ368=Constants!$B$12,COUNTA($C$8:$C$507)+1,IF(AQ368=Constants!$B$13,COUNTA($C$8:$C$507),AQ368))))</f>
        <v/>
      </c>
      <c r="AS368" s="3"/>
      <c r="AT368" s="65" t="n">
        <f aca="false">IF(OR(ISNUMBER(AQ368),AQ368="DQ",AQ368="P",AQ368="NS"),
    1,
    0
)</f>
        <v>0</v>
      </c>
      <c r="AU368" s="65" t="n">
        <v>361</v>
      </c>
      <c r="AV368" s="65" t="str">
        <f aca="false">IF(ISBLANK($C368),
    "",
   IF(ISNUMBER(AR368),AR368+ROW($B368)/1000,"")
)</f>
        <v/>
      </c>
      <c r="AW368" s="65" t="str">
        <f aca="false">IF(ISNUMBER(AV368), RANK(AV368,AV$8:AV$507,1), "")</f>
        <v/>
      </c>
      <c r="AX368" s="65" t="str">
        <f aca="false">IF(ISBLANK($C368),
    "",
    $B368
)</f>
        <v/>
      </c>
      <c r="AY368" s="65" t="str">
        <f aca="false">IF(ISBLANK($C368),
    "",
    $C368
)</f>
        <v/>
      </c>
      <c r="AZ368" s="65" t="str">
        <f aca="false">IF(ISBLANK($C368),
    "",
    $D368
)</f>
        <v/>
      </c>
      <c r="BA368" s="65" t="str">
        <f aca="false">AO368</f>
        <v/>
      </c>
      <c r="BB368" s="66" t="str">
        <f aca="false">AN368</f>
        <v/>
      </c>
      <c r="BC368" s="65" t="str">
        <f aca="false">IF(ISBLANK($C368),
    "",
    AQ368
)</f>
        <v/>
      </c>
      <c r="BD368" s="67" t="str">
        <f aca="false">IF(AU368&gt;AT$7,
    "",
    VLOOKUP(AU368,AW$8:BC$507,7,FALSE())
)</f>
        <v/>
      </c>
      <c r="BE368" s="68" t="str">
        <f aca="false">IF(AU368&gt;AT$7,
    "",
    VLOOKUP(AU368,AW$8:BC$507,2,FALSE())
)</f>
        <v/>
      </c>
      <c r="BF368" s="68" t="str">
        <f aca="false">IF(AU368&gt;AT$7,
    "",
    VLOOKUP(AU368,AW$8:BC$507,3,FALSE())
)</f>
        <v/>
      </c>
      <c r="BG368" s="68" t="str">
        <f aca="false">IF(AU368&gt;AT$7,
    "",
    VLOOKUP(AU368,AW$8:BC$507,4,FALSE())
)</f>
        <v/>
      </c>
      <c r="BH368" s="68" t="str">
        <f aca="false">IF(AU368&gt;AT$7,
    "",
    VLOOKUP(AU368,AW$8:BC$507,5,FALSE())
)</f>
        <v/>
      </c>
      <c r="BI368" s="69" t="str">
        <f aca="false">IF(AU368&gt;AT$7,
    "",
    VLOOKUP(AU368,AW$8:BC$507,6,FALSE())
)</f>
        <v/>
      </c>
      <c r="BJ368" s="46"/>
    </row>
    <row r="369" customFormat="false" ht="15.75" hidden="false" customHeight="false" outlineLevel="0" collapsed="false">
      <c r="A369" s="3"/>
      <c r="B369" s="108"/>
      <c r="C369" s="70"/>
      <c r="D369" s="49"/>
      <c r="E369" s="109"/>
      <c r="F369" s="72"/>
      <c r="G369" s="109"/>
      <c r="H369" s="74"/>
      <c r="I369" s="104"/>
      <c r="J369" s="74"/>
      <c r="K369" s="74"/>
      <c r="L369" s="55"/>
      <c r="M369" s="55" t="str">
        <f aca="false">IF(ISBLANK($C369),"",IF(ISBLANK(E369),0,E369))</f>
        <v/>
      </c>
      <c r="N369" s="55" t="str">
        <f aca="false">IF(ISBLANK($C369),"",IF(ISBLANK(F369),0,F369))</f>
        <v/>
      </c>
      <c r="O369" s="55" t="e">
        <f aca="false">IF(AND(NOT(ISBLANK($C369)),NOT($T369),COUNTA($E369:$K369)&gt;0),ISBLANK($F369),FALSE())</f>
        <v>#VALUE!</v>
      </c>
      <c r="P369" s="55" t="str">
        <f aca="false">IF(ISBLANK($C369),"",IF(G369=Constants!$B$9, TRUE(), IF(G369=Constants!$B$10, FALSE(), TRUE())))</f>
        <v/>
      </c>
      <c r="Q369" s="55" t="str">
        <f aca="false">IF(ISBLANK($C369),"",IF(H369=Constants!$B$9, TRUE(), IF(H369=Constants!$B$10, FALSE(), TRUE())))</f>
        <v/>
      </c>
      <c r="R369" s="55" t="str">
        <f aca="false">IF(ISBLANK($C369),"",IF(ISBLANK(I369),Constants!$B$3,I369))</f>
        <v/>
      </c>
      <c r="S369" s="55" t="str">
        <f aca="false">IF(ISBLANK($C369),"",IF(ISBLANK(J369),0,MIN(J369,Constants!$B$6)))</f>
        <v/>
      </c>
      <c r="T369" s="55" t="str">
        <f aca="false">IF(ISBLANK($C369),"",IF(K369=Constants!$B$9, TRUE(), IF(K369=Constants!$B$10, FALSE(),  FALSE())))</f>
        <v/>
      </c>
      <c r="U369" s="55" t="str">
        <f aca="false">IF(ISBLANK($C369),"",AND(R369=Constants!$B$4, S369&lt;Constants!$B$6))</f>
        <v/>
      </c>
      <c r="V369" s="55" t="str">
        <f aca="false">IF(ISBLANK(C369), "", IF(T369, Constants!$B$11, IF(COUNTA(E369:K369)=0, Constants!$B$12, IF(NOT(AND(P369,S369&lt;&gt;0)), Constants!$B$13, IF(O369, Constants!$B$15, Constants!$B$14)))))</f>
        <v/>
      </c>
      <c r="W369" s="55" t="str">
        <f aca="false">IF(OR(ISBLANK($C369), SUMPRODUCT(--(P369:T369&lt;&gt;""))=0), "", IF(V369&lt;&gt;Constants!$B$14, V369, IF(AND(NOT(ISBLANK(J369)),P369,Q369,R369&lt;&gt;Constants!$B$2), Constants!$B$7, IF(AND(P369,OR(NOT(Q369),R369=Constants!$B$2)), Constants!$B$8, "Error"))))</f>
        <v/>
      </c>
      <c r="X369" s="56" t="str">
        <f aca="false">IF(OR(W369=Constants!$B$7,W369=Constants!$B$8), MAX(0, MIN(Constants!$B$6, S369))+IF(AND(R369=Constants!$B$4, NOT(U369)), Constants!$B$5, 0), "")</f>
        <v/>
      </c>
      <c r="Y369" s="55" t="str">
        <f aca="false">IF(ISBLANK($C369),"",IF(AND(ISNUMBER(X369),N369&gt;0),X369/N369, "") )</f>
        <v/>
      </c>
      <c r="Z369" s="55" t="str">
        <f aca="false">IF(AND(NOT(ISBLANK($C369)), W369=Constants!$B$7), Y369, "")</f>
        <v/>
      </c>
      <c r="AA369" s="55" t="str">
        <f aca="false">IF(ISNUMBER(Z369), RANK(Z369,Z$8:Z$507), "")</f>
        <v/>
      </c>
      <c r="AB369" s="55" t="str">
        <f aca="false">IF(AND(NOT(ISBLANK($C369)), W369=Constants!$B$8), Y369, "")</f>
        <v/>
      </c>
      <c r="AC369" s="55" t="str">
        <f aca="false">IF(ISNUMBER(AB369), RANK(AB369,AB$8:AB$507), "")</f>
        <v/>
      </c>
      <c r="AD369" s="55" t="str">
        <f aca="false">IF(ISBLANK($C369),"",IF(V369&lt;&gt;Constants!$B$14, V369, IF(W369=Constants!$B$7, AA369, IF(W369=Constants!$B$8, COUNT($AA$8:$AA$507) + AC369, ""))))</f>
        <v/>
      </c>
      <c r="AE369" s="55" t="str">
        <f aca="false">N369</f>
        <v/>
      </c>
      <c r="AF369" s="55" t="str">
        <f aca="false">IF(ISNUMBER(AE369), RANK(AE369,AE$8:AE$507,1), "")</f>
        <v/>
      </c>
      <c r="AG369" s="57" t="str">
        <f aca="false">IF(ISBLANK(C369), "", ABS(M369-S369))</f>
        <v/>
      </c>
      <c r="AH369" s="55" t="str">
        <f aca="false">IF(ISNUMBER(AG369), RANK(AG369,AG$8:AG$507,1), "")</f>
        <v/>
      </c>
      <c r="AI369" s="55" t="str">
        <f aca="false">IF(ISBLANK(C369),"",IF(V369&lt;&gt;Constants!$B$14, V369, RANK(AD369, AD$8:AD$507, 1)+ SUMPRODUCT(--(AD$8:AD$507=AD369),--(AF369&gt;AF$8:AF$507)) + SUMPRODUCT(--(AD$8:AD$507=AD369),--(AF369=AF$8:AF$507),--(AH369&gt;AH$8:AH$507))))</f>
        <v/>
      </c>
      <c r="AJ369" s="55" t="str">
        <f aca="false">IF(ISBLANK(C369),"",IF(V369&lt;&gt;Constants!$B$14, V369, AD369-AI369))</f>
        <v/>
      </c>
      <c r="AK369" s="59"/>
      <c r="AL369" s="60" t="str">
        <f aca="false">IF(ISBLANK($C369),"",IF($V369&lt;&gt;Constants!$B$14,$V369,X369))</f>
        <v/>
      </c>
      <c r="AM369" s="60" t="str">
        <f aca="false">IF(ISBLANK($C369),"",IF($V369&lt;&gt;Constants!$B$14,$V369,N369))</f>
        <v/>
      </c>
      <c r="AN369" s="62" t="str">
        <f aca="false">IF(ISBLANK(C369),"",IF(V369&lt;&gt;Constants!$B$14, V369, IF(W369=Constants!$B$7,Z369,IF(W369=Constants!$B$8,AB369,""))))</f>
        <v/>
      </c>
      <c r="AO369" s="63" t="str">
        <f aca="false">IF(ISBLANK(C369),"",W369)</f>
        <v/>
      </c>
      <c r="AP369" s="63" t="str">
        <f aca="false">IF(ISBLANK(C369),"",AJ369)</f>
        <v/>
      </c>
      <c r="AQ369" s="63" t="str">
        <f aca="false">IF(ISBLANK(C369),"",AI369)</f>
        <v/>
      </c>
      <c r="AR369" s="64" t="str">
        <f aca="false">IF(ISBLANK(C369),
  "",
IF(AQ369=Constants!$B$11,COUNTA($C$8:$C$507)+2,IF(AQ369=Constants!$B$12,COUNTA($C$8:$C$507)+1,IF(AQ369=Constants!$B$13,COUNTA($C$8:$C$507),AQ369))))</f>
        <v/>
      </c>
      <c r="AS369" s="3"/>
      <c r="AT369" s="65" t="n">
        <f aca="false">IF(OR(ISNUMBER(AQ369),AQ369="DQ",AQ369="P",AQ369="NS"),
    1,
    0
)</f>
        <v>0</v>
      </c>
      <c r="AU369" s="65" t="n">
        <v>362</v>
      </c>
      <c r="AV369" s="65" t="str">
        <f aca="false">IF(ISBLANK($C369),
    "",
   IF(ISNUMBER(AR369),AR369+ROW($B369)/1000,"")
)</f>
        <v/>
      </c>
      <c r="AW369" s="65" t="str">
        <f aca="false">IF(ISNUMBER(AV369), RANK(AV369,AV$8:AV$507,1), "")</f>
        <v/>
      </c>
      <c r="AX369" s="65" t="str">
        <f aca="false">IF(ISBLANK($C369),
    "",
    $B369
)</f>
        <v/>
      </c>
      <c r="AY369" s="65" t="str">
        <f aca="false">IF(ISBLANK($C369),
    "",
    $C369
)</f>
        <v/>
      </c>
      <c r="AZ369" s="65" t="str">
        <f aca="false">IF(ISBLANK($C369),
    "",
    $D369
)</f>
        <v/>
      </c>
      <c r="BA369" s="65" t="str">
        <f aca="false">AO369</f>
        <v/>
      </c>
      <c r="BB369" s="66" t="str">
        <f aca="false">AN369</f>
        <v/>
      </c>
      <c r="BC369" s="65" t="str">
        <f aca="false">IF(ISBLANK($C369),
    "",
    AQ369
)</f>
        <v/>
      </c>
      <c r="BD369" s="67" t="str">
        <f aca="false">IF(AU369&gt;AT$7,
    "",
    VLOOKUP(AU369,AW$8:BC$507,7,FALSE())
)</f>
        <v/>
      </c>
      <c r="BE369" s="68" t="str">
        <f aca="false">IF(AU369&gt;AT$7,
    "",
    VLOOKUP(AU369,AW$8:BC$507,2,FALSE())
)</f>
        <v/>
      </c>
      <c r="BF369" s="68" t="str">
        <f aca="false">IF(AU369&gt;AT$7,
    "",
    VLOOKUP(AU369,AW$8:BC$507,3,FALSE())
)</f>
        <v/>
      </c>
      <c r="BG369" s="68" t="str">
        <f aca="false">IF(AU369&gt;AT$7,
    "",
    VLOOKUP(AU369,AW$8:BC$507,4,FALSE())
)</f>
        <v/>
      </c>
      <c r="BH369" s="68" t="str">
        <f aca="false">IF(AU369&gt;AT$7,
    "",
    VLOOKUP(AU369,AW$8:BC$507,5,FALSE())
)</f>
        <v/>
      </c>
      <c r="BI369" s="69" t="str">
        <f aca="false">IF(AU369&gt;AT$7,
    "",
    VLOOKUP(AU369,AW$8:BC$507,6,FALSE())
)</f>
        <v/>
      </c>
      <c r="BJ369" s="46"/>
    </row>
    <row r="370" customFormat="false" ht="15.75" hidden="false" customHeight="false" outlineLevel="0" collapsed="false">
      <c r="A370" s="3"/>
      <c r="B370" s="108"/>
      <c r="C370" s="70"/>
      <c r="D370" s="49"/>
      <c r="E370" s="109"/>
      <c r="F370" s="72"/>
      <c r="G370" s="109"/>
      <c r="H370" s="74"/>
      <c r="I370" s="104"/>
      <c r="J370" s="74"/>
      <c r="K370" s="74"/>
      <c r="L370" s="55"/>
      <c r="M370" s="55" t="str">
        <f aca="false">IF(ISBLANK($C370),"",IF(ISBLANK(E370),0,E370))</f>
        <v/>
      </c>
      <c r="N370" s="55" t="str">
        <f aca="false">IF(ISBLANK($C370),"",IF(ISBLANK(F370),0,F370))</f>
        <v/>
      </c>
      <c r="O370" s="55" t="e">
        <f aca="false">IF(AND(NOT(ISBLANK($C370)),NOT($T370),COUNTA($E370:$K370)&gt;0),ISBLANK($F370),FALSE())</f>
        <v>#VALUE!</v>
      </c>
      <c r="P370" s="55" t="str">
        <f aca="false">IF(ISBLANK($C370),"",IF(G370=Constants!$B$9, TRUE(), IF(G370=Constants!$B$10, FALSE(), TRUE())))</f>
        <v/>
      </c>
      <c r="Q370" s="55" t="str">
        <f aca="false">IF(ISBLANK($C370),"",IF(H370=Constants!$B$9, TRUE(), IF(H370=Constants!$B$10, FALSE(), TRUE())))</f>
        <v/>
      </c>
      <c r="R370" s="55" t="str">
        <f aca="false">IF(ISBLANK($C370),"",IF(ISBLANK(I370),Constants!$B$3,I370))</f>
        <v/>
      </c>
      <c r="S370" s="55" t="str">
        <f aca="false">IF(ISBLANK($C370),"",IF(ISBLANK(J370),0,MIN(J370,Constants!$B$6)))</f>
        <v/>
      </c>
      <c r="T370" s="55" t="str">
        <f aca="false">IF(ISBLANK($C370),"",IF(K370=Constants!$B$9, TRUE(), IF(K370=Constants!$B$10, FALSE(),  FALSE())))</f>
        <v/>
      </c>
      <c r="U370" s="55" t="str">
        <f aca="false">IF(ISBLANK($C370),"",AND(R370=Constants!$B$4, S370&lt;Constants!$B$6))</f>
        <v/>
      </c>
      <c r="V370" s="55" t="str">
        <f aca="false">IF(ISBLANK(C370), "", IF(T370, Constants!$B$11, IF(COUNTA(E370:K370)=0, Constants!$B$12, IF(NOT(AND(P370,S370&lt;&gt;0)), Constants!$B$13, IF(O370, Constants!$B$15, Constants!$B$14)))))</f>
        <v/>
      </c>
      <c r="W370" s="55" t="str">
        <f aca="false">IF(OR(ISBLANK($C370), SUMPRODUCT(--(P370:T370&lt;&gt;""))=0), "", IF(V370&lt;&gt;Constants!$B$14, V370, IF(AND(NOT(ISBLANK(J370)),P370,Q370,R370&lt;&gt;Constants!$B$2), Constants!$B$7, IF(AND(P370,OR(NOT(Q370),R370=Constants!$B$2)), Constants!$B$8, "Error"))))</f>
        <v/>
      </c>
      <c r="X370" s="56" t="str">
        <f aca="false">IF(OR(W370=Constants!$B$7,W370=Constants!$B$8), MAX(0, MIN(Constants!$B$6, S370))+IF(AND(R370=Constants!$B$4, NOT(U370)), Constants!$B$5, 0), "")</f>
        <v/>
      </c>
      <c r="Y370" s="55" t="str">
        <f aca="false">IF(ISBLANK($C370),"",IF(AND(ISNUMBER(X370),N370&gt;0),X370/N370, "") )</f>
        <v/>
      </c>
      <c r="Z370" s="55" t="str">
        <f aca="false">IF(AND(NOT(ISBLANK($C370)), W370=Constants!$B$7), Y370, "")</f>
        <v/>
      </c>
      <c r="AA370" s="55" t="str">
        <f aca="false">IF(ISNUMBER(Z370), RANK(Z370,Z$8:Z$507), "")</f>
        <v/>
      </c>
      <c r="AB370" s="55" t="str">
        <f aca="false">IF(AND(NOT(ISBLANK($C370)), W370=Constants!$B$8), Y370, "")</f>
        <v/>
      </c>
      <c r="AC370" s="55" t="str">
        <f aca="false">IF(ISNUMBER(AB370), RANK(AB370,AB$8:AB$507), "")</f>
        <v/>
      </c>
      <c r="AD370" s="55" t="str">
        <f aca="false">IF(ISBLANK($C370),"",IF(V370&lt;&gt;Constants!$B$14, V370, IF(W370=Constants!$B$7, AA370, IF(W370=Constants!$B$8, COUNT($AA$8:$AA$507) + AC370, ""))))</f>
        <v/>
      </c>
      <c r="AE370" s="55" t="str">
        <f aca="false">N370</f>
        <v/>
      </c>
      <c r="AF370" s="55" t="str">
        <f aca="false">IF(ISNUMBER(AE370), RANK(AE370,AE$8:AE$507,1), "")</f>
        <v/>
      </c>
      <c r="AG370" s="57" t="str">
        <f aca="false">IF(ISBLANK(C370), "", ABS(M370-S370))</f>
        <v/>
      </c>
      <c r="AH370" s="55" t="str">
        <f aca="false">IF(ISNUMBER(AG370), RANK(AG370,AG$8:AG$507,1), "")</f>
        <v/>
      </c>
      <c r="AI370" s="55" t="str">
        <f aca="false">IF(ISBLANK(C370),"",IF(V370&lt;&gt;Constants!$B$14, V370, RANK(AD370, AD$8:AD$507, 1)+ SUMPRODUCT(--(AD$8:AD$507=AD370),--(AF370&gt;AF$8:AF$507)) + SUMPRODUCT(--(AD$8:AD$507=AD370),--(AF370=AF$8:AF$507),--(AH370&gt;AH$8:AH$507))))</f>
        <v/>
      </c>
      <c r="AJ370" s="55" t="str">
        <f aca="false">IF(ISBLANK(C370),"",IF(V370&lt;&gt;Constants!$B$14, V370, AD370-AI370))</f>
        <v/>
      </c>
      <c r="AK370" s="59"/>
      <c r="AL370" s="60" t="str">
        <f aca="false">IF(ISBLANK($C370),"",IF($V370&lt;&gt;Constants!$B$14,$V370,X370))</f>
        <v/>
      </c>
      <c r="AM370" s="60" t="str">
        <f aca="false">IF(ISBLANK($C370),"",IF($V370&lt;&gt;Constants!$B$14,$V370,N370))</f>
        <v/>
      </c>
      <c r="AN370" s="62" t="str">
        <f aca="false">IF(ISBLANK(C370),"",IF(V370&lt;&gt;Constants!$B$14, V370, IF(W370=Constants!$B$7,Z370,IF(W370=Constants!$B$8,AB370,""))))</f>
        <v/>
      </c>
      <c r="AO370" s="63" t="str">
        <f aca="false">IF(ISBLANK(C370),"",W370)</f>
        <v/>
      </c>
      <c r="AP370" s="63" t="str">
        <f aca="false">IF(ISBLANK(C370),"",AJ370)</f>
        <v/>
      </c>
      <c r="AQ370" s="63" t="str">
        <f aca="false">IF(ISBLANK(C370),"",AI370)</f>
        <v/>
      </c>
      <c r="AR370" s="64" t="str">
        <f aca="false">IF(ISBLANK(C370),
  "",
IF(AQ370=Constants!$B$11,COUNTA($C$8:$C$507)+2,IF(AQ370=Constants!$B$12,COUNTA($C$8:$C$507)+1,IF(AQ370=Constants!$B$13,COUNTA($C$8:$C$507),AQ370))))</f>
        <v/>
      </c>
      <c r="AS370" s="3"/>
      <c r="AT370" s="65" t="n">
        <f aca="false">IF(OR(ISNUMBER(AQ370),AQ370="DQ",AQ370="P",AQ370="NS"),
    1,
    0
)</f>
        <v>0</v>
      </c>
      <c r="AU370" s="65" t="n">
        <v>363</v>
      </c>
      <c r="AV370" s="65" t="str">
        <f aca="false">IF(ISBLANK($C370),
    "",
   IF(ISNUMBER(AR370),AR370+ROW($B370)/1000,"")
)</f>
        <v/>
      </c>
      <c r="AW370" s="65" t="str">
        <f aca="false">IF(ISNUMBER(AV370), RANK(AV370,AV$8:AV$507,1), "")</f>
        <v/>
      </c>
      <c r="AX370" s="65" t="str">
        <f aca="false">IF(ISBLANK($C370),
    "",
    $B370
)</f>
        <v/>
      </c>
      <c r="AY370" s="65" t="str">
        <f aca="false">IF(ISBLANK($C370),
    "",
    $C370
)</f>
        <v/>
      </c>
      <c r="AZ370" s="65" t="str">
        <f aca="false">IF(ISBLANK($C370),
    "",
    $D370
)</f>
        <v/>
      </c>
      <c r="BA370" s="65" t="str">
        <f aca="false">AO370</f>
        <v/>
      </c>
      <c r="BB370" s="66" t="str">
        <f aca="false">AN370</f>
        <v/>
      </c>
      <c r="BC370" s="65" t="str">
        <f aca="false">IF(ISBLANK($C370),
    "",
    AQ370
)</f>
        <v/>
      </c>
      <c r="BD370" s="67" t="str">
        <f aca="false">IF(AU370&gt;AT$7,
    "",
    VLOOKUP(AU370,AW$8:BC$507,7,FALSE())
)</f>
        <v/>
      </c>
      <c r="BE370" s="68" t="str">
        <f aca="false">IF(AU370&gt;AT$7,
    "",
    VLOOKUP(AU370,AW$8:BC$507,2,FALSE())
)</f>
        <v/>
      </c>
      <c r="BF370" s="68" t="str">
        <f aca="false">IF(AU370&gt;AT$7,
    "",
    VLOOKUP(AU370,AW$8:BC$507,3,FALSE())
)</f>
        <v/>
      </c>
      <c r="BG370" s="68" t="str">
        <f aca="false">IF(AU370&gt;AT$7,
    "",
    VLOOKUP(AU370,AW$8:BC$507,4,FALSE())
)</f>
        <v/>
      </c>
      <c r="BH370" s="68" t="str">
        <f aca="false">IF(AU370&gt;AT$7,
    "",
    VLOOKUP(AU370,AW$8:BC$507,5,FALSE())
)</f>
        <v/>
      </c>
      <c r="BI370" s="69" t="str">
        <f aca="false">IF(AU370&gt;AT$7,
    "",
    VLOOKUP(AU370,AW$8:BC$507,6,FALSE())
)</f>
        <v/>
      </c>
      <c r="BJ370" s="46"/>
    </row>
    <row r="371" customFormat="false" ht="15.75" hidden="false" customHeight="false" outlineLevel="0" collapsed="false">
      <c r="A371" s="3"/>
      <c r="B371" s="105"/>
      <c r="C371" s="106"/>
      <c r="D371" s="99"/>
      <c r="E371" s="110"/>
      <c r="F371" s="107"/>
      <c r="G371" s="110"/>
      <c r="H371" s="103"/>
      <c r="I371" s="102"/>
      <c r="J371" s="103"/>
      <c r="K371" s="103"/>
      <c r="L371" s="85"/>
      <c r="M371" s="85" t="str">
        <f aca="false">IF(ISBLANK($C371),"",IF(ISBLANK(E371),0,E371))</f>
        <v/>
      </c>
      <c r="N371" s="85" t="str">
        <f aca="false">IF(ISBLANK($C371),"",IF(ISBLANK(F371),0,F371))</f>
        <v/>
      </c>
      <c r="O371" s="86" t="e">
        <f aca="false">IF(AND(NOT(ISBLANK($C371)),NOT($T371),COUNTA($E371:$K371)&gt;0),ISBLANK($F371),FALSE())</f>
        <v>#VALUE!</v>
      </c>
      <c r="P371" s="85" t="str">
        <f aca="false">IF(ISBLANK($C371),"",IF(G371=Constants!$B$9, TRUE(), IF(G371=Constants!$B$10, FALSE(), TRUE())))</f>
        <v/>
      </c>
      <c r="Q371" s="85" t="str">
        <f aca="false">IF(ISBLANK($C371),"",IF(H371=Constants!$B$9, TRUE(), IF(H371=Constants!$B$10, FALSE(), TRUE())))</f>
        <v/>
      </c>
      <c r="R371" s="85" t="str">
        <f aca="false">IF(ISBLANK($C371),"",IF(ISBLANK(I371),Constants!$B$3,I371))</f>
        <v/>
      </c>
      <c r="S371" s="85" t="str">
        <f aca="false">IF(ISBLANK($C371),"",IF(ISBLANK(J371),0,MIN(J371,Constants!$B$6)))</f>
        <v/>
      </c>
      <c r="T371" s="85" t="str">
        <f aca="false">IF(ISBLANK($C371),"",IF(K371=Constants!$B$9, TRUE(), IF(K371=Constants!$B$10, FALSE(),  FALSE())))</f>
        <v/>
      </c>
      <c r="U371" s="85" t="str">
        <f aca="false">IF(ISBLANK($C371),"",AND(R371=Constants!$B$4, S371&lt;Constants!$B$6))</f>
        <v/>
      </c>
      <c r="V371" s="85" t="str">
        <f aca="false">IF(ISBLANK(C371), "", IF(T371, Constants!$B$11, IF(COUNTA(E371:K371)=0, Constants!$B$12, IF(NOT(AND(P371,S371&lt;&gt;0)), Constants!$B$13, IF(O371, Constants!$B$15, Constants!$B$14)))))</f>
        <v/>
      </c>
      <c r="W371" s="85" t="str">
        <f aca="false">IF(OR(ISBLANK($C371), SUMPRODUCT(--(P371:T371&lt;&gt;""))=0), "", IF(V371&lt;&gt;Constants!$B$14, V371, IF(AND(NOT(ISBLANK(J371)),P371,Q371,R371&lt;&gt;Constants!$B$2), Constants!$B$7, IF(AND(P371,OR(NOT(Q371),R371=Constants!$B$2)), Constants!$B$8, "Error"))))</f>
        <v/>
      </c>
      <c r="X371" s="87" t="str">
        <f aca="false">IF(OR(W371=Constants!$B$7,W371=Constants!$B$8), MAX(0, MIN(Constants!$B$6, S371))+IF(AND(R371=Constants!$B$4, NOT(U371)), Constants!$B$5, 0), "")</f>
        <v/>
      </c>
      <c r="Y371" s="85" t="str">
        <f aca="false">IF(ISBLANK($C371),"",IF(AND(ISNUMBER(X371),N371&gt;0),X371/N371, "") )</f>
        <v/>
      </c>
      <c r="Z371" s="85" t="str">
        <f aca="false">IF(AND(NOT(ISBLANK($C371)), W371=Constants!$B$7), Y371, "")</f>
        <v/>
      </c>
      <c r="AA371" s="85" t="str">
        <f aca="false">IF(ISNUMBER(Z371), RANK(Z371,Z$8:Z$507), "")</f>
        <v/>
      </c>
      <c r="AB371" s="85" t="str">
        <f aca="false">IF(AND(NOT(ISBLANK($C371)), W371=Constants!$B$8), Y371, "")</f>
        <v/>
      </c>
      <c r="AC371" s="85" t="str">
        <f aca="false">IF(ISNUMBER(AB371), RANK(AB371,AB$8:AB$507), "")</f>
        <v/>
      </c>
      <c r="AD371" s="85" t="str">
        <f aca="false">IF(ISBLANK($C371),"",IF(V371&lt;&gt;Constants!$B$14, V371, IF(W371=Constants!$B$7, AA371, IF(W371=Constants!$B$8, COUNT($AA$8:$AA$507) + AC371, ""))))</f>
        <v/>
      </c>
      <c r="AE371" s="85" t="str">
        <f aca="false">N371</f>
        <v/>
      </c>
      <c r="AF371" s="85" t="str">
        <f aca="false">IF(ISNUMBER(AE371), RANK(AE371,AE$8:AE$507,1), "")</f>
        <v/>
      </c>
      <c r="AG371" s="88" t="str">
        <f aca="false">IF(ISBLANK(C371), "", ABS(M371-S371))</f>
        <v/>
      </c>
      <c r="AH371" s="85" t="str">
        <f aca="false">IF(ISNUMBER(AG371), RANK(AG371,AG$8:AG$507,1), "")</f>
        <v/>
      </c>
      <c r="AI371" s="85" t="str">
        <f aca="false">IF(ISBLANK(C371),"",IF(V371&lt;&gt;Constants!$B$14, V371, RANK(AD371, AD$8:AD$507, 1)+ SUMPRODUCT(--(AD$8:AD$507=AD371),--(AF371&gt;AF$8:AF$507)) + SUMPRODUCT(--(AD$8:AD$507=AD371),--(AF371=AF$8:AF$507),--(AH371&gt;AH$8:AH$507))))</f>
        <v/>
      </c>
      <c r="AJ371" s="85" t="str">
        <f aca="false">IF(ISBLANK(C371),"",IF(V371&lt;&gt;Constants!$B$14, V371, AD371-AI371))</f>
        <v/>
      </c>
      <c r="AK371" s="89"/>
      <c r="AL371" s="90" t="str">
        <f aca="false">IF(ISBLANK($C371),"",IF($V371&lt;&gt;Constants!$B$14,$V371,X371))</f>
        <v/>
      </c>
      <c r="AM371" s="90" t="str">
        <f aca="false">IF(ISBLANK($C371),"",IF($V371&lt;&gt;Constants!$B$14,$V371,N371))</f>
        <v/>
      </c>
      <c r="AN371" s="91" t="str">
        <f aca="false">IF(ISBLANK(C371),"",IF(V371&lt;&gt;Constants!$B$14, V371, IF(W371=Constants!$B$7,Z371,IF(W371=Constants!$B$8,AB371,""))))</f>
        <v/>
      </c>
      <c r="AO371" s="92" t="str">
        <f aca="false">IF(ISBLANK(C371),"",W371)</f>
        <v/>
      </c>
      <c r="AP371" s="92" t="str">
        <f aca="false">IF(ISBLANK(C371),"",AJ371)</f>
        <v/>
      </c>
      <c r="AQ371" s="92" t="str">
        <f aca="false">IF(ISBLANK(C371),"",AI371)</f>
        <v/>
      </c>
      <c r="AR371" s="93" t="str">
        <f aca="false">IF(ISBLANK(C371),
  "",
IF(AQ371=Constants!$B$11,COUNTA($C$8:$C$507)+2,IF(AQ371=Constants!$B$12,COUNTA($C$8:$C$507)+1,IF(AQ371=Constants!$B$13,COUNTA($C$8:$C$507),AQ371))))</f>
        <v/>
      </c>
      <c r="AS371" s="3"/>
      <c r="AT371" s="94" t="n">
        <f aca="false">IF(OR(ISNUMBER(AQ371),AQ371="DQ",AQ371="P",AQ371="NS"),
    1,
    0
)</f>
        <v>0</v>
      </c>
      <c r="AU371" s="94" t="n">
        <v>364</v>
      </c>
      <c r="AV371" s="94" t="str">
        <f aca="false">IF(ISBLANK($C371),
    "",
   IF(ISNUMBER(AR371),AR371+ROW($B371)/1000,"")
)</f>
        <v/>
      </c>
      <c r="AW371" s="94" t="str">
        <f aca="false">IF(ISNUMBER(AV371), RANK(AV371,AV$8:AV$507,1), "")</f>
        <v/>
      </c>
      <c r="AX371" s="94" t="str">
        <f aca="false">IF(ISBLANK($C371),
    "",
    $B371
)</f>
        <v/>
      </c>
      <c r="AY371" s="94" t="str">
        <f aca="false">IF(ISBLANK($C371),
    "",
    $C371
)</f>
        <v/>
      </c>
      <c r="AZ371" s="94" t="str">
        <f aca="false">IF(ISBLANK($C371),
    "",
    $D371
)</f>
        <v/>
      </c>
      <c r="BA371" s="94" t="str">
        <f aca="false">AO371</f>
        <v/>
      </c>
      <c r="BB371" s="95" t="str">
        <f aca="false">AN371</f>
        <v/>
      </c>
      <c r="BC371" s="94" t="str">
        <f aca="false">IF(ISBLANK($C371),
    "",
    AQ371
)</f>
        <v/>
      </c>
      <c r="BD371" s="96" t="str">
        <f aca="false">IF(AU371&gt;AT$7,
    "",
    VLOOKUP(AU371,AW$8:BC$507,7,FALSE())
)</f>
        <v/>
      </c>
      <c r="BE371" s="97" t="str">
        <f aca="false">IF(AU371&gt;AT$7,
    "",
    VLOOKUP(AU371,AW$8:BC$507,2,FALSE())
)</f>
        <v/>
      </c>
      <c r="BF371" s="97" t="str">
        <f aca="false">IF(AU371&gt;AT$7,
    "",
    VLOOKUP(AU371,AW$8:BC$507,3,FALSE())
)</f>
        <v/>
      </c>
      <c r="BG371" s="97" t="str">
        <f aca="false">IF(AU371&gt;AT$7,
    "",
    VLOOKUP(AU371,AW$8:BC$507,4,FALSE())
)</f>
        <v/>
      </c>
      <c r="BH371" s="97" t="str">
        <f aca="false">IF(AU371&gt;AT$7,
    "",
    VLOOKUP(AU371,AW$8:BC$507,5,FALSE())
)</f>
        <v/>
      </c>
      <c r="BI371" s="98" t="str">
        <f aca="false">IF(AU371&gt;AT$7,
    "",
    VLOOKUP(AU371,AW$8:BC$507,6,FALSE())
)</f>
        <v/>
      </c>
      <c r="BJ371" s="46"/>
    </row>
    <row r="372" customFormat="false" ht="15.75" hidden="false" customHeight="false" outlineLevel="0" collapsed="false">
      <c r="A372" s="3"/>
      <c r="B372" s="105"/>
      <c r="C372" s="106"/>
      <c r="D372" s="99"/>
      <c r="E372" s="110"/>
      <c r="F372" s="107"/>
      <c r="G372" s="110"/>
      <c r="H372" s="103"/>
      <c r="I372" s="102"/>
      <c r="J372" s="103"/>
      <c r="K372" s="103"/>
      <c r="L372" s="85"/>
      <c r="M372" s="85" t="str">
        <f aca="false">IF(ISBLANK($C372),"",IF(ISBLANK(E372),0,E372))</f>
        <v/>
      </c>
      <c r="N372" s="85" t="str">
        <f aca="false">IF(ISBLANK($C372),"",IF(ISBLANK(F372),0,F372))</f>
        <v/>
      </c>
      <c r="O372" s="86" t="e">
        <f aca="false">IF(AND(NOT(ISBLANK($C372)),NOT($T372),COUNTA($E372:$K372)&gt;0),ISBLANK($F372),FALSE())</f>
        <v>#VALUE!</v>
      </c>
      <c r="P372" s="85" t="str">
        <f aca="false">IF(ISBLANK($C372),"",IF(G372=Constants!$B$9, TRUE(), IF(G372=Constants!$B$10, FALSE(), TRUE())))</f>
        <v/>
      </c>
      <c r="Q372" s="85" t="str">
        <f aca="false">IF(ISBLANK($C372),"",IF(H372=Constants!$B$9, TRUE(), IF(H372=Constants!$B$10, FALSE(), TRUE())))</f>
        <v/>
      </c>
      <c r="R372" s="85" t="str">
        <f aca="false">IF(ISBLANK($C372),"",IF(ISBLANK(I372),Constants!$B$3,I372))</f>
        <v/>
      </c>
      <c r="S372" s="85" t="str">
        <f aca="false">IF(ISBLANK($C372),"",IF(ISBLANK(J372),0,MIN(J372,Constants!$B$6)))</f>
        <v/>
      </c>
      <c r="T372" s="85" t="str">
        <f aca="false">IF(ISBLANK($C372),"",IF(K372=Constants!$B$9, TRUE(), IF(K372=Constants!$B$10, FALSE(),  FALSE())))</f>
        <v/>
      </c>
      <c r="U372" s="85" t="str">
        <f aca="false">IF(ISBLANK($C372),"",AND(R372=Constants!$B$4, S372&lt;Constants!$B$6))</f>
        <v/>
      </c>
      <c r="V372" s="85" t="str">
        <f aca="false">IF(ISBLANK(C372), "", IF(T372, Constants!$B$11, IF(COUNTA(E372:K372)=0, Constants!$B$12, IF(NOT(AND(P372,S372&lt;&gt;0)), Constants!$B$13, IF(O372, Constants!$B$15, Constants!$B$14)))))</f>
        <v/>
      </c>
      <c r="W372" s="85" t="str">
        <f aca="false">IF(OR(ISBLANK($C372), SUMPRODUCT(--(P372:T372&lt;&gt;""))=0), "", IF(V372&lt;&gt;Constants!$B$14, V372, IF(AND(NOT(ISBLANK(J372)),P372,Q372,R372&lt;&gt;Constants!$B$2), Constants!$B$7, IF(AND(P372,OR(NOT(Q372),R372=Constants!$B$2)), Constants!$B$8, "Error"))))</f>
        <v/>
      </c>
      <c r="X372" s="87" t="str">
        <f aca="false">IF(OR(W372=Constants!$B$7,W372=Constants!$B$8), MAX(0, MIN(Constants!$B$6, S372))+IF(AND(R372=Constants!$B$4, NOT(U372)), Constants!$B$5, 0), "")</f>
        <v/>
      </c>
      <c r="Y372" s="85" t="str">
        <f aca="false">IF(ISBLANK($C372),"",IF(AND(ISNUMBER(X372),N372&gt;0),X372/N372, "") )</f>
        <v/>
      </c>
      <c r="Z372" s="85" t="str">
        <f aca="false">IF(AND(NOT(ISBLANK($C372)), W372=Constants!$B$7), Y372, "")</f>
        <v/>
      </c>
      <c r="AA372" s="85" t="str">
        <f aca="false">IF(ISNUMBER(Z372), RANK(Z372,Z$8:Z$507), "")</f>
        <v/>
      </c>
      <c r="AB372" s="85" t="str">
        <f aca="false">IF(AND(NOT(ISBLANK($C372)), W372=Constants!$B$8), Y372, "")</f>
        <v/>
      </c>
      <c r="AC372" s="85" t="str">
        <f aca="false">IF(ISNUMBER(AB372), RANK(AB372,AB$8:AB$507), "")</f>
        <v/>
      </c>
      <c r="AD372" s="85" t="str">
        <f aca="false">IF(ISBLANK($C372),"",IF(V372&lt;&gt;Constants!$B$14, V372, IF(W372=Constants!$B$7, AA372, IF(W372=Constants!$B$8, COUNT($AA$8:$AA$507) + AC372, ""))))</f>
        <v/>
      </c>
      <c r="AE372" s="85" t="str">
        <f aca="false">N372</f>
        <v/>
      </c>
      <c r="AF372" s="85" t="str">
        <f aca="false">IF(ISNUMBER(AE372), RANK(AE372,AE$8:AE$507,1), "")</f>
        <v/>
      </c>
      <c r="AG372" s="88" t="str">
        <f aca="false">IF(ISBLANK(C372), "", ABS(M372-S372))</f>
        <v/>
      </c>
      <c r="AH372" s="85" t="str">
        <f aca="false">IF(ISNUMBER(AG372), RANK(AG372,AG$8:AG$507,1), "")</f>
        <v/>
      </c>
      <c r="AI372" s="85" t="str">
        <f aca="false">IF(ISBLANK(C372),"",IF(V372&lt;&gt;Constants!$B$14, V372, RANK(AD372, AD$8:AD$507, 1)+ SUMPRODUCT(--(AD$8:AD$507=AD372),--(AF372&gt;AF$8:AF$507)) + SUMPRODUCT(--(AD$8:AD$507=AD372),--(AF372=AF$8:AF$507),--(AH372&gt;AH$8:AH$507))))</f>
        <v/>
      </c>
      <c r="AJ372" s="85" t="str">
        <f aca="false">IF(ISBLANK(C372),"",IF(V372&lt;&gt;Constants!$B$14, V372, AD372-AI372))</f>
        <v/>
      </c>
      <c r="AK372" s="89"/>
      <c r="AL372" s="90" t="str">
        <f aca="false">IF(ISBLANK($C372),"",IF($V372&lt;&gt;Constants!$B$14,$V372,X372))</f>
        <v/>
      </c>
      <c r="AM372" s="90" t="str">
        <f aca="false">IF(ISBLANK($C372),"",IF($V372&lt;&gt;Constants!$B$14,$V372,N372))</f>
        <v/>
      </c>
      <c r="AN372" s="91" t="str">
        <f aca="false">IF(ISBLANK(C372),"",IF(V372&lt;&gt;Constants!$B$14, V372, IF(W372=Constants!$B$7,Z372,IF(W372=Constants!$B$8,AB372,""))))</f>
        <v/>
      </c>
      <c r="AO372" s="92" t="str">
        <f aca="false">IF(ISBLANK(C372),"",W372)</f>
        <v/>
      </c>
      <c r="AP372" s="92" t="str">
        <f aca="false">IF(ISBLANK(C372),"",AJ372)</f>
        <v/>
      </c>
      <c r="AQ372" s="92" t="str">
        <f aca="false">IF(ISBLANK(C372),"",AI372)</f>
        <v/>
      </c>
      <c r="AR372" s="93" t="str">
        <f aca="false">IF(ISBLANK(C372),
  "",
IF(AQ372=Constants!$B$11,COUNTA($C$8:$C$507)+2,IF(AQ372=Constants!$B$12,COUNTA($C$8:$C$507)+1,IF(AQ372=Constants!$B$13,COUNTA($C$8:$C$507),AQ372))))</f>
        <v/>
      </c>
      <c r="AS372" s="3"/>
      <c r="AT372" s="94" t="n">
        <f aca="false">IF(OR(ISNUMBER(AQ372),AQ372="DQ",AQ372="P",AQ372="NS"),
    1,
    0
)</f>
        <v>0</v>
      </c>
      <c r="AU372" s="94" t="n">
        <v>365</v>
      </c>
      <c r="AV372" s="94" t="str">
        <f aca="false">IF(ISBLANK($C372),
    "",
   IF(ISNUMBER(AR372),AR372+ROW($B372)/1000,"")
)</f>
        <v/>
      </c>
      <c r="AW372" s="94" t="str">
        <f aca="false">IF(ISNUMBER(AV372), RANK(AV372,AV$8:AV$507,1), "")</f>
        <v/>
      </c>
      <c r="AX372" s="94" t="str">
        <f aca="false">IF(ISBLANK($C372),
    "",
    $B372
)</f>
        <v/>
      </c>
      <c r="AY372" s="94" t="str">
        <f aca="false">IF(ISBLANK($C372),
    "",
    $C372
)</f>
        <v/>
      </c>
      <c r="AZ372" s="94" t="str">
        <f aca="false">IF(ISBLANK($C372),
    "",
    $D372
)</f>
        <v/>
      </c>
      <c r="BA372" s="94" t="str">
        <f aca="false">AO372</f>
        <v/>
      </c>
      <c r="BB372" s="95" t="str">
        <f aca="false">AN372</f>
        <v/>
      </c>
      <c r="BC372" s="94" t="str">
        <f aca="false">IF(ISBLANK($C372),
    "",
    AQ372
)</f>
        <v/>
      </c>
      <c r="BD372" s="96" t="str">
        <f aca="false">IF(AU372&gt;AT$7,
    "",
    VLOOKUP(AU372,AW$8:BC$507,7,FALSE())
)</f>
        <v/>
      </c>
      <c r="BE372" s="97" t="str">
        <f aca="false">IF(AU372&gt;AT$7,
    "",
    VLOOKUP(AU372,AW$8:BC$507,2,FALSE())
)</f>
        <v/>
      </c>
      <c r="BF372" s="97" t="str">
        <f aca="false">IF(AU372&gt;AT$7,
    "",
    VLOOKUP(AU372,AW$8:BC$507,3,FALSE())
)</f>
        <v/>
      </c>
      <c r="BG372" s="97" t="str">
        <f aca="false">IF(AU372&gt;AT$7,
    "",
    VLOOKUP(AU372,AW$8:BC$507,4,FALSE())
)</f>
        <v/>
      </c>
      <c r="BH372" s="97" t="str">
        <f aca="false">IF(AU372&gt;AT$7,
    "",
    VLOOKUP(AU372,AW$8:BC$507,5,FALSE())
)</f>
        <v/>
      </c>
      <c r="BI372" s="98" t="str">
        <f aca="false">IF(AU372&gt;AT$7,
    "",
    VLOOKUP(AU372,AW$8:BC$507,6,FALSE())
)</f>
        <v/>
      </c>
      <c r="BJ372" s="46"/>
    </row>
    <row r="373" customFormat="false" ht="15.75" hidden="false" customHeight="false" outlineLevel="0" collapsed="false">
      <c r="A373" s="3"/>
      <c r="B373" s="105"/>
      <c r="C373" s="106"/>
      <c r="D373" s="99"/>
      <c r="E373" s="110"/>
      <c r="F373" s="107"/>
      <c r="G373" s="110"/>
      <c r="H373" s="103"/>
      <c r="I373" s="102"/>
      <c r="J373" s="103"/>
      <c r="K373" s="103"/>
      <c r="L373" s="85"/>
      <c r="M373" s="85" t="str">
        <f aca="false">IF(ISBLANK($C373),"",IF(ISBLANK(E373),0,E373))</f>
        <v/>
      </c>
      <c r="N373" s="85" t="str">
        <f aca="false">IF(ISBLANK($C373),"",IF(ISBLANK(F373),0,F373))</f>
        <v/>
      </c>
      <c r="O373" s="86" t="e">
        <f aca="false">IF(AND(NOT(ISBLANK($C373)),NOT($T373),COUNTA($E373:$K373)&gt;0),ISBLANK($F373),FALSE())</f>
        <v>#VALUE!</v>
      </c>
      <c r="P373" s="85" t="str">
        <f aca="false">IF(ISBLANK($C373),"",IF(G373=Constants!$B$9, TRUE(), IF(G373=Constants!$B$10, FALSE(), TRUE())))</f>
        <v/>
      </c>
      <c r="Q373" s="85" t="str">
        <f aca="false">IF(ISBLANK($C373),"",IF(H373=Constants!$B$9, TRUE(), IF(H373=Constants!$B$10, FALSE(), TRUE())))</f>
        <v/>
      </c>
      <c r="R373" s="85" t="str">
        <f aca="false">IF(ISBLANK($C373),"",IF(ISBLANK(I373),Constants!$B$3,I373))</f>
        <v/>
      </c>
      <c r="S373" s="85" t="str">
        <f aca="false">IF(ISBLANK($C373),"",IF(ISBLANK(J373),0,MIN(J373,Constants!$B$6)))</f>
        <v/>
      </c>
      <c r="T373" s="85" t="str">
        <f aca="false">IF(ISBLANK($C373),"",IF(K373=Constants!$B$9, TRUE(), IF(K373=Constants!$B$10, FALSE(),  FALSE())))</f>
        <v/>
      </c>
      <c r="U373" s="85" t="str">
        <f aca="false">IF(ISBLANK($C373),"",AND(R373=Constants!$B$4, S373&lt;Constants!$B$6))</f>
        <v/>
      </c>
      <c r="V373" s="85" t="str">
        <f aca="false">IF(ISBLANK(C373), "", IF(T373, Constants!$B$11, IF(COUNTA(E373:K373)=0, Constants!$B$12, IF(NOT(AND(P373,S373&lt;&gt;0)), Constants!$B$13, IF(O373, Constants!$B$15, Constants!$B$14)))))</f>
        <v/>
      </c>
      <c r="W373" s="85" t="str">
        <f aca="false">IF(OR(ISBLANK($C373), SUMPRODUCT(--(P373:T373&lt;&gt;""))=0), "", IF(V373&lt;&gt;Constants!$B$14, V373, IF(AND(NOT(ISBLANK(J373)),P373,Q373,R373&lt;&gt;Constants!$B$2), Constants!$B$7, IF(AND(P373,OR(NOT(Q373),R373=Constants!$B$2)), Constants!$B$8, "Error"))))</f>
        <v/>
      </c>
      <c r="X373" s="87" t="str">
        <f aca="false">IF(OR(W373=Constants!$B$7,W373=Constants!$B$8), MAX(0, MIN(Constants!$B$6, S373))+IF(AND(R373=Constants!$B$4, NOT(U373)), Constants!$B$5, 0), "")</f>
        <v/>
      </c>
      <c r="Y373" s="85" t="str">
        <f aca="false">IF(ISBLANK($C373),"",IF(AND(ISNUMBER(X373),N373&gt;0),X373/N373, "") )</f>
        <v/>
      </c>
      <c r="Z373" s="85" t="str">
        <f aca="false">IF(AND(NOT(ISBLANK($C373)), W373=Constants!$B$7), Y373, "")</f>
        <v/>
      </c>
      <c r="AA373" s="85" t="str">
        <f aca="false">IF(ISNUMBER(Z373), RANK(Z373,Z$8:Z$507), "")</f>
        <v/>
      </c>
      <c r="AB373" s="85" t="str">
        <f aca="false">IF(AND(NOT(ISBLANK($C373)), W373=Constants!$B$8), Y373, "")</f>
        <v/>
      </c>
      <c r="AC373" s="85" t="str">
        <f aca="false">IF(ISNUMBER(AB373), RANK(AB373,AB$8:AB$507), "")</f>
        <v/>
      </c>
      <c r="AD373" s="85" t="str">
        <f aca="false">IF(ISBLANK($C373),"",IF(V373&lt;&gt;Constants!$B$14, V373, IF(W373=Constants!$B$7, AA373, IF(W373=Constants!$B$8, COUNT($AA$8:$AA$507) + AC373, ""))))</f>
        <v/>
      </c>
      <c r="AE373" s="85" t="str">
        <f aca="false">N373</f>
        <v/>
      </c>
      <c r="AF373" s="85" t="str">
        <f aca="false">IF(ISNUMBER(AE373), RANK(AE373,AE$8:AE$507,1), "")</f>
        <v/>
      </c>
      <c r="AG373" s="88" t="str">
        <f aca="false">IF(ISBLANK(C373), "", ABS(M373-S373))</f>
        <v/>
      </c>
      <c r="AH373" s="85" t="str">
        <f aca="false">IF(ISNUMBER(AG373), RANK(AG373,AG$8:AG$507,1), "")</f>
        <v/>
      </c>
      <c r="AI373" s="85" t="str">
        <f aca="false">IF(ISBLANK(C373),"",IF(V373&lt;&gt;Constants!$B$14, V373, RANK(AD373, AD$8:AD$507, 1)+ SUMPRODUCT(--(AD$8:AD$507=AD373),--(AF373&gt;AF$8:AF$507)) + SUMPRODUCT(--(AD$8:AD$507=AD373),--(AF373=AF$8:AF$507),--(AH373&gt;AH$8:AH$507))))</f>
        <v/>
      </c>
      <c r="AJ373" s="85" t="str">
        <f aca="false">IF(ISBLANK(C373),"",IF(V373&lt;&gt;Constants!$B$14, V373, AD373-AI373))</f>
        <v/>
      </c>
      <c r="AK373" s="89"/>
      <c r="AL373" s="90" t="str">
        <f aca="false">IF(ISBLANK($C373),"",IF($V373&lt;&gt;Constants!$B$14,$V373,X373))</f>
        <v/>
      </c>
      <c r="AM373" s="90" t="str">
        <f aca="false">IF(ISBLANK($C373),"",IF($V373&lt;&gt;Constants!$B$14,$V373,N373))</f>
        <v/>
      </c>
      <c r="AN373" s="91" t="str">
        <f aca="false">IF(ISBLANK(C373),"",IF(V373&lt;&gt;Constants!$B$14, V373, IF(W373=Constants!$B$7,Z373,IF(W373=Constants!$B$8,AB373,""))))</f>
        <v/>
      </c>
      <c r="AO373" s="92" t="str">
        <f aca="false">IF(ISBLANK(C373),"",W373)</f>
        <v/>
      </c>
      <c r="AP373" s="92" t="str">
        <f aca="false">IF(ISBLANK(C373),"",AJ373)</f>
        <v/>
      </c>
      <c r="AQ373" s="92" t="str">
        <f aca="false">IF(ISBLANK(C373),"",AI373)</f>
        <v/>
      </c>
      <c r="AR373" s="93" t="str">
        <f aca="false">IF(ISBLANK(C373),
  "",
IF(AQ373=Constants!$B$11,COUNTA($C$8:$C$507)+2,IF(AQ373=Constants!$B$12,COUNTA($C$8:$C$507)+1,IF(AQ373=Constants!$B$13,COUNTA($C$8:$C$507),AQ373))))</f>
        <v/>
      </c>
      <c r="AS373" s="3"/>
      <c r="AT373" s="94" t="n">
        <f aca="false">IF(OR(ISNUMBER(AQ373),AQ373="DQ",AQ373="P",AQ373="NS"),
    1,
    0
)</f>
        <v>0</v>
      </c>
      <c r="AU373" s="94" t="n">
        <v>366</v>
      </c>
      <c r="AV373" s="94" t="str">
        <f aca="false">IF(ISBLANK($C373),
    "",
   IF(ISNUMBER(AR373),AR373+ROW($B373)/1000,"")
)</f>
        <v/>
      </c>
      <c r="AW373" s="94" t="str">
        <f aca="false">IF(ISNUMBER(AV373), RANK(AV373,AV$8:AV$507,1), "")</f>
        <v/>
      </c>
      <c r="AX373" s="94" t="str">
        <f aca="false">IF(ISBLANK($C373),
    "",
    $B373
)</f>
        <v/>
      </c>
      <c r="AY373" s="94" t="str">
        <f aca="false">IF(ISBLANK($C373),
    "",
    $C373
)</f>
        <v/>
      </c>
      <c r="AZ373" s="94" t="str">
        <f aca="false">IF(ISBLANK($C373),
    "",
    $D373
)</f>
        <v/>
      </c>
      <c r="BA373" s="94" t="str">
        <f aca="false">AO373</f>
        <v/>
      </c>
      <c r="BB373" s="95" t="str">
        <f aca="false">AN373</f>
        <v/>
      </c>
      <c r="BC373" s="94" t="str">
        <f aca="false">IF(ISBLANK($C373),
    "",
    AQ373
)</f>
        <v/>
      </c>
      <c r="BD373" s="96" t="str">
        <f aca="false">IF(AU373&gt;AT$7,
    "",
    VLOOKUP(AU373,AW$8:BC$507,7,FALSE())
)</f>
        <v/>
      </c>
      <c r="BE373" s="97" t="str">
        <f aca="false">IF(AU373&gt;AT$7,
    "",
    VLOOKUP(AU373,AW$8:BC$507,2,FALSE())
)</f>
        <v/>
      </c>
      <c r="BF373" s="97" t="str">
        <f aca="false">IF(AU373&gt;AT$7,
    "",
    VLOOKUP(AU373,AW$8:BC$507,3,FALSE())
)</f>
        <v/>
      </c>
      <c r="BG373" s="97" t="str">
        <f aca="false">IF(AU373&gt;AT$7,
    "",
    VLOOKUP(AU373,AW$8:BC$507,4,FALSE())
)</f>
        <v/>
      </c>
      <c r="BH373" s="97" t="str">
        <f aca="false">IF(AU373&gt;AT$7,
    "",
    VLOOKUP(AU373,AW$8:BC$507,5,FALSE())
)</f>
        <v/>
      </c>
      <c r="BI373" s="98" t="str">
        <f aca="false">IF(AU373&gt;AT$7,
    "",
    VLOOKUP(AU373,AW$8:BC$507,6,FALSE())
)</f>
        <v/>
      </c>
      <c r="BJ373" s="46"/>
    </row>
    <row r="374" customFormat="false" ht="15.75" hidden="false" customHeight="false" outlineLevel="0" collapsed="false">
      <c r="A374" s="3"/>
      <c r="B374" s="108"/>
      <c r="C374" s="70"/>
      <c r="D374" s="49"/>
      <c r="E374" s="109"/>
      <c r="F374" s="72"/>
      <c r="G374" s="109"/>
      <c r="H374" s="74"/>
      <c r="I374" s="104"/>
      <c r="J374" s="74"/>
      <c r="K374" s="74"/>
      <c r="L374" s="55"/>
      <c r="M374" s="55" t="str">
        <f aca="false">IF(ISBLANK($C374),"",IF(ISBLANK(E374),0,E374))</f>
        <v/>
      </c>
      <c r="N374" s="55" t="str">
        <f aca="false">IF(ISBLANK($C374),"",IF(ISBLANK(F374),0,F374))</f>
        <v/>
      </c>
      <c r="O374" s="55" t="e">
        <f aca="false">IF(AND(NOT(ISBLANK($C374)),NOT($T374),COUNTA($E374:$K374)&gt;0),ISBLANK($F374),FALSE())</f>
        <v>#VALUE!</v>
      </c>
      <c r="P374" s="55" t="str">
        <f aca="false">IF(ISBLANK($C374),"",IF(G374=Constants!$B$9, TRUE(), IF(G374=Constants!$B$10, FALSE(), TRUE())))</f>
        <v/>
      </c>
      <c r="Q374" s="55" t="str">
        <f aca="false">IF(ISBLANK($C374),"",IF(H374=Constants!$B$9, TRUE(), IF(H374=Constants!$B$10, FALSE(), TRUE())))</f>
        <v/>
      </c>
      <c r="R374" s="55" t="str">
        <f aca="false">IF(ISBLANK($C374),"",IF(ISBLANK(I374),Constants!$B$3,I374))</f>
        <v/>
      </c>
      <c r="S374" s="55" t="str">
        <f aca="false">IF(ISBLANK($C374),"",IF(ISBLANK(J374),0,MIN(J374,Constants!$B$6)))</f>
        <v/>
      </c>
      <c r="T374" s="55" t="str">
        <f aca="false">IF(ISBLANK($C374),"",IF(K374=Constants!$B$9, TRUE(), IF(K374=Constants!$B$10, FALSE(),  FALSE())))</f>
        <v/>
      </c>
      <c r="U374" s="55" t="str">
        <f aca="false">IF(ISBLANK($C374),"",AND(R374=Constants!$B$4, S374&lt;Constants!$B$6))</f>
        <v/>
      </c>
      <c r="V374" s="55" t="str">
        <f aca="false">IF(ISBLANK(C374), "", IF(T374, Constants!$B$11, IF(COUNTA(E374:K374)=0, Constants!$B$12, IF(NOT(AND(P374,S374&lt;&gt;0)), Constants!$B$13, IF(O374, Constants!$B$15, Constants!$B$14)))))</f>
        <v/>
      </c>
      <c r="W374" s="55" t="str">
        <f aca="false">IF(OR(ISBLANK($C374), SUMPRODUCT(--(P374:T374&lt;&gt;""))=0), "", IF(V374&lt;&gt;Constants!$B$14, V374, IF(AND(NOT(ISBLANK(J374)),P374,Q374,R374&lt;&gt;Constants!$B$2), Constants!$B$7, IF(AND(P374,OR(NOT(Q374),R374=Constants!$B$2)), Constants!$B$8, "Error"))))</f>
        <v/>
      </c>
      <c r="X374" s="56" t="str">
        <f aca="false">IF(OR(W374=Constants!$B$7,W374=Constants!$B$8), MAX(0, MIN(Constants!$B$6, S374))+IF(AND(R374=Constants!$B$4, NOT(U374)), Constants!$B$5, 0), "")</f>
        <v/>
      </c>
      <c r="Y374" s="55" t="str">
        <f aca="false">IF(ISBLANK($C374),"",IF(AND(ISNUMBER(X374),N374&gt;0),X374/N374, "") )</f>
        <v/>
      </c>
      <c r="Z374" s="55" t="str">
        <f aca="false">IF(AND(NOT(ISBLANK($C374)), W374=Constants!$B$7), Y374, "")</f>
        <v/>
      </c>
      <c r="AA374" s="55" t="str">
        <f aca="false">IF(ISNUMBER(Z374), RANK(Z374,Z$8:Z$507), "")</f>
        <v/>
      </c>
      <c r="AB374" s="55" t="str">
        <f aca="false">IF(AND(NOT(ISBLANK($C374)), W374=Constants!$B$8), Y374, "")</f>
        <v/>
      </c>
      <c r="AC374" s="55" t="str">
        <f aca="false">IF(ISNUMBER(AB374), RANK(AB374,AB$8:AB$507), "")</f>
        <v/>
      </c>
      <c r="AD374" s="55" t="str">
        <f aca="false">IF(ISBLANK($C374),"",IF(V374&lt;&gt;Constants!$B$14, V374, IF(W374=Constants!$B$7, AA374, IF(W374=Constants!$B$8, COUNT($AA$8:$AA$507) + AC374, ""))))</f>
        <v/>
      </c>
      <c r="AE374" s="55" t="str">
        <f aca="false">N374</f>
        <v/>
      </c>
      <c r="AF374" s="55" t="str">
        <f aca="false">IF(ISNUMBER(AE374), RANK(AE374,AE$8:AE$507,1), "")</f>
        <v/>
      </c>
      <c r="AG374" s="57" t="str">
        <f aca="false">IF(ISBLANK(C374), "", ABS(M374-S374))</f>
        <v/>
      </c>
      <c r="AH374" s="55" t="str">
        <f aca="false">IF(ISNUMBER(AG374), RANK(AG374,AG$8:AG$507,1), "")</f>
        <v/>
      </c>
      <c r="AI374" s="55" t="str">
        <f aca="false">IF(ISBLANK(C374),"",IF(V374&lt;&gt;Constants!$B$14, V374, RANK(AD374, AD$8:AD$507, 1)+ SUMPRODUCT(--(AD$8:AD$507=AD374),--(AF374&gt;AF$8:AF$507)) + SUMPRODUCT(--(AD$8:AD$507=AD374),--(AF374=AF$8:AF$507),--(AH374&gt;AH$8:AH$507))))</f>
        <v/>
      </c>
      <c r="AJ374" s="55" t="str">
        <f aca="false">IF(ISBLANK(C374),"",IF(V374&lt;&gt;Constants!$B$14, V374, AD374-AI374))</f>
        <v/>
      </c>
      <c r="AK374" s="59"/>
      <c r="AL374" s="60" t="str">
        <f aca="false">IF(ISBLANK($C374),"",IF($V374&lt;&gt;Constants!$B$14,$V374,X374))</f>
        <v/>
      </c>
      <c r="AM374" s="60" t="str">
        <f aca="false">IF(ISBLANK($C374),"",IF($V374&lt;&gt;Constants!$B$14,$V374,N374))</f>
        <v/>
      </c>
      <c r="AN374" s="62" t="str">
        <f aca="false">IF(ISBLANK(C374),"",IF(V374&lt;&gt;Constants!$B$14, V374, IF(W374=Constants!$B$7,Z374,IF(W374=Constants!$B$8,AB374,""))))</f>
        <v/>
      </c>
      <c r="AO374" s="63" t="str">
        <f aca="false">IF(ISBLANK(C374),"",W374)</f>
        <v/>
      </c>
      <c r="AP374" s="63" t="str">
        <f aca="false">IF(ISBLANK(C374),"",AJ374)</f>
        <v/>
      </c>
      <c r="AQ374" s="63" t="str">
        <f aca="false">IF(ISBLANK(C374),"",AI374)</f>
        <v/>
      </c>
      <c r="AR374" s="64" t="str">
        <f aca="false">IF(ISBLANK(C374),
  "",
IF(AQ374=Constants!$B$11,COUNTA($C$8:$C$507)+2,IF(AQ374=Constants!$B$12,COUNTA($C$8:$C$507)+1,IF(AQ374=Constants!$B$13,COUNTA($C$8:$C$507),AQ374))))</f>
        <v/>
      </c>
      <c r="AS374" s="3"/>
      <c r="AT374" s="65" t="n">
        <f aca="false">IF(OR(ISNUMBER(AQ374),AQ374="DQ",AQ374="P",AQ374="NS"),
    1,
    0
)</f>
        <v>0</v>
      </c>
      <c r="AU374" s="65" t="n">
        <v>367</v>
      </c>
      <c r="AV374" s="65" t="str">
        <f aca="false">IF(ISBLANK($C374),
    "",
   IF(ISNUMBER(AR374),AR374+ROW($B374)/1000,"")
)</f>
        <v/>
      </c>
      <c r="AW374" s="65" t="str">
        <f aca="false">IF(ISNUMBER(AV374), RANK(AV374,AV$8:AV$507,1), "")</f>
        <v/>
      </c>
      <c r="AX374" s="65" t="str">
        <f aca="false">IF(ISBLANK($C374),
    "",
    $B374
)</f>
        <v/>
      </c>
      <c r="AY374" s="65" t="str">
        <f aca="false">IF(ISBLANK($C374),
    "",
    $C374
)</f>
        <v/>
      </c>
      <c r="AZ374" s="65" t="str">
        <f aca="false">IF(ISBLANK($C374),
    "",
    $D374
)</f>
        <v/>
      </c>
      <c r="BA374" s="65" t="str">
        <f aca="false">AO374</f>
        <v/>
      </c>
      <c r="BB374" s="66" t="str">
        <f aca="false">AN374</f>
        <v/>
      </c>
      <c r="BC374" s="65" t="str">
        <f aca="false">IF(ISBLANK($C374),
    "",
    AQ374
)</f>
        <v/>
      </c>
      <c r="BD374" s="67" t="str">
        <f aca="false">IF(AU374&gt;AT$7,
    "",
    VLOOKUP(AU374,AW$8:BC$507,7,FALSE())
)</f>
        <v/>
      </c>
      <c r="BE374" s="68" t="str">
        <f aca="false">IF(AU374&gt;AT$7,
    "",
    VLOOKUP(AU374,AW$8:BC$507,2,FALSE())
)</f>
        <v/>
      </c>
      <c r="BF374" s="68" t="str">
        <f aca="false">IF(AU374&gt;AT$7,
    "",
    VLOOKUP(AU374,AW$8:BC$507,3,FALSE())
)</f>
        <v/>
      </c>
      <c r="BG374" s="68" t="str">
        <f aca="false">IF(AU374&gt;AT$7,
    "",
    VLOOKUP(AU374,AW$8:BC$507,4,FALSE())
)</f>
        <v/>
      </c>
      <c r="BH374" s="68" t="str">
        <f aca="false">IF(AU374&gt;AT$7,
    "",
    VLOOKUP(AU374,AW$8:BC$507,5,FALSE())
)</f>
        <v/>
      </c>
      <c r="BI374" s="69" t="str">
        <f aca="false">IF(AU374&gt;AT$7,
    "",
    VLOOKUP(AU374,AW$8:BC$507,6,FALSE())
)</f>
        <v/>
      </c>
      <c r="BJ374" s="46"/>
    </row>
    <row r="375" customFormat="false" ht="15.75" hidden="false" customHeight="false" outlineLevel="0" collapsed="false">
      <c r="A375" s="3"/>
      <c r="B375" s="108"/>
      <c r="C375" s="70"/>
      <c r="D375" s="49"/>
      <c r="E375" s="109"/>
      <c r="F375" s="72"/>
      <c r="G375" s="109"/>
      <c r="H375" s="74"/>
      <c r="I375" s="104"/>
      <c r="J375" s="74"/>
      <c r="K375" s="74"/>
      <c r="L375" s="55"/>
      <c r="M375" s="55" t="str">
        <f aca="false">IF(ISBLANK($C375),"",IF(ISBLANK(E375),0,E375))</f>
        <v/>
      </c>
      <c r="N375" s="55" t="str">
        <f aca="false">IF(ISBLANK($C375),"",IF(ISBLANK(F375),0,F375))</f>
        <v/>
      </c>
      <c r="O375" s="55" t="e">
        <f aca="false">IF(AND(NOT(ISBLANK($C375)),NOT($T375),COUNTA($E375:$K375)&gt;0),ISBLANK($F375),FALSE())</f>
        <v>#VALUE!</v>
      </c>
      <c r="P375" s="55" t="str">
        <f aca="false">IF(ISBLANK($C375),"",IF(G375=Constants!$B$9, TRUE(), IF(G375=Constants!$B$10, FALSE(), TRUE())))</f>
        <v/>
      </c>
      <c r="Q375" s="55" t="str">
        <f aca="false">IF(ISBLANK($C375),"",IF(H375=Constants!$B$9, TRUE(), IF(H375=Constants!$B$10, FALSE(), TRUE())))</f>
        <v/>
      </c>
      <c r="R375" s="55" t="str">
        <f aca="false">IF(ISBLANK($C375),"",IF(ISBLANK(I375),Constants!$B$3,I375))</f>
        <v/>
      </c>
      <c r="S375" s="55" t="str">
        <f aca="false">IF(ISBLANK($C375),"",IF(ISBLANK(J375),0,MIN(J375,Constants!$B$6)))</f>
        <v/>
      </c>
      <c r="T375" s="55" t="str">
        <f aca="false">IF(ISBLANK($C375),"",IF(K375=Constants!$B$9, TRUE(), IF(K375=Constants!$B$10, FALSE(),  FALSE())))</f>
        <v/>
      </c>
      <c r="U375" s="55" t="str">
        <f aca="false">IF(ISBLANK($C375),"",AND(R375=Constants!$B$4, S375&lt;Constants!$B$6))</f>
        <v/>
      </c>
      <c r="V375" s="55" t="str">
        <f aca="false">IF(ISBLANK(C375), "", IF(T375, Constants!$B$11, IF(COUNTA(E375:K375)=0, Constants!$B$12, IF(NOT(AND(P375,S375&lt;&gt;0)), Constants!$B$13, IF(O375, Constants!$B$15, Constants!$B$14)))))</f>
        <v/>
      </c>
      <c r="W375" s="55" t="str">
        <f aca="false">IF(OR(ISBLANK($C375), SUMPRODUCT(--(P375:T375&lt;&gt;""))=0), "", IF(V375&lt;&gt;Constants!$B$14, V375, IF(AND(NOT(ISBLANK(J375)),P375,Q375,R375&lt;&gt;Constants!$B$2), Constants!$B$7, IF(AND(P375,OR(NOT(Q375),R375=Constants!$B$2)), Constants!$B$8, "Error"))))</f>
        <v/>
      </c>
      <c r="X375" s="56" t="str">
        <f aca="false">IF(OR(W375=Constants!$B$7,W375=Constants!$B$8), MAX(0, MIN(Constants!$B$6, S375))+IF(AND(R375=Constants!$B$4, NOT(U375)), Constants!$B$5, 0), "")</f>
        <v/>
      </c>
      <c r="Y375" s="55" t="str">
        <f aca="false">IF(ISBLANK($C375),"",IF(AND(ISNUMBER(X375),N375&gt;0),X375/N375, "") )</f>
        <v/>
      </c>
      <c r="Z375" s="55" t="str">
        <f aca="false">IF(AND(NOT(ISBLANK($C375)), W375=Constants!$B$7), Y375, "")</f>
        <v/>
      </c>
      <c r="AA375" s="55" t="str">
        <f aca="false">IF(ISNUMBER(Z375), RANK(Z375,Z$8:Z$507), "")</f>
        <v/>
      </c>
      <c r="AB375" s="55" t="str">
        <f aca="false">IF(AND(NOT(ISBLANK($C375)), W375=Constants!$B$8), Y375, "")</f>
        <v/>
      </c>
      <c r="AC375" s="55" t="str">
        <f aca="false">IF(ISNUMBER(AB375), RANK(AB375,AB$8:AB$507), "")</f>
        <v/>
      </c>
      <c r="AD375" s="55" t="str">
        <f aca="false">IF(ISBLANK($C375),"",IF(V375&lt;&gt;Constants!$B$14, V375, IF(W375=Constants!$B$7, AA375, IF(W375=Constants!$B$8, COUNT($AA$8:$AA$507) + AC375, ""))))</f>
        <v/>
      </c>
      <c r="AE375" s="55" t="str">
        <f aca="false">N375</f>
        <v/>
      </c>
      <c r="AF375" s="55" t="str">
        <f aca="false">IF(ISNUMBER(AE375), RANK(AE375,AE$8:AE$507,1), "")</f>
        <v/>
      </c>
      <c r="AG375" s="57" t="str">
        <f aca="false">IF(ISBLANK(C375), "", ABS(M375-S375))</f>
        <v/>
      </c>
      <c r="AH375" s="55" t="str">
        <f aca="false">IF(ISNUMBER(AG375), RANK(AG375,AG$8:AG$507,1), "")</f>
        <v/>
      </c>
      <c r="AI375" s="55" t="str">
        <f aca="false">IF(ISBLANK(C375),"",IF(V375&lt;&gt;Constants!$B$14, V375, RANK(AD375, AD$8:AD$507, 1)+ SUMPRODUCT(--(AD$8:AD$507=AD375),--(AF375&gt;AF$8:AF$507)) + SUMPRODUCT(--(AD$8:AD$507=AD375),--(AF375=AF$8:AF$507),--(AH375&gt;AH$8:AH$507))))</f>
        <v/>
      </c>
      <c r="AJ375" s="55" t="str">
        <f aca="false">IF(ISBLANK(C375),"",IF(V375&lt;&gt;Constants!$B$14, V375, AD375-AI375))</f>
        <v/>
      </c>
      <c r="AK375" s="59"/>
      <c r="AL375" s="60" t="str">
        <f aca="false">IF(ISBLANK($C375),"",IF($V375&lt;&gt;Constants!$B$14,$V375,X375))</f>
        <v/>
      </c>
      <c r="AM375" s="60" t="str">
        <f aca="false">IF(ISBLANK($C375),"",IF($V375&lt;&gt;Constants!$B$14,$V375,N375))</f>
        <v/>
      </c>
      <c r="AN375" s="62" t="str">
        <f aca="false">IF(ISBLANK(C375),"",IF(V375&lt;&gt;Constants!$B$14, V375, IF(W375=Constants!$B$7,Z375,IF(W375=Constants!$B$8,AB375,""))))</f>
        <v/>
      </c>
      <c r="AO375" s="63" t="str">
        <f aca="false">IF(ISBLANK(C375),"",W375)</f>
        <v/>
      </c>
      <c r="AP375" s="63" t="str">
        <f aca="false">IF(ISBLANK(C375),"",AJ375)</f>
        <v/>
      </c>
      <c r="AQ375" s="63" t="str">
        <f aca="false">IF(ISBLANK(C375),"",AI375)</f>
        <v/>
      </c>
      <c r="AR375" s="64" t="str">
        <f aca="false">IF(ISBLANK(C375),
  "",
IF(AQ375=Constants!$B$11,COUNTA($C$8:$C$507)+2,IF(AQ375=Constants!$B$12,COUNTA($C$8:$C$507)+1,IF(AQ375=Constants!$B$13,COUNTA($C$8:$C$507),AQ375))))</f>
        <v/>
      </c>
      <c r="AS375" s="3"/>
      <c r="AT375" s="65" t="n">
        <f aca="false">IF(OR(ISNUMBER(AQ375),AQ375="DQ",AQ375="P",AQ375="NS"),
    1,
    0
)</f>
        <v>0</v>
      </c>
      <c r="AU375" s="65" t="n">
        <v>368</v>
      </c>
      <c r="AV375" s="65" t="str">
        <f aca="false">IF(ISBLANK($C375),
    "",
   IF(ISNUMBER(AR375),AR375+ROW($B375)/1000,"")
)</f>
        <v/>
      </c>
      <c r="AW375" s="65" t="str">
        <f aca="false">IF(ISNUMBER(AV375), RANK(AV375,AV$8:AV$507,1), "")</f>
        <v/>
      </c>
      <c r="AX375" s="65" t="str">
        <f aca="false">IF(ISBLANK($C375),
    "",
    $B375
)</f>
        <v/>
      </c>
      <c r="AY375" s="65" t="str">
        <f aca="false">IF(ISBLANK($C375),
    "",
    $C375
)</f>
        <v/>
      </c>
      <c r="AZ375" s="65" t="str">
        <f aca="false">IF(ISBLANK($C375),
    "",
    $D375
)</f>
        <v/>
      </c>
      <c r="BA375" s="65" t="str">
        <f aca="false">AO375</f>
        <v/>
      </c>
      <c r="BB375" s="66" t="str">
        <f aca="false">AN375</f>
        <v/>
      </c>
      <c r="BC375" s="65" t="str">
        <f aca="false">IF(ISBLANK($C375),
    "",
    AQ375
)</f>
        <v/>
      </c>
      <c r="BD375" s="67" t="str">
        <f aca="false">IF(AU375&gt;AT$7,
    "",
    VLOOKUP(AU375,AW$8:BC$507,7,FALSE())
)</f>
        <v/>
      </c>
      <c r="BE375" s="68" t="str">
        <f aca="false">IF(AU375&gt;AT$7,
    "",
    VLOOKUP(AU375,AW$8:BC$507,2,FALSE())
)</f>
        <v/>
      </c>
      <c r="BF375" s="68" t="str">
        <f aca="false">IF(AU375&gt;AT$7,
    "",
    VLOOKUP(AU375,AW$8:BC$507,3,FALSE())
)</f>
        <v/>
      </c>
      <c r="BG375" s="68" t="str">
        <f aca="false">IF(AU375&gt;AT$7,
    "",
    VLOOKUP(AU375,AW$8:BC$507,4,FALSE())
)</f>
        <v/>
      </c>
      <c r="BH375" s="68" t="str">
        <f aca="false">IF(AU375&gt;AT$7,
    "",
    VLOOKUP(AU375,AW$8:BC$507,5,FALSE())
)</f>
        <v/>
      </c>
      <c r="BI375" s="69" t="str">
        <f aca="false">IF(AU375&gt;AT$7,
    "",
    VLOOKUP(AU375,AW$8:BC$507,6,FALSE())
)</f>
        <v/>
      </c>
      <c r="BJ375" s="46"/>
    </row>
    <row r="376" customFormat="false" ht="15.75" hidden="false" customHeight="false" outlineLevel="0" collapsed="false">
      <c r="A376" s="3"/>
      <c r="B376" s="108"/>
      <c r="C376" s="70"/>
      <c r="D376" s="49"/>
      <c r="E376" s="109"/>
      <c r="F376" s="72"/>
      <c r="G376" s="109"/>
      <c r="H376" s="74"/>
      <c r="I376" s="104"/>
      <c r="J376" s="74"/>
      <c r="K376" s="74"/>
      <c r="L376" s="55"/>
      <c r="M376" s="55" t="str">
        <f aca="false">IF(ISBLANK($C376),"",IF(ISBLANK(E376),0,E376))</f>
        <v/>
      </c>
      <c r="N376" s="55" t="str">
        <f aca="false">IF(ISBLANK($C376),"",IF(ISBLANK(F376),0,F376))</f>
        <v/>
      </c>
      <c r="O376" s="55" t="e">
        <f aca="false">IF(AND(NOT(ISBLANK($C376)),NOT($T376),COUNTA($E376:$K376)&gt;0),ISBLANK($F376),FALSE())</f>
        <v>#VALUE!</v>
      </c>
      <c r="P376" s="55" t="str">
        <f aca="false">IF(ISBLANK($C376),"",IF(G376=Constants!$B$9, TRUE(), IF(G376=Constants!$B$10, FALSE(), TRUE())))</f>
        <v/>
      </c>
      <c r="Q376" s="55" t="str">
        <f aca="false">IF(ISBLANK($C376),"",IF(H376=Constants!$B$9, TRUE(), IF(H376=Constants!$B$10, FALSE(), TRUE())))</f>
        <v/>
      </c>
      <c r="R376" s="55" t="str">
        <f aca="false">IF(ISBLANK($C376),"",IF(ISBLANK(I376),Constants!$B$3,I376))</f>
        <v/>
      </c>
      <c r="S376" s="55" t="str">
        <f aca="false">IF(ISBLANK($C376),"",IF(ISBLANK(J376),0,MIN(J376,Constants!$B$6)))</f>
        <v/>
      </c>
      <c r="T376" s="55" t="str">
        <f aca="false">IF(ISBLANK($C376),"",IF(K376=Constants!$B$9, TRUE(), IF(K376=Constants!$B$10, FALSE(),  FALSE())))</f>
        <v/>
      </c>
      <c r="U376" s="55" t="str">
        <f aca="false">IF(ISBLANK($C376),"",AND(R376=Constants!$B$4, S376&lt;Constants!$B$6))</f>
        <v/>
      </c>
      <c r="V376" s="55" t="str">
        <f aca="false">IF(ISBLANK(C376), "", IF(T376, Constants!$B$11, IF(COUNTA(E376:K376)=0, Constants!$B$12, IF(NOT(AND(P376,S376&lt;&gt;0)), Constants!$B$13, IF(O376, Constants!$B$15, Constants!$B$14)))))</f>
        <v/>
      </c>
      <c r="W376" s="55" t="str">
        <f aca="false">IF(OR(ISBLANK($C376), SUMPRODUCT(--(P376:T376&lt;&gt;""))=0), "", IF(V376&lt;&gt;Constants!$B$14, V376, IF(AND(NOT(ISBLANK(J376)),P376,Q376,R376&lt;&gt;Constants!$B$2), Constants!$B$7, IF(AND(P376,OR(NOT(Q376),R376=Constants!$B$2)), Constants!$B$8, "Error"))))</f>
        <v/>
      </c>
      <c r="X376" s="56" t="str">
        <f aca="false">IF(OR(W376=Constants!$B$7,W376=Constants!$B$8), MAX(0, MIN(Constants!$B$6, S376))+IF(AND(R376=Constants!$B$4, NOT(U376)), Constants!$B$5, 0), "")</f>
        <v/>
      </c>
      <c r="Y376" s="55" t="str">
        <f aca="false">IF(ISBLANK($C376),"",IF(AND(ISNUMBER(X376),N376&gt;0),X376/N376, "") )</f>
        <v/>
      </c>
      <c r="Z376" s="55" t="str">
        <f aca="false">IF(AND(NOT(ISBLANK($C376)), W376=Constants!$B$7), Y376, "")</f>
        <v/>
      </c>
      <c r="AA376" s="55" t="str">
        <f aca="false">IF(ISNUMBER(Z376), RANK(Z376,Z$8:Z$507), "")</f>
        <v/>
      </c>
      <c r="AB376" s="55" t="str">
        <f aca="false">IF(AND(NOT(ISBLANK($C376)), W376=Constants!$B$8), Y376, "")</f>
        <v/>
      </c>
      <c r="AC376" s="55" t="str">
        <f aca="false">IF(ISNUMBER(AB376), RANK(AB376,AB$8:AB$507), "")</f>
        <v/>
      </c>
      <c r="AD376" s="55" t="str">
        <f aca="false">IF(ISBLANK($C376),"",IF(V376&lt;&gt;Constants!$B$14, V376, IF(W376=Constants!$B$7, AA376, IF(W376=Constants!$B$8, COUNT($AA$8:$AA$507) + AC376, ""))))</f>
        <v/>
      </c>
      <c r="AE376" s="55" t="str">
        <f aca="false">N376</f>
        <v/>
      </c>
      <c r="AF376" s="55" t="str">
        <f aca="false">IF(ISNUMBER(AE376), RANK(AE376,AE$8:AE$507,1), "")</f>
        <v/>
      </c>
      <c r="AG376" s="57" t="str">
        <f aca="false">IF(ISBLANK(C376), "", ABS(M376-S376))</f>
        <v/>
      </c>
      <c r="AH376" s="55" t="str">
        <f aca="false">IF(ISNUMBER(AG376), RANK(AG376,AG$8:AG$507,1), "")</f>
        <v/>
      </c>
      <c r="AI376" s="55" t="str">
        <f aca="false">IF(ISBLANK(C376),"",IF(V376&lt;&gt;Constants!$B$14, V376, RANK(AD376, AD$8:AD$507, 1)+ SUMPRODUCT(--(AD$8:AD$507=AD376),--(AF376&gt;AF$8:AF$507)) + SUMPRODUCT(--(AD$8:AD$507=AD376),--(AF376=AF$8:AF$507),--(AH376&gt;AH$8:AH$507))))</f>
        <v/>
      </c>
      <c r="AJ376" s="55" t="str">
        <f aca="false">IF(ISBLANK(C376),"",IF(V376&lt;&gt;Constants!$B$14, V376, AD376-AI376))</f>
        <v/>
      </c>
      <c r="AK376" s="59"/>
      <c r="AL376" s="60" t="str">
        <f aca="false">IF(ISBLANK($C376),"",IF($V376&lt;&gt;Constants!$B$14,$V376,X376))</f>
        <v/>
      </c>
      <c r="AM376" s="60" t="str">
        <f aca="false">IF(ISBLANK($C376),"",IF($V376&lt;&gt;Constants!$B$14,$V376,N376))</f>
        <v/>
      </c>
      <c r="AN376" s="62" t="str">
        <f aca="false">IF(ISBLANK(C376),"",IF(V376&lt;&gt;Constants!$B$14, V376, IF(W376=Constants!$B$7,Z376,IF(W376=Constants!$B$8,AB376,""))))</f>
        <v/>
      </c>
      <c r="AO376" s="63" t="str">
        <f aca="false">IF(ISBLANK(C376),"",W376)</f>
        <v/>
      </c>
      <c r="AP376" s="63" t="str">
        <f aca="false">IF(ISBLANK(C376),"",AJ376)</f>
        <v/>
      </c>
      <c r="AQ376" s="63" t="str">
        <f aca="false">IF(ISBLANK(C376),"",AI376)</f>
        <v/>
      </c>
      <c r="AR376" s="64" t="str">
        <f aca="false">IF(ISBLANK(C376),
  "",
IF(AQ376=Constants!$B$11,COUNTA($C$8:$C$507)+2,IF(AQ376=Constants!$B$12,COUNTA($C$8:$C$507)+1,IF(AQ376=Constants!$B$13,COUNTA($C$8:$C$507),AQ376))))</f>
        <v/>
      </c>
      <c r="AS376" s="3"/>
      <c r="AT376" s="65" t="n">
        <f aca="false">IF(OR(ISNUMBER(AQ376),AQ376="DQ",AQ376="P",AQ376="NS"),
    1,
    0
)</f>
        <v>0</v>
      </c>
      <c r="AU376" s="65" t="n">
        <v>369</v>
      </c>
      <c r="AV376" s="65" t="str">
        <f aca="false">IF(ISBLANK($C376),
    "",
   IF(ISNUMBER(AR376),AR376+ROW($B376)/1000,"")
)</f>
        <v/>
      </c>
      <c r="AW376" s="65" t="str">
        <f aca="false">IF(ISNUMBER(AV376), RANK(AV376,AV$8:AV$507,1), "")</f>
        <v/>
      </c>
      <c r="AX376" s="65" t="str">
        <f aca="false">IF(ISBLANK($C376),
    "",
    $B376
)</f>
        <v/>
      </c>
      <c r="AY376" s="65" t="str">
        <f aca="false">IF(ISBLANK($C376),
    "",
    $C376
)</f>
        <v/>
      </c>
      <c r="AZ376" s="65" t="str">
        <f aca="false">IF(ISBLANK($C376),
    "",
    $D376
)</f>
        <v/>
      </c>
      <c r="BA376" s="65" t="str">
        <f aca="false">AO376</f>
        <v/>
      </c>
      <c r="BB376" s="66" t="str">
        <f aca="false">AN376</f>
        <v/>
      </c>
      <c r="BC376" s="65" t="str">
        <f aca="false">IF(ISBLANK($C376),
    "",
    AQ376
)</f>
        <v/>
      </c>
      <c r="BD376" s="67" t="str">
        <f aca="false">IF(AU376&gt;AT$7,
    "",
    VLOOKUP(AU376,AW$8:BC$507,7,FALSE())
)</f>
        <v/>
      </c>
      <c r="BE376" s="68" t="str">
        <f aca="false">IF(AU376&gt;AT$7,
    "",
    VLOOKUP(AU376,AW$8:BC$507,2,FALSE())
)</f>
        <v/>
      </c>
      <c r="BF376" s="68" t="str">
        <f aca="false">IF(AU376&gt;AT$7,
    "",
    VLOOKUP(AU376,AW$8:BC$507,3,FALSE())
)</f>
        <v/>
      </c>
      <c r="BG376" s="68" t="str">
        <f aca="false">IF(AU376&gt;AT$7,
    "",
    VLOOKUP(AU376,AW$8:BC$507,4,FALSE())
)</f>
        <v/>
      </c>
      <c r="BH376" s="68" t="str">
        <f aca="false">IF(AU376&gt;AT$7,
    "",
    VLOOKUP(AU376,AW$8:BC$507,5,FALSE())
)</f>
        <v/>
      </c>
      <c r="BI376" s="69" t="str">
        <f aca="false">IF(AU376&gt;AT$7,
    "",
    VLOOKUP(AU376,AW$8:BC$507,6,FALSE())
)</f>
        <v/>
      </c>
      <c r="BJ376" s="46"/>
    </row>
    <row r="377" customFormat="false" ht="15.75" hidden="false" customHeight="false" outlineLevel="0" collapsed="false">
      <c r="A377" s="3"/>
      <c r="B377" s="105"/>
      <c r="C377" s="106"/>
      <c r="D377" s="99"/>
      <c r="E377" s="110"/>
      <c r="F377" s="107"/>
      <c r="G377" s="110"/>
      <c r="H377" s="103"/>
      <c r="I377" s="102"/>
      <c r="J377" s="103"/>
      <c r="K377" s="103"/>
      <c r="L377" s="85"/>
      <c r="M377" s="85" t="str">
        <f aca="false">IF(ISBLANK($C377),"",IF(ISBLANK(E377),0,E377))</f>
        <v/>
      </c>
      <c r="N377" s="85" t="str">
        <f aca="false">IF(ISBLANK($C377),"",IF(ISBLANK(F377),0,F377))</f>
        <v/>
      </c>
      <c r="O377" s="86" t="e">
        <f aca="false">IF(AND(NOT(ISBLANK($C377)),NOT($T377),COUNTA($E377:$K377)&gt;0),ISBLANK($F377),FALSE())</f>
        <v>#VALUE!</v>
      </c>
      <c r="P377" s="85" t="str">
        <f aca="false">IF(ISBLANK($C377),"",IF(G377=Constants!$B$9, TRUE(), IF(G377=Constants!$B$10, FALSE(), TRUE())))</f>
        <v/>
      </c>
      <c r="Q377" s="85" t="str">
        <f aca="false">IF(ISBLANK($C377),"",IF(H377=Constants!$B$9, TRUE(), IF(H377=Constants!$B$10, FALSE(), TRUE())))</f>
        <v/>
      </c>
      <c r="R377" s="85" t="str">
        <f aca="false">IF(ISBLANK($C377),"",IF(ISBLANK(I377),Constants!$B$3,I377))</f>
        <v/>
      </c>
      <c r="S377" s="85" t="str">
        <f aca="false">IF(ISBLANK($C377),"",IF(ISBLANK(J377),0,MIN(J377,Constants!$B$6)))</f>
        <v/>
      </c>
      <c r="T377" s="85" t="str">
        <f aca="false">IF(ISBLANK($C377),"",IF(K377=Constants!$B$9, TRUE(), IF(K377=Constants!$B$10, FALSE(),  FALSE())))</f>
        <v/>
      </c>
      <c r="U377" s="85" t="str">
        <f aca="false">IF(ISBLANK($C377),"",AND(R377=Constants!$B$4, S377&lt;Constants!$B$6))</f>
        <v/>
      </c>
      <c r="V377" s="85" t="str">
        <f aca="false">IF(ISBLANK(C377), "", IF(T377, Constants!$B$11, IF(COUNTA(E377:K377)=0, Constants!$B$12, IF(NOT(AND(P377,S377&lt;&gt;0)), Constants!$B$13, IF(O377, Constants!$B$15, Constants!$B$14)))))</f>
        <v/>
      </c>
      <c r="W377" s="85" t="str">
        <f aca="false">IF(OR(ISBLANK($C377), SUMPRODUCT(--(P377:T377&lt;&gt;""))=0), "", IF(V377&lt;&gt;Constants!$B$14, V377, IF(AND(NOT(ISBLANK(J377)),P377,Q377,R377&lt;&gt;Constants!$B$2), Constants!$B$7, IF(AND(P377,OR(NOT(Q377),R377=Constants!$B$2)), Constants!$B$8, "Error"))))</f>
        <v/>
      </c>
      <c r="X377" s="87" t="str">
        <f aca="false">IF(OR(W377=Constants!$B$7,W377=Constants!$B$8), MAX(0, MIN(Constants!$B$6, S377))+IF(AND(R377=Constants!$B$4, NOT(U377)), Constants!$B$5, 0), "")</f>
        <v/>
      </c>
      <c r="Y377" s="85" t="str">
        <f aca="false">IF(ISBLANK($C377),"",IF(AND(ISNUMBER(X377),N377&gt;0),X377/N377, "") )</f>
        <v/>
      </c>
      <c r="Z377" s="85" t="str">
        <f aca="false">IF(AND(NOT(ISBLANK($C377)), W377=Constants!$B$7), Y377, "")</f>
        <v/>
      </c>
      <c r="AA377" s="85" t="str">
        <f aca="false">IF(ISNUMBER(Z377), RANK(Z377,Z$8:Z$507), "")</f>
        <v/>
      </c>
      <c r="AB377" s="85" t="str">
        <f aca="false">IF(AND(NOT(ISBLANK($C377)), W377=Constants!$B$8), Y377, "")</f>
        <v/>
      </c>
      <c r="AC377" s="85" t="str">
        <f aca="false">IF(ISNUMBER(AB377), RANK(AB377,AB$8:AB$507), "")</f>
        <v/>
      </c>
      <c r="AD377" s="85" t="str">
        <f aca="false">IF(ISBLANK($C377),"",IF(V377&lt;&gt;Constants!$B$14, V377, IF(W377=Constants!$B$7, AA377, IF(W377=Constants!$B$8, COUNT($AA$8:$AA$507) + AC377, ""))))</f>
        <v/>
      </c>
      <c r="AE377" s="85" t="str">
        <f aca="false">N377</f>
        <v/>
      </c>
      <c r="AF377" s="85" t="str">
        <f aca="false">IF(ISNUMBER(AE377), RANK(AE377,AE$8:AE$507,1), "")</f>
        <v/>
      </c>
      <c r="AG377" s="88" t="str">
        <f aca="false">IF(ISBLANK(C377), "", ABS(M377-S377))</f>
        <v/>
      </c>
      <c r="AH377" s="85" t="str">
        <f aca="false">IF(ISNUMBER(AG377), RANK(AG377,AG$8:AG$507,1), "")</f>
        <v/>
      </c>
      <c r="AI377" s="85" t="str">
        <f aca="false">IF(ISBLANK(C377),"",IF(V377&lt;&gt;Constants!$B$14, V377, RANK(AD377, AD$8:AD$507, 1)+ SUMPRODUCT(--(AD$8:AD$507=AD377),--(AF377&gt;AF$8:AF$507)) + SUMPRODUCT(--(AD$8:AD$507=AD377),--(AF377=AF$8:AF$507),--(AH377&gt;AH$8:AH$507))))</f>
        <v/>
      </c>
      <c r="AJ377" s="85" t="str">
        <f aca="false">IF(ISBLANK(C377),"",IF(V377&lt;&gt;Constants!$B$14, V377, AD377-AI377))</f>
        <v/>
      </c>
      <c r="AK377" s="89"/>
      <c r="AL377" s="90" t="str">
        <f aca="false">IF(ISBLANK($C377),"",IF($V377&lt;&gt;Constants!$B$14,$V377,X377))</f>
        <v/>
      </c>
      <c r="AM377" s="90" t="str">
        <f aca="false">IF(ISBLANK($C377),"",IF($V377&lt;&gt;Constants!$B$14,$V377,N377))</f>
        <v/>
      </c>
      <c r="AN377" s="91" t="str">
        <f aca="false">IF(ISBLANK(C377),"",IF(V377&lt;&gt;Constants!$B$14, V377, IF(W377=Constants!$B$7,Z377,IF(W377=Constants!$B$8,AB377,""))))</f>
        <v/>
      </c>
      <c r="AO377" s="92" t="str">
        <f aca="false">IF(ISBLANK(C377),"",W377)</f>
        <v/>
      </c>
      <c r="AP377" s="92" t="str">
        <f aca="false">IF(ISBLANK(C377),"",AJ377)</f>
        <v/>
      </c>
      <c r="AQ377" s="92" t="str">
        <f aca="false">IF(ISBLANK(C377),"",AI377)</f>
        <v/>
      </c>
      <c r="AR377" s="93" t="str">
        <f aca="false">IF(ISBLANK(C377),
  "",
IF(AQ377=Constants!$B$11,COUNTA($C$8:$C$507)+2,IF(AQ377=Constants!$B$12,COUNTA($C$8:$C$507)+1,IF(AQ377=Constants!$B$13,COUNTA($C$8:$C$507),AQ377))))</f>
        <v/>
      </c>
      <c r="AS377" s="3"/>
      <c r="AT377" s="94" t="n">
        <f aca="false">IF(OR(ISNUMBER(AQ377),AQ377="DQ",AQ377="P",AQ377="NS"),
    1,
    0
)</f>
        <v>0</v>
      </c>
      <c r="AU377" s="94" t="n">
        <v>370</v>
      </c>
      <c r="AV377" s="94" t="str">
        <f aca="false">IF(ISBLANK($C377),
    "",
   IF(ISNUMBER(AR377),AR377+ROW($B377)/1000,"")
)</f>
        <v/>
      </c>
      <c r="AW377" s="94" t="str">
        <f aca="false">IF(ISNUMBER(AV377), RANK(AV377,AV$8:AV$507,1), "")</f>
        <v/>
      </c>
      <c r="AX377" s="94" t="str">
        <f aca="false">IF(ISBLANK($C377),
    "",
    $B377
)</f>
        <v/>
      </c>
      <c r="AY377" s="94" t="str">
        <f aca="false">IF(ISBLANK($C377),
    "",
    $C377
)</f>
        <v/>
      </c>
      <c r="AZ377" s="94" t="str">
        <f aca="false">IF(ISBLANK($C377),
    "",
    $D377
)</f>
        <v/>
      </c>
      <c r="BA377" s="94" t="str">
        <f aca="false">AO377</f>
        <v/>
      </c>
      <c r="BB377" s="95" t="str">
        <f aca="false">AN377</f>
        <v/>
      </c>
      <c r="BC377" s="94" t="str">
        <f aca="false">IF(ISBLANK($C377),
    "",
    AQ377
)</f>
        <v/>
      </c>
      <c r="BD377" s="96" t="str">
        <f aca="false">IF(AU377&gt;AT$7,
    "",
    VLOOKUP(AU377,AW$8:BC$507,7,FALSE())
)</f>
        <v/>
      </c>
      <c r="BE377" s="97" t="str">
        <f aca="false">IF(AU377&gt;AT$7,
    "",
    VLOOKUP(AU377,AW$8:BC$507,2,FALSE())
)</f>
        <v/>
      </c>
      <c r="BF377" s="97" t="str">
        <f aca="false">IF(AU377&gt;AT$7,
    "",
    VLOOKUP(AU377,AW$8:BC$507,3,FALSE())
)</f>
        <v/>
      </c>
      <c r="BG377" s="97" t="str">
        <f aca="false">IF(AU377&gt;AT$7,
    "",
    VLOOKUP(AU377,AW$8:BC$507,4,FALSE())
)</f>
        <v/>
      </c>
      <c r="BH377" s="97" t="str">
        <f aca="false">IF(AU377&gt;AT$7,
    "",
    VLOOKUP(AU377,AW$8:BC$507,5,FALSE())
)</f>
        <v/>
      </c>
      <c r="BI377" s="98" t="str">
        <f aca="false">IF(AU377&gt;AT$7,
    "",
    VLOOKUP(AU377,AW$8:BC$507,6,FALSE())
)</f>
        <v/>
      </c>
      <c r="BJ377" s="46"/>
    </row>
    <row r="378" customFormat="false" ht="15.75" hidden="false" customHeight="false" outlineLevel="0" collapsed="false">
      <c r="A378" s="3"/>
      <c r="B378" s="105"/>
      <c r="C378" s="106"/>
      <c r="D378" s="99"/>
      <c r="E378" s="110"/>
      <c r="F378" s="107"/>
      <c r="G378" s="110"/>
      <c r="H378" s="103"/>
      <c r="I378" s="102"/>
      <c r="J378" s="103"/>
      <c r="K378" s="103"/>
      <c r="L378" s="85"/>
      <c r="M378" s="85" t="str">
        <f aca="false">IF(ISBLANK($C378),"",IF(ISBLANK(E378),0,E378))</f>
        <v/>
      </c>
      <c r="N378" s="85" t="str">
        <f aca="false">IF(ISBLANK($C378),"",IF(ISBLANK(F378),0,F378))</f>
        <v/>
      </c>
      <c r="O378" s="86" t="e">
        <f aca="false">IF(AND(NOT(ISBLANK($C378)),NOT($T378),COUNTA($E378:$K378)&gt;0),ISBLANK($F378),FALSE())</f>
        <v>#VALUE!</v>
      </c>
      <c r="P378" s="85" t="str">
        <f aca="false">IF(ISBLANK($C378),"",IF(G378=Constants!$B$9, TRUE(), IF(G378=Constants!$B$10, FALSE(), TRUE())))</f>
        <v/>
      </c>
      <c r="Q378" s="85" t="str">
        <f aca="false">IF(ISBLANK($C378),"",IF(H378=Constants!$B$9, TRUE(), IF(H378=Constants!$B$10, FALSE(), TRUE())))</f>
        <v/>
      </c>
      <c r="R378" s="85" t="str">
        <f aca="false">IF(ISBLANK($C378),"",IF(ISBLANK(I378),Constants!$B$3,I378))</f>
        <v/>
      </c>
      <c r="S378" s="85" t="str">
        <f aca="false">IF(ISBLANK($C378),"",IF(ISBLANK(J378),0,MIN(J378,Constants!$B$6)))</f>
        <v/>
      </c>
      <c r="T378" s="85" t="str">
        <f aca="false">IF(ISBLANK($C378),"",IF(K378=Constants!$B$9, TRUE(), IF(K378=Constants!$B$10, FALSE(),  FALSE())))</f>
        <v/>
      </c>
      <c r="U378" s="85" t="str">
        <f aca="false">IF(ISBLANK($C378),"",AND(R378=Constants!$B$4, S378&lt;Constants!$B$6))</f>
        <v/>
      </c>
      <c r="V378" s="85" t="str">
        <f aca="false">IF(ISBLANK(C378), "", IF(T378, Constants!$B$11, IF(COUNTA(E378:K378)=0, Constants!$B$12, IF(NOT(AND(P378,S378&lt;&gt;0)), Constants!$B$13, IF(O378, Constants!$B$15, Constants!$B$14)))))</f>
        <v/>
      </c>
      <c r="W378" s="85" t="str">
        <f aca="false">IF(OR(ISBLANK($C378), SUMPRODUCT(--(P378:T378&lt;&gt;""))=0), "", IF(V378&lt;&gt;Constants!$B$14, V378, IF(AND(NOT(ISBLANK(J378)),P378,Q378,R378&lt;&gt;Constants!$B$2), Constants!$B$7, IF(AND(P378,OR(NOT(Q378),R378=Constants!$B$2)), Constants!$B$8, "Error"))))</f>
        <v/>
      </c>
      <c r="X378" s="87" t="str">
        <f aca="false">IF(OR(W378=Constants!$B$7,W378=Constants!$B$8), MAX(0, MIN(Constants!$B$6, S378))+IF(AND(R378=Constants!$B$4, NOT(U378)), Constants!$B$5, 0), "")</f>
        <v/>
      </c>
      <c r="Y378" s="85" t="str">
        <f aca="false">IF(ISBLANK($C378),"",IF(AND(ISNUMBER(X378),N378&gt;0),X378/N378, "") )</f>
        <v/>
      </c>
      <c r="Z378" s="85" t="str">
        <f aca="false">IF(AND(NOT(ISBLANK($C378)), W378=Constants!$B$7), Y378, "")</f>
        <v/>
      </c>
      <c r="AA378" s="85" t="str">
        <f aca="false">IF(ISNUMBER(Z378), RANK(Z378,Z$8:Z$507), "")</f>
        <v/>
      </c>
      <c r="AB378" s="85" t="str">
        <f aca="false">IF(AND(NOT(ISBLANK($C378)), W378=Constants!$B$8), Y378, "")</f>
        <v/>
      </c>
      <c r="AC378" s="85" t="str">
        <f aca="false">IF(ISNUMBER(AB378), RANK(AB378,AB$8:AB$507), "")</f>
        <v/>
      </c>
      <c r="AD378" s="85" t="str">
        <f aca="false">IF(ISBLANK($C378),"",IF(V378&lt;&gt;Constants!$B$14, V378, IF(W378=Constants!$B$7, AA378, IF(W378=Constants!$B$8, COUNT($AA$8:$AA$507) + AC378, ""))))</f>
        <v/>
      </c>
      <c r="AE378" s="85" t="str">
        <f aca="false">N378</f>
        <v/>
      </c>
      <c r="AF378" s="85" t="str">
        <f aca="false">IF(ISNUMBER(AE378), RANK(AE378,AE$8:AE$507,1), "")</f>
        <v/>
      </c>
      <c r="AG378" s="88" t="str">
        <f aca="false">IF(ISBLANK(C378), "", ABS(M378-S378))</f>
        <v/>
      </c>
      <c r="AH378" s="85" t="str">
        <f aca="false">IF(ISNUMBER(AG378), RANK(AG378,AG$8:AG$507,1), "")</f>
        <v/>
      </c>
      <c r="AI378" s="85" t="str">
        <f aca="false">IF(ISBLANK(C378),"",IF(V378&lt;&gt;Constants!$B$14, V378, RANK(AD378, AD$8:AD$507, 1)+ SUMPRODUCT(--(AD$8:AD$507=AD378),--(AF378&gt;AF$8:AF$507)) + SUMPRODUCT(--(AD$8:AD$507=AD378),--(AF378=AF$8:AF$507),--(AH378&gt;AH$8:AH$507))))</f>
        <v/>
      </c>
      <c r="AJ378" s="85" t="str">
        <f aca="false">IF(ISBLANK(C378),"",IF(V378&lt;&gt;Constants!$B$14, V378, AD378-AI378))</f>
        <v/>
      </c>
      <c r="AK378" s="89"/>
      <c r="AL378" s="90" t="str">
        <f aca="false">IF(ISBLANK($C378),"",IF($V378&lt;&gt;Constants!$B$14,$V378,X378))</f>
        <v/>
      </c>
      <c r="AM378" s="90" t="str">
        <f aca="false">IF(ISBLANK($C378),"",IF($V378&lt;&gt;Constants!$B$14,$V378,N378))</f>
        <v/>
      </c>
      <c r="AN378" s="91" t="str">
        <f aca="false">IF(ISBLANK(C378),"",IF(V378&lt;&gt;Constants!$B$14, V378, IF(W378=Constants!$B$7,Z378,IF(W378=Constants!$B$8,AB378,""))))</f>
        <v/>
      </c>
      <c r="AO378" s="92" t="str">
        <f aca="false">IF(ISBLANK(C378),"",W378)</f>
        <v/>
      </c>
      <c r="AP378" s="92" t="str">
        <f aca="false">IF(ISBLANK(C378),"",AJ378)</f>
        <v/>
      </c>
      <c r="AQ378" s="92" t="str">
        <f aca="false">IF(ISBLANK(C378),"",AI378)</f>
        <v/>
      </c>
      <c r="AR378" s="93" t="str">
        <f aca="false">IF(ISBLANK(C378),
  "",
IF(AQ378=Constants!$B$11,COUNTA($C$8:$C$507)+2,IF(AQ378=Constants!$B$12,COUNTA($C$8:$C$507)+1,IF(AQ378=Constants!$B$13,COUNTA($C$8:$C$507),AQ378))))</f>
        <v/>
      </c>
      <c r="AS378" s="3"/>
      <c r="AT378" s="94" t="n">
        <f aca="false">IF(OR(ISNUMBER(AQ378),AQ378="DQ",AQ378="P",AQ378="NS"),
    1,
    0
)</f>
        <v>0</v>
      </c>
      <c r="AU378" s="94" t="n">
        <v>371</v>
      </c>
      <c r="AV378" s="94" t="str">
        <f aca="false">IF(ISBLANK($C378),
    "",
   IF(ISNUMBER(AR378),AR378+ROW($B378)/1000,"")
)</f>
        <v/>
      </c>
      <c r="AW378" s="94" t="str">
        <f aca="false">IF(ISNUMBER(AV378), RANK(AV378,AV$8:AV$507,1), "")</f>
        <v/>
      </c>
      <c r="AX378" s="94" t="str">
        <f aca="false">IF(ISBLANK($C378),
    "",
    $B378
)</f>
        <v/>
      </c>
      <c r="AY378" s="94" t="str">
        <f aca="false">IF(ISBLANK($C378),
    "",
    $C378
)</f>
        <v/>
      </c>
      <c r="AZ378" s="94" t="str">
        <f aca="false">IF(ISBLANK($C378),
    "",
    $D378
)</f>
        <v/>
      </c>
      <c r="BA378" s="94" t="str">
        <f aca="false">AO378</f>
        <v/>
      </c>
      <c r="BB378" s="95" t="str">
        <f aca="false">AN378</f>
        <v/>
      </c>
      <c r="BC378" s="94" t="str">
        <f aca="false">IF(ISBLANK($C378),
    "",
    AQ378
)</f>
        <v/>
      </c>
      <c r="BD378" s="96" t="str">
        <f aca="false">IF(AU378&gt;AT$7,
    "",
    VLOOKUP(AU378,AW$8:BC$507,7,FALSE())
)</f>
        <v/>
      </c>
      <c r="BE378" s="97" t="str">
        <f aca="false">IF(AU378&gt;AT$7,
    "",
    VLOOKUP(AU378,AW$8:BC$507,2,FALSE())
)</f>
        <v/>
      </c>
      <c r="BF378" s="97" t="str">
        <f aca="false">IF(AU378&gt;AT$7,
    "",
    VLOOKUP(AU378,AW$8:BC$507,3,FALSE())
)</f>
        <v/>
      </c>
      <c r="BG378" s="97" t="str">
        <f aca="false">IF(AU378&gt;AT$7,
    "",
    VLOOKUP(AU378,AW$8:BC$507,4,FALSE())
)</f>
        <v/>
      </c>
      <c r="BH378" s="97" t="str">
        <f aca="false">IF(AU378&gt;AT$7,
    "",
    VLOOKUP(AU378,AW$8:BC$507,5,FALSE())
)</f>
        <v/>
      </c>
      <c r="BI378" s="98" t="str">
        <f aca="false">IF(AU378&gt;AT$7,
    "",
    VLOOKUP(AU378,AW$8:BC$507,6,FALSE())
)</f>
        <v/>
      </c>
      <c r="BJ378" s="46"/>
    </row>
    <row r="379" customFormat="false" ht="15.75" hidden="false" customHeight="false" outlineLevel="0" collapsed="false">
      <c r="A379" s="3"/>
      <c r="B379" s="105"/>
      <c r="C379" s="106"/>
      <c r="D379" s="99"/>
      <c r="E379" s="110"/>
      <c r="F379" s="107"/>
      <c r="G379" s="110"/>
      <c r="H379" s="103"/>
      <c r="I379" s="102"/>
      <c r="J379" s="103"/>
      <c r="K379" s="103"/>
      <c r="L379" s="85"/>
      <c r="M379" s="85" t="str">
        <f aca="false">IF(ISBLANK($C379),"",IF(ISBLANK(E379),0,E379))</f>
        <v/>
      </c>
      <c r="N379" s="85" t="str">
        <f aca="false">IF(ISBLANK($C379),"",IF(ISBLANK(F379),0,F379))</f>
        <v/>
      </c>
      <c r="O379" s="86" t="e">
        <f aca="false">IF(AND(NOT(ISBLANK($C379)),NOT($T379),COUNTA($E379:$K379)&gt;0),ISBLANK($F379),FALSE())</f>
        <v>#VALUE!</v>
      </c>
      <c r="P379" s="85" t="str">
        <f aca="false">IF(ISBLANK($C379),"",IF(G379=Constants!$B$9, TRUE(), IF(G379=Constants!$B$10, FALSE(), TRUE())))</f>
        <v/>
      </c>
      <c r="Q379" s="85" t="str">
        <f aca="false">IF(ISBLANK($C379),"",IF(H379=Constants!$B$9, TRUE(), IF(H379=Constants!$B$10, FALSE(), TRUE())))</f>
        <v/>
      </c>
      <c r="R379" s="85" t="str">
        <f aca="false">IF(ISBLANK($C379),"",IF(ISBLANK(I379),Constants!$B$3,I379))</f>
        <v/>
      </c>
      <c r="S379" s="85" t="str">
        <f aca="false">IF(ISBLANK($C379),"",IF(ISBLANK(J379),0,MIN(J379,Constants!$B$6)))</f>
        <v/>
      </c>
      <c r="T379" s="85" t="str">
        <f aca="false">IF(ISBLANK($C379),"",IF(K379=Constants!$B$9, TRUE(), IF(K379=Constants!$B$10, FALSE(),  FALSE())))</f>
        <v/>
      </c>
      <c r="U379" s="85" t="str">
        <f aca="false">IF(ISBLANK($C379),"",AND(R379=Constants!$B$4, S379&lt;Constants!$B$6))</f>
        <v/>
      </c>
      <c r="V379" s="85" t="str">
        <f aca="false">IF(ISBLANK(C379), "", IF(T379, Constants!$B$11, IF(COUNTA(E379:K379)=0, Constants!$B$12, IF(NOT(AND(P379,S379&lt;&gt;0)), Constants!$B$13, IF(O379, Constants!$B$15, Constants!$B$14)))))</f>
        <v/>
      </c>
      <c r="W379" s="85" t="str">
        <f aca="false">IF(OR(ISBLANK($C379), SUMPRODUCT(--(P379:T379&lt;&gt;""))=0), "", IF(V379&lt;&gt;Constants!$B$14, V379, IF(AND(NOT(ISBLANK(J379)),P379,Q379,R379&lt;&gt;Constants!$B$2), Constants!$B$7, IF(AND(P379,OR(NOT(Q379),R379=Constants!$B$2)), Constants!$B$8, "Error"))))</f>
        <v/>
      </c>
      <c r="X379" s="87" t="str">
        <f aca="false">IF(OR(W379=Constants!$B$7,W379=Constants!$B$8), MAX(0, MIN(Constants!$B$6, S379))+IF(AND(R379=Constants!$B$4, NOT(U379)), Constants!$B$5, 0), "")</f>
        <v/>
      </c>
      <c r="Y379" s="85" t="str">
        <f aca="false">IF(ISBLANK($C379),"",IF(AND(ISNUMBER(X379),N379&gt;0),X379/N379, "") )</f>
        <v/>
      </c>
      <c r="Z379" s="85" t="str">
        <f aca="false">IF(AND(NOT(ISBLANK($C379)), W379=Constants!$B$7), Y379, "")</f>
        <v/>
      </c>
      <c r="AA379" s="85" t="str">
        <f aca="false">IF(ISNUMBER(Z379), RANK(Z379,Z$8:Z$507), "")</f>
        <v/>
      </c>
      <c r="AB379" s="85" t="str">
        <f aca="false">IF(AND(NOT(ISBLANK($C379)), W379=Constants!$B$8), Y379, "")</f>
        <v/>
      </c>
      <c r="AC379" s="85" t="str">
        <f aca="false">IF(ISNUMBER(AB379), RANK(AB379,AB$8:AB$507), "")</f>
        <v/>
      </c>
      <c r="AD379" s="85" t="str">
        <f aca="false">IF(ISBLANK($C379),"",IF(V379&lt;&gt;Constants!$B$14, V379, IF(W379=Constants!$B$7, AA379, IF(W379=Constants!$B$8, COUNT($AA$8:$AA$507) + AC379, ""))))</f>
        <v/>
      </c>
      <c r="AE379" s="85" t="str">
        <f aca="false">N379</f>
        <v/>
      </c>
      <c r="AF379" s="85" t="str">
        <f aca="false">IF(ISNUMBER(AE379), RANK(AE379,AE$8:AE$507,1), "")</f>
        <v/>
      </c>
      <c r="AG379" s="88" t="str">
        <f aca="false">IF(ISBLANK(C379), "", ABS(M379-S379))</f>
        <v/>
      </c>
      <c r="AH379" s="85" t="str">
        <f aca="false">IF(ISNUMBER(AG379), RANK(AG379,AG$8:AG$507,1), "")</f>
        <v/>
      </c>
      <c r="AI379" s="85" t="str">
        <f aca="false">IF(ISBLANK(C379),"",IF(V379&lt;&gt;Constants!$B$14, V379, RANK(AD379, AD$8:AD$507, 1)+ SUMPRODUCT(--(AD$8:AD$507=AD379),--(AF379&gt;AF$8:AF$507)) + SUMPRODUCT(--(AD$8:AD$507=AD379),--(AF379=AF$8:AF$507),--(AH379&gt;AH$8:AH$507))))</f>
        <v/>
      </c>
      <c r="AJ379" s="85" t="str">
        <f aca="false">IF(ISBLANK(C379),"",IF(V379&lt;&gt;Constants!$B$14, V379, AD379-AI379))</f>
        <v/>
      </c>
      <c r="AK379" s="89"/>
      <c r="AL379" s="90" t="str">
        <f aca="false">IF(ISBLANK($C379),"",IF($V379&lt;&gt;Constants!$B$14,$V379,X379))</f>
        <v/>
      </c>
      <c r="AM379" s="90" t="str">
        <f aca="false">IF(ISBLANK($C379),"",IF($V379&lt;&gt;Constants!$B$14,$V379,N379))</f>
        <v/>
      </c>
      <c r="AN379" s="91" t="str">
        <f aca="false">IF(ISBLANK(C379),"",IF(V379&lt;&gt;Constants!$B$14, V379, IF(W379=Constants!$B$7,Z379,IF(W379=Constants!$B$8,AB379,""))))</f>
        <v/>
      </c>
      <c r="AO379" s="92" t="str">
        <f aca="false">IF(ISBLANK(C379),"",W379)</f>
        <v/>
      </c>
      <c r="AP379" s="92" t="str">
        <f aca="false">IF(ISBLANK(C379),"",AJ379)</f>
        <v/>
      </c>
      <c r="AQ379" s="92" t="str">
        <f aca="false">IF(ISBLANK(C379),"",AI379)</f>
        <v/>
      </c>
      <c r="AR379" s="93" t="str">
        <f aca="false">IF(ISBLANK(C379),
  "",
IF(AQ379=Constants!$B$11,COUNTA($C$8:$C$507)+2,IF(AQ379=Constants!$B$12,COUNTA($C$8:$C$507)+1,IF(AQ379=Constants!$B$13,COUNTA($C$8:$C$507),AQ379))))</f>
        <v/>
      </c>
      <c r="AS379" s="3"/>
      <c r="AT379" s="94" t="n">
        <f aca="false">IF(OR(ISNUMBER(AQ379),AQ379="DQ",AQ379="P",AQ379="NS"),
    1,
    0
)</f>
        <v>0</v>
      </c>
      <c r="AU379" s="94" t="n">
        <v>372</v>
      </c>
      <c r="AV379" s="94" t="str">
        <f aca="false">IF(ISBLANK($C379),
    "",
   IF(ISNUMBER(AR379),AR379+ROW($B379)/1000,"")
)</f>
        <v/>
      </c>
      <c r="AW379" s="94" t="str">
        <f aca="false">IF(ISNUMBER(AV379), RANK(AV379,AV$8:AV$507,1), "")</f>
        <v/>
      </c>
      <c r="AX379" s="94" t="str">
        <f aca="false">IF(ISBLANK($C379),
    "",
    $B379
)</f>
        <v/>
      </c>
      <c r="AY379" s="94" t="str">
        <f aca="false">IF(ISBLANK($C379),
    "",
    $C379
)</f>
        <v/>
      </c>
      <c r="AZ379" s="94" t="str">
        <f aca="false">IF(ISBLANK($C379),
    "",
    $D379
)</f>
        <v/>
      </c>
      <c r="BA379" s="94" t="str">
        <f aca="false">AO379</f>
        <v/>
      </c>
      <c r="BB379" s="95" t="str">
        <f aca="false">AN379</f>
        <v/>
      </c>
      <c r="BC379" s="94" t="str">
        <f aca="false">IF(ISBLANK($C379),
    "",
    AQ379
)</f>
        <v/>
      </c>
      <c r="BD379" s="96" t="str">
        <f aca="false">IF(AU379&gt;AT$7,
    "",
    VLOOKUP(AU379,AW$8:BC$507,7,FALSE())
)</f>
        <v/>
      </c>
      <c r="BE379" s="97" t="str">
        <f aca="false">IF(AU379&gt;AT$7,
    "",
    VLOOKUP(AU379,AW$8:BC$507,2,FALSE())
)</f>
        <v/>
      </c>
      <c r="BF379" s="97" t="str">
        <f aca="false">IF(AU379&gt;AT$7,
    "",
    VLOOKUP(AU379,AW$8:BC$507,3,FALSE())
)</f>
        <v/>
      </c>
      <c r="BG379" s="97" t="str">
        <f aca="false">IF(AU379&gt;AT$7,
    "",
    VLOOKUP(AU379,AW$8:BC$507,4,FALSE())
)</f>
        <v/>
      </c>
      <c r="BH379" s="97" t="str">
        <f aca="false">IF(AU379&gt;AT$7,
    "",
    VLOOKUP(AU379,AW$8:BC$507,5,FALSE())
)</f>
        <v/>
      </c>
      <c r="BI379" s="98" t="str">
        <f aca="false">IF(AU379&gt;AT$7,
    "",
    VLOOKUP(AU379,AW$8:BC$507,6,FALSE())
)</f>
        <v/>
      </c>
      <c r="BJ379" s="46"/>
    </row>
    <row r="380" customFormat="false" ht="15.75" hidden="false" customHeight="false" outlineLevel="0" collapsed="false">
      <c r="A380" s="3"/>
      <c r="B380" s="108"/>
      <c r="C380" s="70"/>
      <c r="D380" s="49"/>
      <c r="E380" s="109"/>
      <c r="F380" s="72"/>
      <c r="G380" s="109"/>
      <c r="H380" s="74"/>
      <c r="I380" s="104"/>
      <c r="J380" s="74"/>
      <c r="K380" s="74"/>
      <c r="L380" s="55"/>
      <c r="M380" s="55" t="str">
        <f aca="false">IF(ISBLANK($C380),"",IF(ISBLANK(E380),0,E380))</f>
        <v/>
      </c>
      <c r="N380" s="55" t="str">
        <f aca="false">IF(ISBLANK($C380),"",IF(ISBLANK(F380),0,F380))</f>
        <v/>
      </c>
      <c r="O380" s="55" t="e">
        <f aca="false">IF(AND(NOT(ISBLANK($C380)),NOT($T380),COUNTA($E380:$K380)&gt;0),ISBLANK($F380),FALSE())</f>
        <v>#VALUE!</v>
      </c>
      <c r="P380" s="55" t="str">
        <f aca="false">IF(ISBLANK($C380),"",IF(G380=Constants!$B$9, TRUE(), IF(G380=Constants!$B$10, FALSE(), TRUE())))</f>
        <v/>
      </c>
      <c r="Q380" s="55" t="str">
        <f aca="false">IF(ISBLANK($C380),"",IF(H380=Constants!$B$9, TRUE(), IF(H380=Constants!$B$10, FALSE(), TRUE())))</f>
        <v/>
      </c>
      <c r="R380" s="55" t="str">
        <f aca="false">IF(ISBLANK($C380),"",IF(ISBLANK(I380),Constants!$B$3,I380))</f>
        <v/>
      </c>
      <c r="S380" s="55" t="str">
        <f aca="false">IF(ISBLANK($C380),"",IF(ISBLANK(J380),0,MIN(J380,Constants!$B$6)))</f>
        <v/>
      </c>
      <c r="T380" s="55" t="str">
        <f aca="false">IF(ISBLANK($C380),"",IF(K380=Constants!$B$9, TRUE(), IF(K380=Constants!$B$10, FALSE(),  FALSE())))</f>
        <v/>
      </c>
      <c r="U380" s="55" t="str">
        <f aca="false">IF(ISBLANK($C380),"",AND(R380=Constants!$B$4, S380&lt;Constants!$B$6))</f>
        <v/>
      </c>
      <c r="V380" s="55" t="str">
        <f aca="false">IF(ISBLANK(C380), "", IF(T380, Constants!$B$11, IF(COUNTA(E380:K380)=0, Constants!$B$12, IF(NOT(AND(P380,S380&lt;&gt;0)), Constants!$B$13, IF(O380, Constants!$B$15, Constants!$B$14)))))</f>
        <v/>
      </c>
      <c r="W380" s="55" t="str">
        <f aca="false">IF(OR(ISBLANK($C380), SUMPRODUCT(--(P380:T380&lt;&gt;""))=0), "", IF(V380&lt;&gt;Constants!$B$14, V380, IF(AND(NOT(ISBLANK(J380)),P380,Q380,R380&lt;&gt;Constants!$B$2), Constants!$B$7, IF(AND(P380,OR(NOT(Q380),R380=Constants!$B$2)), Constants!$B$8, "Error"))))</f>
        <v/>
      </c>
      <c r="X380" s="56" t="str">
        <f aca="false">IF(OR(W380=Constants!$B$7,W380=Constants!$B$8), MAX(0, MIN(Constants!$B$6, S380))+IF(AND(R380=Constants!$B$4, NOT(U380)), Constants!$B$5, 0), "")</f>
        <v/>
      </c>
      <c r="Y380" s="55" t="str">
        <f aca="false">IF(ISBLANK($C380),"",IF(AND(ISNUMBER(X380),N380&gt;0),X380/N380, "") )</f>
        <v/>
      </c>
      <c r="Z380" s="55" t="str">
        <f aca="false">IF(AND(NOT(ISBLANK($C380)), W380=Constants!$B$7), Y380, "")</f>
        <v/>
      </c>
      <c r="AA380" s="55" t="str">
        <f aca="false">IF(ISNUMBER(Z380), RANK(Z380,Z$8:Z$507), "")</f>
        <v/>
      </c>
      <c r="AB380" s="55" t="str">
        <f aca="false">IF(AND(NOT(ISBLANK($C380)), W380=Constants!$B$8), Y380, "")</f>
        <v/>
      </c>
      <c r="AC380" s="55" t="str">
        <f aca="false">IF(ISNUMBER(AB380), RANK(AB380,AB$8:AB$507), "")</f>
        <v/>
      </c>
      <c r="AD380" s="55" t="str">
        <f aca="false">IF(ISBLANK($C380),"",IF(V380&lt;&gt;Constants!$B$14, V380, IF(W380=Constants!$B$7, AA380, IF(W380=Constants!$B$8, COUNT($AA$8:$AA$507) + AC380, ""))))</f>
        <v/>
      </c>
      <c r="AE380" s="55" t="str">
        <f aca="false">N380</f>
        <v/>
      </c>
      <c r="AF380" s="55" t="str">
        <f aca="false">IF(ISNUMBER(AE380), RANK(AE380,AE$8:AE$507,1), "")</f>
        <v/>
      </c>
      <c r="AG380" s="57" t="str">
        <f aca="false">IF(ISBLANK(C380), "", ABS(M380-S380))</f>
        <v/>
      </c>
      <c r="AH380" s="55" t="str">
        <f aca="false">IF(ISNUMBER(AG380), RANK(AG380,AG$8:AG$507,1), "")</f>
        <v/>
      </c>
      <c r="AI380" s="55" t="str">
        <f aca="false">IF(ISBLANK(C380),"",IF(V380&lt;&gt;Constants!$B$14, V380, RANK(AD380, AD$8:AD$507, 1)+ SUMPRODUCT(--(AD$8:AD$507=AD380),--(AF380&gt;AF$8:AF$507)) + SUMPRODUCT(--(AD$8:AD$507=AD380),--(AF380=AF$8:AF$507),--(AH380&gt;AH$8:AH$507))))</f>
        <v/>
      </c>
      <c r="AJ380" s="55" t="str">
        <f aca="false">IF(ISBLANK(C380),"",IF(V380&lt;&gt;Constants!$B$14, V380, AD380-AI380))</f>
        <v/>
      </c>
      <c r="AK380" s="59"/>
      <c r="AL380" s="60" t="str">
        <f aca="false">IF(ISBLANK($C380),"",IF($V380&lt;&gt;Constants!$B$14,$V380,X380))</f>
        <v/>
      </c>
      <c r="AM380" s="60" t="str">
        <f aca="false">IF(ISBLANK($C380),"",IF($V380&lt;&gt;Constants!$B$14,$V380,N380))</f>
        <v/>
      </c>
      <c r="AN380" s="62" t="str">
        <f aca="false">IF(ISBLANK(C380),"",IF(V380&lt;&gt;Constants!$B$14, V380, IF(W380=Constants!$B$7,Z380,IF(W380=Constants!$B$8,AB380,""))))</f>
        <v/>
      </c>
      <c r="AO380" s="63" t="str">
        <f aca="false">IF(ISBLANK(C380),"",W380)</f>
        <v/>
      </c>
      <c r="AP380" s="63" t="str">
        <f aca="false">IF(ISBLANK(C380),"",AJ380)</f>
        <v/>
      </c>
      <c r="AQ380" s="63" t="str">
        <f aca="false">IF(ISBLANK(C380),"",AI380)</f>
        <v/>
      </c>
      <c r="AR380" s="64" t="str">
        <f aca="false">IF(ISBLANK(C380),
  "",
IF(AQ380=Constants!$B$11,COUNTA($C$8:$C$507)+2,IF(AQ380=Constants!$B$12,COUNTA($C$8:$C$507)+1,IF(AQ380=Constants!$B$13,COUNTA($C$8:$C$507),AQ380))))</f>
        <v/>
      </c>
      <c r="AS380" s="3"/>
      <c r="AT380" s="65" t="n">
        <f aca="false">IF(OR(ISNUMBER(AQ380),AQ380="DQ",AQ380="P",AQ380="NS"),
    1,
    0
)</f>
        <v>0</v>
      </c>
      <c r="AU380" s="65" t="n">
        <v>373</v>
      </c>
      <c r="AV380" s="65" t="str">
        <f aca="false">IF(ISBLANK($C380),
    "",
   IF(ISNUMBER(AR380),AR380+ROW($B380)/1000,"")
)</f>
        <v/>
      </c>
      <c r="AW380" s="65" t="str">
        <f aca="false">IF(ISNUMBER(AV380), RANK(AV380,AV$8:AV$507,1), "")</f>
        <v/>
      </c>
      <c r="AX380" s="65" t="str">
        <f aca="false">IF(ISBLANK($C380),
    "",
    $B380
)</f>
        <v/>
      </c>
      <c r="AY380" s="65" t="str">
        <f aca="false">IF(ISBLANK($C380),
    "",
    $C380
)</f>
        <v/>
      </c>
      <c r="AZ380" s="65" t="str">
        <f aca="false">IF(ISBLANK($C380),
    "",
    $D380
)</f>
        <v/>
      </c>
      <c r="BA380" s="65" t="str">
        <f aca="false">AO380</f>
        <v/>
      </c>
      <c r="BB380" s="66" t="str">
        <f aca="false">AN380</f>
        <v/>
      </c>
      <c r="BC380" s="65" t="str">
        <f aca="false">IF(ISBLANK($C380),
    "",
    AQ380
)</f>
        <v/>
      </c>
      <c r="BD380" s="67" t="str">
        <f aca="false">IF(AU380&gt;AT$7,
    "",
    VLOOKUP(AU380,AW$8:BC$507,7,FALSE())
)</f>
        <v/>
      </c>
      <c r="BE380" s="68" t="str">
        <f aca="false">IF(AU380&gt;AT$7,
    "",
    VLOOKUP(AU380,AW$8:BC$507,2,FALSE())
)</f>
        <v/>
      </c>
      <c r="BF380" s="68" t="str">
        <f aca="false">IF(AU380&gt;AT$7,
    "",
    VLOOKUP(AU380,AW$8:BC$507,3,FALSE())
)</f>
        <v/>
      </c>
      <c r="BG380" s="68" t="str">
        <f aca="false">IF(AU380&gt;AT$7,
    "",
    VLOOKUP(AU380,AW$8:BC$507,4,FALSE())
)</f>
        <v/>
      </c>
      <c r="BH380" s="68" t="str">
        <f aca="false">IF(AU380&gt;AT$7,
    "",
    VLOOKUP(AU380,AW$8:BC$507,5,FALSE())
)</f>
        <v/>
      </c>
      <c r="BI380" s="69" t="str">
        <f aca="false">IF(AU380&gt;AT$7,
    "",
    VLOOKUP(AU380,AW$8:BC$507,6,FALSE())
)</f>
        <v/>
      </c>
      <c r="BJ380" s="46"/>
    </row>
    <row r="381" customFormat="false" ht="15.75" hidden="false" customHeight="false" outlineLevel="0" collapsed="false">
      <c r="A381" s="3"/>
      <c r="B381" s="108"/>
      <c r="C381" s="70"/>
      <c r="D381" s="49"/>
      <c r="E381" s="109"/>
      <c r="F381" s="72"/>
      <c r="G381" s="109"/>
      <c r="H381" s="74"/>
      <c r="I381" s="104"/>
      <c r="J381" s="74"/>
      <c r="K381" s="74"/>
      <c r="L381" s="55"/>
      <c r="M381" s="55" t="str">
        <f aca="false">IF(ISBLANK($C381),"",IF(ISBLANK(E381),0,E381))</f>
        <v/>
      </c>
      <c r="N381" s="55" t="str">
        <f aca="false">IF(ISBLANK($C381),"",IF(ISBLANK(F381),0,F381))</f>
        <v/>
      </c>
      <c r="O381" s="55" t="e">
        <f aca="false">IF(AND(NOT(ISBLANK($C381)),NOT($T381),COUNTA($E381:$K381)&gt;0),ISBLANK($F381),FALSE())</f>
        <v>#VALUE!</v>
      </c>
      <c r="P381" s="55" t="str">
        <f aca="false">IF(ISBLANK($C381),"",IF(G381=Constants!$B$9, TRUE(), IF(G381=Constants!$B$10, FALSE(), TRUE())))</f>
        <v/>
      </c>
      <c r="Q381" s="55" t="str">
        <f aca="false">IF(ISBLANK($C381),"",IF(H381=Constants!$B$9, TRUE(), IF(H381=Constants!$B$10, FALSE(), TRUE())))</f>
        <v/>
      </c>
      <c r="R381" s="55" t="str">
        <f aca="false">IF(ISBLANK($C381),"",IF(ISBLANK(I381),Constants!$B$3,I381))</f>
        <v/>
      </c>
      <c r="S381" s="55" t="str">
        <f aca="false">IF(ISBLANK($C381),"",IF(ISBLANK(J381),0,MIN(J381,Constants!$B$6)))</f>
        <v/>
      </c>
      <c r="T381" s="55" t="str">
        <f aca="false">IF(ISBLANK($C381),"",IF(K381=Constants!$B$9, TRUE(), IF(K381=Constants!$B$10, FALSE(),  FALSE())))</f>
        <v/>
      </c>
      <c r="U381" s="55" t="str">
        <f aca="false">IF(ISBLANK($C381),"",AND(R381=Constants!$B$4, S381&lt;Constants!$B$6))</f>
        <v/>
      </c>
      <c r="V381" s="55" t="str">
        <f aca="false">IF(ISBLANK(C381), "", IF(T381, Constants!$B$11, IF(COUNTA(E381:K381)=0, Constants!$B$12, IF(NOT(AND(P381,S381&lt;&gt;0)), Constants!$B$13, IF(O381, Constants!$B$15, Constants!$B$14)))))</f>
        <v/>
      </c>
      <c r="W381" s="55" t="str">
        <f aca="false">IF(OR(ISBLANK($C381), SUMPRODUCT(--(P381:T381&lt;&gt;""))=0), "", IF(V381&lt;&gt;Constants!$B$14, V381, IF(AND(NOT(ISBLANK(J381)),P381,Q381,R381&lt;&gt;Constants!$B$2), Constants!$B$7, IF(AND(P381,OR(NOT(Q381),R381=Constants!$B$2)), Constants!$B$8, "Error"))))</f>
        <v/>
      </c>
      <c r="X381" s="56" t="str">
        <f aca="false">IF(OR(W381=Constants!$B$7,W381=Constants!$B$8), MAX(0, MIN(Constants!$B$6, S381))+IF(AND(R381=Constants!$B$4, NOT(U381)), Constants!$B$5, 0), "")</f>
        <v/>
      </c>
      <c r="Y381" s="55" t="str">
        <f aca="false">IF(ISBLANK($C381),"",IF(AND(ISNUMBER(X381),N381&gt;0),X381/N381, "") )</f>
        <v/>
      </c>
      <c r="Z381" s="55" t="str">
        <f aca="false">IF(AND(NOT(ISBLANK($C381)), W381=Constants!$B$7), Y381, "")</f>
        <v/>
      </c>
      <c r="AA381" s="55" t="str">
        <f aca="false">IF(ISNUMBER(Z381), RANK(Z381,Z$8:Z$507), "")</f>
        <v/>
      </c>
      <c r="AB381" s="55" t="str">
        <f aca="false">IF(AND(NOT(ISBLANK($C381)), W381=Constants!$B$8), Y381, "")</f>
        <v/>
      </c>
      <c r="AC381" s="55" t="str">
        <f aca="false">IF(ISNUMBER(AB381), RANK(AB381,AB$8:AB$507), "")</f>
        <v/>
      </c>
      <c r="AD381" s="55" t="str">
        <f aca="false">IF(ISBLANK($C381),"",IF(V381&lt;&gt;Constants!$B$14, V381, IF(W381=Constants!$B$7, AA381, IF(W381=Constants!$B$8, COUNT($AA$8:$AA$507) + AC381, ""))))</f>
        <v/>
      </c>
      <c r="AE381" s="55" t="str">
        <f aca="false">N381</f>
        <v/>
      </c>
      <c r="AF381" s="55" t="str">
        <f aca="false">IF(ISNUMBER(AE381), RANK(AE381,AE$8:AE$507,1), "")</f>
        <v/>
      </c>
      <c r="AG381" s="57" t="str">
        <f aca="false">IF(ISBLANK(C381), "", ABS(M381-S381))</f>
        <v/>
      </c>
      <c r="AH381" s="55" t="str">
        <f aca="false">IF(ISNUMBER(AG381), RANK(AG381,AG$8:AG$507,1), "")</f>
        <v/>
      </c>
      <c r="AI381" s="55" t="str">
        <f aca="false">IF(ISBLANK(C381),"",IF(V381&lt;&gt;Constants!$B$14, V381, RANK(AD381, AD$8:AD$507, 1)+ SUMPRODUCT(--(AD$8:AD$507=AD381),--(AF381&gt;AF$8:AF$507)) + SUMPRODUCT(--(AD$8:AD$507=AD381),--(AF381=AF$8:AF$507),--(AH381&gt;AH$8:AH$507))))</f>
        <v/>
      </c>
      <c r="AJ381" s="55" t="str">
        <f aca="false">IF(ISBLANK(C381),"",IF(V381&lt;&gt;Constants!$B$14, V381, AD381-AI381))</f>
        <v/>
      </c>
      <c r="AK381" s="59"/>
      <c r="AL381" s="60" t="str">
        <f aca="false">IF(ISBLANK($C381),"",IF($V381&lt;&gt;Constants!$B$14,$V381,X381))</f>
        <v/>
      </c>
      <c r="AM381" s="60" t="str">
        <f aca="false">IF(ISBLANK($C381),"",IF($V381&lt;&gt;Constants!$B$14,$V381,N381))</f>
        <v/>
      </c>
      <c r="AN381" s="62" t="str">
        <f aca="false">IF(ISBLANK(C381),"",IF(V381&lt;&gt;Constants!$B$14, V381, IF(W381=Constants!$B$7,Z381,IF(W381=Constants!$B$8,AB381,""))))</f>
        <v/>
      </c>
      <c r="AO381" s="63" t="str">
        <f aca="false">IF(ISBLANK(C381),"",W381)</f>
        <v/>
      </c>
      <c r="AP381" s="63" t="str">
        <f aca="false">IF(ISBLANK(C381),"",AJ381)</f>
        <v/>
      </c>
      <c r="AQ381" s="63" t="str">
        <f aca="false">IF(ISBLANK(C381),"",AI381)</f>
        <v/>
      </c>
      <c r="AR381" s="64" t="str">
        <f aca="false">IF(ISBLANK(C381),
  "",
IF(AQ381=Constants!$B$11,COUNTA($C$8:$C$507)+2,IF(AQ381=Constants!$B$12,COUNTA($C$8:$C$507)+1,IF(AQ381=Constants!$B$13,COUNTA($C$8:$C$507),AQ381))))</f>
        <v/>
      </c>
      <c r="AS381" s="3"/>
      <c r="AT381" s="65" t="n">
        <f aca="false">IF(OR(ISNUMBER(AQ381),AQ381="DQ",AQ381="P",AQ381="NS"),
    1,
    0
)</f>
        <v>0</v>
      </c>
      <c r="AU381" s="65" t="n">
        <v>374</v>
      </c>
      <c r="AV381" s="65" t="str">
        <f aca="false">IF(ISBLANK($C381),
    "",
   IF(ISNUMBER(AR381),AR381+ROW($B381)/1000,"")
)</f>
        <v/>
      </c>
      <c r="AW381" s="65" t="str">
        <f aca="false">IF(ISNUMBER(AV381), RANK(AV381,AV$8:AV$507,1), "")</f>
        <v/>
      </c>
      <c r="AX381" s="65" t="str">
        <f aca="false">IF(ISBLANK($C381),
    "",
    $B381
)</f>
        <v/>
      </c>
      <c r="AY381" s="65" t="str">
        <f aca="false">IF(ISBLANK($C381),
    "",
    $C381
)</f>
        <v/>
      </c>
      <c r="AZ381" s="65" t="str">
        <f aca="false">IF(ISBLANK($C381),
    "",
    $D381
)</f>
        <v/>
      </c>
      <c r="BA381" s="65" t="str">
        <f aca="false">AO381</f>
        <v/>
      </c>
      <c r="BB381" s="66" t="str">
        <f aca="false">AN381</f>
        <v/>
      </c>
      <c r="BC381" s="65" t="str">
        <f aca="false">IF(ISBLANK($C381),
    "",
    AQ381
)</f>
        <v/>
      </c>
      <c r="BD381" s="67" t="str">
        <f aca="false">IF(AU381&gt;AT$7,
    "",
    VLOOKUP(AU381,AW$8:BC$507,7,FALSE())
)</f>
        <v/>
      </c>
      <c r="BE381" s="68" t="str">
        <f aca="false">IF(AU381&gt;AT$7,
    "",
    VLOOKUP(AU381,AW$8:BC$507,2,FALSE())
)</f>
        <v/>
      </c>
      <c r="BF381" s="68" t="str">
        <f aca="false">IF(AU381&gt;AT$7,
    "",
    VLOOKUP(AU381,AW$8:BC$507,3,FALSE())
)</f>
        <v/>
      </c>
      <c r="BG381" s="68" t="str">
        <f aca="false">IF(AU381&gt;AT$7,
    "",
    VLOOKUP(AU381,AW$8:BC$507,4,FALSE())
)</f>
        <v/>
      </c>
      <c r="BH381" s="68" t="str">
        <f aca="false">IF(AU381&gt;AT$7,
    "",
    VLOOKUP(AU381,AW$8:BC$507,5,FALSE())
)</f>
        <v/>
      </c>
      <c r="BI381" s="69" t="str">
        <f aca="false">IF(AU381&gt;AT$7,
    "",
    VLOOKUP(AU381,AW$8:BC$507,6,FALSE())
)</f>
        <v/>
      </c>
      <c r="BJ381" s="46"/>
    </row>
    <row r="382" customFormat="false" ht="15.75" hidden="false" customHeight="false" outlineLevel="0" collapsed="false">
      <c r="A382" s="3"/>
      <c r="B382" s="108"/>
      <c r="C382" s="70"/>
      <c r="D382" s="49"/>
      <c r="E382" s="109"/>
      <c r="F382" s="72"/>
      <c r="G382" s="109"/>
      <c r="H382" s="74"/>
      <c r="I382" s="104"/>
      <c r="J382" s="74"/>
      <c r="K382" s="74"/>
      <c r="L382" s="55"/>
      <c r="M382" s="55" t="str">
        <f aca="false">IF(ISBLANK($C382),"",IF(ISBLANK(E382),0,E382))</f>
        <v/>
      </c>
      <c r="N382" s="55" t="str">
        <f aca="false">IF(ISBLANK($C382),"",IF(ISBLANK(F382),0,F382))</f>
        <v/>
      </c>
      <c r="O382" s="55" t="e">
        <f aca="false">IF(AND(NOT(ISBLANK($C382)),NOT($T382),COUNTA($E382:$K382)&gt;0),ISBLANK($F382),FALSE())</f>
        <v>#VALUE!</v>
      </c>
      <c r="P382" s="55" t="str">
        <f aca="false">IF(ISBLANK($C382),"",IF(G382=Constants!$B$9, TRUE(), IF(G382=Constants!$B$10, FALSE(), TRUE())))</f>
        <v/>
      </c>
      <c r="Q382" s="55" t="str">
        <f aca="false">IF(ISBLANK($C382),"",IF(H382=Constants!$B$9, TRUE(), IF(H382=Constants!$B$10, FALSE(), TRUE())))</f>
        <v/>
      </c>
      <c r="R382" s="55" t="str">
        <f aca="false">IF(ISBLANK($C382),"",IF(ISBLANK(I382),Constants!$B$3,I382))</f>
        <v/>
      </c>
      <c r="S382" s="55" t="str">
        <f aca="false">IF(ISBLANK($C382),"",IF(ISBLANK(J382),0,MIN(J382,Constants!$B$6)))</f>
        <v/>
      </c>
      <c r="T382" s="55" t="str">
        <f aca="false">IF(ISBLANK($C382),"",IF(K382=Constants!$B$9, TRUE(), IF(K382=Constants!$B$10, FALSE(),  FALSE())))</f>
        <v/>
      </c>
      <c r="U382" s="55" t="str">
        <f aca="false">IF(ISBLANK($C382),"",AND(R382=Constants!$B$4, S382&lt;Constants!$B$6))</f>
        <v/>
      </c>
      <c r="V382" s="55" t="str">
        <f aca="false">IF(ISBLANK(C382), "", IF(T382, Constants!$B$11, IF(COUNTA(E382:K382)=0, Constants!$B$12, IF(NOT(AND(P382,S382&lt;&gt;0)), Constants!$B$13, IF(O382, Constants!$B$15, Constants!$B$14)))))</f>
        <v/>
      </c>
      <c r="W382" s="55" t="str">
        <f aca="false">IF(OR(ISBLANK($C382), SUMPRODUCT(--(P382:T382&lt;&gt;""))=0), "", IF(V382&lt;&gt;Constants!$B$14, V382, IF(AND(NOT(ISBLANK(J382)),P382,Q382,R382&lt;&gt;Constants!$B$2), Constants!$B$7, IF(AND(P382,OR(NOT(Q382),R382=Constants!$B$2)), Constants!$B$8, "Error"))))</f>
        <v/>
      </c>
      <c r="X382" s="56" t="str">
        <f aca="false">IF(OR(W382=Constants!$B$7,W382=Constants!$B$8), MAX(0, MIN(Constants!$B$6, S382))+IF(AND(R382=Constants!$B$4, NOT(U382)), Constants!$B$5, 0), "")</f>
        <v/>
      </c>
      <c r="Y382" s="55" t="str">
        <f aca="false">IF(ISBLANK($C382),"",IF(AND(ISNUMBER(X382),N382&gt;0),X382/N382, "") )</f>
        <v/>
      </c>
      <c r="Z382" s="55" t="str">
        <f aca="false">IF(AND(NOT(ISBLANK($C382)), W382=Constants!$B$7), Y382, "")</f>
        <v/>
      </c>
      <c r="AA382" s="55" t="str">
        <f aca="false">IF(ISNUMBER(Z382), RANK(Z382,Z$8:Z$507), "")</f>
        <v/>
      </c>
      <c r="AB382" s="55" t="str">
        <f aca="false">IF(AND(NOT(ISBLANK($C382)), W382=Constants!$B$8), Y382, "")</f>
        <v/>
      </c>
      <c r="AC382" s="55" t="str">
        <f aca="false">IF(ISNUMBER(AB382), RANK(AB382,AB$8:AB$507), "")</f>
        <v/>
      </c>
      <c r="AD382" s="55" t="str">
        <f aca="false">IF(ISBLANK($C382),"",IF(V382&lt;&gt;Constants!$B$14, V382, IF(W382=Constants!$B$7, AA382, IF(W382=Constants!$B$8, COUNT($AA$8:$AA$507) + AC382, ""))))</f>
        <v/>
      </c>
      <c r="AE382" s="55" t="str">
        <f aca="false">N382</f>
        <v/>
      </c>
      <c r="AF382" s="55" t="str">
        <f aca="false">IF(ISNUMBER(AE382), RANK(AE382,AE$8:AE$507,1), "")</f>
        <v/>
      </c>
      <c r="AG382" s="57" t="str">
        <f aca="false">IF(ISBLANK(C382), "", ABS(M382-S382))</f>
        <v/>
      </c>
      <c r="AH382" s="55" t="str">
        <f aca="false">IF(ISNUMBER(AG382), RANK(AG382,AG$8:AG$507,1), "")</f>
        <v/>
      </c>
      <c r="AI382" s="55" t="str">
        <f aca="false">IF(ISBLANK(C382),"",IF(V382&lt;&gt;Constants!$B$14, V382, RANK(AD382, AD$8:AD$507, 1)+ SUMPRODUCT(--(AD$8:AD$507=AD382),--(AF382&gt;AF$8:AF$507)) + SUMPRODUCT(--(AD$8:AD$507=AD382),--(AF382=AF$8:AF$507),--(AH382&gt;AH$8:AH$507))))</f>
        <v/>
      </c>
      <c r="AJ382" s="55" t="str">
        <f aca="false">IF(ISBLANK(C382),"",IF(V382&lt;&gt;Constants!$B$14, V382, AD382-AI382))</f>
        <v/>
      </c>
      <c r="AK382" s="59"/>
      <c r="AL382" s="60" t="str">
        <f aca="false">IF(ISBLANK($C382),"",IF($V382&lt;&gt;Constants!$B$14,$V382,X382))</f>
        <v/>
      </c>
      <c r="AM382" s="60" t="str">
        <f aca="false">IF(ISBLANK($C382),"",IF($V382&lt;&gt;Constants!$B$14,$V382,N382))</f>
        <v/>
      </c>
      <c r="AN382" s="62" t="str">
        <f aca="false">IF(ISBLANK(C382),"",IF(V382&lt;&gt;Constants!$B$14, V382, IF(W382=Constants!$B$7,Z382,IF(W382=Constants!$B$8,AB382,""))))</f>
        <v/>
      </c>
      <c r="AO382" s="63" t="str">
        <f aca="false">IF(ISBLANK(C382),"",W382)</f>
        <v/>
      </c>
      <c r="AP382" s="63" t="str">
        <f aca="false">IF(ISBLANK(C382),"",AJ382)</f>
        <v/>
      </c>
      <c r="AQ382" s="63" t="str">
        <f aca="false">IF(ISBLANK(C382),"",AI382)</f>
        <v/>
      </c>
      <c r="AR382" s="64" t="str">
        <f aca="false">IF(ISBLANK(C382),
  "",
IF(AQ382=Constants!$B$11,COUNTA($C$8:$C$507)+2,IF(AQ382=Constants!$B$12,COUNTA($C$8:$C$507)+1,IF(AQ382=Constants!$B$13,COUNTA($C$8:$C$507),AQ382))))</f>
        <v/>
      </c>
      <c r="AS382" s="3"/>
      <c r="AT382" s="65" t="n">
        <f aca="false">IF(OR(ISNUMBER(AQ382),AQ382="DQ",AQ382="P",AQ382="NS"),
    1,
    0
)</f>
        <v>0</v>
      </c>
      <c r="AU382" s="65" t="n">
        <v>375</v>
      </c>
      <c r="AV382" s="65" t="str">
        <f aca="false">IF(ISBLANK($C382),
    "",
   IF(ISNUMBER(AR382),AR382+ROW($B382)/1000,"")
)</f>
        <v/>
      </c>
      <c r="AW382" s="65" t="str">
        <f aca="false">IF(ISNUMBER(AV382), RANK(AV382,AV$8:AV$507,1), "")</f>
        <v/>
      </c>
      <c r="AX382" s="65" t="str">
        <f aca="false">IF(ISBLANK($C382),
    "",
    $B382
)</f>
        <v/>
      </c>
      <c r="AY382" s="65" t="str">
        <f aca="false">IF(ISBLANK($C382),
    "",
    $C382
)</f>
        <v/>
      </c>
      <c r="AZ382" s="65" t="str">
        <f aca="false">IF(ISBLANK($C382),
    "",
    $D382
)</f>
        <v/>
      </c>
      <c r="BA382" s="65" t="str">
        <f aca="false">AO382</f>
        <v/>
      </c>
      <c r="BB382" s="66" t="str">
        <f aca="false">AN382</f>
        <v/>
      </c>
      <c r="BC382" s="65" t="str">
        <f aca="false">IF(ISBLANK($C382),
    "",
    AQ382
)</f>
        <v/>
      </c>
      <c r="BD382" s="67" t="str">
        <f aca="false">IF(AU382&gt;AT$7,
    "",
    VLOOKUP(AU382,AW$8:BC$507,7,FALSE())
)</f>
        <v/>
      </c>
      <c r="BE382" s="68" t="str">
        <f aca="false">IF(AU382&gt;AT$7,
    "",
    VLOOKUP(AU382,AW$8:BC$507,2,FALSE())
)</f>
        <v/>
      </c>
      <c r="BF382" s="68" t="str">
        <f aca="false">IF(AU382&gt;AT$7,
    "",
    VLOOKUP(AU382,AW$8:BC$507,3,FALSE())
)</f>
        <v/>
      </c>
      <c r="BG382" s="68" t="str">
        <f aca="false">IF(AU382&gt;AT$7,
    "",
    VLOOKUP(AU382,AW$8:BC$507,4,FALSE())
)</f>
        <v/>
      </c>
      <c r="BH382" s="68" t="str">
        <f aca="false">IF(AU382&gt;AT$7,
    "",
    VLOOKUP(AU382,AW$8:BC$507,5,FALSE())
)</f>
        <v/>
      </c>
      <c r="BI382" s="69" t="str">
        <f aca="false">IF(AU382&gt;AT$7,
    "",
    VLOOKUP(AU382,AW$8:BC$507,6,FALSE())
)</f>
        <v/>
      </c>
      <c r="BJ382" s="46"/>
    </row>
    <row r="383" customFormat="false" ht="15.75" hidden="false" customHeight="false" outlineLevel="0" collapsed="false">
      <c r="A383" s="3"/>
      <c r="B383" s="105"/>
      <c r="C383" s="106"/>
      <c r="D383" s="99"/>
      <c r="E383" s="110"/>
      <c r="F383" s="107"/>
      <c r="G383" s="110"/>
      <c r="H383" s="103"/>
      <c r="I383" s="102"/>
      <c r="J383" s="103"/>
      <c r="K383" s="103"/>
      <c r="L383" s="85"/>
      <c r="M383" s="85" t="str">
        <f aca="false">IF(ISBLANK($C383),"",IF(ISBLANK(E383),0,E383))</f>
        <v/>
      </c>
      <c r="N383" s="85" t="str">
        <f aca="false">IF(ISBLANK($C383),"",IF(ISBLANK(F383),0,F383))</f>
        <v/>
      </c>
      <c r="O383" s="86" t="e">
        <f aca="false">IF(AND(NOT(ISBLANK($C383)),NOT($T383),COUNTA($E383:$K383)&gt;0),ISBLANK($F383),FALSE())</f>
        <v>#VALUE!</v>
      </c>
      <c r="P383" s="85" t="str">
        <f aca="false">IF(ISBLANK($C383),"",IF(G383=Constants!$B$9, TRUE(), IF(G383=Constants!$B$10, FALSE(), TRUE())))</f>
        <v/>
      </c>
      <c r="Q383" s="85" t="str">
        <f aca="false">IF(ISBLANK($C383),"",IF(H383=Constants!$B$9, TRUE(), IF(H383=Constants!$B$10, FALSE(), TRUE())))</f>
        <v/>
      </c>
      <c r="R383" s="85" t="str">
        <f aca="false">IF(ISBLANK($C383),"",IF(ISBLANK(I383),Constants!$B$3,I383))</f>
        <v/>
      </c>
      <c r="S383" s="85" t="str">
        <f aca="false">IF(ISBLANK($C383),"",IF(ISBLANK(J383),0,MIN(J383,Constants!$B$6)))</f>
        <v/>
      </c>
      <c r="T383" s="85" t="str">
        <f aca="false">IF(ISBLANK($C383),"",IF(K383=Constants!$B$9, TRUE(), IF(K383=Constants!$B$10, FALSE(),  FALSE())))</f>
        <v/>
      </c>
      <c r="U383" s="85" t="str">
        <f aca="false">IF(ISBLANK($C383),"",AND(R383=Constants!$B$4, S383&lt;Constants!$B$6))</f>
        <v/>
      </c>
      <c r="V383" s="85" t="str">
        <f aca="false">IF(ISBLANK(C383), "", IF(T383, Constants!$B$11, IF(COUNTA(E383:K383)=0, Constants!$B$12, IF(NOT(AND(P383,S383&lt;&gt;0)), Constants!$B$13, IF(O383, Constants!$B$15, Constants!$B$14)))))</f>
        <v/>
      </c>
      <c r="W383" s="85" t="str">
        <f aca="false">IF(OR(ISBLANK($C383), SUMPRODUCT(--(P383:T383&lt;&gt;""))=0), "", IF(V383&lt;&gt;Constants!$B$14, V383, IF(AND(NOT(ISBLANK(J383)),P383,Q383,R383&lt;&gt;Constants!$B$2), Constants!$B$7, IF(AND(P383,OR(NOT(Q383),R383=Constants!$B$2)), Constants!$B$8, "Error"))))</f>
        <v/>
      </c>
      <c r="X383" s="87" t="str">
        <f aca="false">IF(OR(W383=Constants!$B$7,W383=Constants!$B$8), MAX(0, MIN(Constants!$B$6, S383))+IF(AND(R383=Constants!$B$4, NOT(U383)), Constants!$B$5, 0), "")</f>
        <v/>
      </c>
      <c r="Y383" s="85" t="str">
        <f aca="false">IF(ISBLANK($C383),"",IF(AND(ISNUMBER(X383),N383&gt;0),X383/N383, "") )</f>
        <v/>
      </c>
      <c r="Z383" s="85" t="str">
        <f aca="false">IF(AND(NOT(ISBLANK($C383)), W383=Constants!$B$7), Y383, "")</f>
        <v/>
      </c>
      <c r="AA383" s="85" t="str">
        <f aca="false">IF(ISNUMBER(Z383), RANK(Z383,Z$8:Z$507), "")</f>
        <v/>
      </c>
      <c r="AB383" s="85" t="str">
        <f aca="false">IF(AND(NOT(ISBLANK($C383)), W383=Constants!$B$8), Y383, "")</f>
        <v/>
      </c>
      <c r="AC383" s="85" t="str">
        <f aca="false">IF(ISNUMBER(AB383), RANK(AB383,AB$8:AB$507), "")</f>
        <v/>
      </c>
      <c r="AD383" s="85" t="str">
        <f aca="false">IF(ISBLANK($C383),"",IF(V383&lt;&gt;Constants!$B$14, V383, IF(W383=Constants!$B$7, AA383, IF(W383=Constants!$B$8, COUNT($AA$8:$AA$507) + AC383, ""))))</f>
        <v/>
      </c>
      <c r="AE383" s="85" t="str">
        <f aca="false">N383</f>
        <v/>
      </c>
      <c r="AF383" s="85" t="str">
        <f aca="false">IF(ISNUMBER(AE383), RANK(AE383,AE$8:AE$507,1), "")</f>
        <v/>
      </c>
      <c r="AG383" s="88" t="str">
        <f aca="false">IF(ISBLANK(C383), "", ABS(M383-S383))</f>
        <v/>
      </c>
      <c r="AH383" s="85" t="str">
        <f aca="false">IF(ISNUMBER(AG383), RANK(AG383,AG$8:AG$507,1), "")</f>
        <v/>
      </c>
      <c r="AI383" s="85" t="str">
        <f aca="false">IF(ISBLANK(C383),"",IF(V383&lt;&gt;Constants!$B$14, V383, RANK(AD383, AD$8:AD$507, 1)+ SUMPRODUCT(--(AD$8:AD$507=AD383),--(AF383&gt;AF$8:AF$507)) + SUMPRODUCT(--(AD$8:AD$507=AD383),--(AF383=AF$8:AF$507),--(AH383&gt;AH$8:AH$507))))</f>
        <v/>
      </c>
      <c r="AJ383" s="85" t="str">
        <f aca="false">IF(ISBLANK(C383),"",IF(V383&lt;&gt;Constants!$B$14, V383, AD383-AI383))</f>
        <v/>
      </c>
      <c r="AK383" s="89"/>
      <c r="AL383" s="90" t="str">
        <f aca="false">IF(ISBLANK($C383),"",IF($V383&lt;&gt;Constants!$B$14,$V383,X383))</f>
        <v/>
      </c>
      <c r="AM383" s="90" t="str">
        <f aca="false">IF(ISBLANK($C383),"",IF($V383&lt;&gt;Constants!$B$14,$V383,N383))</f>
        <v/>
      </c>
      <c r="AN383" s="91" t="str">
        <f aca="false">IF(ISBLANK(C383),"",IF(V383&lt;&gt;Constants!$B$14, V383, IF(W383=Constants!$B$7,Z383,IF(W383=Constants!$B$8,AB383,""))))</f>
        <v/>
      </c>
      <c r="AO383" s="92" t="str">
        <f aca="false">IF(ISBLANK(C383),"",W383)</f>
        <v/>
      </c>
      <c r="AP383" s="92" t="str">
        <f aca="false">IF(ISBLANK(C383),"",AJ383)</f>
        <v/>
      </c>
      <c r="AQ383" s="92" t="str">
        <f aca="false">IF(ISBLANK(C383),"",AI383)</f>
        <v/>
      </c>
      <c r="AR383" s="93" t="str">
        <f aca="false">IF(ISBLANK(C383),
  "",
IF(AQ383=Constants!$B$11,COUNTA($C$8:$C$507)+2,IF(AQ383=Constants!$B$12,COUNTA($C$8:$C$507)+1,IF(AQ383=Constants!$B$13,COUNTA($C$8:$C$507),AQ383))))</f>
        <v/>
      </c>
      <c r="AS383" s="3"/>
      <c r="AT383" s="94" t="n">
        <f aca="false">IF(OR(ISNUMBER(AQ383),AQ383="DQ",AQ383="P",AQ383="NS"),
    1,
    0
)</f>
        <v>0</v>
      </c>
      <c r="AU383" s="94" t="n">
        <v>376</v>
      </c>
      <c r="AV383" s="94" t="str">
        <f aca="false">IF(ISBLANK($C383),
    "",
   IF(ISNUMBER(AR383),AR383+ROW($B383)/1000,"")
)</f>
        <v/>
      </c>
      <c r="AW383" s="94" t="str">
        <f aca="false">IF(ISNUMBER(AV383), RANK(AV383,AV$8:AV$507,1), "")</f>
        <v/>
      </c>
      <c r="AX383" s="94" t="str">
        <f aca="false">IF(ISBLANK($C383),
    "",
    $B383
)</f>
        <v/>
      </c>
      <c r="AY383" s="94" t="str">
        <f aca="false">IF(ISBLANK($C383),
    "",
    $C383
)</f>
        <v/>
      </c>
      <c r="AZ383" s="94" t="str">
        <f aca="false">IF(ISBLANK($C383),
    "",
    $D383
)</f>
        <v/>
      </c>
      <c r="BA383" s="94" t="str">
        <f aca="false">AO383</f>
        <v/>
      </c>
      <c r="BB383" s="95" t="str">
        <f aca="false">AN383</f>
        <v/>
      </c>
      <c r="BC383" s="94" t="str">
        <f aca="false">IF(ISBLANK($C383),
    "",
    AQ383
)</f>
        <v/>
      </c>
      <c r="BD383" s="96" t="str">
        <f aca="false">IF(AU383&gt;AT$7,
    "",
    VLOOKUP(AU383,AW$8:BC$507,7,FALSE())
)</f>
        <v/>
      </c>
      <c r="BE383" s="97" t="str">
        <f aca="false">IF(AU383&gt;AT$7,
    "",
    VLOOKUP(AU383,AW$8:BC$507,2,FALSE())
)</f>
        <v/>
      </c>
      <c r="BF383" s="97" t="str">
        <f aca="false">IF(AU383&gt;AT$7,
    "",
    VLOOKUP(AU383,AW$8:BC$507,3,FALSE())
)</f>
        <v/>
      </c>
      <c r="BG383" s="97" t="str">
        <f aca="false">IF(AU383&gt;AT$7,
    "",
    VLOOKUP(AU383,AW$8:BC$507,4,FALSE())
)</f>
        <v/>
      </c>
      <c r="BH383" s="97" t="str">
        <f aca="false">IF(AU383&gt;AT$7,
    "",
    VLOOKUP(AU383,AW$8:BC$507,5,FALSE())
)</f>
        <v/>
      </c>
      <c r="BI383" s="98" t="str">
        <f aca="false">IF(AU383&gt;AT$7,
    "",
    VLOOKUP(AU383,AW$8:BC$507,6,FALSE())
)</f>
        <v/>
      </c>
      <c r="BJ383" s="46"/>
    </row>
    <row r="384" customFormat="false" ht="15.75" hidden="false" customHeight="false" outlineLevel="0" collapsed="false">
      <c r="A384" s="3"/>
      <c r="B384" s="105"/>
      <c r="C384" s="106"/>
      <c r="D384" s="99"/>
      <c r="E384" s="110"/>
      <c r="F384" s="107"/>
      <c r="G384" s="110"/>
      <c r="H384" s="103"/>
      <c r="I384" s="102"/>
      <c r="J384" s="103"/>
      <c r="K384" s="103"/>
      <c r="L384" s="85"/>
      <c r="M384" s="85" t="str">
        <f aca="false">IF(ISBLANK($C384),"",IF(ISBLANK(E384),0,E384))</f>
        <v/>
      </c>
      <c r="N384" s="85" t="str">
        <f aca="false">IF(ISBLANK($C384),"",IF(ISBLANK(F384),0,F384))</f>
        <v/>
      </c>
      <c r="O384" s="86" t="e">
        <f aca="false">IF(AND(NOT(ISBLANK($C384)),NOT($T384),COUNTA($E384:$K384)&gt;0),ISBLANK($F384),FALSE())</f>
        <v>#VALUE!</v>
      </c>
      <c r="P384" s="85" t="str">
        <f aca="false">IF(ISBLANK($C384),"",IF(G384=Constants!$B$9, TRUE(), IF(G384=Constants!$B$10, FALSE(), TRUE())))</f>
        <v/>
      </c>
      <c r="Q384" s="85" t="str">
        <f aca="false">IF(ISBLANK($C384),"",IF(H384=Constants!$B$9, TRUE(), IF(H384=Constants!$B$10, FALSE(), TRUE())))</f>
        <v/>
      </c>
      <c r="R384" s="85" t="str">
        <f aca="false">IF(ISBLANK($C384),"",IF(ISBLANK(I384),Constants!$B$3,I384))</f>
        <v/>
      </c>
      <c r="S384" s="85" t="str">
        <f aca="false">IF(ISBLANK($C384),"",IF(ISBLANK(J384),0,MIN(J384,Constants!$B$6)))</f>
        <v/>
      </c>
      <c r="T384" s="85" t="str">
        <f aca="false">IF(ISBLANK($C384),"",IF(K384=Constants!$B$9, TRUE(), IF(K384=Constants!$B$10, FALSE(),  FALSE())))</f>
        <v/>
      </c>
      <c r="U384" s="85" t="str">
        <f aca="false">IF(ISBLANK($C384),"",AND(R384=Constants!$B$4, S384&lt;Constants!$B$6))</f>
        <v/>
      </c>
      <c r="V384" s="85" t="str">
        <f aca="false">IF(ISBLANK(C384), "", IF(T384, Constants!$B$11, IF(COUNTA(E384:K384)=0, Constants!$B$12, IF(NOT(AND(P384,S384&lt;&gt;0)), Constants!$B$13, IF(O384, Constants!$B$15, Constants!$B$14)))))</f>
        <v/>
      </c>
      <c r="W384" s="85" t="str">
        <f aca="false">IF(OR(ISBLANK($C384), SUMPRODUCT(--(P384:T384&lt;&gt;""))=0), "", IF(V384&lt;&gt;Constants!$B$14, V384, IF(AND(NOT(ISBLANK(J384)),P384,Q384,R384&lt;&gt;Constants!$B$2), Constants!$B$7, IF(AND(P384,OR(NOT(Q384),R384=Constants!$B$2)), Constants!$B$8, "Error"))))</f>
        <v/>
      </c>
      <c r="X384" s="87" t="str">
        <f aca="false">IF(OR(W384=Constants!$B$7,W384=Constants!$B$8), MAX(0, MIN(Constants!$B$6, S384))+IF(AND(R384=Constants!$B$4, NOT(U384)), Constants!$B$5, 0), "")</f>
        <v/>
      </c>
      <c r="Y384" s="85" t="str">
        <f aca="false">IF(ISBLANK($C384),"",IF(AND(ISNUMBER(X384),N384&gt;0),X384/N384, "") )</f>
        <v/>
      </c>
      <c r="Z384" s="85" t="str">
        <f aca="false">IF(AND(NOT(ISBLANK($C384)), W384=Constants!$B$7), Y384, "")</f>
        <v/>
      </c>
      <c r="AA384" s="85" t="str">
        <f aca="false">IF(ISNUMBER(Z384), RANK(Z384,Z$8:Z$507), "")</f>
        <v/>
      </c>
      <c r="AB384" s="85" t="str">
        <f aca="false">IF(AND(NOT(ISBLANK($C384)), W384=Constants!$B$8), Y384, "")</f>
        <v/>
      </c>
      <c r="AC384" s="85" t="str">
        <f aca="false">IF(ISNUMBER(AB384), RANK(AB384,AB$8:AB$507), "")</f>
        <v/>
      </c>
      <c r="AD384" s="85" t="str">
        <f aca="false">IF(ISBLANK($C384),"",IF(V384&lt;&gt;Constants!$B$14, V384, IF(W384=Constants!$B$7, AA384, IF(W384=Constants!$B$8, COUNT($AA$8:$AA$507) + AC384, ""))))</f>
        <v/>
      </c>
      <c r="AE384" s="85" t="str">
        <f aca="false">N384</f>
        <v/>
      </c>
      <c r="AF384" s="85" t="str">
        <f aca="false">IF(ISNUMBER(AE384), RANK(AE384,AE$8:AE$507,1), "")</f>
        <v/>
      </c>
      <c r="AG384" s="88" t="str">
        <f aca="false">IF(ISBLANK(C384), "", ABS(M384-S384))</f>
        <v/>
      </c>
      <c r="AH384" s="85" t="str">
        <f aca="false">IF(ISNUMBER(AG384), RANK(AG384,AG$8:AG$507,1), "")</f>
        <v/>
      </c>
      <c r="AI384" s="85" t="str">
        <f aca="false">IF(ISBLANK(C384),"",IF(V384&lt;&gt;Constants!$B$14, V384, RANK(AD384, AD$8:AD$507, 1)+ SUMPRODUCT(--(AD$8:AD$507=AD384),--(AF384&gt;AF$8:AF$507)) + SUMPRODUCT(--(AD$8:AD$507=AD384),--(AF384=AF$8:AF$507),--(AH384&gt;AH$8:AH$507))))</f>
        <v/>
      </c>
      <c r="AJ384" s="85" t="str">
        <f aca="false">IF(ISBLANK(C384),"",IF(V384&lt;&gt;Constants!$B$14, V384, AD384-AI384))</f>
        <v/>
      </c>
      <c r="AK384" s="89"/>
      <c r="AL384" s="90" t="str">
        <f aca="false">IF(ISBLANK($C384),"",IF($V384&lt;&gt;Constants!$B$14,$V384,X384))</f>
        <v/>
      </c>
      <c r="AM384" s="90" t="str">
        <f aca="false">IF(ISBLANK($C384),"",IF($V384&lt;&gt;Constants!$B$14,$V384,N384))</f>
        <v/>
      </c>
      <c r="AN384" s="91" t="str">
        <f aca="false">IF(ISBLANK(C384),"",IF(V384&lt;&gt;Constants!$B$14, V384, IF(W384=Constants!$B$7,Z384,IF(W384=Constants!$B$8,AB384,""))))</f>
        <v/>
      </c>
      <c r="AO384" s="92" t="str">
        <f aca="false">IF(ISBLANK(C384),"",W384)</f>
        <v/>
      </c>
      <c r="AP384" s="92" t="str">
        <f aca="false">IF(ISBLANK(C384),"",AJ384)</f>
        <v/>
      </c>
      <c r="AQ384" s="92" t="str">
        <f aca="false">IF(ISBLANK(C384),"",AI384)</f>
        <v/>
      </c>
      <c r="AR384" s="93" t="str">
        <f aca="false">IF(ISBLANK(C384),
  "",
IF(AQ384=Constants!$B$11,COUNTA($C$8:$C$507)+2,IF(AQ384=Constants!$B$12,COUNTA($C$8:$C$507)+1,IF(AQ384=Constants!$B$13,COUNTA($C$8:$C$507),AQ384))))</f>
        <v/>
      </c>
      <c r="AS384" s="3"/>
      <c r="AT384" s="94" t="n">
        <f aca="false">IF(OR(ISNUMBER(AQ384),AQ384="DQ",AQ384="P",AQ384="NS"),
    1,
    0
)</f>
        <v>0</v>
      </c>
      <c r="AU384" s="94" t="n">
        <v>377</v>
      </c>
      <c r="AV384" s="94" t="str">
        <f aca="false">IF(ISBLANK($C384),
    "",
   IF(ISNUMBER(AR384),AR384+ROW($B384)/1000,"")
)</f>
        <v/>
      </c>
      <c r="AW384" s="94" t="str">
        <f aca="false">IF(ISNUMBER(AV384), RANK(AV384,AV$8:AV$507,1), "")</f>
        <v/>
      </c>
      <c r="AX384" s="94" t="str">
        <f aca="false">IF(ISBLANK($C384),
    "",
    $B384
)</f>
        <v/>
      </c>
      <c r="AY384" s="94" t="str">
        <f aca="false">IF(ISBLANK($C384),
    "",
    $C384
)</f>
        <v/>
      </c>
      <c r="AZ384" s="94" t="str">
        <f aca="false">IF(ISBLANK($C384),
    "",
    $D384
)</f>
        <v/>
      </c>
      <c r="BA384" s="94" t="str">
        <f aca="false">AO384</f>
        <v/>
      </c>
      <c r="BB384" s="95" t="str">
        <f aca="false">AN384</f>
        <v/>
      </c>
      <c r="BC384" s="94" t="str">
        <f aca="false">IF(ISBLANK($C384),
    "",
    AQ384
)</f>
        <v/>
      </c>
      <c r="BD384" s="96" t="str">
        <f aca="false">IF(AU384&gt;AT$7,
    "",
    VLOOKUP(AU384,AW$8:BC$507,7,FALSE())
)</f>
        <v/>
      </c>
      <c r="BE384" s="97" t="str">
        <f aca="false">IF(AU384&gt;AT$7,
    "",
    VLOOKUP(AU384,AW$8:BC$507,2,FALSE())
)</f>
        <v/>
      </c>
      <c r="BF384" s="97" t="str">
        <f aca="false">IF(AU384&gt;AT$7,
    "",
    VLOOKUP(AU384,AW$8:BC$507,3,FALSE())
)</f>
        <v/>
      </c>
      <c r="BG384" s="97" t="str">
        <f aca="false">IF(AU384&gt;AT$7,
    "",
    VLOOKUP(AU384,AW$8:BC$507,4,FALSE())
)</f>
        <v/>
      </c>
      <c r="BH384" s="97" t="str">
        <f aca="false">IF(AU384&gt;AT$7,
    "",
    VLOOKUP(AU384,AW$8:BC$507,5,FALSE())
)</f>
        <v/>
      </c>
      <c r="BI384" s="98" t="str">
        <f aca="false">IF(AU384&gt;AT$7,
    "",
    VLOOKUP(AU384,AW$8:BC$507,6,FALSE())
)</f>
        <v/>
      </c>
      <c r="BJ384" s="46"/>
    </row>
    <row r="385" customFormat="false" ht="15.75" hidden="false" customHeight="false" outlineLevel="0" collapsed="false">
      <c r="A385" s="3"/>
      <c r="B385" s="105"/>
      <c r="C385" s="106"/>
      <c r="D385" s="99"/>
      <c r="E385" s="110"/>
      <c r="F385" s="107"/>
      <c r="G385" s="110"/>
      <c r="H385" s="103"/>
      <c r="I385" s="102"/>
      <c r="J385" s="103"/>
      <c r="K385" s="103"/>
      <c r="L385" s="85"/>
      <c r="M385" s="85" t="str">
        <f aca="false">IF(ISBLANK($C385),"",IF(ISBLANK(E385),0,E385))</f>
        <v/>
      </c>
      <c r="N385" s="85" t="str">
        <f aca="false">IF(ISBLANK($C385),"",IF(ISBLANK(F385),0,F385))</f>
        <v/>
      </c>
      <c r="O385" s="86" t="e">
        <f aca="false">IF(AND(NOT(ISBLANK($C385)),NOT($T385),COUNTA($E385:$K385)&gt;0),ISBLANK($F385),FALSE())</f>
        <v>#VALUE!</v>
      </c>
      <c r="P385" s="85" t="str">
        <f aca="false">IF(ISBLANK($C385),"",IF(G385=Constants!$B$9, TRUE(), IF(G385=Constants!$B$10, FALSE(), TRUE())))</f>
        <v/>
      </c>
      <c r="Q385" s="85" t="str">
        <f aca="false">IF(ISBLANK($C385),"",IF(H385=Constants!$B$9, TRUE(), IF(H385=Constants!$B$10, FALSE(), TRUE())))</f>
        <v/>
      </c>
      <c r="R385" s="85" t="str">
        <f aca="false">IF(ISBLANK($C385),"",IF(ISBLANK(I385),Constants!$B$3,I385))</f>
        <v/>
      </c>
      <c r="S385" s="85" t="str">
        <f aca="false">IF(ISBLANK($C385),"",IF(ISBLANK(J385),0,MIN(J385,Constants!$B$6)))</f>
        <v/>
      </c>
      <c r="T385" s="85" t="str">
        <f aca="false">IF(ISBLANK($C385),"",IF(K385=Constants!$B$9, TRUE(), IF(K385=Constants!$B$10, FALSE(),  FALSE())))</f>
        <v/>
      </c>
      <c r="U385" s="85" t="str">
        <f aca="false">IF(ISBLANK($C385),"",AND(R385=Constants!$B$4, S385&lt;Constants!$B$6))</f>
        <v/>
      </c>
      <c r="V385" s="85" t="str">
        <f aca="false">IF(ISBLANK(C385), "", IF(T385, Constants!$B$11, IF(COUNTA(E385:K385)=0, Constants!$B$12, IF(NOT(AND(P385,S385&lt;&gt;0)), Constants!$B$13, IF(O385, Constants!$B$15, Constants!$B$14)))))</f>
        <v/>
      </c>
      <c r="W385" s="85" t="str">
        <f aca="false">IF(OR(ISBLANK($C385), SUMPRODUCT(--(P385:T385&lt;&gt;""))=0), "", IF(V385&lt;&gt;Constants!$B$14, V385, IF(AND(NOT(ISBLANK(J385)),P385,Q385,R385&lt;&gt;Constants!$B$2), Constants!$B$7, IF(AND(P385,OR(NOT(Q385),R385=Constants!$B$2)), Constants!$B$8, "Error"))))</f>
        <v/>
      </c>
      <c r="X385" s="87" t="str">
        <f aca="false">IF(OR(W385=Constants!$B$7,W385=Constants!$B$8), MAX(0, MIN(Constants!$B$6, S385))+IF(AND(R385=Constants!$B$4, NOT(U385)), Constants!$B$5, 0), "")</f>
        <v/>
      </c>
      <c r="Y385" s="85" t="str">
        <f aca="false">IF(ISBLANK($C385),"",IF(AND(ISNUMBER(X385),N385&gt;0),X385/N385, "") )</f>
        <v/>
      </c>
      <c r="Z385" s="85" t="str">
        <f aca="false">IF(AND(NOT(ISBLANK($C385)), W385=Constants!$B$7), Y385, "")</f>
        <v/>
      </c>
      <c r="AA385" s="85" t="str">
        <f aca="false">IF(ISNUMBER(Z385), RANK(Z385,Z$8:Z$507), "")</f>
        <v/>
      </c>
      <c r="AB385" s="85" t="str">
        <f aca="false">IF(AND(NOT(ISBLANK($C385)), W385=Constants!$B$8), Y385, "")</f>
        <v/>
      </c>
      <c r="AC385" s="85" t="str">
        <f aca="false">IF(ISNUMBER(AB385), RANK(AB385,AB$8:AB$507), "")</f>
        <v/>
      </c>
      <c r="AD385" s="85" t="str">
        <f aca="false">IF(ISBLANK($C385),"",IF(V385&lt;&gt;Constants!$B$14, V385, IF(W385=Constants!$B$7, AA385, IF(W385=Constants!$B$8, COUNT($AA$8:$AA$507) + AC385, ""))))</f>
        <v/>
      </c>
      <c r="AE385" s="85" t="str">
        <f aca="false">N385</f>
        <v/>
      </c>
      <c r="AF385" s="85" t="str">
        <f aca="false">IF(ISNUMBER(AE385), RANK(AE385,AE$8:AE$507,1), "")</f>
        <v/>
      </c>
      <c r="AG385" s="88" t="str">
        <f aca="false">IF(ISBLANK(C385), "", ABS(M385-S385))</f>
        <v/>
      </c>
      <c r="AH385" s="85" t="str">
        <f aca="false">IF(ISNUMBER(AG385), RANK(AG385,AG$8:AG$507,1), "")</f>
        <v/>
      </c>
      <c r="AI385" s="85" t="str">
        <f aca="false">IF(ISBLANK(C385),"",IF(V385&lt;&gt;Constants!$B$14, V385, RANK(AD385, AD$8:AD$507, 1)+ SUMPRODUCT(--(AD$8:AD$507=AD385),--(AF385&gt;AF$8:AF$507)) + SUMPRODUCT(--(AD$8:AD$507=AD385),--(AF385=AF$8:AF$507),--(AH385&gt;AH$8:AH$507))))</f>
        <v/>
      </c>
      <c r="AJ385" s="85" t="str">
        <f aca="false">IF(ISBLANK(C385),"",IF(V385&lt;&gt;Constants!$B$14, V385, AD385-AI385))</f>
        <v/>
      </c>
      <c r="AK385" s="89"/>
      <c r="AL385" s="90" t="str">
        <f aca="false">IF(ISBLANK($C385),"",IF($V385&lt;&gt;Constants!$B$14,$V385,X385))</f>
        <v/>
      </c>
      <c r="AM385" s="90" t="str">
        <f aca="false">IF(ISBLANK($C385),"",IF($V385&lt;&gt;Constants!$B$14,$V385,N385))</f>
        <v/>
      </c>
      <c r="AN385" s="91" t="str">
        <f aca="false">IF(ISBLANK(C385),"",IF(V385&lt;&gt;Constants!$B$14, V385, IF(W385=Constants!$B$7,Z385,IF(W385=Constants!$B$8,AB385,""))))</f>
        <v/>
      </c>
      <c r="AO385" s="92" t="str">
        <f aca="false">IF(ISBLANK(C385),"",W385)</f>
        <v/>
      </c>
      <c r="AP385" s="92" t="str">
        <f aca="false">IF(ISBLANK(C385),"",AJ385)</f>
        <v/>
      </c>
      <c r="AQ385" s="92" t="str">
        <f aca="false">IF(ISBLANK(C385),"",AI385)</f>
        <v/>
      </c>
      <c r="AR385" s="93" t="str">
        <f aca="false">IF(ISBLANK(C385),
  "",
IF(AQ385=Constants!$B$11,COUNTA($C$8:$C$507)+2,IF(AQ385=Constants!$B$12,COUNTA($C$8:$C$507)+1,IF(AQ385=Constants!$B$13,COUNTA($C$8:$C$507),AQ385))))</f>
        <v/>
      </c>
      <c r="AS385" s="3"/>
      <c r="AT385" s="94" t="n">
        <f aca="false">IF(OR(ISNUMBER(AQ385),AQ385="DQ",AQ385="P",AQ385="NS"),
    1,
    0
)</f>
        <v>0</v>
      </c>
      <c r="AU385" s="94" t="n">
        <v>378</v>
      </c>
      <c r="AV385" s="94" t="str">
        <f aca="false">IF(ISBLANK($C385),
    "",
   IF(ISNUMBER(AR385),AR385+ROW($B385)/1000,"")
)</f>
        <v/>
      </c>
      <c r="AW385" s="94" t="str">
        <f aca="false">IF(ISNUMBER(AV385), RANK(AV385,AV$8:AV$507,1), "")</f>
        <v/>
      </c>
      <c r="AX385" s="94" t="str">
        <f aca="false">IF(ISBLANK($C385),
    "",
    $B385
)</f>
        <v/>
      </c>
      <c r="AY385" s="94" t="str">
        <f aca="false">IF(ISBLANK($C385),
    "",
    $C385
)</f>
        <v/>
      </c>
      <c r="AZ385" s="94" t="str">
        <f aca="false">IF(ISBLANK($C385),
    "",
    $D385
)</f>
        <v/>
      </c>
      <c r="BA385" s="94" t="str">
        <f aca="false">AO385</f>
        <v/>
      </c>
      <c r="BB385" s="95" t="str">
        <f aca="false">AN385</f>
        <v/>
      </c>
      <c r="BC385" s="94" t="str">
        <f aca="false">IF(ISBLANK($C385),
    "",
    AQ385
)</f>
        <v/>
      </c>
      <c r="BD385" s="96" t="str">
        <f aca="false">IF(AU385&gt;AT$7,
    "",
    VLOOKUP(AU385,AW$8:BC$507,7,FALSE())
)</f>
        <v/>
      </c>
      <c r="BE385" s="97" t="str">
        <f aca="false">IF(AU385&gt;AT$7,
    "",
    VLOOKUP(AU385,AW$8:BC$507,2,FALSE())
)</f>
        <v/>
      </c>
      <c r="BF385" s="97" t="str">
        <f aca="false">IF(AU385&gt;AT$7,
    "",
    VLOOKUP(AU385,AW$8:BC$507,3,FALSE())
)</f>
        <v/>
      </c>
      <c r="BG385" s="97" t="str">
        <f aca="false">IF(AU385&gt;AT$7,
    "",
    VLOOKUP(AU385,AW$8:BC$507,4,FALSE())
)</f>
        <v/>
      </c>
      <c r="BH385" s="97" t="str">
        <f aca="false">IF(AU385&gt;AT$7,
    "",
    VLOOKUP(AU385,AW$8:BC$507,5,FALSE())
)</f>
        <v/>
      </c>
      <c r="BI385" s="98" t="str">
        <f aca="false">IF(AU385&gt;AT$7,
    "",
    VLOOKUP(AU385,AW$8:BC$507,6,FALSE())
)</f>
        <v/>
      </c>
      <c r="BJ385" s="46"/>
    </row>
    <row r="386" customFormat="false" ht="15.75" hidden="false" customHeight="false" outlineLevel="0" collapsed="false">
      <c r="A386" s="3"/>
      <c r="B386" s="108"/>
      <c r="C386" s="70"/>
      <c r="D386" s="49"/>
      <c r="E386" s="109"/>
      <c r="F386" s="72"/>
      <c r="G386" s="109"/>
      <c r="H386" s="74"/>
      <c r="I386" s="104"/>
      <c r="J386" s="74"/>
      <c r="K386" s="74"/>
      <c r="L386" s="55"/>
      <c r="M386" s="55" t="str">
        <f aca="false">IF(ISBLANK($C386),"",IF(ISBLANK(E386),0,E386))</f>
        <v/>
      </c>
      <c r="N386" s="55" t="str">
        <f aca="false">IF(ISBLANK($C386),"",IF(ISBLANK(F386),0,F386))</f>
        <v/>
      </c>
      <c r="O386" s="55" t="e">
        <f aca="false">IF(AND(NOT(ISBLANK($C386)),NOT($T386),COUNTA($E386:$K386)&gt;0),ISBLANK($F386),FALSE())</f>
        <v>#VALUE!</v>
      </c>
      <c r="P386" s="55" t="str">
        <f aca="false">IF(ISBLANK($C386),"",IF(G386=Constants!$B$9, TRUE(), IF(G386=Constants!$B$10, FALSE(), TRUE())))</f>
        <v/>
      </c>
      <c r="Q386" s="55" t="str">
        <f aca="false">IF(ISBLANK($C386),"",IF(H386=Constants!$B$9, TRUE(), IF(H386=Constants!$B$10, FALSE(), TRUE())))</f>
        <v/>
      </c>
      <c r="R386" s="55" t="str">
        <f aca="false">IF(ISBLANK($C386),"",IF(ISBLANK(I386),Constants!$B$3,I386))</f>
        <v/>
      </c>
      <c r="S386" s="55" t="str">
        <f aca="false">IF(ISBLANK($C386),"",IF(ISBLANK(J386),0,MIN(J386,Constants!$B$6)))</f>
        <v/>
      </c>
      <c r="T386" s="55" t="str">
        <f aca="false">IF(ISBLANK($C386),"",IF(K386=Constants!$B$9, TRUE(), IF(K386=Constants!$B$10, FALSE(),  FALSE())))</f>
        <v/>
      </c>
      <c r="U386" s="55" t="str">
        <f aca="false">IF(ISBLANK($C386),"",AND(R386=Constants!$B$4, S386&lt;Constants!$B$6))</f>
        <v/>
      </c>
      <c r="V386" s="55" t="str">
        <f aca="false">IF(ISBLANK(C386), "", IF(T386, Constants!$B$11, IF(COUNTA(E386:K386)=0, Constants!$B$12, IF(NOT(AND(P386,S386&lt;&gt;0)), Constants!$B$13, IF(O386, Constants!$B$15, Constants!$B$14)))))</f>
        <v/>
      </c>
      <c r="W386" s="55" t="str">
        <f aca="false">IF(OR(ISBLANK($C386), SUMPRODUCT(--(P386:T386&lt;&gt;""))=0), "", IF(V386&lt;&gt;Constants!$B$14, V386, IF(AND(NOT(ISBLANK(J386)),P386,Q386,R386&lt;&gt;Constants!$B$2), Constants!$B$7, IF(AND(P386,OR(NOT(Q386),R386=Constants!$B$2)), Constants!$B$8, "Error"))))</f>
        <v/>
      </c>
      <c r="X386" s="56" t="str">
        <f aca="false">IF(OR(W386=Constants!$B$7,W386=Constants!$B$8), MAX(0, MIN(Constants!$B$6, S386))+IF(AND(R386=Constants!$B$4, NOT(U386)), Constants!$B$5, 0), "")</f>
        <v/>
      </c>
      <c r="Y386" s="55" t="str">
        <f aca="false">IF(ISBLANK($C386),"",IF(AND(ISNUMBER(X386),N386&gt;0),X386/N386, "") )</f>
        <v/>
      </c>
      <c r="Z386" s="55" t="str">
        <f aca="false">IF(AND(NOT(ISBLANK($C386)), W386=Constants!$B$7), Y386, "")</f>
        <v/>
      </c>
      <c r="AA386" s="55" t="str">
        <f aca="false">IF(ISNUMBER(Z386), RANK(Z386,Z$8:Z$507), "")</f>
        <v/>
      </c>
      <c r="AB386" s="55" t="str">
        <f aca="false">IF(AND(NOT(ISBLANK($C386)), W386=Constants!$B$8), Y386, "")</f>
        <v/>
      </c>
      <c r="AC386" s="55" t="str">
        <f aca="false">IF(ISNUMBER(AB386), RANK(AB386,AB$8:AB$507), "")</f>
        <v/>
      </c>
      <c r="AD386" s="55" t="str">
        <f aca="false">IF(ISBLANK($C386),"",IF(V386&lt;&gt;Constants!$B$14, V386, IF(W386=Constants!$B$7, AA386, IF(W386=Constants!$B$8, COUNT($AA$8:$AA$507) + AC386, ""))))</f>
        <v/>
      </c>
      <c r="AE386" s="55" t="str">
        <f aca="false">N386</f>
        <v/>
      </c>
      <c r="AF386" s="55" t="str">
        <f aca="false">IF(ISNUMBER(AE386), RANK(AE386,AE$8:AE$507,1), "")</f>
        <v/>
      </c>
      <c r="AG386" s="57" t="str">
        <f aca="false">IF(ISBLANK(C386), "", ABS(M386-S386))</f>
        <v/>
      </c>
      <c r="AH386" s="55" t="str">
        <f aca="false">IF(ISNUMBER(AG386), RANK(AG386,AG$8:AG$507,1), "")</f>
        <v/>
      </c>
      <c r="AI386" s="55" t="str">
        <f aca="false">IF(ISBLANK(C386),"",IF(V386&lt;&gt;Constants!$B$14, V386, RANK(AD386, AD$8:AD$507, 1)+ SUMPRODUCT(--(AD$8:AD$507=AD386),--(AF386&gt;AF$8:AF$507)) + SUMPRODUCT(--(AD$8:AD$507=AD386),--(AF386=AF$8:AF$507),--(AH386&gt;AH$8:AH$507))))</f>
        <v/>
      </c>
      <c r="AJ386" s="55" t="str">
        <f aca="false">IF(ISBLANK(C386),"",IF(V386&lt;&gt;Constants!$B$14, V386, AD386-AI386))</f>
        <v/>
      </c>
      <c r="AK386" s="59"/>
      <c r="AL386" s="60" t="str">
        <f aca="false">IF(ISBLANK($C386),"",IF($V386&lt;&gt;Constants!$B$14,$V386,X386))</f>
        <v/>
      </c>
      <c r="AM386" s="60" t="str">
        <f aca="false">IF(ISBLANK($C386),"",IF($V386&lt;&gt;Constants!$B$14,$V386,N386))</f>
        <v/>
      </c>
      <c r="AN386" s="62" t="str">
        <f aca="false">IF(ISBLANK(C386),"",IF(V386&lt;&gt;Constants!$B$14, V386, IF(W386=Constants!$B$7,Z386,IF(W386=Constants!$B$8,AB386,""))))</f>
        <v/>
      </c>
      <c r="AO386" s="63" t="str">
        <f aca="false">IF(ISBLANK(C386),"",W386)</f>
        <v/>
      </c>
      <c r="AP386" s="63" t="str">
        <f aca="false">IF(ISBLANK(C386),"",AJ386)</f>
        <v/>
      </c>
      <c r="AQ386" s="63" t="str">
        <f aca="false">IF(ISBLANK(C386),"",AI386)</f>
        <v/>
      </c>
      <c r="AR386" s="64" t="str">
        <f aca="false">IF(ISBLANK(C386),
  "",
IF(AQ386=Constants!$B$11,COUNTA($C$8:$C$507)+2,IF(AQ386=Constants!$B$12,COUNTA($C$8:$C$507)+1,IF(AQ386=Constants!$B$13,COUNTA($C$8:$C$507),AQ386))))</f>
        <v/>
      </c>
      <c r="AS386" s="3"/>
      <c r="AT386" s="65" t="n">
        <f aca="false">IF(OR(ISNUMBER(AQ386),AQ386="DQ",AQ386="P",AQ386="NS"),
    1,
    0
)</f>
        <v>0</v>
      </c>
      <c r="AU386" s="65" t="n">
        <v>379</v>
      </c>
      <c r="AV386" s="65" t="str">
        <f aca="false">IF(ISBLANK($C386),
    "",
   IF(ISNUMBER(AR386),AR386+ROW($B386)/1000,"")
)</f>
        <v/>
      </c>
      <c r="AW386" s="65" t="str">
        <f aca="false">IF(ISNUMBER(AV386), RANK(AV386,AV$8:AV$507,1), "")</f>
        <v/>
      </c>
      <c r="AX386" s="65" t="str">
        <f aca="false">IF(ISBLANK($C386),
    "",
    $B386
)</f>
        <v/>
      </c>
      <c r="AY386" s="65" t="str">
        <f aca="false">IF(ISBLANK($C386),
    "",
    $C386
)</f>
        <v/>
      </c>
      <c r="AZ386" s="65" t="str">
        <f aca="false">IF(ISBLANK($C386),
    "",
    $D386
)</f>
        <v/>
      </c>
      <c r="BA386" s="65" t="str">
        <f aca="false">AO386</f>
        <v/>
      </c>
      <c r="BB386" s="66" t="str">
        <f aca="false">AN386</f>
        <v/>
      </c>
      <c r="BC386" s="65" t="str">
        <f aca="false">IF(ISBLANK($C386),
    "",
    AQ386
)</f>
        <v/>
      </c>
      <c r="BD386" s="67" t="str">
        <f aca="false">IF(AU386&gt;AT$7,
    "",
    VLOOKUP(AU386,AW$8:BC$507,7,FALSE())
)</f>
        <v/>
      </c>
      <c r="BE386" s="68" t="str">
        <f aca="false">IF(AU386&gt;AT$7,
    "",
    VLOOKUP(AU386,AW$8:BC$507,2,FALSE())
)</f>
        <v/>
      </c>
      <c r="BF386" s="68" t="str">
        <f aca="false">IF(AU386&gt;AT$7,
    "",
    VLOOKUP(AU386,AW$8:BC$507,3,FALSE())
)</f>
        <v/>
      </c>
      <c r="BG386" s="68" t="str">
        <f aca="false">IF(AU386&gt;AT$7,
    "",
    VLOOKUP(AU386,AW$8:BC$507,4,FALSE())
)</f>
        <v/>
      </c>
      <c r="BH386" s="68" t="str">
        <f aca="false">IF(AU386&gt;AT$7,
    "",
    VLOOKUP(AU386,AW$8:BC$507,5,FALSE())
)</f>
        <v/>
      </c>
      <c r="BI386" s="69" t="str">
        <f aca="false">IF(AU386&gt;AT$7,
    "",
    VLOOKUP(AU386,AW$8:BC$507,6,FALSE())
)</f>
        <v/>
      </c>
      <c r="BJ386" s="46"/>
    </row>
    <row r="387" customFormat="false" ht="15.75" hidden="false" customHeight="false" outlineLevel="0" collapsed="false">
      <c r="A387" s="3"/>
      <c r="B387" s="108"/>
      <c r="C387" s="70"/>
      <c r="D387" s="49"/>
      <c r="E387" s="109"/>
      <c r="F387" s="72"/>
      <c r="G387" s="109"/>
      <c r="H387" s="74"/>
      <c r="I387" s="104"/>
      <c r="J387" s="74"/>
      <c r="K387" s="74"/>
      <c r="L387" s="55"/>
      <c r="M387" s="55" t="str">
        <f aca="false">IF(ISBLANK($C387),"",IF(ISBLANK(E387),0,E387))</f>
        <v/>
      </c>
      <c r="N387" s="55" t="str">
        <f aca="false">IF(ISBLANK($C387),"",IF(ISBLANK(F387),0,F387))</f>
        <v/>
      </c>
      <c r="O387" s="55" t="e">
        <f aca="false">IF(AND(NOT(ISBLANK($C387)),NOT($T387),COUNTA($E387:$K387)&gt;0),ISBLANK($F387),FALSE())</f>
        <v>#VALUE!</v>
      </c>
      <c r="P387" s="55" t="str">
        <f aca="false">IF(ISBLANK($C387),"",IF(G387=Constants!$B$9, TRUE(), IF(G387=Constants!$B$10, FALSE(), TRUE())))</f>
        <v/>
      </c>
      <c r="Q387" s="55" t="str">
        <f aca="false">IF(ISBLANK($C387),"",IF(H387=Constants!$B$9, TRUE(), IF(H387=Constants!$B$10, FALSE(), TRUE())))</f>
        <v/>
      </c>
      <c r="R387" s="55" t="str">
        <f aca="false">IF(ISBLANK($C387),"",IF(ISBLANK(I387),Constants!$B$3,I387))</f>
        <v/>
      </c>
      <c r="S387" s="55" t="str">
        <f aca="false">IF(ISBLANK($C387),"",IF(ISBLANK(J387),0,MIN(J387,Constants!$B$6)))</f>
        <v/>
      </c>
      <c r="T387" s="55" t="str">
        <f aca="false">IF(ISBLANK($C387),"",IF(K387=Constants!$B$9, TRUE(), IF(K387=Constants!$B$10, FALSE(),  FALSE())))</f>
        <v/>
      </c>
      <c r="U387" s="55" t="str">
        <f aca="false">IF(ISBLANK($C387),"",AND(R387=Constants!$B$4, S387&lt;Constants!$B$6))</f>
        <v/>
      </c>
      <c r="V387" s="55" t="str">
        <f aca="false">IF(ISBLANK(C387), "", IF(T387, Constants!$B$11, IF(COUNTA(E387:K387)=0, Constants!$B$12, IF(NOT(AND(P387,S387&lt;&gt;0)), Constants!$B$13, IF(O387, Constants!$B$15, Constants!$B$14)))))</f>
        <v/>
      </c>
      <c r="W387" s="55" t="str">
        <f aca="false">IF(OR(ISBLANK($C387), SUMPRODUCT(--(P387:T387&lt;&gt;""))=0), "", IF(V387&lt;&gt;Constants!$B$14, V387, IF(AND(NOT(ISBLANK(J387)),P387,Q387,R387&lt;&gt;Constants!$B$2), Constants!$B$7, IF(AND(P387,OR(NOT(Q387),R387=Constants!$B$2)), Constants!$B$8, "Error"))))</f>
        <v/>
      </c>
      <c r="X387" s="56" t="str">
        <f aca="false">IF(OR(W387=Constants!$B$7,W387=Constants!$B$8), MAX(0, MIN(Constants!$B$6, S387))+IF(AND(R387=Constants!$B$4, NOT(U387)), Constants!$B$5, 0), "")</f>
        <v/>
      </c>
      <c r="Y387" s="55" t="str">
        <f aca="false">IF(ISBLANK($C387),"",IF(AND(ISNUMBER(X387),N387&gt;0),X387/N387, "") )</f>
        <v/>
      </c>
      <c r="Z387" s="55" t="str">
        <f aca="false">IF(AND(NOT(ISBLANK($C387)), W387=Constants!$B$7), Y387, "")</f>
        <v/>
      </c>
      <c r="AA387" s="55" t="str">
        <f aca="false">IF(ISNUMBER(Z387), RANK(Z387,Z$8:Z$507), "")</f>
        <v/>
      </c>
      <c r="AB387" s="55" t="str">
        <f aca="false">IF(AND(NOT(ISBLANK($C387)), W387=Constants!$B$8), Y387, "")</f>
        <v/>
      </c>
      <c r="AC387" s="55" t="str">
        <f aca="false">IF(ISNUMBER(AB387), RANK(AB387,AB$8:AB$507), "")</f>
        <v/>
      </c>
      <c r="AD387" s="55" t="str">
        <f aca="false">IF(ISBLANK($C387),"",IF(V387&lt;&gt;Constants!$B$14, V387, IF(W387=Constants!$B$7, AA387, IF(W387=Constants!$B$8, COUNT($AA$8:$AA$507) + AC387, ""))))</f>
        <v/>
      </c>
      <c r="AE387" s="55" t="str">
        <f aca="false">N387</f>
        <v/>
      </c>
      <c r="AF387" s="55" t="str">
        <f aca="false">IF(ISNUMBER(AE387), RANK(AE387,AE$8:AE$507,1), "")</f>
        <v/>
      </c>
      <c r="AG387" s="57" t="str">
        <f aca="false">IF(ISBLANK(C387), "", ABS(M387-S387))</f>
        <v/>
      </c>
      <c r="AH387" s="55" t="str">
        <f aca="false">IF(ISNUMBER(AG387), RANK(AG387,AG$8:AG$507,1), "")</f>
        <v/>
      </c>
      <c r="AI387" s="55" t="str">
        <f aca="false">IF(ISBLANK(C387),"",IF(V387&lt;&gt;Constants!$B$14, V387, RANK(AD387, AD$8:AD$507, 1)+ SUMPRODUCT(--(AD$8:AD$507=AD387),--(AF387&gt;AF$8:AF$507)) + SUMPRODUCT(--(AD$8:AD$507=AD387),--(AF387=AF$8:AF$507),--(AH387&gt;AH$8:AH$507))))</f>
        <v/>
      </c>
      <c r="AJ387" s="55" t="str">
        <f aca="false">IF(ISBLANK(C387),"",IF(V387&lt;&gt;Constants!$B$14, V387, AD387-AI387))</f>
        <v/>
      </c>
      <c r="AK387" s="59"/>
      <c r="AL387" s="60" t="str">
        <f aca="false">IF(ISBLANK($C387),"",IF($V387&lt;&gt;Constants!$B$14,$V387,X387))</f>
        <v/>
      </c>
      <c r="AM387" s="60" t="str">
        <f aca="false">IF(ISBLANK($C387),"",IF($V387&lt;&gt;Constants!$B$14,$V387,N387))</f>
        <v/>
      </c>
      <c r="AN387" s="62" t="str">
        <f aca="false">IF(ISBLANK(C387),"",IF(V387&lt;&gt;Constants!$B$14, V387, IF(W387=Constants!$B$7,Z387,IF(W387=Constants!$B$8,AB387,""))))</f>
        <v/>
      </c>
      <c r="AO387" s="63" t="str">
        <f aca="false">IF(ISBLANK(C387),"",W387)</f>
        <v/>
      </c>
      <c r="AP387" s="63" t="str">
        <f aca="false">IF(ISBLANK(C387),"",AJ387)</f>
        <v/>
      </c>
      <c r="AQ387" s="63" t="str">
        <f aca="false">IF(ISBLANK(C387),"",AI387)</f>
        <v/>
      </c>
      <c r="AR387" s="64" t="str">
        <f aca="false">IF(ISBLANK(C387),
  "",
IF(AQ387=Constants!$B$11,COUNTA($C$8:$C$507)+2,IF(AQ387=Constants!$B$12,COUNTA($C$8:$C$507)+1,IF(AQ387=Constants!$B$13,COUNTA($C$8:$C$507),AQ387))))</f>
        <v/>
      </c>
      <c r="AS387" s="3"/>
      <c r="AT387" s="65" t="n">
        <f aca="false">IF(OR(ISNUMBER(AQ387),AQ387="DQ",AQ387="P",AQ387="NS"),
    1,
    0
)</f>
        <v>0</v>
      </c>
      <c r="AU387" s="65" t="n">
        <v>380</v>
      </c>
      <c r="AV387" s="65" t="str">
        <f aca="false">IF(ISBLANK($C387),
    "",
   IF(ISNUMBER(AR387),AR387+ROW($B387)/1000,"")
)</f>
        <v/>
      </c>
      <c r="AW387" s="65" t="str">
        <f aca="false">IF(ISNUMBER(AV387), RANK(AV387,AV$8:AV$507,1), "")</f>
        <v/>
      </c>
      <c r="AX387" s="65" t="str">
        <f aca="false">IF(ISBLANK($C387),
    "",
    $B387
)</f>
        <v/>
      </c>
      <c r="AY387" s="65" t="str">
        <f aca="false">IF(ISBLANK($C387),
    "",
    $C387
)</f>
        <v/>
      </c>
      <c r="AZ387" s="65" t="str">
        <f aca="false">IF(ISBLANK($C387),
    "",
    $D387
)</f>
        <v/>
      </c>
      <c r="BA387" s="65" t="str">
        <f aca="false">AO387</f>
        <v/>
      </c>
      <c r="BB387" s="66" t="str">
        <f aca="false">AN387</f>
        <v/>
      </c>
      <c r="BC387" s="65" t="str">
        <f aca="false">IF(ISBLANK($C387),
    "",
    AQ387
)</f>
        <v/>
      </c>
      <c r="BD387" s="67" t="str">
        <f aca="false">IF(AU387&gt;AT$7,
    "",
    VLOOKUP(AU387,AW$8:BC$507,7,FALSE())
)</f>
        <v/>
      </c>
      <c r="BE387" s="68" t="str">
        <f aca="false">IF(AU387&gt;AT$7,
    "",
    VLOOKUP(AU387,AW$8:BC$507,2,FALSE())
)</f>
        <v/>
      </c>
      <c r="BF387" s="68" t="str">
        <f aca="false">IF(AU387&gt;AT$7,
    "",
    VLOOKUP(AU387,AW$8:BC$507,3,FALSE())
)</f>
        <v/>
      </c>
      <c r="BG387" s="68" t="str">
        <f aca="false">IF(AU387&gt;AT$7,
    "",
    VLOOKUP(AU387,AW$8:BC$507,4,FALSE())
)</f>
        <v/>
      </c>
      <c r="BH387" s="68" t="str">
        <f aca="false">IF(AU387&gt;AT$7,
    "",
    VLOOKUP(AU387,AW$8:BC$507,5,FALSE())
)</f>
        <v/>
      </c>
      <c r="BI387" s="69" t="str">
        <f aca="false">IF(AU387&gt;AT$7,
    "",
    VLOOKUP(AU387,AW$8:BC$507,6,FALSE())
)</f>
        <v/>
      </c>
      <c r="BJ387" s="46"/>
    </row>
    <row r="388" customFormat="false" ht="15.75" hidden="false" customHeight="false" outlineLevel="0" collapsed="false">
      <c r="A388" s="3"/>
      <c r="B388" s="108"/>
      <c r="C388" s="70"/>
      <c r="D388" s="49"/>
      <c r="E388" s="109"/>
      <c r="F388" s="72"/>
      <c r="G388" s="109"/>
      <c r="H388" s="74"/>
      <c r="I388" s="104"/>
      <c r="J388" s="74"/>
      <c r="K388" s="74"/>
      <c r="L388" s="55"/>
      <c r="M388" s="55" t="str">
        <f aca="false">IF(ISBLANK($C388),"",IF(ISBLANK(E388),0,E388))</f>
        <v/>
      </c>
      <c r="N388" s="55" t="str">
        <f aca="false">IF(ISBLANK($C388),"",IF(ISBLANK(F388),0,F388))</f>
        <v/>
      </c>
      <c r="O388" s="55" t="e">
        <f aca="false">IF(AND(NOT(ISBLANK($C388)),NOT($T388),COUNTA($E388:$K388)&gt;0),ISBLANK($F388),FALSE())</f>
        <v>#VALUE!</v>
      </c>
      <c r="P388" s="55" t="str">
        <f aca="false">IF(ISBLANK($C388),"",IF(G388=Constants!$B$9, TRUE(), IF(G388=Constants!$B$10, FALSE(), TRUE())))</f>
        <v/>
      </c>
      <c r="Q388" s="55" t="str">
        <f aca="false">IF(ISBLANK($C388),"",IF(H388=Constants!$B$9, TRUE(), IF(H388=Constants!$B$10, FALSE(), TRUE())))</f>
        <v/>
      </c>
      <c r="R388" s="55" t="str">
        <f aca="false">IF(ISBLANK($C388),"",IF(ISBLANK(I388),Constants!$B$3,I388))</f>
        <v/>
      </c>
      <c r="S388" s="55" t="str">
        <f aca="false">IF(ISBLANK($C388),"",IF(ISBLANK(J388),0,MIN(J388,Constants!$B$6)))</f>
        <v/>
      </c>
      <c r="T388" s="55" t="str">
        <f aca="false">IF(ISBLANK($C388),"",IF(K388=Constants!$B$9, TRUE(), IF(K388=Constants!$B$10, FALSE(),  FALSE())))</f>
        <v/>
      </c>
      <c r="U388" s="55" t="str">
        <f aca="false">IF(ISBLANK($C388),"",AND(R388=Constants!$B$4, S388&lt;Constants!$B$6))</f>
        <v/>
      </c>
      <c r="V388" s="55" t="str">
        <f aca="false">IF(ISBLANK(C388), "", IF(T388, Constants!$B$11, IF(COUNTA(E388:K388)=0, Constants!$B$12, IF(NOT(AND(P388,S388&lt;&gt;0)), Constants!$B$13, IF(O388, Constants!$B$15, Constants!$B$14)))))</f>
        <v/>
      </c>
      <c r="W388" s="55" t="str">
        <f aca="false">IF(OR(ISBLANK($C388), SUMPRODUCT(--(P388:T388&lt;&gt;""))=0), "", IF(V388&lt;&gt;Constants!$B$14, V388, IF(AND(NOT(ISBLANK(J388)),P388,Q388,R388&lt;&gt;Constants!$B$2), Constants!$B$7, IF(AND(P388,OR(NOT(Q388),R388=Constants!$B$2)), Constants!$B$8, "Error"))))</f>
        <v/>
      </c>
      <c r="X388" s="56" t="str">
        <f aca="false">IF(OR(W388=Constants!$B$7,W388=Constants!$B$8), MAX(0, MIN(Constants!$B$6, S388))+IF(AND(R388=Constants!$B$4, NOT(U388)), Constants!$B$5, 0), "")</f>
        <v/>
      </c>
      <c r="Y388" s="55" t="str">
        <f aca="false">IF(ISBLANK($C388),"",IF(AND(ISNUMBER(X388),N388&gt;0),X388/N388, "") )</f>
        <v/>
      </c>
      <c r="Z388" s="55" t="str">
        <f aca="false">IF(AND(NOT(ISBLANK($C388)), W388=Constants!$B$7), Y388, "")</f>
        <v/>
      </c>
      <c r="AA388" s="55" t="str">
        <f aca="false">IF(ISNUMBER(Z388), RANK(Z388,Z$8:Z$507), "")</f>
        <v/>
      </c>
      <c r="AB388" s="55" t="str">
        <f aca="false">IF(AND(NOT(ISBLANK($C388)), W388=Constants!$B$8), Y388, "")</f>
        <v/>
      </c>
      <c r="AC388" s="55" t="str">
        <f aca="false">IF(ISNUMBER(AB388), RANK(AB388,AB$8:AB$507), "")</f>
        <v/>
      </c>
      <c r="AD388" s="55" t="str">
        <f aca="false">IF(ISBLANK($C388),"",IF(V388&lt;&gt;Constants!$B$14, V388, IF(W388=Constants!$B$7, AA388, IF(W388=Constants!$B$8, COUNT($AA$8:$AA$507) + AC388, ""))))</f>
        <v/>
      </c>
      <c r="AE388" s="55" t="str">
        <f aca="false">N388</f>
        <v/>
      </c>
      <c r="AF388" s="55" t="str">
        <f aca="false">IF(ISNUMBER(AE388), RANK(AE388,AE$8:AE$507,1), "")</f>
        <v/>
      </c>
      <c r="AG388" s="57" t="str">
        <f aca="false">IF(ISBLANK(C388), "", ABS(M388-S388))</f>
        <v/>
      </c>
      <c r="AH388" s="55" t="str">
        <f aca="false">IF(ISNUMBER(AG388), RANK(AG388,AG$8:AG$507,1), "")</f>
        <v/>
      </c>
      <c r="AI388" s="55" t="str">
        <f aca="false">IF(ISBLANK(C388),"",IF(V388&lt;&gt;Constants!$B$14, V388, RANK(AD388, AD$8:AD$507, 1)+ SUMPRODUCT(--(AD$8:AD$507=AD388),--(AF388&gt;AF$8:AF$507)) + SUMPRODUCT(--(AD$8:AD$507=AD388),--(AF388=AF$8:AF$507),--(AH388&gt;AH$8:AH$507))))</f>
        <v/>
      </c>
      <c r="AJ388" s="55" t="str">
        <f aca="false">IF(ISBLANK(C388),"",IF(V388&lt;&gt;Constants!$B$14, V388, AD388-AI388))</f>
        <v/>
      </c>
      <c r="AK388" s="59"/>
      <c r="AL388" s="60" t="str">
        <f aca="false">IF(ISBLANK($C388),"",IF($V388&lt;&gt;Constants!$B$14,$V388,X388))</f>
        <v/>
      </c>
      <c r="AM388" s="60" t="str">
        <f aca="false">IF(ISBLANK($C388),"",IF($V388&lt;&gt;Constants!$B$14,$V388,N388))</f>
        <v/>
      </c>
      <c r="AN388" s="62" t="str">
        <f aca="false">IF(ISBLANK(C388),"",IF(V388&lt;&gt;Constants!$B$14, V388, IF(W388=Constants!$B$7,Z388,IF(W388=Constants!$B$8,AB388,""))))</f>
        <v/>
      </c>
      <c r="AO388" s="63" t="str">
        <f aca="false">IF(ISBLANK(C388),"",W388)</f>
        <v/>
      </c>
      <c r="AP388" s="63" t="str">
        <f aca="false">IF(ISBLANK(C388),"",AJ388)</f>
        <v/>
      </c>
      <c r="AQ388" s="63" t="str">
        <f aca="false">IF(ISBLANK(C388),"",AI388)</f>
        <v/>
      </c>
      <c r="AR388" s="64" t="str">
        <f aca="false">IF(ISBLANK(C388),
  "",
IF(AQ388=Constants!$B$11,COUNTA($C$8:$C$507)+2,IF(AQ388=Constants!$B$12,COUNTA($C$8:$C$507)+1,IF(AQ388=Constants!$B$13,COUNTA($C$8:$C$507),AQ388))))</f>
        <v/>
      </c>
      <c r="AS388" s="3"/>
      <c r="AT388" s="65" t="n">
        <f aca="false">IF(OR(ISNUMBER(AQ388),AQ388="DQ",AQ388="P",AQ388="NS"),
    1,
    0
)</f>
        <v>0</v>
      </c>
      <c r="AU388" s="65" t="n">
        <v>381</v>
      </c>
      <c r="AV388" s="65" t="str">
        <f aca="false">IF(ISBLANK($C388),
    "",
   IF(ISNUMBER(AR388),AR388+ROW($B388)/1000,"")
)</f>
        <v/>
      </c>
      <c r="AW388" s="65" t="str">
        <f aca="false">IF(ISNUMBER(AV388), RANK(AV388,AV$8:AV$507,1), "")</f>
        <v/>
      </c>
      <c r="AX388" s="65" t="str">
        <f aca="false">IF(ISBLANK($C388),
    "",
    $B388
)</f>
        <v/>
      </c>
      <c r="AY388" s="65" t="str">
        <f aca="false">IF(ISBLANK($C388),
    "",
    $C388
)</f>
        <v/>
      </c>
      <c r="AZ388" s="65" t="str">
        <f aca="false">IF(ISBLANK($C388),
    "",
    $D388
)</f>
        <v/>
      </c>
      <c r="BA388" s="65" t="str">
        <f aca="false">AO388</f>
        <v/>
      </c>
      <c r="BB388" s="66" t="str">
        <f aca="false">AN388</f>
        <v/>
      </c>
      <c r="BC388" s="65" t="str">
        <f aca="false">IF(ISBLANK($C388),
    "",
    AQ388
)</f>
        <v/>
      </c>
      <c r="BD388" s="67" t="str">
        <f aca="false">IF(AU388&gt;AT$7,
    "",
    VLOOKUP(AU388,AW$8:BC$507,7,FALSE())
)</f>
        <v/>
      </c>
      <c r="BE388" s="68" t="str">
        <f aca="false">IF(AU388&gt;AT$7,
    "",
    VLOOKUP(AU388,AW$8:BC$507,2,FALSE())
)</f>
        <v/>
      </c>
      <c r="BF388" s="68" t="str">
        <f aca="false">IF(AU388&gt;AT$7,
    "",
    VLOOKUP(AU388,AW$8:BC$507,3,FALSE())
)</f>
        <v/>
      </c>
      <c r="BG388" s="68" t="str">
        <f aca="false">IF(AU388&gt;AT$7,
    "",
    VLOOKUP(AU388,AW$8:BC$507,4,FALSE())
)</f>
        <v/>
      </c>
      <c r="BH388" s="68" t="str">
        <f aca="false">IF(AU388&gt;AT$7,
    "",
    VLOOKUP(AU388,AW$8:BC$507,5,FALSE())
)</f>
        <v/>
      </c>
      <c r="BI388" s="69" t="str">
        <f aca="false">IF(AU388&gt;AT$7,
    "",
    VLOOKUP(AU388,AW$8:BC$507,6,FALSE())
)</f>
        <v/>
      </c>
      <c r="BJ388" s="46"/>
    </row>
    <row r="389" customFormat="false" ht="15.75" hidden="false" customHeight="false" outlineLevel="0" collapsed="false">
      <c r="A389" s="3"/>
      <c r="B389" s="105"/>
      <c r="C389" s="106"/>
      <c r="D389" s="99"/>
      <c r="E389" s="110"/>
      <c r="F389" s="107"/>
      <c r="G389" s="110"/>
      <c r="H389" s="103"/>
      <c r="I389" s="102"/>
      <c r="J389" s="103"/>
      <c r="K389" s="103"/>
      <c r="L389" s="85"/>
      <c r="M389" s="85" t="str">
        <f aca="false">IF(ISBLANK($C389),"",IF(ISBLANK(E389),0,E389))</f>
        <v/>
      </c>
      <c r="N389" s="85" t="str">
        <f aca="false">IF(ISBLANK($C389),"",IF(ISBLANK(F389),0,F389))</f>
        <v/>
      </c>
      <c r="O389" s="86" t="e">
        <f aca="false">IF(AND(NOT(ISBLANK($C389)),NOT($T389),COUNTA($E389:$K389)&gt;0),ISBLANK($F389),FALSE())</f>
        <v>#VALUE!</v>
      </c>
      <c r="P389" s="85" t="str">
        <f aca="false">IF(ISBLANK($C389),"",IF(G389=Constants!$B$9, TRUE(), IF(G389=Constants!$B$10, FALSE(), TRUE())))</f>
        <v/>
      </c>
      <c r="Q389" s="85" t="str">
        <f aca="false">IF(ISBLANK($C389),"",IF(H389=Constants!$B$9, TRUE(), IF(H389=Constants!$B$10, FALSE(), TRUE())))</f>
        <v/>
      </c>
      <c r="R389" s="85" t="str">
        <f aca="false">IF(ISBLANK($C389),"",IF(ISBLANK(I389),Constants!$B$3,I389))</f>
        <v/>
      </c>
      <c r="S389" s="85" t="str">
        <f aca="false">IF(ISBLANK($C389),"",IF(ISBLANK(J389),0,MIN(J389,Constants!$B$6)))</f>
        <v/>
      </c>
      <c r="T389" s="85" t="str">
        <f aca="false">IF(ISBLANK($C389),"",IF(K389=Constants!$B$9, TRUE(), IF(K389=Constants!$B$10, FALSE(),  FALSE())))</f>
        <v/>
      </c>
      <c r="U389" s="85" t="str">
        <f aca="false">IF(ISBLANK($C389),"",AND(R389=Constants!$B$4, S389&lt;Constants!$B$6))</f>
        <v/>
      </c>
      <c r="V389" s="85" t="str">
        <f aca="false">IF(ISBLANK(C389), "", IF(T389, Constants!$B$11, IF(COUNTA(E389:K389)=0, Constants!$B$12, IF(NOT(AND(P389,S389&lt;&gt;0)), Constants!$B$13, IF(O389, Constants!$B$15, Constants!$B$14)))))</f>
        <v/>
      </c>
      <c r="W389" s="85" t="str">
        <f aca="false">IF(OR(ISBLANK($C389), SUMPRODUCT(--(P389:T389&lt;&gt;""))=0), "", IF(V389&lt;&gt;Constants!$B$14, V389, IF(AND(NOT(ISBLANK(J389)),P389,Q389,R389&lt;&gt;Constants!$B$2), Constants!$B$7, IF(AND(P389,OR(NOT(Q389),R389=Constants!$B$2)), Constants!$B$8, "Error"))))</f>
        <v/>
      </c>
      <c r="X389" s="87" t="str">
        <f aca="false">IF(OR(W389=Constants!$B$7,W389=Constants!$B$8), MAX(0, MIN(Constants!$B$6, S389))+IF(AND(R389=Constants!$B$4, NOT(U389)), Constants!$B$5, 0), "")</f>
        <v/>
      </c>
      <c r="Y389" s="85" t="str">
        <f aca="false">IF(ISBLANK($C389),"",IF(AND(ISNUMBER(X389),N389&gt;0),X389/N389, "") )</f>
        <v/>
      </c>
      <c r="Z389" s="85" t="str">
        <f aca="false">IF(AND(NOT(ISBLANK($C389)), W389=Constants!$B$7), Y389, "")</f>
        <v/>
      </c>
      <c r="AA389" s="85" t="str">
        <f aca="false">IF(ISNUMBER(Z389), RANK(Z389,Z$8:Z$507), "")</f>
        <v/>
      </c>
      <c r="AB389" s="85" t="str">
        <f aca="false">IF(AND(NOT(ISBLANK($C389)), W389=Constants!$B$8), Y389, "")</f>
        <v/>
      </c>
      <c r="AC389" s="85" t="str">
        <f aca="false">IF(ISNUMBER(AB389), RANK(AB389,AB$8:AB$507), "")</f>
        <v/>
      </c>
      <c r="AD389" s="85" t="str">
        <f aca="false">IF(ISBLANK($C389),"",IF(V389&lt;&gt;Constants!$B$14, V389, IF(W389=Constants!$B$7, AA389, IF(W389=Constants!$B$8, COUNT($AA$8:$AA$507) + AC389, ""))))</f>
        <v/>
      </c>
      <c r="AE389" s="85" t="str">
        <f aca="false">N389</f>
        <v/>
      </c>
      <c r="AF389" s="85" t="str">
        <f aca="false">IF(ISNUMBER(AE389), RANK(AE389,AE$8:AE$507,1), "")</f>
        <v/>
      </c>
      <c r="AG389" s="88" t="str">
        <f aca="false">IF(ISBLANK(C389), "", ABS(M389-S389))</f>
        <v/>
      </c>
      <c r="AH389" s="85" t="str">
        <f aca="false">IF(ISNUMBER(AG389), RANK(AG389,AG$8:AG$507,1), "")</f>
        <v/>
      </c>
      <c r="AI389" s="85" t="str">
        <f aca="false">IF(ISBLANK(C389),"",IF(V389&lt;&gt;Constants!$B$14, V389, RANK(AD389, AD$8:AD$507, 1)+ SUMPRODUCT(--(AD$8:AD$507=AD389),--(AF389&gt;AF$8:AF$507)) + SUMPRODUCT(--(AD$8:AD$507=AD389),--(AF389=AF$8:AF$507),--(AH389&gt;AH$8:AH$507))))</f>
        <v/>
      </c>
      <c r="AJ389" s="85" t="str">
        <f aca="false">IF(ISBLANK(C389),"",IF(V389&lt;&gt;Constants!$B$14, V389, AD389-AI389))</f>
        <v/>
      </c>
      <c r="AK389" s="89"/>
      <c r="AL389" s="90" t="str">
        <f aca="false">IF(ISBLANK($C389),"",IF($V389&lt;&gt;Constants!$B$14,$V389,X389))</f>
        <v/>
      </c>
      <c r="AM389" s="90" t="str">
        <f aca="false">IF(ISBLANK($C389),"",IF($V389&lt;&gt;Constants!$B$14,$V389,N389))</f>
        <v/>
      </c>
      <c r="AN389" s="91" t="str">
        <f aca="false">IF(ISBLANK(C389),"",IF(V389&lt;&gt;Constants!$B$14, V389, IF(W389=Constants!$B$7,Z389,IF(W389=Constants!$B$8,AB389,""))))</f>
        <v/>
      </c>
      <c r="AO389" s="92" t="str">
        <f aca="false">IF(ISBLANK(C389),"",W389)</f>
        <v/>
      </c>
      <c r="AP389" s="92" t="str">
        <f aca="false">IF(ISBLANK(C389),"",AJ389)</f>
        <v/>
      </c>
      <c r="AQ389" s="92" t="str">
        <f aca="false">IF(ISBLANK(C389),"",AI389)</f>
        <v/>
      </c>
      <c r="AR389" s="93" t="str">
        <f aca="false">IF(ISBLANK(C389),
  "",
IF(AQ389=Constants!$B$11,COUNTA($C$8:$C$507)+2,IF(AQ389=Constants!$B$12,COUNTA($C$8:$C$507)+1,IF(AQ389=Constants!$B$13,COUNTA($C$8:$C$507),AQ389))))</f>
        <v/>
      </c>
      <c r="AS389" s="3"/>
      <c r="AT389" s="94" t="n">
        <f aca="false">IF(OR(ISNUMBER(AQ389),AQ389="DQ",AQ389="P",AQ389="NS"),
    1,
    0
)</f>
        <v>0</v>
      </c>
      <c r="AU389" s="94" t="n">
        <v>382</v>
      </c>
      <c r="AV389" s="94" t="str">
        <f aca="false">IF(ISBLANK($C389),
    "",
   IF(ISNUMBER(AR389),AR389+ROW($B389)/1000,"")
)</f>
        <v/>
      </c>
      <c r="AW389" s="94" t="str">
        <f aca="false">IF(ISNUMBER(AV389), RANK(AV389,AV$8:AV$507,1), "")</f>
        <v/>
      </c>
      <c r="AX389" s="94" t="str">
        <f aca="false">IF(ISBLANK($C389),
    "",
    $B389
)</f>
        <v/>
      </c>
      <c r="AY389" s="94" t="str">
        <f aca="false">IF(ISBLANK($C389),
    "",
    $C389
)</f>
        <v/>
      </c>
      <c r="AZ389" s="94" t="str">
        <f aca="false">IF(ISBLANK($C389),
    "",
    $D389
)</f>
        <v/>
      </c>
      <c r="BA389" s="94" t="str">
        <f aca="false">AO389</f>
        <v/>
      </c>
      <c r="BB389" s="95" t="str">
        <f aca="false">AN389</f>
        <v/>
      </c>
      <c r="BC389" s="94" t="str">
        <f aca="false">IF(ISBLANK($C389),
    "",
    AQ389
)</f>
        <v/>
      </c>
      <c r="BD389" s="96" t="str">
        <f aca="false">IF(AU389&gt;AT$7,
    "",
    VLOOKUP(AU389,AW$8:BC$507,7,FALSE())
)</f>
        <v/>
      </c>
      <c r="BE389" s="97" t="str">
        <f aca="false">IF(AU389&gt;AT$7,
    "",
    VLOOKUP(AU389,AW$8:BC$507,2,FALSE())
)</f>
        <v/>
      </c>
      <c r="BF389" s="97" t="str">
        <f aca="false">IF(AU389&gt;AT$7,
    "",
    VLOOKUP(AU389,AW$8:BC$507,3,FALSE())
)</f>
        <v/>
      </c>
      <c r="BG389" s="97" t="str">
        <f aca="false">IF(AU389&gt;AT$7,
    "",
    VLOOKUP(AU389,AW$8:BC$507,4,FALSE())
)</f>
        <v/>
      </c>
      <c r="BH389" s="97" t="str">
        <f aca="false">IF(AU389&gt;AT$7,
    "",
    VLOOKUP(AU389,AW$8:BC$507,5,FALSE())
)</f>
        <v/>
      </c>
      <c r="BI389" s="98" t="str">
        <f aca="false">IF(AU389&gt;AT$7,
    "",
    VLOOKUP(AU389,AW$8:BC$507,6,FALSE())
)</f>
        <v/>
      </c>
      <c r="BJ389" s="46"/>
    </row>
    <row r="390" customFormat="false" ht="15.75" hidden="false" customHeight="false" outlineLevel="0" collapsed="false">
      <c r="A390" s="3"/>
      <c r="B390" s="105"/>
      <c r="C390" s="106"/>
      <c r="D390" s="99"/>
      <c r="E390" s="110"/>
      <c r="F390" s="107"/>
      <c r="G390" s="110"/>
      <c r="H390" s="103"/>
      <c r="I390" s="102"/>
      <c r="J390" s="103"/>
      <c r="K390" s="103"/>
      <c r="L390" s="85"/>
      <c r="M390" s="85" t="str">
        <f aca="false">IF(ISBLANK($C390),"",IF(ISBLANK(E390),0,E390))</f>
        <v/>
      </c>
      <c r="N390" s="85" t="str">
        <f aca="false">IF(ISBLANK($C390),"",IF(ISBLANK(F390),0,F390))</f>
        <v/>
      </c>
      <c r="O390" s="86" t="e">
        <f aca="false">IF(AND(NOT(ISBLANK($C390)),NOT($T390),COUNTA($E390:$K390)&gt;0),ISBLANK($F390),FALSE())</f>
        <v>#VALUE!</v>
      </c>
      <c r="P390" s="85" t="str">
        <f aca="false">IF(ISBLANK($C390),"",IF(G390=Constants!$B$9, TRUE(), IF(G390=Constants!$B$10, FALSE(), TRUE())))</f>
        <v/>
      </c>
      <c r="Q390" s="85" t="str">
        <f aca="false">IF(ISBLANK($C390),"",IF(H390=Constants!$B$9, TRUE(), IF(H390=Constants!$B$10, FALSE(), TRUE())))</f>
        <v/>
      </c>
      <c r="R390" s="85" t="str">
        <f aca="false">IF(ISBLANK($C390),"",IF(ISBLANK(I390),Constants!$B$3,I390))</f>
        <v/>
      </c>
      <c r="S390" s="85" t="str">
        <f aca="false">IF(ISBLANK($C390),"",IF(ISBLANK(J390),0,MIN(J390,Constants!$B$6)))</f>
        <v/>
      </c>
      <c r="T390" s="85" t="str">
        <f aca="false">IF(ISBLANK($C390),"",IF(K390=Constants!$B$9, TRUE(), IF(K390=Constants!$B$10, FALSE(),  FALSE())))</f>
        <v/>
      </c>
      <c r="U390" s="85" t="str">
        <f aca="false">IF(ISBLANK($C390),"",AND(R390=Constants!$B$4, S390&lt;Constants!$B$6))</f>
        <v/>
      </c>
      <c r="V390" s="85" t="str">
        <f aca="false">IF(ISBLANK(C390), "", IF(T390, Constants!$B$11, IF(COUNTA(E390:K390)=0, Constants!$B$12, IF(NOT(AND(P390,S390&lt;&gt;0)), Constants!$B$13, IF(O390, Constants!$B$15, Constants!$B$14)))))</f>
        <v/>
      </c>
      <c r="W390" s="85" t="str">
        <f aca="false">IF(OR(ISBLANK($C390), SUMPRODUCT(--(P390:T390&lt;&gt;""))=0), "", IF(V390&lt;&gt;Constants!$B$14, V390, IF(AND(NOT(ISBLANK(J390)),P390,Q390,R390&lt;&gt;Constants!$B$2), Constants!$B$7, IF(AND(P390,OR(NOT(Q390),R390=Constants!$B$2)), Constants!$B$8, "Error"))))</f>
        <v/>
      </c>
      <c r="X390" s="87" t="str">
        <f aca="false">IF(OR(W390=Constants!$B$7,W390=Constants!$B$8), MAX(0, MIN(Constants!$B$6, S390))+IF(AND(R390=Constants!$B$4, NOT(U390)), Constants!$B$5, 0), "")</f>
        <v/>
      </c>
      <c r="Y390" s="85" t="str">
        <f aca="false">IF(ISBLANK($C390),"",IF(AND(ISNUMBER(X390),N390&gt;0),X390/N390, "") )</f>
        <v/>
      </c>
      <c r="Z390" s="85" t="str">
        <f aca="false">IF(AND(NOT(ISBLANK($C390)), W390=Constants!$B$7), Y390, "")</f>
        <v/>
      </c>
      <c r="AA390" s="85" t="str">
        <f aca="false">IF(ISNUMBER(Z390), RANK(Z390,Z$8:Z$507), "")</f>
        <v/>
      </c>
      <c r="AB390" s="85" t="str">
        <f aca="false">IF(AND(NOT(ISBLANK($C390)), W390=Constants!$B$8), Y390, "")</f>
        <v/>
      </c>
      <c r="AC390" s="85" t="str">
        <f aca="false">IF(ISNUMBER(AB390), RANK(AB390,AB$8:AB$507), "")</f>
        <v/>
      </c>
      <c r="AD390" s="85" t="str">
        <f aca="false">IF(ISBLANK($C390),"",IF(V390&lt;&gt;Constants!$B$14, V390, IF(W390=Constants!$B$7, AA390, IF(W390=Constants!$B$8, COUNT($AA$8:$AA$507) + AC390, ""))))</f>
        <v/>
      </c>
      <c r="AE390" s="85" t="str">
        <f aca="false">N390</f>
        <v/>
      </c>
      <c r="AF390" s="85" t="str">
        <f aca="false">IF(ISNUMBER(AE390), RANK(AE390,AE$8:AE$507,1), "")</f>
        <v/>
      </c>
      <c r="AG390" s="88" t="str">
        <f aca="false">IF(ISBLANK(C390), "", ABS(M390-S390))</f>
        <v/>
      </c>
      <c r="AH390" s="85" t="str">
        <f aca="false">IF(ISNUMBER(AG390), RANK(AG390,AG$8:AG$507,1), "")</f>
        <v/>
      </c>
      <c r="AI390" s="85" t="str">
        <f aca="false">IF(ISBLANK(C390),"",IF(V390&lt;&gt;Constants!$B$14, V390, RANK(AD390, AD$8:AD$507, 1)+ SUMPRODUCT(--(AD$8:AD$507=AD390),--(AF390&gt;AF$8:AF$507)) + SUMPRODUCT(--(AD$8:AD$507=AD390),--(AF390=AF$8:AF$507),--(AH390&gt;AH$8:AH$507))))</f>
        <v/>
      </c>
      <c r="AJ390" s="85" t="str">
        <f aca="false">IF(ISBLANK(C390),"",IF(V390&lt;&gt;Constants!$B$14, V390, AD390-AI390))</f>
        <v/>
      </c>
      <c r="AK390" s="89"/>
      <c r="AL390" s="90" t="str">
        <f aca="false">IF(ISBLANK($C390),"",IF($V390&lt;&gt;Constants!$B$14,$V390,X390))</f>
        <v/>
      </c>
      <c r="AM390" s="90" t="str">
        <f aca="false">IF(ISBLANK($C390),"",IF($V390&lt;&gt;Constants!$B$14,$V390,N390))</f>
        <v/>
      </c>
      <c r="AN390" s="91" t="str">
        <f aca="false">IF(ISBLANK(C390),"",IF(V390&lt;&gt;Constants!$B$14, V390, IF(W390=Constants!$B$7,Z390,IF(W390=Constants!$B$8,AB390,""))))</f>
        <v/>
      </c>
      <c r="AO390" s="92" t="str">
        <f aca="false">IF(ISBLANK(C390),"",W390)</f>
        <v/>
      </c>
      <c r="AP390" s="92" t="str">
        <f aca="false">IF(ISBLANK(C390),"",AJ390)</f>
        <v/>
      </c>
      <c r="AQ390" s="92" t="str">
        <f aca="false">IF(ISBLANK(C390),"",AI390)</f>
        <v/>
      </c>
      <c r="AR390" s="93" t="str">
        <f aca="false">IF(ISBLANK(C390),
  "",
IF(AQ390=Constants!$B$11,COUNTA($C$8:$C$507)+2,IF(AQ390=Constants!$B$12,COUNTA($C$8:$C$507)+1,IF(AQ390=Constants!$B$13,COUNTA($C$8:$C$507),AQ390))))</f>
        <v/>
      </c>
      <c r="AS390" s="3"/>
      <c r="AT390" s="94" t="n">
        <f aca="false">IF(OR(ISNUMBER(AQ390),AQ390="DQ",AQ390="P",AQ390="NS"),
    1,
    0
)</f>
        <v>0</v>
      </c>
      <c r="AU390" s="94" t="n">
        <v>383</v>
      </c>
      <c r="AV390" s="94" t="str">
        <f aca="false">IF(ISBLANK($C390),
    "",
   IF(ISNUMBER(AR390),AR390+ROW($B390)/1000,"")
)</f>
        <v/>
      </c>
      <c r="AW390" s="94" t="str">
        <f aca="false">IF(ISNUMBER(AV390), RANK(AV390,AV$8:AV$507,1), "")</f>
        <v/>
      </c>
      <c r="AX390" s="94" t="str">
        <f aca="false">IF(ISBLANK($C390),
    "",
    $B390
)</f>
        <v/>
      </c>
      <c r="AY390" s="94" t="str">
        <f aca="false">IF(ISBLANK($C390),
    "",
    $C390
)</f>
        <v/>
      </c>
      <c r="AZ390" s="94" t="str">
        <f aca="false">IF(ISBLANK($C390),
    "",
    $D390
)</f>
        <v/>
      </c>
      <c r="BA390" s="94" t="str">
        <f aca="false">AO390</f>
        <v/>
      </c>
      <c r="BB390" s="95" t="str">
        <f aca="false">AN390</f>
        <v/>
      </c>
      <c r="BC390" s="94" t="str">
        <f aca="false">IF(ISBLANK($C390),
    "",
    AQ390
)</f>
        <v/>
      </c>
      <c r="BD390" s="96" t="str">
        <f aca="false">IF(AU390&gt;AT$7,
    "",
    VLOOKUP(AU390,AW$8:BC$507,7,FALSE())
)</f>
        <v/>
      </c>
      <c r="BE390" s="97" t="str">
        <f aca="false">IF(AU390&gt;AT$7,
    "",
    VLOOKUP(AU390,AW$8:BC$507,2,FALSE())
)</f>
        <v/>
      </c>
      <c r="BF390" s="97" t="str">
        <f aca="false">IF(AU390&gt;AT$7,
    "",
    VLOOKUP(AU390,AW$8:BC$507,3,FALSE())
)</f>
        <v/>
      </c>
      <c r="BG390" s="97" t="str">
        <f aca="false">IF(AU390&gt;AT$7,
    "",
    VLOOKUP(AU390,AW$8:BC$507,4,FALSE())
)</f>
        <v/>
      </c>
      <c r="BH390" s="97" t="str">
        <f aca="false">IF(AU390&gt;AT$7,
    "",
    VLOOKUP(AU390,AW$8:BC$507,5,FALSE())
)</f>
        <v/>
      </c>
      <c r="BI390" s="98" t="str">
        <f aca="false">IF(AU390&gt;AT$7,
    "",
    VLOOKUP(AU390,AW$8:BC$507,6,FALSE())
)</f>
        <v/>
      </c>
      <c r="BJ390" s="46"/>
    </row>
    <row r="391" customFormat="false" ht="15.75" hidden="false" customHeight="false" outlineLevel="0" collapsed="false">
      <c r="A391" s="3"/>
      <c r="B391" s="105"/>
      <c r="C391" s="106"/>
      <c r="D391" s="99"/>
      <c r="E391" s="110"/>
      <c r="F391" s="107"/>
      <c r="G391" s="110"/>
      <c r="H391" s="103"/>
      <c r="I391" s="102"/>
      <c r="J391" s="103"/>
      <c r="K391" s="103"/>
      <c r="L391" s="85"/>
      <c r="M391" s="85" t="str">
        <f aca="false">IF(ISBLANK($C391),"",IF(ISBLANK(E391),0,E391))</f>
        <v/>
      </c>
      <c r="N391" s="85" t="str">
        <f aca="false">IF(ISBLANK($C391),"",IF(ISBLANK(F391),0,F391))</f>
        <v/>
      </c>
      <c r="O391" s="86" t="e">
        <f aca="false">IF(AND(NOT(ISBLANK($C391)),NOT($T391),COUNTA($E391:$K391)&gt;0),ISBLANK($F391),FALSE())</f>
        <v>#VALUE!</v>
      </c>
      <c r="P391" s="85" t="str">
        <f aca="false">IF(ISBLANK($C391),"",IF(G391=Constants!$B$9, TRUE(), IF(G391=Constants!$B$10, FALSE(), TRUE())))</f>
        <v/>
      </c>
      <c r="Q391" s="85" t="str">
        <f aca="false">IF(ISBLANK($C391),"",IF(H391=Constants!$B$9, TRUE(), IF(H391=Constants!$B$10, FALSE(), TRUE())))</f>
        <v/>
      </c>
      <c r="R391" s="85" t="str">
        <f aca="false">IF(ISBLANK($C391),"",IF(ISBLANK(I391),Constants!$B$3,I391))</f>
        <v/>
      </c>
      <c r="S391" s="85" t="str">
        <f aca="false">IF(ISBLANK($C391),"",IF(ISBLANK(J391),0,MIN(J391,Constants!$B$6)))</f>
        <v/>
      </c>
      <c r="T391" s="85" t="str">
        <f aca="false">IF(ISBLANK($C391),"",IF(K391=Constants!$B$9, TRUE(), IF(K391=Constants!$B$10, FALSE(),  FALSE())))</f>
        <v/>
      </c>
      <c r="U391" s="85" t="str">
        <f aca="false">IF(ISBLANK($C391),"",AND(R391=Constants!$B$4, S391&lt;Constants!$B$6))</f>
        <v/>
      </c>
      <c r="V391" s="85" t="str">
        <f aca="false">IF(ISBLANK(C391), "", IF(T391, Constants!$B$11, IF(COUNTA(E391:K391)=0, Constants!$B$12, IF(NOT(AND(P391,S391&lt;&gt;0)), Constants!$B$13, IF(O391, Constants!$B$15, Constants!$B$14)))))</f>
        <v/>
      </c>
      <c r="W391" s="85" t="str">
        <f aca="false">IF(OR(ISBLANK($C391), SUMPRODUCT(--(P391:T391&lt;&gt;""))=0), "", IF(V391&lt;&gt;Constants!$B$14, V391, IF(AND(NOT(ISBLANK(J391)),P391,Q391,R391&lt;&gt;Constants!$B$2), Constants!$B$7, IF(AND(P391,OR(NOT(Q391),R391=Constants!$B$2)), Constants!$B$8, "Error"))))</f>
        <v/>
      </c>
      <c r="X391" s="87" t="str">
        <f aca="false">IF(OR(W391=Constants!$B$7,W391=Constants!$B$8), MAX(0, MIN(Constants!$B$6, S391))+IF(AND(R391=Constants!$B$4, NOT(U391)), Constants!$B$5, 0), "")</f>
        <v/>
      </c>
      <c r="Y391" s="85" t="str">
        <f aca="false">IF(ISBLANK($C391),"",IF(AND(ISNUMBER(X391),N391&gt;0),X391/N391, "") )</f>
        <v/>
      </c>
      <c r="Z391" s="85" t="str">
        <f aca="false">IF(AND(NOT(ISBLANK($C391)), W391=Constants!$B$7), Y391, "")</f>
        <v/>
      </c>
      <c r="AA391" s="85" t="str">
        <f aca="false">IF(ISNUMBER(Z391), RANK(Z391,Z$8:Z$507), "")</f>
        <v/>
      </c>
      <c r="AB391" s="85" t="str">
        <f aca="false">IF(AND(NOT(ISBLANK($C391)), W391=Constants!$B$8), Y391, "")</f>
        <v/>
      </c>
      <c r="AC391" s="85" t="str">
        <f aca="false">IF(ISNUMBER(AB391), RANK(AB391,AB$8:AB$507), "")</f>
        <v/>
      </c>
      <c r="AD391" s="85" t="str">
        <f aca="false">IF(ISBLANK($C391),"",IF(V391&lt;&gt;Constants!$B$14, V391, IF(W391=Constants!$B$7, AA391, IF(W391=Constants!$B$8, COUNT($AA$8:$AA$507) + AC391, ""))))</f>
        <v/>
      </c>
      <c r="AE391" s="85" t="str">
        <f aca="false">N391</f>
        <v/>
      </c>
      <c r="AF391" s="85" t="str">
        <f aca="false">IF(ISNUMBER(AE391), RANK(AE391,AE$8:AE$507,1), "")</f>
        <v/>
      </c>
      <c r="AG391" s="88" t="str">
        <f aca="false">IF(ISBLANK(C391), "", ABS(M391-S391))</f>
        <v/>
      </c>
      <c r="AH391" s="85" t="str">
        <f aca="false">IF(ISNUMBER(AG391), RANK(AG391,AG$8:AG$507,1), "")</f>
        <v/>
      </c>
      <c r="AI391" s="85" t="str">
        <f aca="false">IF(ISBLANK(C391),"",IF(V391&lt;&gt;Constants!$B$14, V391, RANK(AD391, AD$8:AD$507, 1)+ SUMPRODUCT(--(AD$8:AD$507=AD391),--(AF391&gt;AF$8:AF$507)) + SUMPRODUCT(--(AD$8:AD$507=AD391),--(AF391=AF$8:AF$507),--(AH391&gt;AH$8:AH$507))))</f>
        <v/>
      </c>
      <c r="AJ391" s="85" t="str">
        <f aca="false">IF(ISBLANK(C391),"",IF(V391&lt;&gt;Constants!$B$14, V391, AD391-AI391))</f>
        <v/>
      </c>
      <c r="AK391" s="89"/>
      <c r="AL391" s="90" t="str">
        <f aca="false">IF(ISBLANK($C391),"",IF($V391&lt;&gt;Constants!$B$14,$V391,X391))</f>
        <v/>
      </c>
      <c r="AM391" s="90" t="str">
        <f aca="false">IF(ISBLANK($C391),"",IF($V391&lt;&gt;Constants!$B$14,$V391,N391))</f>
        <v/>
      </c>
      <c r="AN391" s="91" t="str">
        <f aca="false">IF(ISBLANK(C391),"",IF(V391&lt;&gt;Constants!$B$14, V391, IF(W391=Constants!$B$7,Z391,IF(W391=Constants!$B$8,AB391,""))))</f>
        <v/>
      </c>
      <c r="AO391" s="92" t="str">
        <f aca="false">IF(ISBLANK(C391),"",W391)</f>
        <v/>
      </c>
      <c r="AP391" s="92" t="str">
        <f aca="false">IF(ISBLANK(C391),"",AJ391)</f>
        <v/>
      </c>
      <c r="AQ391" s="92" t="str">
        <f aca="false">IF(ISBLANK(C391),"",AI391)</f>
        <v/>
      </c>
      <c r="AR391" s="93" t="str">
        <f aca="false">IF(ISBLANK(C391),
  "",
IF(AQ391=Constants!$B$11,COUNTA($C$8:$C$507)+2,IF(AQ391=Constants!$B$12,COUNTA($C$8:$C$507)+1,IF(AQ391=Constants!$B$13,COUNTA($C$8:$C$507),AQ391))))</f>
        <v/>
      </c>
      <c r="AS391" s="3"/>
      <c r="AT391" s="94" t="n">
        <f aca="false">IF(OR(ISNUMBER(AQ391),AQ391="DQ",AQ391="P",AQ391="NS"),
    1,
    0
)</f>
        <v>0</v>
      </c>
      <c r="AU391" s="94" t="n">
        <v>384</v>
      </c>
      <c r="AV391" s="94" t="str">
        <f aca="false">IF(ISBLANK($C391),
    "",
   IF(ISNUMBER(AR391),AR391+ROW($B391)/1000,"")
)</f>
        <v/>
      </c>
      <c r="AW391" s="94" t="str">
        <f aca="false">IF(ISNUMBER(AV391), RANK(AV391,AV$8:AV$507,1), "")</f>
        <v/>
      </c>
      <c r="AX391" s="94" t="str">
        <f aca="false">IF(ISBLANK($C391),
    "",
    $B391
)</f>
        <v/>
      </c>
      <c r="AY391" s="94" t="str">
        <f aca="false">IF(ISBLANK($C391),
    "",
    $C391
)</f>
        <v/>
      </c>
      <c r="AZ391" s="94" t="str">
        <f aca="false">IF(ISBLANK($C391),
    "",
    $D391
)</f>
        <v/>
      </c>
      <c r="BA391" s="94" t="str">
        <f aca="false">AO391</f>
        <v/>
      </c>
      <c r="BB391" s="95" t="str">
        <f aca="false">AN391</f>
        <v/>
      </c>
      <c r="BC391" s="94" t="str">
        <f aca="false">IF(ISBLANK($C391),
    "",
    AQ391
)</f>
        <v/>
      </c>
      <c r="BD391" s="96" t="str">
        <f aca="false">IF(AU391&gt;AT$7,
    "",
    VLOOKUP(AU391,AW$8:BC$507,7,FALSE())
)</f>
        <v/>
      </c>
      <c r="BE391" s="97" t="str">
        <f aca="false">IF(AU391&gt;AT$7,
    "",
    VLOOKUP(AU391,AW$8:BC$507,2,FALSE())
)</f>
        <v/>
      </c>
      <c r="BF391" s="97" t="str">
        <f aca="false">IF(AU391&gt;AT$7,
    "",
    VLOOKUP(AU391,AW$8:BC$507,3,FALSE())
)</f>
        <v/>
      </c>
      <c r="BG391" s="97" t="str">
        <f aca="false">IF(AU391&gt;AT$7,
    "",
    VLOOKUP(AU391,AW$8:BC$507,4,FALSE())
)</f>
        <v/>
      </c>
      <c r="BH391" s="97" t="str">
        <f aca="false">IF(AU391&gt;AT$7,
    "",
    VLOOKUP(AU391,AW$8:BC$507,5,FALSE())
)</f>
        <v/>
      </c>
      <c r="BI391" s="98" t="str">
        <f aca="false">IF(AU391&gt;AT$7,
    "",
    VLOOKUP(AU391,AW$8:BC$507,6,FALSE())
)</f>
        <v/>
      </c>
      <c r="BJ391" s="46"/>
    </row>
    <row r="392" customFormat="false" ht="15.75" hidden="false" customHeight="false" outlineLevel="0" collapsed="false">
      <c r="A392" s="3"/>
      <c r="B392" s="108"/>
      <c r="C392" s="70"/>
      <c r="D392" s="49"/>
      <c r="E392" s="109"/>
      <c r="F392" s="72"/>
      <c r="G392" s="109"/>
      <c r="H392" s="74"/>
      <c r="I392" s="104"/>
      <c r="J392" s="74"/>
      <c r="K392" s="74"/>
      <c r="L392" s="55"/>
      <c r="M392" s="55" t="str">
        <f aca="false">IF(ISBLANK($C392),"",IF(ISBLANK(E392),0,E392))</f>
        <v/>
      </c>
      <c r="N392" s="55" t="str">
        <f aca="false">IF(ISBLANK($C392),"",IF(ISBLANK(F392),0,F392))</f>
        <v/>
      </c>
      <c r="O392" s="55" t="e">
        <f aca="false">IF(AND(NOT(ISBLANK($C392)),NOT($T392),COUNTA($E392:$K392)&gt;0),ISBLANK($F392),FALSE())</f>
        <v>#VALUE!</v>
      </c>
      <c r="P392" s="55" t="str">
        <f aca="false">IF(ISBLANK($C392),"",IF(G392=Constants!$B$9, TRUE(), IF(G392=Constants!$B$10, FALSE(), TRUE())))</f>
        <v/>
      </c>
      <c r="Q392" s="55" t="str">
        <f aca="false">IF(ISBLANK($C392),"",IF(H392=Constants!$B$9, TRUE(), IF(H392=Constants!$B$10, FALSE(), TRUE())))</f>
        <v/>
      </c>
      <c r="R392" s="55" t="str">
        <f aca="false">IF(ISBLANK($C392),"",IF(ISBLANK(I392),Constants!$B$3,I392))</f>
        <v/>
      </c>
      <c r="S392" s="55" t="str">
        <f aca="false">IF(ISBLANK($C392),"",IF(ISBLANK(J392),0,MIN(J392,Constants!$B$6)))</f>
        <v/>
      </c>
      <c r="T392" s="55" t="str">
        <f aca="false">IF(ISBLANK($C392),"",IF(K392=Constants!$B$9, TRUE(), IF(K392=Constants!$B$10, FALSE(),  FALSE())))</f>
        <v/>
      </c>
      <c r="U392" s="55" t="str">
        <f aca="false">IF(ISBLANK($C392),"",AND(R392=Constants!$B$4, S392&lt;Constants!$B$6))</f>
        <v/>
      </c>
      <c r="V392" s="55" t="str">
        <f aca="false">IF(ISBLANK(C392), "", IF(T392, Constants!$B$11, IF(COUNTA(E392:K392)=0, Constants!$B$12, IF(NOT(AND(P392,S392&lt;&gt;0)), Constants!$B$13, IF(O392, Constants!$B$15, Constants!$B$14)))))</f>
        <v/>
      </c>
      <c r="W392" s="55" t="str">
        <f aca="false">IF(OR(ISBLANK($C392), SUMPRODUCT(--(P392:T392&lt;&gt;""))=0), "", IF(V392&lt;&gt;Constants!$B$14, V392, IF(AND(NOT(ISBLANK(J392)),P392,Q392,R392&lt;&gt;Constants!$B$2), Constants!$B$7, IF(AND(P392,OR(NOT(Q392),R392=Constants!$B$2)), Constants!$B$8, "Error"))))</f>
        <v/>
      </c>
      <c r="X392" s="56" t="str">
        <f aca="false">IF(OR(W392=Constants!$B$7,W392=Constants!$B$8), MAX(0, MIN(Constants!$B$6, S392))+IF(AND(R392=Constants!$B$4, NOT(U392)), Constants!$B$5, 0), "")</f>
        <v/>
      </c>
      <c r="Y392" s="55" t="str">
        <f aca="false">IF(ISBLANK($C392),"",IF(AND(ISNUMBER(X392),N392&gt;0),X392/N392, "") )</f>
        <v/>
      </c>
      <c r="Z392" s="55" t="str">
        <f aca="false">IF(AND(NOT(ISBLANK($C392)), W392=Constants!$B$7), Y392, "")</f>
        <v/>
      </c>
      <c r="AA392" s="55" t="str">
        <f aca="false">IF(ISNUMBER(Z392), RANK(Z392,Z$8:Z$507), "")</f>
        <v/>
      </c>
      <c r="AB392" s="55" t="str">
        <f aca="false">IF(AND(NOT(ISBLANK($C392)), W392=Constants!$B$8), Y392, "")</f>
        <v/>
      </c>
      <c r="AC392" s="55" t="str">
        <f aca="false">IF(ISNUMBER(AB392), RANK(AB392,AB$8:AB$507), "")</f>
        <v/>
      </c>
      <c r="AD392" s="55" t="str">
        <f aca="false">IF(ISBLANK($C392),"",IF(V392&lt;&gt;Constants!$B$14, V392, IF(W392=Constants!$B$7, AA392, IF(W392=Constants!$B$8, COUNT($AA$8:$AA$507) + AC392, ""))))</f>
        <v/>
      </c>
      <c r="AE392" s="55" t="str">
        <f aca="false">N392</f>
        <v/>
      </c>
      <c r="AF392" s="55" t="str">
        <f aca="false">IF(ISNUMBER(AE392), RANK(AE392,AE$8:AE$507,1), "")</f>
        <v/>
      </c>
      <c r="AG392" s="57" t="str">
        <f aca="false">IF(ISBLANK(C392), "", ABS(M392-S392))</f>
        <v/>
      </c>
      <c r="AH392" s="55" t="str">
        <f aca="false">IF(ISNUMBER(AG392), RANK(AG392,AG$8:AG$507,1), "")</f>
        <v/>
      </c>
      <c r="AI392" s="55" t="str">
        <f aca="false">IF(ISBLANK(C392),"",IF(V392&lt;&gt;Constants!$B$14, V392, RANK(AD392, AD$8:AD$507, 1)+ SUMPRODUCT(--(AD$8:AD$507=AD392),--(AF392&gt;AF$8:AF$507)) + SUMPRODUCT(--(AD$8:AD$507=AD392),--(AF392=AF$8:AF$507),--(AH392&gt;AH$8:AH$507))))</f>
        <v/>
      </c>
      <c r="AJ392" s="55" t="str">
        <f aca="false">IF(ISBLANK(C392),"",IF(V392&lt;&gt;Constants!$B$14, V392, AD392-AI392))</f>
        <v/>
      </c>
      <c r="AK392" s="59"/>
      <c r="AL392" s="60" t="str">
        <f aca="false">IF(ISBLANK($C392),"",IF($V392&lt;&gt;Constants!$B$14,$V392,X392))</f>
        <v/>
      </c>
      <c r="AM392" s="60" t="str">
        <f aca="false">IF(ISBLANK($C392),"",IF($V392&lt;&gt;Constants!$B$14,$V392,N392))</f>
        <v/>
      </c>
      <c r="AN392" s="62" t="str">
        <f aca="false">IF(ISBLANK(C392),"",IF(V392&lt;&gt;Constants!$B$14, V392, IF(W392=Constants!$B$7,Z392,IF(W392=Constants!$B$8,AB392,""))))</f>
        <v/>
      </c>
      <c r="AO392" s="63" t="str">
        <f aca="false">IF(ISBLANK(C392),"",W392)</f>
        <v/>
      </c>
      <c r="AP392" s="63" t="str">
        <f aca="false">IF(ISBLANK(C392),"",AJ392)</f>
        <v/>
      </c>
      <c r="AQ392" s="63" t="str">
        <f aca="false">IF(ISBLANK(C392),"",AI392)</f>
        <v/>
      </c>
      <c r="AR392" s="64" t="str">
        <f aca="false">IF(ISBLANK(C392),
  "",
IF(AQ392=Constants!$B$11,COUNTA($C$8:$C$507)+2,IF(AQ392=Constants!$B$12,COUNTA($C$8:$C$507)+1,IF(AQ392=Constants!$B$13,COUNTA($C$8:$C$507),AQ392))))</f>
        <v/>
      </c>
      <c r="AS392" s="3"/>
      <c r="AT392" s="65" t="n">
        <f aca="false">IF(OR(ISNUMBER(AQ392),AQ392="DQ",AQ392="P",AQ392="NS"),
    1,
    0
)</f>
        <v>0</v>
      </c>
      <c r="AU392" s="65" t="n">
        <v>385</v>
      </c>
      <c r="AV392" s="65" t="str">
        <f aca="false">IF(ISBLANK($C392),
    "",
   IF(ISNUMBER(AR392),AR392+ROW($B392)/1000,"")
)</f>
        <v/>
      </c>
      <c r="AW392" s="65" t="str">
        <f aca="false">IF(ISNUMBER(AV392), RANK(AV392,AV$8:AV$507,1), "")</f>
        <v/>
      </c>
      <c r="AX392" s="65" t="str">
        <f aca="false">IF(ISBLANK($C392),
    "",
    $B392
)</f>
        <v/>
      </c>
      <c r="AY392" s="65" t="str">
        <f aca="false">IF(ISBLANK($C392),
    "",
    $C392
)</f>
        <v/>
      </c>
      <c r="AZ392" s="65" t="str">
        <f aca="false">IF(ISBLANK($C392),
    "",
    $D392
)</f>
        <v/>
      </c>
      <c r="BA392" s="65" t="str">
        <f aca="false">AO392</f>
        <v/>
      </c>
      <c r="BB392" s="66" t="str">
        <f aca="false">AN392</f>
        <v/>
      </c>
      <c r="BC392" s="65" t="str">
        <f aca="false">IF(ISBLANK($C392),
    "",
    AQ392
)</f>
        <v/>
      </c>
      <c r="BD392" s="67" t="str">
        <f aca="false">IF(AU392&gt;AT$7,
    "",
    VLOOKUP(AU392,AW$8:BC$507,7,FALSE())
)</f>
        <v/>
      </c>
      <c r="BE392" s="68" t="str">
        <f aca="false">IF(AU392&gt;AT$7,
    "",
    VLOOKUP(AU392,AW$8:BC$507,2,FALSE())
)</f>
        <v/>
      </c>
      <c r="BF392" s="68" t="str">
        <f aca="false">IF(AU392&gt;AT$7,
    "",
    VLOOKUP(AU392,AW$8:BC$507,3,FALSE())
)</f>
        <v/>
      </c>
      <c r="BG392" s="68" t="str">
        <f aca="false">IF(AU392&gt;AT$7,
    "",
    VLOOKUP(AU392,AW$8:BC$507,4,FALSE())
)</f>
        <v/>
      </c>
      <c r="BH392" s="68" t="str">
        <f aca="false">IF(AU392&gt;AT$7,
    "",
    VLOOKUP(AU392,AW$8:BC$507,5,FALSE())
)</f>
        <v/>
      </c>
      <c r="BI392" s="69" t="str">
        <f aca="false">IF(AU392&gt;AT$7,
    "",
    VLOOKUP(AU392,AW$8:BC$507,6,FALSE())
)</f>
        <v/>
      </c>
      <c r="BJ392" s="46"/>
    </row>
    <row r="393" customFormat="false" ht="15.75" hidden="false" customHeight="false" outlineLevel="0" collapsed="false">
      <c r="A393" s="3"/>
      <c r="B393" s="108"/>
      <c r="C393" s="70"/>
      <c r="D393" s="49"/>
      <c r="E393" s="109"/>
      <c r="F393" s="72"/>
      <c r="G393" s="109"/>
      <c r="H393" s="74"/>
      <c r="I393" s="104"/>
      <c r="J393" s="74"/>
      <c r="K393" s="74"/>
      <c r="L393" s="55"/>
      <c r="M393" s="55" t="str">
        <f aca="false">IF(ISBLANK($C393),"",IF(ISBLANK(E393),0,E393))</f>
        <v/>
      </c>
      <c r="N393" s="55" t="str">
        <f aca="false">IF(ISBLANK($C393),"",IF(ISBLANK(F393),0,F393))</f>
        <v/>
      </c>
      <c r="O393" s="55" t="e">
        <f aca="false">IF(AND(NOT(ISBLANK($C393)),NOT($T393),COUNTA($E393:$K393)&gt;0),ISBLANK($F393),FALSE())</f>
        <v>#VALUE!</v>
      </c>
      <c r="P393" s="55" t="str">
        <f aca="false">IF(ISBLANK($C393),"",IF(G393=Constants!$B$9, TRUE(), IF(G393=Constants!$B$10, FALSE(), TRUE())))</f>
        <v/>
      </c>
      <c r="Q393" s="55" t="str">
        <f aca="false">IF(ISBLANK($C393),"",IF(H393=Constants!$B$9, TRUE(), IF(H393=Constants!$B$10, FALSE(), TRUE())))</f>
        <v/>
      </c>
      <c r="R393" s="55" t="str">
        <f aca="false">IF(ISBLANK($C393),"",IF(ISBLANK(I393),Constants!$B$3,I393))</f>
        <v/>
      </c>
      <c r="S393" s="55" t="str">
        <f aca="false">IF(ISBLANK($C393),"",IF(ISBLANK(J393),0,MIN(J393,Constants!$B$6)))</f>
        <v/>
      </c>
      <c r="T393" s="55" t="str">
        <f aca="false">IF(ISBLANK($C393),"",IF(K393=Constants!$B$9, TRUE(), IF(K393=Constants!$B$10, FALSE(),  FALSE())))</f>
        <v/>
      </c>
      <c r="U393" s="55" t="str">
        <f aca="false">IF(ISBLANK($C393),"",AND(R393=Constants!$B$4, S393&lt;Constants!$B$6))</f>
        <v/>
      </c>
      <c r="V393" s="55" t="str">
        <f aca="false">IF(ISBLANK(C393), "", IF(T393, Constants!$B$11, IF(COUNTA(E393:K393)=0, Constants!$B$12, IF(NOT(AND(P393,S393&lt;&gt;0)), Constants!$B$13, IF(O393, Constants!$B$15, Constants!$B$14)))))</f>
        <v/>
      </c>
      <c r="W393" s="55" t="str">
        <f aca="false">IF(OR(ISBLANK($C393), SUMPRODUCT(--(P393:T393&lt;&gt;""))=0), "", IF(V393&lt;&gt;Constants!$B$14, V393, IF(AND(NOT(ISBLANK(J393)),P393,Q393,R393&lt;&gt;Constants!$B$2), Constants!$B$7, IF(AND(P393,OR(NOT(Q393),R393=Constants!$B$2)), Constants!$B$8, "Error"))))</f>
        <v/>
      </c>
      <c r="X393" s="56" t="str">
        <f aca="false">IF(OR(W393=Constants!$B$7,W393=Constants!$B$8), MAX(0, MIN(Constants!$B$6, S393))+IF(AND(R393=Constants!$B$4, NOT(U393)), Constants!$B$5, 0), "")</f>
        <v/>
      </c>
      <c r="Y393" s="55" t="str">
        <f aca="false">IF(ISBLANK($C393),"",IF(AND(ISNUMBER(X393),N393&gt;0),X393/N393, "") )</f>
        <v/>
      </c>
      <c r="Z393" s="55" t="str">
        <f aca="false">IF(AND(NOT(ISBLANK($C393)), W393=Constants!$B$7), Y393, "")</f>
        <v/>
      </c>
      <c r="AA393" s="55" t="str">
        <f aca="false">IF(ISNUMBER(Z393), RANK(Z393,Z$8:Z$507), "")</f>
        <v/>
      </c>
      <c r="AB393" s="55" t="str">
        <f aca="false">IF(AND(NOT(ISBLANK($C393)), W393=Constants!$B$8), Y393, "")</f>
        <v/>
      </c>
      <c r="AC393" s="55" t="str">
        <f aca="false">IF(ISNUMBER(AB393), RANK(AB393,AB$8:AB$507), "")</f>
        <v/>
      </c>
      <c r="AD393" s="55" t="str">
        <f aca="false">IF(ISBLANK($C393),"",IF(V393&lt;&gt;Constants!$B$14, V393, IF(W393=Constants!$B$7, AA393, IF(W393=Constants!$B$8, COUNT($AA$8:$AA$507) + AC393, ""))))</f>
        <v/>
      </c>
      <c r="AE393" s="55" t="str">
        <f aca="false">N393</f>
        <v/>
      </c>
      <c r="AF393" s="55" t="str">
        <f aca="false">IF(ISNUMBER(AE393), RANK(AE393,AE$8:AE$507,1), "")</f>
        <v/>
      </c>
      <c r="AG393" s="57" t="str">
        <f aca="false">IF(ISBLANK(C393), "", ABS(M393-S393))</f>
        <v/>
      </c>
      <c r="AH393" s="55" t="str">
        <f aca="false">IF(ISNUMBER(AG393), RANK(AG393,AG$8:AG$507,1), "")</f>
        <v/>
      </c>
      <c r="AI393" s="55" t="str">
        <f aca="false">IF(ISBLANK(C393),"",IF(V393&lt;&gt;Constants!$B$14, V393, RANK(AD393, AD$8:AD$507, 1)+ SUMPRODUCT(--(AD$8:AD$507=AD393),--(AF393&gt;AF$8:AF$507)) + SUMPRODUCT(--(AD$8:AD$507=AD393),--(AF393=AF$8:AF$507),--(AH393&gt;AH$8:AH$507))))</f>
        <v/>
      </c>
      <c r="AJ393" s="55" t="str">
        <f aca="false">IF(ISBLANK(C393),"",IF(V393&lt;&gt;Constants!$B$14, V393, AD393-AI393))</f>
        <v/>
      </c>
      <c r="AK393" s="59"/>
      <c r="AL393" s="60" t="str">
        <f aca="false">IF(ISBLANK($C393),"",IF($V393&lt;&gt;Constants!$B$14,$V393,X393))</f>
        <v/>
      </c>
      <c r="AM393" s="60" t="str">
        <f aca="false">IF(ISBLANK($C393),"",IF($V393&lt;&gt;Constants!$B$14,$V393,N393))</f>
        <v/>
      </c>
      <c r="AN393" s="62" t="str">
        <f aca="false">IF(ISBLANK(C393),"",IF(V393&lt;&gt;Constants!$B$14, V393, IF(W393=Constants!$B$7,Z393,IF(W393=Constants!$B$8,AB393,""))))</f>
        <v/>
      </c>
      <c r="AO393" s="63" t="str">
        <f aca="false">IF(ISBLANK(C393),"",W393)</f>
        <v/>
      </c>
      <c r="AP393" s="63" t="str">
        <f aca="false">IF(ISBLANK(C393),"",AJ393)</f>
        <v/>
      </c>
      <c r="AQ393" s="63" t="str">
        <f aca="false">IF(ISBLANK(C393),"",AI393)</f>
        <v/>
      </c>
      <c r="AR393" s="64" t="str">
        <f aca="false">IF(ISBLANK(C393),
  "",
IF(AQ393=Constants!$B$11,COUNTA($C$8:$C$507)+2,IF(AQ393=Constants!$B$12,COUNTA($C$8:$C$507)+1,IF(AQ393=Constants!$B$13,COUNTA($C$8:$C$507),AQ393))))</f>
        <v/>
      </c>
      <c r="AS393" s="3"/>
      <c r="AT393" s="65" t="n">
        <f aca="false">IF(OR(ISNUMBER(AQ393),AQ393="DQ",AQ393="P",AQ393="NS"),
    1,
    0
)</f>
        <v>0</v>
      </c>
      <c r="AU393" s="65" t="n">
        <v>386</v>
      </c>
      <c r="AV393" s="65" t="str">
        <f aca="false">IF(ISBLANK($C393),
    "",
   IF(ISNUMBER(AR393),AR393+ROW($B393)/1000,"")
)</f>
        <v/>
      </c>
      <c r="AW393" s="65" t="str">
        <f aca="false">IF(ISNUMBER(AV393), RANK(AV393,AV$8:AV$507,1), "")</f>
        <v/>
      </c>
      <c r="AX393" s="65" t="str">
        <f aca="false">IF(ISBLANK($C393),
    "",
    $B393
)</f>
        <v/>
      </c>
      <c r="AY393" s="65" t="str">
        <f aca="false">IF(ISBLANK($C393),
    "",
    $C393
)</f>
        <v/>
      </c>
      <c r="AZ393" s="65" t="str">
        <f aca="false">IF(ISBLANK($C393),
    "",
    $D393
)</f>
        <v/>
      </c>
      <c r="BA393" s="65" t="str">
        <f aca="false">AO393</f>
        <v/>
      </c>
      <c r="BB393" s="66" t="str">
        <f aca="false">AN393</f>
        <v/>
      </c>
      <c r="BC393" s="65" t="str">
        <f aca="false">IF(ISBLANK($C393),
    "",
    AQ393
)</f>
        <v/>
      </c>
      <c r="BD393" s="67" t="str">
        <f aca="false">IF(AU393&gt;AT$7,
    "",
    VLOOKUP(AU393,AW$8:BC$507,7,FALSE())
)</f>
        <v/>
      </c>
      <c r="BE393" s="68" t="str">
        <f aca="false">IF(AU393&gt;AT$7,
    "",
    VLOOKUP(AU393,AW$8:BC$507,2,FALSE())
)</f>
        <v/>
      </c>
      <c r="BF393" s="68" t="str">
        <f aca="false">IF(AU393&gt;AT$7,
    "",
    VLOOKUP(AU393,AW$8:BC$507,3,FALSE())
)</f>
        <v/>
      </c>
      <c r="BG393" s="68" t="str">
        <f aca="false">IF(AU393&gt;AT$7,
    "",
    VLOOKUP(AU393,AW$8:BC$507,4,FALSE())
)</f>
        <v/>
      </c>
      <c r="BH393" s="68" t="str">
        <f aca="false">IF(AU393&gt;AT$7,
    "",
    VLOOKUP(AU393,AW$8:BC$507,5,FALSE())
)</f>
        <v/>
      </c>
      <c r="BI393" s="69" t="str">
        <f aca="false">IF(AU393&gt;AT$7,
    "",
    VLOOKUP(AU393,AW$8:BC$507,6,FALSE())
)</f>
        <v/>
      </c>
      <c r="BJ393" s="46"/>
    </row>
    <row r="394" customFormat="false" ht="15.75" hidden="false" customHeight="false" outlineLevel="0" collapsed="false">
      <c r="A394" s="3"/>
      <c r="B394" s="108"/>
      <c r="C394" s="70"/>
      <c r="D394" s="49"/>
      <c r="E394" s="109"/>
      <c r="F394" s="72"/>
      <c r="G394" s="109"/>
      <c r="H394" s="74"/>
      <c r="I394" s="104"/>
      <c r="J394" s="74"/>
      <c r="K394" s="74"/>
      <c r="L394" s="55"/>
      <c r="M394" s="55" t="str">
        <f aca="false">IF(ISBLANK($C394),"",IF(ISBLANK(E394),0,E394))</f>
        <v/>
      </c>
      <c r="N394" s="55" t="str">
        <f aca="false">IF(ISBLANK($C394),"",IF(ISBLANK(F394),0,F394))</f>
        <v/>
      </c>
      <c r="O394" s="55" t="e">
        <f aca="false">IF(AND(NOT(ISBLANK($C394)),NOT($T394),COUNTA($E394:$K394)&gt;0),ISBLANK($F394),FALSE())</f>
        <v>#VALUE!</v>
      </c>
      <c r="P394" s="55" t="str">
        <f aca="false">IF(ISBLANK($C394),"",IF(G394=Constants!$B$9, TRUE(), IF(G394=Constants!$B$10, FALSE(), TRUE())))</f>
        <v/>
      </c>
      <c r="Q394" s="55" t="str">
        <f aca="false">IF(ISBLANK($C394),"",IF(H394=Constants!$B$9, TRUE(), IF(H394=Constants!$B$10, FALSE(), TRUE())))</f>
        <v/>
      </c>
      <c r="R394" s="55" t="str">
        <f aca="false">IF(ISBLANK($C394),"",IF(ISBLANK(I394),Constants!$B$3,I394))</f>
        <v/>
      </c>
      <c r="S394" s="55" t="str">
        <f aca="false">IF(ISBLANK($C394),"",IF(ISBLANK(J394),0,MIN(J394,Constants!$B$6)))</f>
        <v/>
      </c>
      <c r="T394" s="55" t="str">
        <f aca="false">IF(ISBLANK($C394),"",IF(K394=Constants!$B$9, TRUE(), IF(K394=Constants!$B$10, FALSE(),  FALSE())))</f>
        <v/>
      </c>
      <c r="U394" s="55" t="str">
        <f aca="false">IF(ISBLANK($C394),"",AND(R394=Constants!$B$4, S394&lt;Constants!$B$6))</f>
        <v/>
      </c>
      <c r="V394" s="55" t="str">
        <f aca="false">IF(ISBLANK(C394), "", IF(T394, Constants!$B$11, IF(COUNTA(E394:K394)=0, Constants!$B$12, IF(NOT(AND(P394,S394&lt;&gt;0)), Constants!$B$13, IF(O394, Constants!$B$15, Constants!$B$14)))))</f>
        <v/>
      </c>
      <c r="W394" s="55" t="str">
        <f aca="false">IF(OR(ISBLANK($C394), SUMPRODUCT(--(P394:T394&lt;&gt;""))=0), "", IF(V394&lt;&gt;Constants!$B$14, V394, IF(AND(NOT(ISBLANK(J394)),P394,Q394,R394&lt;&gt;Constants!$B$2), Constants!$B$7, IF(AND(P394,OR(NOT(Q394),R394=Constants!$B$2)), Constants!$B$8, "Error"))))</f>
        <v/>
      </c>
      <c r="X394" s="56" t="str">
        <f aca="false">IF(OR(W394=Constants!$B$7,W394=Constants!$B$8), MAX(0, MIN(Constants!$B$6, S394))+IF(AND(R394=Constants!$B$4, NOT(U394)), Constants!$B$5, 0), "")</f>
        <v/>
      </c>
      <c r="Y394" s="55" t="str">
        <f aca="false">IF(ISBLANK($C394),"",IF(AND(ISNUMBER(X394),N394&gt;0),X394/N394, "") )</f>
        <v/>
      </c>
      <c r="Z394" s="55" t="str">
        <f aca="false">IF(AND(NOT(ISBLANK($C394)), W394=Constants!$B$7), Y394, "")</f>
        <v/>
      </c>
      <c r="AA394" s="55" t="str">
        <f aca="false">IF(ISNUMBER(Z394), RANK(Z394,Z$8:Z$507), "")</f>
        <v/>
      </c>
      <c r="AB394" s="55" t="str">
        <f aca="false">IF(AND(NOT(ISBLANK($C394)), W394=Constants!$B$8), Y394, "")</f>
        <v/>
      </c>
      <c r="AC394" s="55" t="str">
        <f aca="false">IF(ISNUMBER(AB394), RANK(AB394,AB$8:AB$507), "")</f>
        <v/>
      </c>
      <c r="AD394" s="55" t="str">
        <f aca="false">IF(ISBLANK($C394),"",IF(V394&lt;&gt;Constants!$B$14, V394, IF(W394=Constants!$B$7, AA394, IF(W394=Constants!$B$8, COUNT($AA$8:$AA$507) + AC394, ""))))</f>
        <v/>
      </c>
      <c r="AE394" s="55" t="str">
        <f aca="false">N394</f>
        <v/>
      </c>
      <c r="AF394" s="55" t="str">
        <f aca="false">IF(ISNUMBER(AE394), RANK(AE394,AE$8:AE$507,1), "")</f>
        <v/>
      </c>
      <c r="AG394" s="57" t="str">
        <f aca="false">IF(ISBLANK(C394), "", ABS(M394-S394))</f>
        <v/>
      </c>
      <c r="AH394" s="55" t="str">
        <f aca="false">IF(ISNUMBER(AG394), RANK(AG394,AG$8:AG$507,1), "")</f>
        <v/>
      </c>
      <c r="AI394" s="55" t="str">
        <f aca="false">IF(ISBLANK(C394),"",IF(V394&lt;&gt;Constants!$B$14, V394, RANK(AD394, AD$8:AD$507, 1)+ SUMPRODUCT(--(AD$8:AD$507=AD394),--(AF394&gt;AF$8:AF$507)) + SUMPRODUCT(--(AD$8:AD$507=AD394),--(AF394=AF$8:AF$507),--(AH394&gt;AH$8:AH$507))))</f>
        <v/>
      </c>
      <c r="AJ394" s="55" t="str">
        <f aca="false">IF(ISBLANK(C394),"",IF(V394&lt;&gt;Constants!$B$14, V394, AD394-AI394))</f>
        <v/>
      </c>
      <c r="AK394" s="59"/>
      <c r="AL394" s="60" t="str">
        <f aca="false">IF(ISBLANK($C394),"",IF($V394&lt;&gt;Constants!$B$14,$V394,X394))</f>
        <v/>
      </c>
      <c r="AM394" s="60" t="str">
        <f aca="false">IF(ISBLANK($C394),"",IF($V394&lt;&gt;Constants!$B$14,$V394,N394))</f>
        <v/>
      </c>
      <c r="AN394" s="62" t="str">
        <f aca="false">IF(ISBLANK(C394),"",IF(V394&lt;&gt;Constants!$B$14, V394, IF(W394=Constants!$B$7,Z394,IF(W394=Constants!$B$8,AB394,""))))</f>
        <v/>
      </c>
      <c r="AO394" s="63" t="str">
        <f aca="false">IF(ISBLANK(C394),"",W394)</f>
        <v/>
      </c>
      <c r="AP394" s="63" t="str">
        <f aca="false">IF(ISBLANK(C394),"",AJ394)</f>
        <v/>
      </c>
      <c r="AQ394" s="63" t="str">
        <f aca="false">IF(ISBLANK(C394),"",AI394)</f>
        <v/>
      </c>
      <c r="AR394" s="64" t="str">
        <f aca="false">IF(ISBLANK(C394),
  "",
IF(AQ394=Constants!$B$11,COUNTA($C$8:$C$507)+2,IF(AQ394=Constants!$B$12,COUNTA($C$8:$C$507)+1,IF(AQ394=Constants!$B$13,COUNTA($C$8:$C$507),AQ394))))</f>
        <v/>
      </c>
      <c r="AS394" s="3"/>
      <c r="AT394" s="65" t="n">
        <f aca="false">IF(OR(ISNUMBER(AQ394),AQ394="DQ",AQ394="P",AQ394="NS"),
    1,
    0
)</f>
        <v>0</v>
      </c>
      <c r="AU394" s="65" t="n">
        <v>387</v>
      </c>
      <c r="AV394" s="65" t="str">
        <f aca="false">IF(ISBLANK($C394),
    "",
   IF(ISNUMBER(AR394),AR394+ROW($B394)/1000,"")
)</f>
        <v/>
      </c>
      <c r="AW394" s="65" t="str">
        <f aca="false">IF(ISNUMBER(AV394), RANK(AV394,AV$8:AV$507,1), "")</f>
        <v/>
      </c>
      <c r="AX394" s="65" t="str">
        <f aca="false">IF(ISBLANK($C394),
    "",
    $B394
)</f>
        <v/>
      </c>
      <c r="AY394" s="65" t="str">
        <f aca="false">IF(ISBLANK($C394),
    "",
    $C394
)</f>
        <v/>
      </c>
      <c r="AZ394" s="65" t="str">
        <f aca="false">IF(ISBLANK($C394),
    "",
    $D394
)</f>
        <v/>
      </c>
      <c r="BA394" s="65" t="str">
        <f aca="false">AO394</f>
        <v/>
      </c>
      <c r="BB394" s="66" t="str">
        <f aca="false">AN394</f>
        <v/>
      </c>
      <c r="BC394" s="65" t="str">
        <f aca="false">IF(ISBLANK($C394),
    "",
    AQ394
)</f>
        <v/>
      </c>
      <c r="BD394" s="67" t="str">
        <f aca="false">IF(AU394&gt;AT$7,
    "",
    VLOOKUP(AU394,AW$8:BC$507,7,FALSE())
)</f>
        <v/>
      </c>
      <c r="BE394" s="68" t="str">
        <f aca="false">IF(AU394&gt;AT$7,
    "",
    VLOOKUP(AU394,AW$8:BC$507,2,FALSE())
)</f>
        <v/>
      </c>
      <c r="BF394" s="68" t="str">
        <f aca="false">IF(AU394&gt;AT$7,
    "",
    VLOOKUP(AU394,AW$8:BC$507,3,FALSE())
)</f>
        <v/>
      </c>
      <c r="BG394" s="68" t="str">
        <f aca="false">IF(AU394&gt;AT$7,
    "",
    VLOOKUP(AU394,AW$8:BC$507,4,FALSE())
)</f>
        <v/>
      </c>
      <c r="BH394" s="68" t="str">
        <f aca="false">IF(AU394&gt;AT$7,
    "",
    VLOOKUP(AU394,AW$8:BC$507,5,FALSE())
)</f>
        <v/>
      </c>
      <c r="BI394" s="69" t="str">
        <f aca="false">IF(AU394&gt;AT$7,
    "",
    VLOOKUP(AU394,AW$8:BC$507,6,FALSE())
)</f>
        <v/>
      </c>
      <c r="BJ394" s="46"/>
    </row>
    <row r="395" customFormat="false" ht="15.75" hidden="false" customHeight="false" outlineLevel="0" collapsed="false">
      <c r="A395" s="3"/>
      <c r="B395" s="105"/>
      <c r="C395" s="106"/>
      <c r="D395" s="99"/>
      <c r="E395" s="110"/>
      <c r="F395" s="107"/>
      <c r="G395" s="110"/>
      <c r="H395" s="103"/>
      <c r="I395" s="102"/>
      <c r="J395" s="103"/>
      <c r="K395" s="103"/>
      <c r="L395" s="85"/>
      <c r="M395" s="85" t="str">
        <f aca="false">IF(ISBLANK($C395),"",IF(ISBLANK(E395),0,E395))</f>
        <v/>
      </c>
      <c r="N395" s="85" t="str">
        <f aca="false">IF(ISBLANK($C395),"",IF(ISBLANK(F395),0,F395))</f>
        <v/>
      </c>
      <c r="O395" s="86" t="e">
        <f aca="false">IF(AND(NOT(ISBLANK($C395)),NOT($T395),COUNTA($E395:$K395)&gt;0),ISBLANK($F395),FALSE())</f>
        <v>#VALUE!</v>
      </c>
      <c r="P395" s="85" t="str">
        <f aca="false">IF(ISBLANK($C395),"",IF(G395=Constants!$B$9, TRUE(), IF(G395=Constants!$B$10, FALSE(), TRUE())))</f>
        <v/>
      </c>
      <c r="Q395" s="85" t="str">
        <f aca="false">IF(ISBLANK($C395),"",IF(H395=Constants!$B$9, TRUE(), IF(H395=Constants!$B$10, FALSE(), TRUE())))</f>
        <v/>
      </c>
      <c r="R395" s="85" t="str">
        <f aca="false">IF(ISBLANK($C395),"",IF(ISBLANK(I395),Constants!$B$3,I395))</f>
        <v/>
      </c>
      <c r="S395" s="85" t="str">
        <f aca="false">IF(ISBLANK($C395),"",IF(ISBLANK(J395),0,MIN(J395,Constants!$B$6)))</f>
        <v/>
      </c>
      <c r="T395" s="85" t="str">
        <f aca="false">IF(ISBLANK($C395),"",IF(K395=Constants!$B$9, TRUE(), IF(K395=Constants!$B$10, FALSE(),  FALSE())))</f>
        <v/>
      </c>
      <c r="U395" s="85" t="str">
        <f aca="false">IF(ISBLANK($C395),"",AND(R395=Constants!$B$4, S395&lt;Constants!$B$6))</f>
        <v/>
      </c>
      <c r="V395" s="85" t="str">
        <f aca="false">IF(ISBLANK(C395), "", IF(T395, Constants!$B$11, IF(COUNTA(E395:K395)=0, Constants!$B$12, IF(NOT(AND(P395,S395&lt;&gt;0)), Constants!$B$13, IF(O395, Constants!$B$15, Constants!$B$14)))))</f>
        <v/>
      </c>
      <c r="W395" s="85" t="str">
        <f aca="false">IF(OR(ISBLANK($C395), SUMPRODUCT(--(P395:T395&lt;&gt;""))=0), "", IF(V395&lt;&gt;Constants!$B$14, V395, IF(AND(NOT(ISBLANK(J395)),P395,Q395,R395&lt;&gt;Constants!$B$2), Constants!$B$7, IF(AND(P395,OR(NOT(Q395),R395=Constants!$B$2)), Constants!$B$8, "Error"))))</f>
        <v/>
      </c>
      <c r="X395" s="87" t="str">
        <f aca="false">IF(OR(W395=Constants!$B$7,W395=Constants!$B$8), MAX(0, MIN(Constants!$B$6, S395))+IF(AND(R395=Constants!$B$4, NOT(U395)), Constants!$B$5, 0), "")</f>
        <v/>
      </c>
      <c r="Y395" s="85" t="str">
        <f aca="false">IF(ISBLANK($C395),"",IF(AND(ISNUMBER(X395),N395&gt;0),X395/N395, "") )</f>
        <v/>
      </c>
      <c r="Z395" s="85" t="str">
        <f aca="false">IF(AND(NOT(ISBLANK($C395)), W395=Constants!$B$7), Y395, "")</f>
        <v/>
      </c>
      <c r="AA395" s="85" t="str">
        <f aca="false">IF(ISNUMBER(Z395), RANK(Z395,Z$8:Z$507), "")</f>
        <v/>
      </c>
      <c r="AB395" s="85" t="str">
        <f aca="false">IF(AND(NOT(ISBLANK($C395)), W395=Constants!$B$8), Y395, "")</f>
        <v/>
      </c>
      <c r="AC395" s="85" t="str">
        <f aca="false">IF(ISNUMBER(AB395), RANK(AB395,AB$8:AB$507), "")</f>
        <v/>
      </c>
      <c r="AD395" s="85" t="str">
        <f aca="false">IF(ISBLANK($C395),"",IF(V395&lt;&gt;Constants!$B$14, V395, IF(W395=Constants!$B$7, AA395, IF(W395=Constants!$B$8, COUNT($AA$8:$AA$507) + AC395, ""))))</f>
        <v/>
      </c>
      <c r="AE395" s="85" t="str">
        <f aca="false">N395</f>
        <v/>
      </c>
      <c r="AF395" s="85" t="str">
        <f aca="false">IF(ISNUMBER(AE395), RANK(AE395,AE$8:AE$507,1), "")</f>
        <v/>
      </c>
      <c r="AG395" s="88" t="str">
        <f aca="false">IF(ISBLANK(C395), "", ABS(M395-S395))</f>
        <v/>
      </c>
      <c r="AH395" s="85" t="str">
        <f aca="false">IF(ISNUMBER(AG395), RANK(AG395,AG$8:AG$507,1), "")</f>
        <v/>
      </c>
      <c r="AI395" s="85" t="str">
        <f aca="false">IF(ISBLANK(C395),"",IF(V395&lt;&gt;Constants!$B$14, V395, RANK(AD395, AD$8:AD$507, 1)+ SUMPRODUCT(--(AD$8:AD$507=AD395),--(AF395&gt;AF$8:AF$507)) + SUMPRODUCT(--(AD$8:AD$507=AD395),--(AF395=AF$8:AF$507),--(AH395&gt;AH$8:AH$507))))</f>
        <v/>
      </c>
      <c r="AJ395" s="85" t="str">
        <f aca="false">IF(ISBLANK(C395),"",IF(V395&lt;&gt;Constants!$B$14, V395, AD395-AI395))</f>
        <v/>
      </c>
      <c r="AK395" s="89"/>
      <c r="AL395" s="90" t="str">
        <f aca="false">IF(ISBLANK($C395),"",IF($V395&lt;&gt;Constants!$B$14,$V395,X395))</f>
        <v/>
      </c>
      <c r="AM395" s="90" t="str">
        <f aca="false">IF(ISBLANK($C395),"",IF($V395&lt;&gt;Constants!$B$14,$V395,N395))</f>
        <v/>
      </c>
      <c r="AN395" s="91" t="str">
        <f aca="false">IF(ISBLANK(C395),"",IF(V395&lt;&gt;Constants!$B$14, V395, IF(W395=Constants!$B$7,Z395,IF(W395=Constants!$B$8,AB395,""))))</f>
        <v/>
      </c>
      <c r="AO395" s="92" t="str">
        <f aca="false">IF(ISBLANK(C395),"",W395)</f>
        <v/>
      </c>
      <c r="AP395" s="92" t="str">
        <f aca="false">IF(ISBLANK(C395),"",AJ395)</f>
        <v/>
      </c>
      <c r="AQ395" s="92" t="str">
        <f aca="false">IF(ISBLANK(C395),"",AI395)</f>
        <v/>
      </c>
      <c r="AR395" s="93" t="str">
        <f aca="false">IF(ISBLANK(C395),
  "",
IF(AQ395=Constants!$B$11,COUNTA($C$8:$C$507)+2,IF(AQ395=Constants!$B$12,COUNTA($C$8:$C$507)+1,IF(AQ395=Constants!$B$13,COUNTA($C$8:$C$507),AQ395))))</f>
        <v/>
      </c>
      <c r="AS395" s="3"/>
      <c r="AT395" s="94" t="n">
        <f aca="false">IF(OR(ISNUMBER(AQ395),AQ395="DQ",AQ395="P",AQ395="NS"),
    1,
    0
)</f>
        <v>0</v>
      </c>
      <c r="AU395" s="94" t="n">
        <v>388</v>
      </c>
      <c r="AV395" s="94" t="str">
        <f aca="false">IF(ISBLANK($C395),
    "",
   IF(ISNUMBER(AR395),AR395+ROW($B395)/1000,"")
)</f>
        <v/>
      </c>
      <c r="AW395" s="94" t="str">
        <f aca="false">IF(ISNUMBER(AV395), RANK(AV395,AV$8:AV$507,1), "")</f>
        <v/>
      </c>
      <c r="AX395" s="94" t="str">
        <f aca="false">IF(ISBLANK($C395),
    "",
    $B395
)</f>
        <v/>
      </c>
      <c r="AY395" s="94" t="str">
        <f aca="false">IF(ISBLANK($C395),
    "",
    $C395
)</f>
        <v/>
      </c>
      <c r="AZ395" s="94" t="str">
        <f aca="false">IF(ISBLANK($C395),
    "",
    $D395
)</f>
        <v/>
      </c>
      <c r="BA395" s="94" t="str">
        <f aca="false">AO395</f>
        <v/>
      </c>
      <c r="BB395" s="95" t="str">
        <f aca="false">AN395</f>
        <v/>
      </c>
      <c r="BC395" s="94" t="str">
        <f aca="false">IF(ISBLANK($C395),
    "",
    AQ395
)</f>
        <v/>
      </c>
      <c r="BD395" s="96" t="str">
        <f aca="false">IF(AU395&gt;AT$7,
    "",
    VLOOKUP(AU395,AW$8:BC$507,7,FALSE())
)</f>
        <v/>
      </c>
      <c r="BE395" s="97" t="str">
        <f aca="false">IF(AU395&gt;AT$7,
    "",
    VLOOKUP(AU395,AW$8:BC$507,2,FALSE())
)</f>
        <v/>
      </c>
      <c r="BF395" s="97" t="str">
        <f aca="false">IF(AU395&gt;AT$7,
    "",
    VLOOKUP(AU395,AW$8:BC$507,3,FALSE())
)</f>
        <v/>
      </c>
      <c r="BG395" s="97" t="str">
        <f aca="false">IF(AU395&gt;AT$7,
    "",
    VLOOKUP(AU395,AW$8:BC$507,4,FALSE())
)</f>
        <v/>
      </c>
      <c r="BH395" s="97" t="str">
        <f aca="false">IF(AU395&gt;AT$7,
    "",
    VLOOKUP(AU395,AW$8:BC$507,5,FALSE())
)</f>
        <v/>
      </c>
      <c r="BI395" s="98" t="str">
        <f aca="false">IF(AU395&gt;AT$7,
    "",
    VLOOKUP(AU395,AW$8:BC$507,6,FALSE())
)</f>
        <v/>
      </c>
      <c r="BJ395" s="46"/>
    </row>
    <row r="396" customFormat="false" ht="15.75" hidden="false" customHeight="false" outlineLevel="0" collapsed="false">
      <c r="A396" s="3"/>
      <c r="B396" s="105"/>
      <c r="C396" s="106"/>
      <c r="D396" s="99"/>
      <c r="E396" s="110"/>
      <c r="F396" s="107"/>
      <c r="G396" s="110"/>
      <c r="H396" s="103"/>
      <c r="I396" s="102"/>
      <c r="J396" s="103"/>
      <c r="K396" s="103"/>
      <c r="L396" s="85"/>
      <c r="M396" s="85" t="str">
        <f aca="false">IF(ISBLANK($C396),"",IF(ISBLANK(E396),0,E396))</f>
        <v/>
      </c>
      <c r="N396" s="85" t="str">
        <f aca="false">IF(ISBLANK($C396),"",IF(ISBLANK(F396),0,F396))</f>
        <v/>
      </c>
      <c r="O396" s="86" t="e">
        <f aca="false">IF(AND(NOT(ISBLANK($C396)),NOT($T396),COUNTA($E396:$K396)&gt;0),ISBLANK($F396),FALSE())</f>
        <v>#VALUE!</v>
      </c>
      <c r="P396" s="85" t="str">
        <f aca="false">IF(ISBLANK($C396),"",IF(G396=Constants!$B$9, TRUE(), IF(G396=Constants!$B$10, FALSE(), TRUE())))</f>
        <v/>
      </c>
      <c r="Q396" s="85" t="str">
        <f aca="false">IF(ISBLANK($C396),"",IF(H396=Constants!$B$9, TRUE(), IF(H396=Constants!$B$10, FALSE(), TRUE())))</f>
        <v/>
      </c>
      <c r="R396" s="85" t="str">
        <f aca="false">IF(ISBLANK($C396),"",IF(ISBLANK(I396),Constants!$B$3,I396))</f>
        <v/>
      </c>
      <c r="S396" s="85" t="str">
        <f aca="false">IF(ISBLANK($C396),"",IF(ISBLANK(J396),0,MIN(J396,Constants!$B$6)))</f>
        <v/>
      </c>
      <c r="T396" s="85" t="str">
        <f aca="false">IF(ISBLANK($C396),"",IF(K396=Constants!$B$9, TRUE(), IF(K396=Constants!$B$10, FALSE(),  FALSE())))</f>
        <v/>
      </c>
      <c r="U396" s="85" t="str">
        <f aca="false">IF(ISBLANK($C396),"",AND(R396=Constants!$B$4, S396&lt;Constants!$B$6))</f>
        <v/>
      </c>
      <c r="V396" s="85" t="str">
        <f aca="false">IF(ISBLANK(C396), "", IF(T396, Constants!$B$11, IF(COUNTA(E396:K396)=0, Constants!$B$12, IF(NOT(AND(P396,S396&lt;&gt;0)), Constants!$B$13, IF(O396, Constants!$B$15, Constants!$B$14)))))</f>
        <v/>
      </c>
      <c r="W396" s="85" t="str">
        <f aca="false">IF(OR(ISBLANK($C396), SUMPRODUCT(--(P396:T396&lt;&gt;""))=0), "", IF(V396&lt;&gt;Constants!$B$14, V396, IF(AND(NOT(ISBLANK(J396)),P396,Q396,R396&lt;&gt;Constants!$B$2), Constants!$B$7, IF(AND(P396,OR(NOT(Q396),R396=Constants!$B$2)), Constants!$B$8, "Error"))))</f>
        <v/>
      </c>
      <c r="X396" s="87" t="str">
        <f aca="false">IF(OR(W396=Constants!$B$7,W396=Constants!$B$8), MAX(0, MIN(Constants!$B$6, S396))+IF(AND(R396=Constants!$B$4, NOT(U396)), Constants!$B$5, 0), "")</f>
        <v/>
      </c>
      <c r="Y396" s="85" t="str">
        <f aca="false">IF(ISBLANK($C396),"",IF(AND(ISNUMBER(X396),N396&gt;0),X396/N396, "") )</f>
        <v/>
      </c>
      <c r="Z396" s="85" t="str">
        <f aca="false">IF(AND(NOT(ISBLANK($C396)), W396=Constants!$B$7), Y396, "")</f>
        <v/>
      </c>
      <c r="AA396" s="85" t="str">
        <f aca="false">IF(ISNUMBER(Z396), RANK(Z396,Z$8:Z$507), "")</f>
        <v/>
      </c>
      <c r="AB396" s="85" t="str">
        <f aca="false">IF(AND(NOT(ISBLANK($C396)), W396=Constants!$B$8), Y396, "")</f>
        <v/>
      </c>
      <c r="AC396" s="85" t="str">
        <f aca="false">IF(ISNUMBER(AB396), RANK(AB396,AB$8:AB$507), "")</f>
        <v/>
      </c>
      <c r="AD396" s="85" t="str">
        <f aca="false">IF(ISBLANK($C396),"",IF(V396&lt;&gt;Constants!$B$14, V396, IF(W396=Constants!$B$7, AA396, IF(W396=Constants!$B$8, COUNT($AA$8:$AA$507) + AC396, ""))))</f>
        <v/>
      </c>
      <c r="AE396" s="85" t="str">
        <f aca="false">N396</f>
        <v/>
      </c>
      <c r="AF396" s="85" t="str">
        <f aca="false">IF(ISNUMBER(AE396), RANK(AE396,AE$8:AE$507,1), "")</f>
        <v/>
      </c>
      <c r="AG396" s="88" t="str">
        <f aca="false">IF(ISBLANK(C396), "", ABS(M396-S396))</f>
        <v/>
      </c>
      <c r="AH396" s="85" t="str">
        <f aca="false">IF(ISNUMBER(AG396), RANK(AG396,AG$8:AG$507,1), "")</f>
        <v/>
      </c>
      <c r="AI396" s="85" t="str">
        <f aca="false">IF(ISBLANK(C396),"",IF(V396&lt;&gt;Constants!$B$14, V396, RANK(AD396, AD$8:AD$507, 1)+ SUMPRODUCT(--(AD$8:AD$507=AD396),--(AF396&gt;AF$8:AF$507)) + SUMPRODUCT(--(AD$8:AD$507=AD396),--(AF396=AF$8:AF$507),--(AH396&gt;AH$8:AH$507))))</f>
        <v/>
      </c>
      <c r="AJ396" s="85" t="str">
        <f aca="false">IF(ISBLANK(C396),"",IF(V396&lt;&gt;Constants!$B$14, V396, AD396-AI396))</f>
        <v/>
      </c>
      <c r="AK396" s="89"/>
      <c r="AL396" s="90" t="str">
        <f aca="false">IF(ISBLANK($C396),"",IF($V396&lt;&gt;Constants!$B$14,$V396,X396))</f>
        <v/>
      </c>
      <c r="AM396" s="90" t="str">
        <f aca="false">IF(ISBLANK($C396),"",IF($V396&lt;&gt;Constants!$B$14,$V396,N396))</f>
        <v/>
      </c>
      <c r="AN396" s="91" t="str">
        <f aca="false">IF(ISBLANK(C396),"",IF(V396&lt;&gt;Constants!$B$14, V396, IF(W396=Constants!$B$7,Z396,IF(W396=Constants!$B$8,AB396,""))))</f>
        <v/>
      </c>
      <c r="AO396" s="92" t="str">
        <f aca="false">IF(ISBLANK(C396),"",W396)</f>
        <v/>
      </c>
      <c r="AP396" s="92" t="str">
        <f aca="false">IF(ISBLANK(C396),"",AJ396)</f>
        <v/>
      </c>
      <c r="AQ396" s="92" t="str">
        <f aca="false">IF(ISBLANK(C396),"",AI396)</f>
        <v/>
      </c>
      <c r="AR396" s="93" t="str">
        <f aca="false">IF(ISBLANK(C396),
  "",
IF(AQ396=Constants!$B$11,COUNTA($C$8:$C$507)+2,IF(AQ396=Constants!$B$12,COUNTA($C$8:$C$507)+1,IF(AQ396=Constants!$B$13,COUNTA($C$8:$C$507),AQ396))))</f>
        <v/>
      </c>
      <c r="AS396" s="3"/>
      <c r="AT396" s="94" t="n">
        <f aca="false">IF(OR(ISNUMBER(AQ396),AQ396="DQ",AQ396="P",AQ396="NS"),
    1,
    0
)</f>
        <v>0</v>
      </c>
      <c r="AU396" s="94" t="n">
        <v>389</v>
      </c>
      <c r="AV396" s="94" t="str">
        <f aca="false">IF(ISBLANK($C396),
    "",
   IF(ISNUMBER(AR396),AR396+ROW($B396)/1000,"")
)</f>
        <v/>
      </c>
      <c r="AW396" s="94" t="str">
        <f aca="false">IF(ISNUMBER(AV396), RANK(AV396,AV$8:AV$507,1), "")</f>
        <v/>
      </c>
      <c r="AX396" s="94" t="str">
        <f aca="false">IF(ISBLANK($C396),
    "",
    $B396
)</f>
        <v/>
      </c>
      <c r="AY396" s="94" t="str">
        <f aca="false">IF(ISBLANK($C396),
    "",
    $C396
)</f>
        <v/>
      </c>
      <c r="AZ396" s="94" t="str">
        <f aca="false">IF(ISBLANK($C396),
    "",
    $D396
)</f>
        <v/>
      </c>
      <c r="BA396" s="94" t="str">
        <f aca="false">AO396</f>
        <v/>
      </c>
      <c r="BB396" s="95" t="str">
        <f aca="false">AN396</f>
        <v/>
      </c>
      <c r="BC396" s="94" t="str">
        <f aca="false">IF(ISBLANK($C396),
    "",
    AQ396
)</f>
        <v/>
      </c>
      <c r="BD396" s="96" t="str">
        <f aca="false">IF(AU396&gt;AT$7,
    "",
    VLOOKUP(AU396,AW$8:BC$507,7,FALSE())
)</f>
        <v/>
      </c>
      <c r="BE396" s="97" t="str">
        <f aca="false">IF(AU396&gt;AT$7,
    "",
    VLOOKUP(AU396,AW$8:BC$507,2,FALSE())
)</f>
        <v/>
      </c>
      <c r="BF396" s="97" t="str">
        <f aca="false">IF(AU396&gt;AT$7,
    "",
    VLOOKUP(AU396,AW$8:BC$507,3,FALSE())
)</f>
        <v/>
      </c>
      <c r="BG396" s="97" t="str">
        <f aca="false">IF(AU396&gt;AT$7,
    "",
    VLOOKUP(AU396,AW$8:BC$507,4,FALSE())
)</f>
        <v/>
      </c>
      <c r="BH396" s="97" t="str">
        <f aca="false">IF(AU396&gt;AT$7,
    "",
    VLOOKUP(AU396,AW$8:BC$507,5,FALSE())
)</f>
        <v/>
      </c>
      <c r="BI396" s="98" t="str">
        <f aca="false">IF(AU396&gt;AT$7,
    "",
    VLOOKUP(AU396,AW$8:BC$507,6,FALSE())
)</f>
        <v/>
      </c>
      <c r="BJ396" s="46"/>
    </row>
    <row r="397" customFormat="false" ht="15.75" hidden="false" customHeight="false" outlineLevel="0" collapsed="false">
      <c r="A397" s="3"/>
      <c r="B397" s="105"/>
      <c r="C397" s="106"/>
      <c r="D397" s="99"/>
      <c r="E397" s="110"/>
      <c r="F397" s="107"/>
      <c r="G397" s="110"/>
      <c r="H397" s="103"/>
      <c r="I397" s="102"/>
      <c r="J397" s="103"/>
      <c r="K397" s="103"/>
      <c r="L397" s="85"/>
      <c r="M397" s="85" t="str">
        <f aca="false">IF(ISBLANK($C397),"",IF(ISBLANK(E397),0,E397))</f>
        <v/>
      </c>
      <c r="N397" s="85" t="str">
        <f aca="false">IF(ISBLANK($C397),"",IF(ISBLANK(F397),0,F397))</f>
        <v/>
      </c>
      <c r="O397" s="86" t="e">
        <f aca="false">IF(AND(NOT(ISBLANK($C397)),NOT($T397),COUNTA($E397:$K397)&gt;0),ISBLANK($F397),FALSE())</f>
        <v>#VALUE!</v>
      </c>
      <c r="P397" s="85" t="str">
        <f aca="false">IF(ISBLANK($C397),"",IF(G397=Constants!$B$9, TRUE(), IF(G397=Constants!$B$10, FALSE(), TRUE())))</f>
        <v/>
      </c>
      <c r="Q397" s="85" t="str">
        <f aca="false">IF(ISBLANK($C397),"",IF(H397=Constants!$B$9, TRUE(), IF(H397=Constants!$B$10, FALSE(), TRUE())))</f>
        <v/>
      </c>
      <c r="R397" s="85" t="str">
        <f aca="false">IF(ISBLANK($C397),"",IF(ISBLANK(I397),Constants!$B$3,I397))</f>
        <v/>
      </c>
      <c r="S397" s="85" t="str">
        <f aca="false">IF(ISBLANK($C397),"",IF(ISBLANK(J397),0,MIN(J397,Constants!$B$6)))</f>
        <v/>
      </c>
      <c r="T397" s="85" t="str">
        <f aca="false">IF(ISBLANK($C397),"",IF(K397=Constants!$B$9, TRUE(), IF(K397=Constants!$B$10, FALSE(),  FALSE())))</f>
        <v/>
      </c>
      <c r="U397" s="85" t="str">
        <f aca="false">IF(ISBLANK($C397),"",AND(R397=Constants!$B$4, S397&lt;Constants!$B$6))</f>
        <v/>
      </c>
      <c r="V397" s="85" t="str">
        <f aca="false">IF(ISBLANK(C397), "", IF(T397, Constants!$B$11, IF(COUNTA(E397:K397)=0, Constants!$B$12, IF(NOT(AND(P397,S397&lt;&gt;0)), Constants!$B$13, IF(O397, Constants!$B$15, Constants!$B$14)))))</f>
        <v/>
      </c>
      <c r="W397" s="85" t="str">
        <f aca="false">IF(OR(ISBLANK($C397), SUMPRODUCT(--(P397:T397&lt;&gt;""))=0), "", IF(V397&lt;&gt;Constants!$B$14, V397, IF(AND(NOT(ISBLANK(J397)),P397,Q397,R397&lt;&gt;Constants!$B$2), Constants!$B$7, IF(AND(P397,OR(NOT(Q397),R397=Constants!$B$2)), Constants!$B$8, "Error"))))</f>
        <v/>
      </c>
      <c r="X397" s="87" t="str">
        <f aca="false">IF(OR(W397=Constants!$B$7,W397=Constants!$B$8), MAX(0, MIN(Constants!$B$6, S397))+IF(AND(R397=Constants!$B$4, NOT(U397)), Constants!$B$5, 0), "")</f>
        <v/>
      </c>
      <c r="Y397" s="85" t="str">
        <f aca="false">IF(ISBLANK($C397),"",IF(AND(ISNUMBER(X397),N397&gt;0),X397/N397, "") )</f>
        <v/>
      </c>
      <c r="Z397" s="85" t="str">
        <f aca="false">IF(AND(NOT(ISBLANK($C397)), W397=Constants!$B$7), Y397, "")</f>
        <v/>
      </c>
      <c r="AA397" s="85" t="str">
        <f aca="false">IF(ISNUMBER(Z397), RANK(Z397,Z$8:Z$507), "")</f>
        <v/>
      </c>
      <c r="AB397" s="85" t="str">
        <f aca="false">IF(AND(NOT(ISBLANK($C397)), W397=Constants!$B$8), Y397, "")</f>
        <v/>
      </c>
      <c r="AC397" s="85" t="str">
        <f aca="false">IF(ISNUMBER(AB397), RANK(AB397,AB$8:AB$507), "")</f>
        <v/>
      </c>
      <c r="AD397" s="85" t="str">
        <f aca="false">IF(ISBLANK($C397),"",IF(V397&lt;&gt;Constants!$B$14, V397, IF(W397=Constants!$B$7, AA397, IF(W397=Constants!$B$8, COUNT($AA$8:$AA$507) + AC397, ""))))</f>
        <v/>
      </c>
      <c r="AE397" s="85" t="str">
        <f aca="false">N397</f>
        <v/>
      </c>
      <c r="AF397" s="85" t="str">
        <f aca="false">IF(ISNUMBER(AE397), RANK(AE397,AE$8:AE$507,1), "")</f>
        <v/>
      </c>
      <c r="AG397" s="88" t="str">
        <f aca="false">IF(ISBLANK(C397), "", ABS(M397-S397))</f>
        <v/>
      </c>
      <c r="AH397" s="85" t="str">
        <f aca="false">IF(ISNUMBER(AG397), RANK(AG397,AG$8:AG$507,1), "")</f>
        <v/>
      </c>
      <c r="AI397" s="85" t="str">
        <f aca="false">IF(ISBLANK(C397),"",IF(V397&lt;&gt;Constants!$B$14, V397, RANK(AD397, AD$8:AD$507, 1)+ SUMPRODUCT(--(AD$8:AD$507=AD397),--(AF397&gt;AF$8:AF$507)) + SUMPRODUCT(--(AD$8:AD$507=AD397),--(AF397=AF$8:AF$507),--(AH397&gt;AH$8:AH$507))))</f>
        <v/>
      </c>
      <c r="AJ397" s="85" t="str">
        <f aca="false">IF(ISBLANK(C397),"",IF(V397&lt;&gt;Constants!$B$14, V397, AD397-AI397))</f>
        <v/>
      </c>
      <c r="AK397" s="89"/>
      <c r="AL397" s="90" t="str">
        <f aca="false">IF(ISBLANK($C397),"",IF($V397&lt;&gt;Constants!$B$14,$V397,X397))</f>
        <v/>
      </c>
      <c r="AM397" s="90" t="str">
        <f aca="false">IF(ISBLANK($C397),"",IF($V397&lt;&gt;Constants!$B$14,$V397,N397))</f>
        <v/>
      </c>
      <c r="AN397" s="91" t="str">
        <f aca="false">IF(ISBLANK(C397),"",IF(V397&lt;&gt;Constants!$B$14, V397, IF(W397=Constants!$B$7,Z397,IF(W397=Constants!$B$8,AB397,""))))</f>
        <v/>
      </c>
      <c r="AO397" s="92" t="str">
        <f aca="false">IF(ISBLANK(C397),"",W397)</f>
        <v/>
      </c>
      <c r="AP397" s="92" t="str">
        <f aca="false">IF(ISBLANK(C397),"",AJ397)</f>
        <v/>
      </c>
      <c r="AQ397" s="92" t="str">
        <f aca="false">IF(ISBLANK(C397),"",AI397)</f>
        <v/>
      </c>
      <c r="AR397" s="93" t="str">
        <f aca="false">IF(ISBLANK(C397),
  "",
IF(AQ397=Constants!$B$11,COUNTA($C$8:$C$507)+2,IF(AQ397=Constants!$B$12,COUNTA($C$8:$C$507)+1,IF(AQ397=Constants!$B$13,COUNTA($C$8:$C$507),AQ397))))</f>
        <v/>
      </c>
      <c r="AS397" s="3"/>
      <c r="AT397" s="94" t="n">
        <f aca="false">IF(OR(ISNUMBER(AQ397),AQ397="DQ",AQ397="P",AQ397="NS"),
    1,
    0
)</f>
        <v>0</v>
      </c>
      <c r="AU397" s="94" t="n">
        <v>390</v>
      </c>
      <c r="AV397" s="94" t="str">
        <f aca="false">IF(ISBLANK($C397),
    "",
   IF(ISNUMBER(AR397),AR397+ROW($B397)/1000,"")
)</f>
        <v/>
      </c>
      <c r="AW397" s="94" t="str">
        <f aca="false">IF(ISNUMBER(AV397), RANK(AV397,AV$8:AV$507,1), "")</f>
        <v/>
      </c>
      <c r="AX397" s="94" t="str">
        <f aca="false">IF(ISBLANK($C397),
    "",
    $B397
)</f>
        <v/>
      </c>
      <c r="AY397" s="94" t="str">
        <f aca="false">IF(ISBLANK($C397),
    "",
    $C397
)</f>
        <v/>
      </c>
      <c r="AZ397" s="94" t="str">
        <f aca="false">IF(ISBLANK($C397),
    "",
    $D397
)</f>
        <v/>
      </c>
      <c r="BA397" s="94" t="str">
        <f aca="false">AO397</f>
        <v/>
      </c>
      <c r="BB397" s="95" t="str">
        <f aca="false">AN397</f>
        <v/>
      </c>
      <c r="BC397" s="94" t="str">
        <f aca="false">IF(ISBLANK($C397),
    "",
    AQ397
)</f>
        <v/>
      </c>
      <c r="BD397" s="96" t="str">
        <f aca="false">IF(AU397&gt;AT$7,
    "",
    VLOOKUP(AU397,AW$8:BC$507,7,FALSE())
)</f>
        <v/>
      </c>
      <c r="BE397" s="97" t="str">
        <f aca="false">IF(AU397&gt;AT$7,
    "",
    VLOOKUP(AU397,AW$8:BC$507,2,FALSE())
)</f>
        <v/>
      </c>
      <c r="BF397" s="97" t="str">
        <f aca="false">IF(AU397&gt;AT$7,
    "",
    VLOOKUP(AU397,AW$8:BC$507,3,FALSE())
)</f>
        <v/>
      </c>
      <c r="BG397" s="97" t="str">
        <f aca="false">IF(AU397&gt;AT$7,
    "",
    VLOOKUP(AU397,AW$8:BC$507,4,FALSE())
)</f>
        <v/>
      </c>
      <c r="BH397" s="97" t="str">
        <f aca="false">IF(AU397&gt;AT$7,
    "",
    VLOOKUP(AU397,AW$8:BC$507,5,FALSE())
)</f>
        <v/>
      </c>
      <c r="BI397" s="98" t="str">
        <f aca="false">IF(AU397&gt;AT$7,
    "",
    VLOOKUP(AU397,AW$8:BC$507,6,FALSE())
)</f>
        <v/>
      </c>
      <c r="BJ397" s="46"/>
    </row>
    <row r="398" customFormat="false" ht="15.75" hidden="false" customHeight="false" outlineLevel="0" collapsed="false">
      <c r="A398" s="3"/>
      <c r="B398" s="108"/>
      <c r="C398" s="70"/>
      <c r="D398" s="49"/>
      <c r="E398" s="109"/>
      <c r="F398" s="72"/>
      <c r="G398" s="109"/>
      <c r="H398" s="74"/>
      <c r="I398" s="104"/>
      <c r="J398" s="74"/>
      <c r="K398" s="74"/>
      <c r="L398" s="55"/>
      <c r="M398" s="55" t="str">
        <f aca="false">IF(ISBLANK($C398),"",IF(ISBLANK(E398),0,E398))</f>
        <v/>
      </c>
      <c r="N398" s="55" t="str">
        <f aca="false">IF(ISBLANK($C398),"",IF(ISBLANK(F398),0,F398))</f>
        <v/>
      </c>
      <c r="O398" s="55" t="e">
        <f aca="false">IF(AND(NOT(ISBLANK($C398)),NOT($T398),COUNTA($E398:$K398)&gt;0),ISBLANK($F398),FALSE())</f>
        <v>#VALUE!</v>
      </c>
      <c r="P398" s="55" t="str">
        <f aca="false">IF(ISBLANK($C398),"",IF(G398=Constants!$B$9, TRUE(), IF(G398=Constants!$B$10, FALSE(), TRUE())))</f>
        <v/>
      </c>
      <c r="Q398" s="55" t="str">
        <f aca="false">IF(ISBLANK($C398),"",IF(H398=Constants!$B$9, TRUE(), IF(H398=Constants!$B$10, FALSE(), TRUE())))</f>
        <v/>
      </c>
      <c r="R398" s="55" t="str">
        <f aca="false">IF(ISBLANK($C398),"",IF(ISBLANK(I398),Constants!$B$3,I398))</f>
        <v/>
      </c>
      <c r="S398" s="55" t="str">
        <f aca="false">IF(ISBLANK($C398),"",IF(ISBLANK(J398),0,MIN(J398,Constants!$B$6)))</f>
        <v/>
      </c>
      <c r="T398" s="55" t="str">
        <f aca="false">IF(ISBLANK($C398),"",IF(K398=Constants!$B$9, TRUE(), IF(K398=Constants!$B$10, FALSE(),  FALSE())))</f>
        <v/>
      </c>
      <c r="U398" s="55" t="str">
        <f aca="false">IF(ISBLANK($C398),"",AND(R398=Constants!$B$4, S398&lt;Constants!$B$6))</f>
        <v/>
      </c>
      <c r="V398" s="55" t="str">
        <f aca="false">IF(ISBLANK(C398), "", IF(T398, Constants!$B$11, IF(COUNTA(E398:K398)=0, Constants!$B$12, IF(NOT(AND(P398,S398&lt;&gt;0)), Constants!$B$13, IF(O398, Constants!$B$15, Constants!$B$14)))))</f>
        <v/>
      </c>
      <c r="W398" s="55" t="str">
        <f aca="false">IF(OR(ISBLANK($C398), SUMPRODUCT(--(P398:T398&lt;&gt;""))=0), "", IF(V398&lt;&gt;Constants!$B$14, V398, IF(AND(NOT(ISBLANK(J398)),P398,Q398,R398&lt;&gt;Constants!$B$2), Constants!$B$7, IF(AND(P398,OR(NOT(Q398),R398=Constants!$B$2)), Constants!$B$8, "Error"))))</f>
        <v/>
      </c>
      <c r="X398" s="56" t="str">
        <f aca="false">IF(OR(W398=Constants!$B$7,W398=Constants!$B$8), MAX(0, MIN(Constants!$B$6, S398))+IF(AND(R398=Constants!$B$4, NOT(U398)), Constants!$B$5, 0), "")</f>
        <v/>
      </c>
      <c r="Y398" s="55" t="str">
        <f aca="false">IF(ISBLANK($C398),"",IF(AND(ISNUMBER(X398),N398&gt;0),X398/N398, "") )</f>
        <v/>
      </c>
      <c r="Z398" s="55" t="str">
        <f aca="false">IF(AND(NOT(ISBLANK($C398)), W398=Constants!$B$7), Y398, "")</f>
        <v/>
      </c>
      <c r="AA398" s="55" t="str">
        <f aca="false">IF(ISNUMBER(Z398), RANK(Z398,Z$8:Z$507), "")</f>
        <v/>
      </c>
      <c r="AB398" s="55" t="str">
        <f aca="false">IF(AND(NOT(ISBLANK($C398)), W398=Constants!$B$8), Y398, "")</f>
        <v/>
      </c>
      <c r="AC398" s="55" t="str">
        <f aca="false">IF(ISNUMBER(AB398), RANK(AB398,AB$8:AB$507), "")</f>
        <v/>
      </c>
      <c r="AD398" s="55" t="str">
        <f aca="false">IF(ISBLANK($C398),"",IF(V398&lt;&gt;Constants!$B$14, V398, IF(W398=Constants!$B$7, AA398, IF(W398=Constants!$B$8, COUNT($AA$8:$AA$507) + AC398, ""))))</f>
        <v/>
      </c>
      <c r="AE398" s="55" t="str">
        <f aca="false">N398</f>
        <v/>
      </c>
      <c r="AF398" s="55" t="str">
        <f aca="false">IF(ISNUMBER(AE398), RANK(AE398,AE$8:AE$507,1), "")</f>
        <v/>
      </c>
      <c r="AG398" s="57" t="str">
        <f aca="false">IF(ISBLANK(C398), "", ABS(M398-S398))</f>
        <v/>
      </c>
      <c r="AH398" s="55" t="str">
        <f aca="false">IF(ISNUMBER(AG398), RANK(AG398,AG$8:AG$507,1), "")</f>
        <v/>
      </c>
      <c r="AI398" s="55" t="str">
        <f aca="false">IF(ISBLANK(C398),"",IF(V398&lt;&gt;Constants!$B$14, V398, RANK(AD398, AD$8:AD$507, 1)+ SUMPRODUCT(--(AD$8:AD$507=AD398),--(AF398&gt;AF$8:AF$507)) + SUMPRODUCT(--(AD$8:AD$507=AD398),--(AF398=AF$8:AF$507),--(AH398&gt;AH$8:AH$507))))</f>
        <v/>
      </c>
      <c r="AJ398" s="55" t="str">
        <f aca="false">IF(ISBLANK(C398),"",IF(V398&lt;&gt;Constants!$B$14, V398, AD398-AI398))</f>
        <v/>
      </c>
      <c r="AK398" s="59"/>
      <c r="AL398" s="60" t="str">
        <f aca="false">IF(ISBLANK($C398),"",IF($V398&lt;&gt;Constants!$B$14,$V398,X398))</f>
        <v/>
      </c>
      <c r="AM398" s="60" t="str">
        <f aca="false">IF(ISBLANK($C398),"",IF($V398&lt;&gt;Constants!$B$14,$V398,N398))</f>
        <v/>
      </c>
      <c r="AN398" s="62" t="str">
        <f aca="false">IF(ISBLANK(C398),"",IF(V398&lt;&gt;Constants!$B$14, V398, IF(W398=Constants!$B$7,Z398,IF(W398=Constants!$B$8,AB398,""))))</f>
        <v/>
      </c>
      <c r="AO398" s="63" t="str">
        <f aca="false">IF(ISBLANK(C398),"",W398)</f>
        <v/>
      </c>
      <c r="AP398" s="63" t="str">
        <f aca="false">IF(ISBLANK(C398),"",AJ398)</f>
        <v/>
      </c>
      <c r="AQ398" s="63" t="str">
        <f aca="false">IF(ISBLANK(C398),"",AI398)</f>
        <v/>
      </c>
      <c r="AR398" s="64" t="str">
        <f aca="false">IF(ISBLANK(C398),
  "",
IF(AQ398=Constants!$B$11,COUNTA($C$8:$C$507)+2,IF(AQ398=Constants!$B$12,COUNTA($C$8:$C$507)+1,IF(AQ398=Constants!$B$13,COUNTA($C$8:$C$507),AQ398))))</f>
        <v/>
      </c>
      <c r="AS398" s="3"/>
      <c r="AT398" s="65" t="n">
        <f aca="false">IF(OR(ISNUMBER(AQ398),AQ398="DQ",AQ398="P",AQ398="NS"),
    1,
    0
)</f>
        <v>0</v>
      </c>
      <c r="AU398" s="65" t="n">
        <v>391</v>
      </c>
      <c r="AV398" s="65" t="str">
        <f aca="false">IF(ISBLANK($C398),
    "",
   IF(ISNUMBER(AR398),AR398+ROW($B398)/1000,"")
)</f>
        <v/>
      </c>
      <c r="AW398" s="65" t="str">
        <f aca="false">IF(ISNUMBER(AV398), RANK(AV398,AV$8:AV$507,1), "")</f>
        <v/>
      </c>
      <c r="AX398" s="65" t="str">
        <f aca="false">IF(ISBLANK($C398),
    "",
    $B398
)</f>
        <v/>
      </c>
      <c r="AY398" s="65" t="str">
        <f aca="false">IF(ISBLANK($C398),
    "",
    $C398
)</f>
        <v/>
      </c>
      <c r="AZ398" s="65" t="str">
        <f aca="false">IF(ISBLANK($C398),
    "",
    $D398
)</f>
        <v/>
      </c>
      <c r="BA398" s="65" t="str">
        <f aca="false">AO398</f>
        <v/>
      </c>
      <c r="BB398" s="66" t="str">
        <f aca="false">AN398</f>
        <v/>
      </c>
      <c r="BC398" s="65" t="str">
        <f aca="false">IF(ISBLANK($C398),
    "",
    AQ398
)</f>
        <v/>
      </c>
      <c r="BD398" s="67" t="str">
        <f aca="false">IF(AU398&gt;AT$7,
    "",
    VLOOKUP(AU398,AW$8:BC$507,7,FALSE())
)</f>
        <v/>
      </c>
      <c r="BE398" s="68" t="str">
        <f aca="false">IF(AU398&gt;AT$7,
    "",
    VLOOKUP(AU398,AW$8:BC$507,2,FALSE())
)</f>
        <v/>
      </c>
      <c r="BF398" s="68" t="str">
        <f aca="false">IF(AU398&gt;AT$7,
    "",
    VLOOKUP(AU398,AW$8:BC$507,3,FALSE())
)</f>
        <v/>
      </c>
      <c r="BG398" s="68" t="str">
        <f aca="false">IF(AU398&gt;AT$7,
    "",
    VLOOKUP(AU398,AW$8:BC$507,4,FALSE())
)</f>
        <v/>
      </c>
      <c r="BH398" s="68" t="str">
        <f aca="false">IF(AU398&gt;AT$7,
    "",
    VLOOKUP(AU398,AW$8:BC$507,5,FALSE())
)</f>
        <v/>
      </c>
      <c r="BI398" s="69" t="str">
        <f aca="false">IF(AU398&gt;AT$7,
    "",
    VLOOKUP(AU398,AW$8:BC$507,6,FALSE())
)</f>
        <v/>
      </c>
      <c r="BJ398" s="46"/>
    </row>
    <row r="399" customFormat="false" ht="15.75" hidden="false" customHeight="false" outlineLevel="0" collapsed="false">
      <c r="A399" s="3"/>
      <c r="B399" s="108"/>
      <c r="C399" s="70"/>
      <c r="D399" s="49"/>
      <c r="E399" s="109"/>
      <c r="F399" s="72"/>
      <c r="G399" s="109"/>
      <c r="H399" s="74"/>
      <c r="I399" s="104"/>
      <c r="J399" s="74"/>
      <c r="K399" s="74"/>
      <c r="L399" s="55"/>
      <c r="M399" s="55" t="str">
        <f aca="false">IF(ISBLANK($C399),"",IF(ISBLANK(E399),0,E399))</f>
        <v/>
      </c>
      <c r="N399" s="55" t="str">
        <f aca="false">IF(ISBLANK($C399),"",IF(ISBLANK(F399),0,F399))</f>
        <v/>
      </c>
      <c r="O399" s="55" t="e">
        <f aca="false">IF(AND(NOT(ISBLANK($C399)),NOT($T399),COUNTA($E399:$K399)&gt;0),ISBLANK($F399),FALSE())</f>
        <v>#VALUE!</v>
      </c>
      <c r="P399" s="55" t="str">
        <f aca="false">IF(ISBLANK($C399),"",IF(G399=Constants!$B$9, TRUE(), IF(G399=Constants!$B$10, FALSE(), TRUE())))</f>
        <v/>
      </c>
      <c r="Q399" s="55" t="str">
        <f aca="false">IF(ISBLANK($C399),"",IF(H399=Constants!$B$9, TRUE(), IF(H399=Constants!$B$10, FALSE(), TRUE())))</f>
        <v/>
      </c>
      <c r="R399" s="55" t="str">
        <f aca="false">IF(ISBLANK($C399),"",IF(ISBLANK(I399),Constants!$B$3,I399))</f>
        <v/>
      </c>
      <c r="S399" s="55" t="str">
        <f aca="false">IF(ISBLANK($C399),"",IF(ISBLANK(J399),0,MIN(J399,Constants!$B$6)))</f>
        <v/>
      </c>
      <c r="T399" s="55" t="str">
        <f aca="false">IF(ISBLANK($C399),"",IF(K399=Constants!$B$9, TRUE(), IF(K399=Constants!$B$10, FALSE(),  FALSE())))</f>
        <v/>
      </c>
      <c r="U399" s="55" t="str">
        <f aca="false">IF(ISBLANK($C399),"",AND(R399=Constants!$B$4, S399&lt;Constants!$B$6))</f>
        <v/>
      </c>
      <c r="V399" s="55" t="str">
        <f aca="false">IF(ISBLANK(C399), "", IF(T399, Constants!$B$11, IF(COUNTA(E399:K399)=0, Constants!$B$12, IF(NOT(AND(P399,S399&lt;&gt;0)), Constants!$B$13, IF(O399, Constants!$B$15, Constants!$B$14)))))</f>
        <v/>
      </c>
      <c r="W399" s="55" t="str">
        <f aca="false">IF(OR(ISBLANK($C399), SUMPRODUCT(--(P399:T399&lt;&gt;""))=0), "", IF(V399&lt;&gt;Constants!$B$14, V399, IF(AND(NOT(ISBLANK(J399)),P399,Q399,R399&lt;&gt;Constants!$B$2), Constants!$B$7, IF(AND(P399,OR(NOT(Q399),R399=Constants!$B$2)), Constants!$B$8, "Error"))))</f>
        <v/>
      </c>
      <c r="X399" s="56" t="str">
        <f aca="false">IF(OR(W399=Constants!$B$7,W399=Constants!$B$8), MAX(0, MIN(Constants!$B$6, S399))+IF(AND(R399=Constants!$B$4, NOT(U399)), Constants!$B$5, 0), "")</f>
        <v/>
      </c>
      <c r="Y399" s="55" t="str">
        <f aca="false">IF(ISBLANK($C399),"",IF(AND(ISNUMBER(X399),N399&gt;0),X399/N399, "") )</f>
        <v/>
      </c>
      <c r="Z399" s="55" t="str">
        <f aca="false">IF(AND(NOT(ISBLANK($C399)), W399=Constants!$B$7), Y399, "")</f>
        <v/>
      </c>
      <c r="AA399" s="55" t="str">
        <f aca="false">IF(ISNUMBER(Z399), RANK(Z399,Z$8:Z$507), "")</f>
        <v/>
      </c>
      <c r="AB399" s="55" t="str">
        <f aca="false">IF(AND(NOT(ISBLANK($C399)), W399=Constants!$B$8), Y399, "")</f>
        <v/>
      </c>
      <c r="AC399" s="55" t="str">
        <f aca="false">IF(ISNUMBER(AB399), RANK(AB399,AB$8:AB$507), "")</f>
        <v/>
      </c>
      <c r="AD399" s="55" t="str">
        <f aca="false">IF(ISBLANK($C399),"",IF(V399&lt;&gt;Constants!$B$14, V399, IF(W399=Constants!$B$7, AA399, IF(W399=Constants!$B$8, COUNT($AA$8:$AA$507) + AC399, ""))))</f>
        <v/>
      </c>
      <c r="AE399" s="55" t="str">
        <f aca="false">N399</f>
        <v/>
      </c>
      <c r="AF399" s="55" t="str">
        <f aca="false">IF(ISNUMBER(AE399), RANK(AE399,AE$8:AE$507,1), "")</f>
        <v/>
      </c>
      <c r="AG399" s="57" t="str">
        <f aca="false">IF(ISBLANK(C399), "", ABS(M399-S399))</f>
        <v/>
      </c>
      <c r="AH399" s="55" t="str">
        <f aca="false">IF(ISNUMBER(AG399), RANK(AG399,AG$8:AG$507,1), "")</f>
        <v/>
      </c>
      <c r="AI399" s="55" t="str">
        <f aca="false">IF(ISBLANK(C399),"",IF(V399&lt;&gt;Constants!$B$14, V399, RANK(AD399, AD$8:AD$507, 1)+ SUMPRODUCT(--(AD$8:AD$507=AD399),--(AF399&gt;AF$8:AF$507)) + SUMPRODUCT(--(AD$8:AD$507=AD399),--(AF399=AF$8:AF$507),--(AH399&gt;AH$8:AH$507))))</f>
        <v/>
      </c>
      <c r="AJ399" s="55" t="str">
        <f aca="false">IF(ISBLANK(C399),"",IF(V399&lt;&gt;Constants!$B$14, V399, AD399-AI399))</f>
        <v/>
      </c>
      <c r="AK399" s="59"/>
      <c r="AL399" s="60" t="str">
        <f aca="false">IF(ISBLANK($C399),"",IF($V399&lt;&gt;Constants!$B$14,$V399,X399))</f>
        <v/>
      </c>
      <c r="AM399" s="60" t="str">
        <f aca="false">IF(ISBLANK($C399),"",IF($V399&lt;&gt;Constants!$B$14,$V399,N399))</f>
        <v/>
      </c>
      <c r="AN399" s="62" t="str">
        <f aca="false">IF(ISBLANK(C399),"",IF(V399&lt;&gt;Constants!$B$14, V399, IF(W399=Constants!$B$7,Z399,IF(W399=Constants!$B$8,AB399,""))))</f>
        <v/>
      </c>
      <c r="AO399" s="63" t="str">
        <f aca="false">IF(ISBLANK(C399),"",W399)</f>
        <v/>
      </c>
      <c r="AP399" s="63" t="str">
        <f aca="false">IF(ISBLANK(C399),"",AJ399)</f>
        <v/>
      </c>
      <c r="AQ399" s="63" t="str">
        <f aca="false">IF(ISBLANK(C399),"",AI399)</f>
        <v/>
      </c>
      <c r="AR399" s="64" t="str">
        <f aca="false">IF(ISBLANK(C399),
  "",
IF(AQ399=Constants!$B$11,COUNTA($C$8:$C$507)+2,IF(AQ399=Constants!$B$12,COUNTA($C$8:$C$507)+1,IF(AQ399=Constants!$B$13,COUNTA($C$8:$C$507),AQ399))))</f>
        <v/>
      </c>
      <c r="AS399" s="3"/>
      <c r="AT399" s="65" t="n">
        <f aca="false">IF(OR(ISNUMBER(AQ399),AQ399="DQ",AQ399="P",AQ399="NS"),
    1,
    0
)</f>
        <v>0</v>
      </c>
      <c r="AU399" s="65" t="n">
        <v>392</v>
      </c>
      <c r="AV399" s="65" t="str">
        <f aca="false">IF(ISBLANK($C399),
    "",
   IF(ISNUMBER(AR399),AR399+ROW($B399)/1000,"")
)</f>
        <v/>
      </c>
      <c r="AW399" s="65" t="str">
        <f aca="false">IF(ISNUMBER(AV399), RANK(AV399,AV$8:AV$507,1), "")</f>
        <v/>
      </c>
      <c r="AX399" s="65" t="str">
        <f aca="false">IF(ISBLANK($C399),
    "",
    $B399
)</f>
        <v/>
      </c>
      <c r="AY399" s="65" t="str">
        <f aca="false">IF(ISBLANK($C399),
    "",
    $C399
)</f>
        <v/>
      </c>
      <c r="AZ399" s="65" t="str">
        <f aca="false">IF(ISBLANK($C399),
    "",
    $D399
)</f>
        <v/>
      </c>
      <c r="BA399" s="65" t="str">
        <f aca="false">AO399</f>
        <v/>
      </c>
      <c r="BB399" s="66" t="str">
        <f aca="false">AN399</f>
        <v/>
      </c>
      <c r="BC399" s="65" t="str">
        <f aca="false">IF(ISBLANK($C399),
    "",
    AQ399
)</f>
        <v/>
      </c>
      <c r="BD399" s="67" t="str">
        <f aca="false">IF(AU399&gt;AT$7,
    "",
    VLOOKUP(AU399,AW$8:BC$507,7,FALSE())
)</f>
        <v/>
      </c>
      <c r="BE399" s="68" t="str">
        <f aca="false">IF(AU399&gt;AT$7,
    "",
    VLOOKUP(AU399,AW$8:BC$507,2,FALSE())
)</f>
        <v/>
      </c>
      <c r="BF399" s="68" t="str">
        <f aca="false">IF(AU399&gt;AT$7,
    "",
    VLOOKUP(AU399,AW$8:BC$507,3,FALSE())
)</f>
        <v/>
      </c>
      <c r="BG399" s="68" t="str">
        <f aca="false">IF(AU399&gt;AT$7,
    "",
    VLOOKUP(AU399,AW$8:BC$507,4,FALSE())
)</f>
        <v/>
      </c>
      <c r="BH399" s="68" t="str">
        <f aca="false">IF(AU399&gt;AT$7,
    "",
    VLOOKUP(AU399,AW$8:BC$507,5,FALSE())
)</f>
        <v/>
      </c>
      <c r="BI399" s="69" t="str">
        <f aca="false">IF(AU399&gt;AT$7,
    "",
    VLOOKUP(AU399,AW$8:BC$507,6,FALSE())
)</f>
        <v/>
      </c>
      <c r="BJ399" s="46"/>
    </row>
    <row r="400" customFormat="false" ht="15.75" hidden="false" customHeight="false" outlineLevel="0" collapsed="false">
      <c r="A400" s="3"/>
      <c r="B400" s="108"/>
      <c r="C400" s="70"/>
      <c r="D400" s="49"/>
      <c r="E400" s="109"/>
      <c r="F400" s="72"/>
      <c r="G400" s="109"/>
      <c r="H400" s="74"/>
      <c r="I400" s="104"/>
      <c r="J400" s="74"/>
      <c r="K400" s="74"/>
      <c r="L400" s="55"/>
      <c r="M400" s="55" t="str">
        <f aca="false">IF(ISBLANK($C400),"",IF(ISBLANK(E400),0,E400))</f>
        <v/>
      </c>
      <c r="N400" s="55" t="str">
        <f aca="false">IF(ISBLANK($C400),"",IF(ISBLANK(F400),0,F400))</f>
        <v/>
      </c>
      <c r="O400" s="55" t="e">
        <f aca="false">IF(AND(NOT(ISBLANK($C400)),NOT($T400),COUNTA($E400:$K400)&gt;0),ISBLANK($F400),FALSE())</f>
        <v>#VALUE!</v>
      </c>
      <c r="P400" s="55" t="str">
        <f aca="false">IF(ISBLANK($C400),"",IF(G400=Constants!$B$9, TRUE(), IF(G400=Constants!$B$10, FALSE(), TRUE())))</f>
        <v/>
      </c>
      <c r="Q400" s="55" t="str">
        <f aca="false">IF(ISBLANK($C400),"",IF(H400=Constants!$B$9, TRUE(), IF(H400=Constants!$B$10, FALSE(), TRUE())))</f>
        <v/>
      </c>
      <c r="R400" s="55" t="str">
        <f aca="false">IF(ISBLANK($C400),"",IF(ISBLANK(I400),Constants!$B$3,I400))</f>
        <v/>
      </c>
      <c r="S400" s="55" t="str">
        <f aca="false">IF(ISBLANK($C400),"",IF(ISBLANK(J400),0,MIN(J400,Constants!$B$6)))</f>
        <v/>
      </c>
      <c r="T400" s="55" t="str">
        <f aca="false">IF(ISBLANK($C400),"",IF(K400=Constants!$B$9, TRUE(), IF(K400=Constants!$B$10, FALSE(),  FALSE())))</f>
        <v/>
      </c>
      <c r="U400" s="55" t="str">
        <f aca="false">IF(ISBLANK($C400),"",AND(R400=Constants!$B$4, S400&lt;Constants!$B$6))</f>
        <v/>
      </c>
      <c r="V400" s="55" t="str">
        <f aca="false">IF(ISBLANK(C400), "", IF(T400, Constants!$B$11, IF(COUNTA(E400:K400)=0, Constants!$B$12, IF(NOT(AND(P400,S400&lt;&gt;0)), Constants!$B$13, IF(O400, Constants!$B$15, Constants!$B$14)))))</f>
        <v/>
      </c>
      <c r="W400" s="55" t="str">
        <f aca="false">IF(OR(ISBLANK($C400), SUMPRODUCT(--(P400:T400&lt;&gt;""))=0), "", IF(V400&lt;&gt;Constants!$B$14, V400, IF(AND(NOT(ISBLANK(J400)),P400,Q400,R400&lt;&gt;Constants!$B$2), Constants!$B$7, IF(AND(P400,OR(NOT(Q400),R400=Constants!$B$2)), Constants!$B$8, "Error"))))</f>
        <v/>
      </c>
      <c r="X400" s="56" t="str">
        <f aca="false">IF(OR(W400=Constants!$B$7,W400=Constants!$B$8), MAX(0, MIN(Constants!$B$6, S400))+IF(AND(R400=Constants!$B$4, NOT(U400)), Constants!$B$5, 0), "")</f>
        <v/>
      </c>
      <c r="Y400" s="55" t="str">
        <f aca="false">IF(ISBLANK($C400),"",IF(AND(ISNUMBER(X400),N400&gt;0),X400/N400, "") )</f>
        <v/>
      </c>
      <c r="Z400" s="55" t="str">
        <f aca="false">IF(AND(NOT(ISBLANK($C400)), W400=Constants!$B$7), Y400, "")</f>
        <v/>
      </c>
      <c r="AA400" s="55" t="str">
        <f aca="false">IF(ISNUMBER(Z400), RANK(Z400,Z$8:Z$507), "")</f>
        <v/>
      </c>
      <c r="AB400" s="55" t="str">
        <f aca="false">IF(AND(NOT(ISBLANK($C400)), W400=Constants!$B$8), Y400, "")</f>
        <v/>
      </c>
      <c r="AC400" s="55" t="str">
        <f aca="false">IF(ISNUMBER(AB400), RANK(AB400,AB$8:AB$507), "")</f>
        <v/>
      </c>
      <c r="AD400" s="55" t="str">
        <f aca="false">IF(ISBLANK($C400),"",IF(V400&lt;&gt;Constants!$B$14, V400, IF(W400=Constants!$B$7, AA400, IF(W400=Constants!$B$8, COUNT($AA$8:$AA$507) + AC400, ""))))</f>
        <v/>
      </c>
      <c r="AE400" s="55" t="str">
        <f aca="false">N400</f>
        <v/>
      </c>
      <c r="AF400" s="55" t="str">
        <f aca="false">IF(ISNUMBER(AE400), RANK(AE400,AE$8:AE$507,1), "")</f>
        <v/>
      </c>
      <c r="AG400" s="57" t="str">
        <f aca="false">IF(ISBLANK(C400), "", ABS(M400-S400))</f>
        <v/>
      </c>
      <c r="AH400" s="55" t="str">
        <f aca="false">IF(ISNUMBER(AG400), RANK(AG400,AG$8:AG$507,1), "")</f>
        <v/>
      </c>
      <c r="AI400" s="55" t="str">
        <f aca="false">IF(ISBLANK(C400),"",IF(V400&lt;&gt;Constants!$B$14, V400, RANK(AD400, AD$8:AD$507, 1)+ SUMPRODUCT(--(AD$8:AD$507=AD400),--(AF400&gt;AF$8:AF$507)) + SUMPRODUCT(--(AD$8:AD$507=AD400),--(AF400=AF$8:AF$507),--(AH400&gt;AH$8:AH$507))))</f>
        <v/>
      </c>
      <c r="AJ400" s="55" t="str">
        <f aca="false">IF(ISBLANK(C400),"",IF(V400&lt;&gt;Constants!$B$14, V400, AD400-AI400))</f>
        <v/>
      </c>
      <c r="AK400" s="59"/>
      <c r="AL400" s="60" t="str">
        <f aca="false">IF(ISBLANK($C400),"",IF($V400&lt;&gt;Constants!$B$14,$V400,X400))</f>
        <v/>
      </c>
      <c r="AM400" s="60" t="str">
        <f aca="false">IF(ISBLANK($C400),"",IF($V400&lt;&gt;Constants!$B$14,$V400,N400))</f>
        <v/>
      </c>
      <c r="AN400" s="62" t="str">
        <f aca="false">IF(ISBLANK(C400),"",IF(V400&lt;&gt;Constants!$B$14, V400, IF(W400=Constants!$B$7,Z400,IF(W400=Constants!$B$8,AB400,""))))</f>
        <v/>
      </c>
      <c r="AO400" s="63" t="str">
        <f aca="false">IF(ISBLANK(C400),"",W400)</f>
        <v/>
      </c>
      <c r="AP400" s="63" t="str">
        <f aca="false">IF(ISBLANK(C400),"",AJ400)</f>
        <v/>
      </c>
      <c r="AQ400" s="63" t="str">
        <f aca="false">IF(ISBLANK(C400),"",AI400)</f>
        <v/>
      </c>
      <c r="AR400" s="64" t="str">
        <f aca="false">IF(ISBLANK(C400),
  "",
IF(AQ400=Constants!$B$11,COUNTA($C$8:$C$507)+2,IF(AQ400=Constants!$B$12,COUNTA($C$8:$C$507)+1,IF(AQ400=Constants!$B$13,COUNTA($C$8:$C$507),AQ400))))</f>
        <v/>
      </c>
      <c r="AS400" s="3"/>
      <c r="AT400" s="65" t="n">
        <f aca="false">IF(OR(ISNUMBER(AQ400),AQ400="DQ",AQ400="P",AQ400="NS"),
    1,
    0
)</f>
        <v>0</v>
      </c>
      <c r="AU400" s="65" t="n">
        <v>393</v>
      </c>
      <c r="AV400" s="65" t="str">
        <f aca="false">IF(ISBLANK($C400),
    "",
   IF(ISNUMBER(AR400),AR400+ROW($B400)/1000,"")
)</f>
        <v/>
      </c>
      <c r="AW400" s="65" t="str">
        <f aca="false">IF(ISNUMBER(AV400), RANK(AV400,AV$8:AV$507,1), "")</f>
        <v/>
      </c>
      <c r="AX400" s="65" t="str">
        <f aca="false">IF(ISBLANK($C400),
    "",
    $B400
)</f>
        <v/>
      </c>
      <c r="AY400" s="65" t="str">
        <f aca="false">IF(ISBLANK($C400),
    "",
    $C400
)</f>
        <v/>
      </c>
      <c r="AZ400" s="65" t="str">
        <f aca="false">IF(ISBLANK($C400),
    "",
    $D400
)</f>
        <v/>
      </c>
      <c r="BA400" s="65" t="str">
        <f aca="false">AO400</f>
        <v/>
      </c>
      <c r="BB400" s="66" t="str">
        <f aca="false">AN400</f>
        <v/>
      </c>
      <c r="BC400" s="65" t="str">
        <f aca="false">IF(ISBLANK($C400),
    "",
    AQ400
)</f>
        <v/>
      </c>
      <c r="BD400" s="67" t="str">
        <f aca="false">IF(AU400&gt;AT$7,
    "",
    VLOOKUP(AU400,AW$8:BC$507,7,FALSE())
)</f>
        <v/>
      </c>
      <c r="BE400" s="68" t="str">
        <f aca="false">IF(AU400&gt;AT$7,
    "",
    VLOOKUP(AU400,AW$8:BC$507,2,FALSE())
)</f>
        <v/>
      </c>
      <c r="BF400" s="68" t="str">
        <f aca="false">IF(AU400&gt;AT$7,
    "",
    VLOOKUP(AU400,AW$8:BC$507,3,FALSE())
)</f>
        <v/>
      </c>
      <c r="BG400" s="68" t="str">
        <f aca="false">IF(AU400&gt;AT$7,
    "",
    VLOOKUP(AU400,AW$8:BC$507,4,FALSE())
)</f>
        <v/>
      </c>
      <c r="BH400" s="68" t="str">
        <f aca="false">IF(AU400&gt;AT$7,
    "",
    VLOOKUP(AU400,AW$8:BC$507,5,FALSE())
)</f>
        <v/>
      </c>
      <c r="BI400" s="69" t="str">
        <f aca="false">IF(AU400&gt;AT$7,
    "",
    VLOOKUP(AU400,AW$8:BC$507,6,FALSE())
)</f>
        <v/>
      </c>
      <c r="BJ400" s="46"/>
    </row>
    <row r="401" customFormat="false" ht="15.75" hidden="false" customHeight="false" outlineLevel="0" collapsed="false">
      <c r="A401" s="3"/>
      <c r="B401" s="105"/>
      <c r="C401" s="106"/>
      <c r="D401" s="99"/>
      <c r="E401" s="110"/>
      <c r="F401" s="107"/>
      <c r="G401" s="110"/>
      <c r="H401" s="103"/>
      <c r="I401" s="102"/>
      <c r="J401" s="103"/>
      <c r="K401" s="103"/>
      <c r="L401" s="85"/>
      <c r="M401" s="85" t="str">
        <f aca="false">IF(ISBLANK($C401),"",IF(ISBLANK(E401),0,E401))</f>
        <v/>
      </c>
      <c r="N401" s="85" t="str">
        <f aca="false">IF(ISBLANK($C401),"",IF(ISBLANK(F401),0,F401))</f>
        <v/>
      </c>
      <c r="O401" s="86" t="e">
        <f aca="false">IF(AND(NOT(ISBLANK($C401)),NOT($T401),COUNTA($E401:$K401)&gt;0),ISBLANK($F401),FALSE())</f>
        <v>#VALUE!</v>
      </c>
      <c r="P401" s="85" t="str">
        <f aca="false">IF(ISBLANK($C401),"",IF(G401=Constants!$B$9, TRUE(), IF(G401=Constants!$B$10, FALSE(), TRUE())))</f>
        <v/>
      </c>
      <c r="Q401" s="85" t="str">
        <f aca="false">IF(ISBLANK($C401),"",IF(H401=Constants!$B$9, TRUE(), IF(H401=Constants!$B$10, FALSE(), TRUE())))</f>
        <v/>
      </c>
      <c r="R401" s="85" t="str">
        <f aca="false">IF(ISBLANK($C401),"",IF(ISBLANK(I401),Constants!$B$3,I401))</f>
        <v/>
      </c>
      <c r="S401" s="85" t="str">
        <f aca="false">IF(ISBLANK($C401),"",IF(ISBLANK(J401),0,MIN(J401,Constants!$B$6)))</f>
        <v/>
      </c>
      <c r="T401" s="85" t="str">
        <f aca="false">IF(ISBLANK($C401),"",IF(K401=Constants!$B$9, TRUE(), IF(K401=Constants!$B$10, FALSE(),  FALSE())))</f>
        <v/>
      </c>
      <c r="U401" s="85" t="str">
        <f aca="false">IF(ISBLANK($C401),"",AND(R401=Constants!$B$4, S401&lt;Constants!$B$6))</f>
        <v/>
      </c>
      <c r="V401" s="85" t="str">
        <f aca="false">IF(ISBLANK(C401), "", IF(T401, Constants!$B$11, IF(COUNTA(E401:K401)=0, Constants!$B$12, IF(NOT(AND(P401,S401&lt;&gt;0)), Constants!$B$13, IF(O401, Constants!$B$15, Constants!$B$14)))))</f>
        <v/>
      </c>
      <c r="W401" s="85" t="str">
        <f aca="false">IF(OR(ISBLANK($C401), SUMPRODUCT(--(P401:T401&lt;&gt;""))=0), "", IF(V401&lt;&gt;Constants!$B$14, V401, IF(AND(NOT(ISBLANK(J401)),P401,Q401,R401&lt;&gt;Constants!$B$2), Constants!$B$7, IF(AND(P401,OR(NOT(Q401),R401=Constants!$B$2)), Constants!$B$8, "Error"))))</f>
        <v/>
      </c>
      <c r="X401" s="87" t="str">
        <f aca="false">IF(OR(W401=Constants!$B$7,W401=Constants!$B$8), MAX(0, MIN(Constants!$B$6, S401))+IF(AND(R401=Constants!$B$4, NOT(U401)), Constants!$B$5, 0), "")</f>
        <v/>
      </c>
      <c r="Y401" s="85" t="str">
        <f aca="false">IF(ISBLANK($C401),"",IF(AND(ISNUMBER(X401),N401&gt;0),X401/N401, "") )</f>
        <v/>
      </c>
      <c r="Z401" s="85" t="str">
        <f aca="false">IF(AND(NOT(ISBLANK($C401)), W401=Constants!$B$7), Y401, "")</f>
        <v/>
      </c>
      <c r="AA401" s="85" t="str">
        <f aca="false">IF(ISNUMBER(Z401), RANK(Z401,Z$8:Z$507), "")</f>
        <v/>
      </c>
      <c r="AB401" s="85" t="str">
        <f aca="false">IF(AND(NOT(ISBLANK($C401)), W401=Constants!$B$8), Y401, "")</f>
        <v/>
      </c>
      <c r="AC401" s="85" t="str">
        <f aca="false">IF(ISNUMBER(AB401), RANK(AB401,AB$8:AB$507), "")</f>
        <v/>
      </c>
      <c r="AD401" s="85" t="str">
        <f aca="false">IF(ISBLANK($C401),"",IF(V401&lt;&gt;Constants!$B$14, V401, IF(W401=Constants!$B$7, AA401, IF(W401=Constants!$B$8, COUNT($AA$8:$AA$507) + AC401, ""))))</f>
        <v/>
      </c>
      <c r="AE401" s="85" t="str">
        <f aca="false">N401</f>
        <v/>
      </c>
      <c r="AF401" s="85" t="str">
        <f aca="false">IF(ISNUMBER(AE401), RANK(AE401,AE$8:AE$507,1), "")</f>
        <v/>
      </c>
      <c r="AG401" s="88" t="str">
        <f aca="false">IF(ISBLANK(C401), "", ABS(M401-S401))</f>
        <v/>
      </c>
      <c r="AH401" s="85" t="str">
        <f aca="false">IF(ISNUMBER(AG401), RANK(AG401,AG$8:AG$507,1), "")</f>
        <v/>
      </c>
      <c r="AI401" s="85" t="str">
        <f aca="false">IF(ISBLANK(C401),"",IF(V401&lt;&gt;Constants!$B$14, V401, RANK(AD401, AD$8:AD$507, 1)+ SUMPRODUCT(--(AD$8:AD$507=AD401),--(AF401&gt;AF$8:AF$507)) + SUMPRODUCT(--(AD$8:AD$507=AD401),--(AF401=AF$8:AF$507),--(AH401&gt;AH$8:AH$507))))</f>
        <v/>
      </c>
      <c r="AJ401" s="85" t="str">
        <f aca="false">IF(ISBLANK(C401),"",IF(V401&lt;&gt;Constants!$B$14, V401, AD401-AI401))</f>
        <v/>
      </c>
      <c r="AK401" s="89"/>
      <c r="AL401" s="90" t="str">
        <f aca="false">IF(ISBLANK($C401),"",IF($V401&lt;&gt;Constants!$B$14,$V401,X401))</f>
        <v/>
      </c>
      <c r="AM401" s="90" t="str">
        <f aca="false">IF(ISBLANK($C401),"",IF($V401&lt;&gt;Constants!$B$14,$V401,N401))</f>
        <v/>
      </c>
      <c r="AN401" s="91" t="str">
        <f aca="false">IF(ISBLANK(C401),"",IF(V401&lt;&gt;Constants!$B$14, V401, IF(W401=Constants!$B$7,Z401,IF(W401=Constants!$B$8,AB401,""))))</f>
        <v/>
      </c>
      <c r="AO401" s="92" t="str">
        <f aca="false">IF(ISBLANK(C401),"",W401)</f>
        <v/>
      </c>
      <c r="AP401" s="92" t="str">
        <f aca="false">IF(ISBLANK(C401),"",AJ401)</f>
        <v/>
      </c>
      <c r="AQ401" s="92" t="str">
        <f aca="false">IF(ISBLANK(C401),"",AI401)</f>
        <v/>
      </c>
      <c r="AR401" s="93" t="str">
        <f aca="false">IF(ISBLANK(C401),
  "",
IF(AQ401=Constants!$B$11,COUNTA($C$8:$C$507)+2,IF(AQ401=Constants!$B$12,COUNTA($C$8:$C$507)+1,IF(AQ401=Constants!$B$13,COUNTA($C$8:$C$507),AQ401))))</f>
        <v/>
      </c>
      <c r="AS401" s="3"/>
      <c r="AT401" s="94" t="n">
        <f aca="false">IF(OR(ISNUMBER(AQ401),AQ401="DQ",AQ401="P",AQ401="NS"),
    1,
    0
)</f>
        <v>0</v>
      </c>
      <c r="AU401" s="94" t="n">
        <v>394</v>
      </c>
      <c r="AV401" s="94" t="str">
        <f aca="false">IF(ISBLANK($C401),
    "",
   IF(ISNUMBER(AR401),AR401+ROW($B401)/1000,"")
)</f>
        <v/>
      </c>
      <c r="AW401" s="94" t="str">
        <f aca="false">IF(ISNUMBER(AV401), RANK(AV401,AV$8:AV$507,1), "")</f>
        <v/>
      </c>
      <c r="AX401" s="94" t="str">
        <f aca="false">IF(ISBLANK($C401),
    "",
    $B401
)</f>
        <v/>
      </c>
      <c r="AY401" s="94" t="str">
        <f aca="false">IF(ISBLANK($C401),
    "",
    $C401
)</f>
        <v/>
      </c>
      <c r="AZ401" s="94" t="str">
        <f aca="false">IF(ISBLANK($C401),
    "",
    $D401
)</f>
        <v/>
      </c>
      <c r="BA401" s="94" t="str">
        <f aca="false">AO401</f>
        <v/>
      </c>
      <c r="BB401" s="95" t="str">
        <f aca="false">AN401</f>
        <v/>
      </c>
      <c r="BC401" s="94" t="str">
        <f aca="false">IF(ISBLANK($C401),
    "",
    AQ401
)</f>
        <v/>
      </c>
      <c r="BD401" s="96" t="str">
        <f aca="false">IF(AU401&gt;AT$7,
    "",
    VLOOKUP(AU401,AW$8:BC$507,7,FALSE())
)</f>
        <v/>
      </c>
      <c r="BE401" s="97" t="str">
        <f aca="false">IF(AU401&gt;AT$7,
    "",
    VLOOKUP(AU401,AW$8:BC$507,2,FALSE())
)</f>
        <v/>
      </c>
      <c r="BF401" s="97" t="str">
        <f aca="false">IF(AU401&gt;AT$7,
    "",
    VLOOKUP(AU401,AW$8:BC$507,3,FALSE())
)</f>
        <v/>
      </c>
      <c r="BG401" s="97" t="str">
        <f aca="false">IF(AU401&gt;AT$7,
    "",
    VLOOKUP(AU401,AW$8:BC$507,4,FALSE())
)</f>
        <v/>
      </c>
      <c r="BH401" s="97" t="str">
        <f aca="false">IF(AU401&gt;AT$7,
    "",
    VLOOKUP(AU401,AW$8:BC$507,5,FALSE())
)</f>
        <v/>
      </c>
      <c r="BI401" s="98" t="str">
        <f aca="false">IF(AU401&gt;AT$7,
    "",
    VLOOKUP(AU401,AW$8:BC$507,6,FALSE())
)</f>
        <v/>
      </c>
      <c r="BJ401" s="46"/>
    </row>
    <row r="402" customFormat="false" ht="15.75" hidden="false" customHeight="false" outlineLevel="0" collapsed="false">
      <c r="A402" s="3"/>
      <c r="B402" s="105"/>
      <c r="C402" s="106"/>
      <c r="D402" s="99"/>
      <c r="E402" s="110"/>
      <c r="F402" s="107"/>
      <c r="G402" s="110"/>
      <c r="H402" s="103"/>
      <c r="I402" s="102"/>
      <c r="J402" s="103"/>
      <c r="K402" s="103"/>
      <c r="L402" s="85"/>
      <c r="M402" s="85" t="str">
        <f aca="false">IF(ISBLANK($C402),"",IF(ISBLANK(E402),0,E402))</f>
        <v/>
      </c>
      <c r="N402" s="85" t="str">
        <f aca="false">IF(ISBLANK($C402),"",IF(ISBLANK(F402),0,F402))</f>
        <v/>
      </c>
      <c r="O402" s="86" t="e">
        <f aca="false">IF(AND(NOT(ISBLANK($C402)),NOT($T402),COUNTA($E402:$K402)&gt;0),ISBLANK($F402),FALSE())</f>
        <v>#VALUE!</v>
      </c>
      <c r="P402" s="85" t="str">
        <f aca="false">IF(ISBLANK($C402),"",IF(G402=Constants!$B$9, TRUE(), IF(G402=Constants!$B$10, FALSE(), TRUE())))</f>
        <v/>
      </c>
      <c r="Q402" s="85" t="str">
        <f aca="false">IF(ISBLANK($C402),"",IF(H402=Constants!$B$9, TRUE(), IF(H402=Constants!$B$10, FALSE(), TRUE())))</f>
        <v/>
      </c>
      <c r="R402" s="85" t="str">
        <f aca="false">IF(ISBLANK($C402),"",IF(ISBLANK(I402),Constants!$B$3,I402))</f>
        <v/>
      </c>
      <c r="S402" s="85" t="str">
        <f aca="false">IF(ISBLANK($C402),"",IF(ISBLANK(J402),0,MIN(J402,Constants!$B$6)))</f>
        <v/>
      </c>
      <c r="T402" s="85" t="str">
        <f aca="false">IF(ISBLANK($C402),"",IF(K402=Constants!$B$9, TRUE(), IF(K402=Constants!$B$10, FALSE(),  FALSE())))</f>
        <v/>
      </c>
      <c r="U402" s="85" t="str">
        <f aca="false">IF(ISBLANK($C402),"",AND(R402=Constants!$B$4, S402&lt;Constants!$B$6))</f>
        <v/>
      </c>
      <c r="V402" s="85" t="str">
        <f aca="false">IF(ISBLANK(C402), "", IF(T402, Constants!$B$11, IF(COUNTA(E402:K402)=0, Constants!$B$12, IF(NOT(AND(P402,S402&lt;&gt;0)), Constants!$B$13, IF(O402, Constants!$B$15, Constants!$B$14)))))</f>
        <v/>
      </c>
      <c r="W402" s="85" t="str">
        <f aca="false">IF(OR(ISBLANK($C402), SUMPRODUCT(--(P402:T402&lt;&gt;""))=0), "", IF(V402&lt;&gt;Constants!$B$14, V402, IF(AND(NOT(ISBLANK(J402)),P402,Q402,R402&lt;&gt;Constants!$B$2), Constants!$B$7, IF(AND(P402,OR(NOT(Q402),R402=Constants!$B$2)), Constants!$B$8, "Error"))))</f>
        <v/>
      </c>
      <c r="X402" s="87" t="str">
        <f aca="false">IF(OR(W402=Constants!$B$7,W402=Constants!$B$8), MAX(0, MIN(Constants!$B$6, S402))+IF(AND(R402=Constants!$B$4, NOT(U402)), Constants!$B$5, 0), "")</f>
        <v/>
      </c>
      <c r="Y402" s="85" t="str">
        <f aca="false">IF(ISBLANK($C402),"",IF(AND(ISNUMBER(X402),N402&gt;0),X402/N402, "") )</f>
        <v/>
      </c>
      <c r="Z402" s="85" t="str">
        <f aca="false">IF(AND(NOT(ISBLANK($C402)), W402=Constants!$B$7), Y402, "")</f>
        <v/>
      </c>
      <c r="AA402" s="85" t="str">
        <f aca="false">IF(ISNUMBER(Z402), RANK(Z402,Z$8:Z$507), "")</f>
        <v/>
      </c>
      <c r="AB402" s="85" t="str">
        <f aca="false">IF(AND(NOT(ISBLANK($C402)), W402=Constants!$B$8), Y402, "")</f>
        <v/>
      </c>
      <c r="AC402" s="85" t="str">
        <f aca="false">IF(ISNUMBER(AB402), RANK(AB402,AB$8:AB$507), "")</f>
        <v/>
      </c>
      <c r="AD402" s="85" t="str">
        <f aca="false">IF(ISBLANK($C402),"",IF(V402&lt;&gt;Constants!$B$14, V402, IF(W402=Constants!$B$7, AA402, IF(W402=Constants!$B$8, COUNT($AA$8:$AA$507) + AC402, ""))))</f>
        <v/>
      </c>
      <c r="AE402" s="85" t="str">
        <f aca="false">N402</f>
        <v/>
      </c>
      <c r="AF402" s="85" t="str">
        <f aca="false">IF(ISNUMBER(AE402), RANK(AE402,AE$8:AE$507,1), "")</f>
        <v/>
      </c>
      <c r="AG402" s="88" t="str">
        <f aca="false">IF(ISBLANK(C402), "", ABS(M402-S402))</f>
        <v/>
      </c>
      <c r="AH402" s="85" t="str">
        <f aca="false">IF(ISNUMBER(AG402), RANK(AG402,AG$8:AG$507,1), "")</f>
        <v/>
      </c>
      <c r="AI402" s="85" t="str">
        <f aca="false">IF(ISBLANK(C402),"",IF(V402&lt;&gt;Constants!$B$14, V402, RANK(AD402, AD$8:AD$507, 1)+ SUMPRODUCT(--(AD$8:AD$507=AD402),--(AF402&gt;AF$8:AF$507)) + SUMPRODUCT(--(AD$8:AD$507=AD402),--(AF402=AF$8:AF$507),--(AH402&gt;AH$8:AH$507))))</f>
        <v/>
      </c>
      <c r="AJ402" s="85" t="str">
        <f aca="false">IF(ISBLANK(C402),"",IF(V402&lt;&gt;Constants!$B$14, V402, AD402-AI402))</f>
        <v/>
      </c>
      <c r="AK402" s="89"/>
      <c r="AL402" s="90" t="str">
        <f aca="false">IF(ISBLANK($C402),"",IF($V402&lt;&gt;Constants!$B$14,$V402,X402))</f>
        <v/>
      </c>
      <c r="AM402" s="90" t="str">
        <f aca="false">IF(ISBLANK($C402),"",IF($V402&lt;&gt;Constants!$B$14,$V402,N402))</f>
        <v/>
      </c>
      <c r="AN402" s="91" t="str">
        <f aca="false">IF(ISBLANK(C402),"",IF(V402&lt;&gt;Constants!$B$14, V402, IF(W402=Constants!$B$7,Z402,IF(W402=Constants!$B$8,AB402,""))))</f>
        <v/>
      </c>
      <c r="AO402" s="92" t="str">
        <f aca="false">IF(ISBLANK(C402),"",W402)</f>
        <v/>
      </c>
      <c r="AP402" s="92" t="str">
        <f aca="false">IF(ISBLANK(C402),"",AJ402)</f>
        <v/>
      </c>
      <c r="AQ402" s="92" t="str">
        <f aca="false">IF(ISBLANK(C402),"",AI402)</f>
        <v/>
      </c>
      <c r="AR402" s="93" t="str">
        <f aca="false">IF(ISBLANK(C402),
  "",
IF(AQ402=Constants!$B$11,COUNTA($C$8:$C$507)+2,IF(AQ402=Constants!$B$12,COUNTA($C$8:$C$507)+1,IF(AQ402=Constants!$B$13,COUNTA($C$8:$C$507),AQ402))))</f>
        <v/>
      </c>
      <c r="AS402" s="3"/>
      <c r="AT402" s="94" t="n">
        <f aca="false">IF(OR(ISNUMBER(AQ402),AQ402="DQ",AQ402="P",AQ402="NS"),
    1,
    0
)</f>
        <v>0</v>
      </c>
      <c r="AU402" s="94" t="n">
        <v>395</v>
      </c>
      <c r="AV402" s="94" t="str">
        <f aca="false">IF(ISBLANK($C402),
    "",
   IF(ISNUMBER(AR402),AR402+ROW($B402)/1000,"")
)</f>
        <v/>
      </c>
      <c r="AW402" s="94" t="str">
        <f aca="false">IF(ISNUMBER(AV402), RANK(AV402,AV$8:AV$507,1), "")</f>
        <v/>
      </c>
      <c r="AX402" s="94" t="str">
        <f aca="false">IF(ISBLANK($C402),
    "",
    $B402
)</f>
        <v/>
      </c>
      <c r="AY402" s="94" t="str">
        <f aca="false">IF(ISBLANK($C402),
    "",
    $C402
)</f>
        <v/>
      </c>
      <c r="AZ402" s="94" t="str">
        <f aca="false">IF(ISBLANK($C402),
    "",
    $D402
)</f>
        <v/>
      </c>
      <c r="BA402" s="94" t="str">
        <f aca="false">AO402</f>
        <v/>
      </c>
      <c r="BB402" s="95" t="str">
        <f aca="false">AN402</f>
        <v/>
      </c>
      <c r="BC402" s="94" t="str">
        <f aca="false">IF(ISBLANK($C402),
    "",
    AQ402
)</f>
        <v/>
      </c>
      <c r="BD402" s="96" t="str">
        <f aca="false">IF(AU402&gt;AT$7,
    "",
    VLOOKUP(AU402,AW$8:BC$507,7,FALSE())
)</f>
        <v/>
      </c>
      <c r="BE402" s="97" t="str">
        <f aca="false">IF(AU402&gt;AT$7,
    "",
    VLOOKUP(AU402,AW$8:BC$507,2,FALSE())
)</f>
        <v/>
      </c>
      <c r="BF402" s="97" t="str">
        <f aca="false">IF(AU402&gt;AT$7,
    "",
    VLOOKUP(AU402,AW$8:BC$507,3,FALSE())
)</f>
        <v/>
      </c>
      <c r="BG402" s="97" t="str">
        <f aca="false">IF(AU402&gt;AT$7,
    "",
    VLOOKUP(AU402,AW$8:BC$507,4,FALSE())
)</f>
        <v/>
      </c>
      <c r="BH402" s="97" t="str">
        <f aca="false">IF(AU402&gt;AT$7,
    "",
    VLOOKUP(AU402,AW$8:BC$507,5,FALSE())
)</f>
        <v/>
      </c>
      <c r="BI402" s="98" t="str">
        <f aca="false">IF(AU402&gt;AT$7,
    "",
    VLOOKUP(AU402,AW$8:BC$507,6,FALSE())
)</f>
        <v/>
      </c>
      <c r="BJ402" s="46"/>
    </row>
    <row r="403" customFormat="false" ht="15.75" hidden="false" customHeight="false" outlineLevel="0" collapsed="false">
      <c r="A403" s="3"/>
      <c r="B403" s="105"/>
      <c r="C403" s="106"/>
      <c r="D403" s="99"/>
      <c r="E403" s="110"/>
      <c r="F403" s="107"/>
      <c r="G403" s="110"/>
      <c r="H403" s="103"/>
      <c r="I403" s="102"/>
      <c r="J403" s="103"/>
      <c r="K403" s="103"/>
      <c r="L403" s="85"/>
      <c r="M403" s="85" t="str">
        <f aca="false">IF(ISBLANK($C403),"",IF(ISBLANK(E403),0,E403))</f>
        <v/>
      </c>
      <c r="N403" s="85" t="str">
        <f aca="false">IF(ISBLANK($C403),"",IF(ISBLANK(F403),0,F403))</f>
        <v/>
      </c>
      <c r="O403" s="86" t="e">
        <f aca="false">IF(AND(NOT(ISBLANK($C403)),NOT($T403),COUNTA($E403:$K403)&gt;0),ISBLANK($F403),FALSE())</f>
        <v>#VALUE!</v>
      </c>
      <c r="P403" s="85" t="str">
        <f aca="false">IF(ISBLANK($C403),"",IF(G403=Constants!$B$9, TRUE(), IF(G403=Constants!$B$10, FALSE(), TRUE())))</f>
        <v/>
      </c>
      <c r="Q403" s="85" t="str">
        <f aca="false">IF(ISBLANK($C403),"",IF(H403=Constants!$B$9, TRUE(), IF(H403=Constants!$B$10, FALSE(), TRUE())))</f>
        <v/>
      </c>
      <c r="R403" s="85" t="str">
        <f aca="false">IF(ISBLANK($C403),"",IF(ISBLANK(I403),Constants!$B$3,I403))</f>
        <v/>
      </c>
      <c r="S403" s="85" t="str">
        <f aca="false">IF(ISBLANK($C403),"",IF(ISBLANK(J403),0,MIN(J403,Constants!$B$6)))</f>
        <v/>
      </c>
      <c r="T403" s="85" t="str">
        <f aca="false">IF(ISBLANK($C403),"",IF(K403=Constants!$B$9, TRUE(), IF(K403=Constants!$B$10, FALSE(),  FALSE())))</f>
        <v/>
      </c>
      <c r="U403" s="85" t="str">
        <f aca="false">IF(ISBLANK($C403),"",AND(R403=Constants!$B$4, S403&lt;Constants!$B$6))</f>
        <v/>
      </c>
      <c r="V403" s="85" t="str">
        <f aca="false">IF(ISBLANK(C403), "", IF(T403, Constants!$B$11, IF(COUNTA(E403:K403)=0, Constants!$B$12, IF(NOT(AND(P403,S403&lt;&gt;0)), Constants!$B$13, IF(O403, Constants!$B$15, Constants!$B$14)))))</f>
        <v/>
      </c>
      <c r="W403" s="85" t="str">
        <f aca="false">IF(OR(ISBLANK($C403), SUMPRODUCT(--(P403:T403&lt;&gt;""))=0), "", IF(V403&lt;&gt;Constants!$B$14, V403, IF(AND(NOT(ISBLANK(J403)),P403,Q403,R403&lt;&gt;Constants!$B$2), Constants!$B$7, IF(AND(P403,OR(NOT(Q403),R403=Constants!$B$2)), Constants!$B$8, "Error"))))</f>
        <v/>
      </c>
      <c r="X403" s="87" t="str">
        <f aca="false">IF(OR(W403=Constants!$B$7,W403=Constants!$B$8), MAX(0, MIN(Constants!$B$6, S403))+IF(AND(R403=Constants!$B$4, NOT(U403)), Constants!$B$5, 0), "")</f>
        <v/>
      </c>
      <c r="Y403" s="85" t="str">
        <f aca="false">IF(ISBLANK($C403),"",IF(AND(ISNUMBER(X403),N403&gt;0),X403/N403, "") )</f>
        <v/>
      </c>
      <c r="Z403" s="85" t="str">
        <f aca="false">IF(AND(NOT(ISBLANK($C403)), W403=Constants!$B$7), Y403, "")</f>
        <v/>
      </c>
      <c r="AA403" s="85" t="str">
        <f aca="false">IF(ISNUMBER(Z403), RANK(Z403,Z$8:Z$507), "")</f>
        <v/>
      </c>
      <c r="AB403" s="85" t="str">
        <f aca="false">IF(AND(NOT(ISBLANK($C403)), W403=Constants!$B$8), Y403, "")</f>
        <v/>
      </c>
      <c r="AC403" s="85" t="str">
        <f aca="false">IF(ISNUMBER(AB403), RANK(AB403,AB$8:AB$507), "")</f>
        <v/>
      </c>
      <c r="AD403" s="85" t="str">
        <f aca="false">IF(ISBLANK($C403),"",IF(V403&lt;&gt;Constants!$B$14, V403, IF(W403=Constants!$B$7, AA403, IF(W403=Constants!$B$8, COUNT($AA$8:$AA$507) + AC403, ""))))</f>
        <v/>
      </c>
      <c r="AE403" s="85" t="str">
        <f aca="false">N403</f>
        <v/>
      </c>
      <c r="AF403" s="85" t="str">
        <f aca="false">IF(ISNUMBER(AE403), RANK(AE403,AE$8:AE$507,1), "")</f>
        <v/>
      </c>
      <c r="AG403" s="88" t="str">
        <f aca="false">IF(ISBLANK(C403), "", ABS(M403-S403))</f>
        <v/>
      </c>
      <c r="AH403" s="85" t="str">
        <f aca="false">IF(ISNUMBER(AG403), RANK(AG403,AG$8:AG$507,1), "")</f>
        <v/>
      </c>
      <c r="AI403" s="85" t="str">
        <f aca="false">IF(ISBLANK(C403),"",IF(V403&lt;&gt;Constants!$B$14, V403, RANK(AD403, AD$8:AD$507, 1)+ SUMPRODUCT(--(AD$8:AD$507=AD403),--(AF403&gt;AF$8:AF$507)) + SUMPRODUCT(--(AD$8:AD$507=AD403),--(AF403=AF$8:AF$507),--(AH403&gt;AH$8:AH$507))))</f>
        <v/>
      </c>
      <c r="AJ403" s="85" t="str">
        <f aca="false">IF(ISBLANK(C403),"",IF(V403&lt;&gt;Constants!$B$14, V403, AD403-AI403))</f>
        <v/>
      </c>
      <c r="AK403" s="89"/>
      <c r="AL403" s="90" t="str">
        <f aca="false">IF(ISBLANK($C403),"",IF($V403&lt;&gt;Constants!$B$14,$V403,X403))</f>
        <v/>
      </c>
      <c r="AM403" s="90" t="str">
        <f aca="false">IF(ISBLANK($C403),"",IF($V403&lt;&gt;Constants!$B$14,$V403,N403))</f>
        <v/>
      </c>
      <c r="AN403" s="91" t="str">
        <f aca="false">IF(ISBLANK(C403),"",IF(V403&lt;&gt;Constants!$B$14, V403, IF(W403=Constants!$B$7,Z403,IF(W403=Constants!$B$8,AB403,""))))</f>
        <v/>
      </c>
      <c r="AO403" s="92" t="str">
        <f aca="false">IF(ISBLANK(C403),"",W403)</f>
        <v/>
      </c>
      <c r="AP403" s="92" t="str">
        <f aca="false">IF(ISBLANK(C403),"",AJ403)</f>
        <v/>
      </c>
      <c r="AQ403" s="92" t="str">
        <f aca="false">IF(ISBLANK(C403),"",AI403)</f>
        <v/>
      </c>
      <c r="AR403" s="93" t="str">
        <f aca="false">IF(ISBLANK(C403),
  "",
IF(AQ403=Constants!$B$11,COUNTA($C$8:$C$507)+2,IF(AQ403=Constants!$B$12,COUNTA($C$8:$C$507)+1,IF(AQ403=Constants!$B$13,COUNTA($C$8:$C$507),AQ403))))</f>
        <v/>
      </c>
      <c r="AS403" s="3"/>
      <c r="AT403" s="94" t="n">
        <f aca="false">IF(OR(ISNUMBER(AQ403),AQ403="DQ",AQ403="P",AQ403="NS"),
    1,
    0
)</f>
        <v>0</v>
      </c>
      <c r="AU403" s="94" t="n">
        <v>396</v>
      </c>
      <c r="AV403" s="94" t="str">
        <f aca="false">IF(ISBLANK($C403),
    "",
   IF(ISNUMBER(AR403),AR403+ROW($B403)/1000,"")
)</f>
        <v/>
      </c>
      <c r="AW403" s="94" t="str">
        <f aca="false">IF(ISNUMBER(AV403), RANK(AV403,AV$8:AV$507,1), "")</f>
        <v/>
      </c>
      <c r="AX403" s="94" t="str">
        <f aca="false">IF(ISBLANK($C403),
    "",
    $B403
)</f>
        <v/>
      </c>
      <c r="AY403" s="94" t="str">
        <f aca="false">IF(ISBLANK($C403),
    "",
    $C403
)</f>
        <v/>
      </c>
      <c r="AZ403" s="94" t="str">
        <f aca="false">IF(ISBLANK($C403),
    "",
    $D403
)</f>
        <v/>
      </c>
      <c r="BA403" s="94" t="str">
        <f aca="false">AO403</f>
        <v/>
      </c>
      <c r="BB403" s="95" t="str">
        <f aca="false">AN403</f>
        <v/>
      </c>
      <c r="BC403" s="94" t="str">
        <f aca="false">IF(ISBLANK($C403),
    "",
    AQ403
)</f>
        <v/>
      </c>
      <c r="BD403" s="96" t="str">
        <f aca="false">IF(AU403&gt;AT$7,
    "",
    VLOOKUP(AU403,AW$8:BC$507,7,FALSE())
)</f>
        <v/>
      </c>
      <c r="BE403" s="97" t="str">
        <f aca="false">IF(AU403&gt;AT$7,
    "",
    VLOOKUP(AU403,AW$8:BC$507,2,FALSE())
)</f>
        <v/>
      </c>
      <c r="BF403" s="97" t="str">
        <f aca="false">IF(AU403&gt;AT$7,
    "",
    VLOOKUP(AU403,AW$8:BC$507,3,FALSE())
)</f>
        <v/>
      </c>
      <c r="BG403" s="97" t="str">
        <f aca="false">IF(AU403&gt;AT$7,
    "",
    VLOOKUP(AU403,AW$8:BC$507,4,FALSE())
)</f>
        <v/>
      </c>
      <c r="BH403" s="97" t="str">
        <f aca="false">IF(AU403&gt;AT$7,
    "",
    VLOOKUP(AU403,AW$8:BC$507,5,FALSE())
)</f>
        <v/>
      </c>
      <c r="BI403" s="98" t="str">
        <f aca="false">IF(AU403&gt;AT$7,
    "",
    VLOOKUP(AU403,AW$8:BC$507,6,FALSE())
)</f>
        <v/>
      </c>
      <c r="BJ403" s="46"/>
    </row>
    <row r="404" customFormat="false" ht="15.75" hidden="false" customHeight="false" outlineLevel="0" collapsed="false">
      <c r="A404" s="3"/>
      <c r="B404" s="108"/>
      <c r="C404" s="70"/>
      <c r="D404" s="49"/>
      <c r="E404" s="109"/>
      <c r="F404" s="72"/>
      <c r="G404" s="109"/>
      <c r="H404" s="74"/>
      <c r="I404" s="104"/>
      <c r="J404" s="74"/>
      <c r="K404" s="74"/>
      <c r="L404" s="55"/>
      <c r="M404" s="55" t="str">
        <f aca="false">IF(ISBLANK($C404),"",IF(ISBLANK(E404),0,E404))</f>
        <v/>
      </c>
      <c r="N404" s="55" t="str">
        <f aca="false">IF(ISBLANK($C404),"",IF(ISBLANK(F404),0,F404))</f>
        <v/>
      </c>
      <c r="O404" s="55" t="e">
        <f aca="false">IF(AND(NOT(ISBLANK($C404)),NOT($T404),COUNTA($E404:$K404)&gt;0),ISBLANK($F404),FALSE())</f>
        <v>#VALUE!</v>
      </c>
      <c r="P404" s="55" t="str">
        <f aca="false">IF(ISBLANK($C404),"",IF(G404=Constants!$B$9, TRUE(), IF(G404=Constants!$B$10, FALSE(), TRUE())))</f>
        <v/>
      </c>
      <c r="Q404" s="55" t="str">
        <f aca="false">IF(ISBLANK($C404),"",IF(H404=Constants!$B$9, TRUE(), IF(H404=Constants!$B$10, FALSE(), TRUE())))</f>
        <v/>
      </c>
      <c r="R404" s="55" t="str">
        <f aca="false">IF(ISBLANK($C404),"",IF(ISBLANK(I404),Constants!$B$3,I404))</f>
        <v/>
      </c>
      <c r="S404" s="55" t="str">
        <f aca="false">IF(ISBLANK($C404),"",IF(ISBLANK(J404),0,MIN(J404,Constants!$B$6)))</f>
        <v/>
      </c>
      <c r="T404" s="55" t="str">
        <f aca="false">IF(ISBLANK($C404),"",IF(K404=Constants!$B$9, TRUE(), IF(K404=Constants!$B$10, FALSE(),  FALSE())))</f>
        <v/>
      </c>
      <c r="U404" s="55" t="str">
        <f aca="false">IF(ISBLANK($C404),"",AND(R404=Constants!$B$4, S404&lt;Constants!$B$6))</f>
        <v/>
      </c>
      <c r="V404" s="55" t="str">
        <f aca="false">IF(ISBLANK(C404), "", IF(T404, Constants!$B$11, IF(COUNTA(E404:K404)=0, Constants!$B$12, IF(NOT(AND(P404,S404&lt;&gt;0)), Constants!$B$13, IF(O404, Constants!$B$15, Constants!$B$14)))))</f>
        <v/>
      </c>
      <c r="W404" s="55" t="str">
        <f aca="false">IF(OR(ISBLANK($C404), SUMPRODUCT(--(P404:T404&lt;&gt;""))=0), "", IF(V404&lt;&gt;Constants!$B$14, V404, IF(AND(NOT(ISBLANK(J404)),P404,Q404,R404&lt;&gt;Constants!$B$2), Constants!$B$7, IF(AND(P404,OR(NOT(Q404),R404=Constants!$B$2)), Constants!$B$8, "Error"))))</f>
        <v/>
      </c>
      <c r="X404" s="56" t="str">
        <f aca="false">IF(OR(W404=Constants!$B$7,W404=Constants!$B$8), MAX(0, MIN(Constants!$B$6, S404))+IF(AND(R404=Constants!$B$4, NOT(U404)), Constants!$B$5, 0), "")</f>
        <v/>
      </c>
      <c r="Y404" s="55" t="str">
        <f aca="false">IF(ISBLANK($C404),"",IF(AND(ISNUMBER(X404),N404&gt;0),X404/N404, "") )</f>
        <v/>
      </c>
      <c r="Z404" s="55" t="str">
        <f aca="false">IF(AND(NOT(ISBLANK($C404)), W404=Constants!$B$7), Y404, "")</f>
        <v/>
      </c>
      <c r="AA404" s="55" t="str">
        <f aca="false">IF(ISNUMBER(Z404), RANK(Z404,Z$8:Z$507), "")</f>
        <v/>
      </c>
      <c r="AB404" s="55" t="str">
        <f aca="false">IF(AND(NOT(ISBLANK($C404)), W404=Constants!$B$8), Y404, "")</f>
        <v/>
      </c>
      <c r="AC404" s="55" t="str">
        <f aca="false">IF(ISNUMBER(AB404), RANK(AB404,AB$8:AB$507), "")</f>
        <v/>
      </c>
      <c r="AD404" s="55" t="str">
        <f aca="false">IF(ISBLANK($C404),"",IF(V404&lt;&gt;Constants!$B$14, V404, IF(W404=Constants!$B$7, AA404, IF(W404=Constants!$B$8, COUNT($AA$8:$AA$507) + AC404, ""))))</f>
        <v/>
      </c>
      <c r="AE404" s="55" t="str">
        <f aca="false">N404</f>
        <v/>
      </c>
      <c r="AF404" s="55" t="str">
        <f aca="false">IF(ISNUMBER(AE404), RANK(AE404,AE$8:AE$507,1), "")</f>
        <v/>
      </c>
      <c r="AG404" s="57" t="str">
        <f aca="false">IF(ISBLANK(C404), "", ABS(M404-S404))</f>
        <v/>
      </c>
      <c r="AH404" s="55" t="str">
        <f aca="false">IF(ISNUMBER(AG404), RANK(AG404,AG$8:AG$507,1), "")</f>
        <v/>
      </c>
      <c r="AI404" s="55" t="str">
        <f aca="false">IF(ISBLANK(C404),"",IF(V404&lt;&gt;Constants!$B$14, V404, RANK(AD404, AD$8:AD$507, 1)+ SUMPRODUCT(--(AD$8:AD$507=AD404),--(AF404&gt;AF$8:AF$507)) + SUMPRODUCT(--(AD$8:AD$507=AD404),--(AF404=AF$8:AF$507),--(AH404&gt;AH$8:AH$507))))</f>
        <v/>
      </c>
      <c r="AJ404" s="55" t="str">
        <f aca="false">IF(ISBLANK(C404),"",IF(V404&lt;&gt;Constants!$B$14, V404, AD404-AI404))</f>
        <v/>
      </c>
      <c r="AK404" s="59"/>
      <c r="AL404" s="60" t="str">
        <f aca="false">IF(ISBLANK($C404),"",IF($V404&lt;&gt;Constants!$B$14,$V404,X404))</f>
        <v/>
      </c>
      <c r="AM404" s="60" t="str">
        <f aca="false">IF(ISBLANK($C404),"",IF($V404&lt;&gt;Constants!$B$14,$V404,N404))</f>
        <v/>
      </c>
      <c r="AN404" s="62" t="str">
        <f aca="false">IF(ISBLANK(C404),"",IF(V404&lt;&gt;Constants!$B$14, V404, IF(W404=Constants!$B$7,Z404,IF(W404=Constants!$B$8,AB404,""))))</f>
        <v/>
      </c>
      <c r="AO404" s="63" t="str">
        <f aca="false">IF(ISBLANK(C404),"",W404)</f>
        <v/>
      </c>
      <c r="AP404" s="63" t="str">
        <f aca="false">IF(ISBLANK(C404),"",AJ404)</f>
        <v/>
      </c>
      <c r="AQ404" s="63" t="str">
        <f aca="false">IF(ISBLANK(C404),"",AI404)</f>
        <v/>
      </c>
      <c r="AR404" s="64" t="str">
        <f aca="false">IF(ISBLANK(C404),
  "",
IF(AQ404=Constants!$B$11,COUNTA($C$8:$C$507)+2,IF(AQ404=Constants!$B$12,COUNTA($C$8:$C$507)+1,IF(AQ404=Constants!$B$13,COUNTA($C$8:$C$507),AQ404))))</f>
        <v/>
      </c>
      <c r="AS404" s="3"/>
      <c r="AT404" s="65" t="n">
        <f aca="false">IF(OR(ISNUMBER(AQ404),AQ404="DQ",AQ404="P",AQ404="NS"),
    1,
    0
)</f>
        <v>0</v>
      </c>
      <c r="AU404" s="65" t="n">
        <v>397</v>
      </c>
      <c r="AV404" s="65" t="str">
        <f aca="false">IF(ISBLANK($C404),
    "",
   IF(ISNUMBER(AR404),AR404+ROW($B404)/1000,"")
)</f>
        <v/>
      </c>
      <c r="AW404" s="65" t="str">
        <f aca="false">IF(ISNUMBER(AV404), RANK(AV404,AV$8:AV$507,1), "")</f>
        <v/>
      </c>
      <c r="AX404" s="65" t="str">
        <f aca="false">IF(ISBLANK($C404),
    "",
    $B404
)</f>
        <v/>
      </c>
      <c r="AY404" s="65" t="str">
        <f aca="false">IF(ISBLANK($C404),
    "",
    $C404
)</f>
        <v/>
      </c>
      <c r="AZ404" s="65" t="str">
        <f aca="false">IF(ISBLANK($C404),
    "",
    $D404
)</f>
        <v/>
      </c>
      <c r="BA404" s="65" t="str">
        <f aca="false">AO404</f>
        <v/>
      </c>
      <c r="BB404" s="66" t="str">
        <f aca="false">AN404</f>
        <v/>
      </c>
      <c r="BC404" s="65" t="str">
        <f aca="false">IF(ISBLANK($C404),
    "",
    AQ404
)</f>
        <v/>
      </c>
      <c r="BD404" s="67" t="str">
        <f aca="false">IF(AU404&gt;AT$7,
    "",
    VLOOKUP(AU404,AW$8:BC$507,7,FALSE())
)</f>
        <v/>
      </c>
      <c r="BE404" s="68" t="str">
        <f aca="false">IF(AU404&gt;AT$7,
    "",
    VLOOKUP(AU404,AW$8:BC$507,2,FALSE())
)</f>
        <v/>
      </c>
      <c r="BF404" s="68" t="str">
        <f aca="false">IF(AU404&gt;AT$7,
    "",
    VLOOKUP(AU404,AW$8:BC$507,3,FALSE())
)</f>
        <v/>
      </c>
      <c r="BG404" s="68" t="str">
        <f aca="false">IF(AU404&gt;AT$7,
    "",
    VLOOKUP(AU404,AW$8:BC$507,4,FALSE())
)</f>
        <v/>
      </c>
      <c r="BH404" s="68" t="str">
        <f aca="false">IF(AU404&gt;AT$7,
    "",
    VLOOKUP(AU404,AW$8:BC$507,5,FALSE())
)</f>
        <v/>
      </c>
      <c r="BI404" s="69" t="str">
        <f aca="false">IF(AU404&gt;AT$7,
    "",
    VLOOKUP(AU404,AW$8:BC$507,6,FALSE())
)</f>
        <v/>
      </c>
      <c r="BJ404" s="46"/>
    </row>
    <row r="405" customFormat="false" ht="15.75" hidden="false" customHeight="false" outlineLevel="0" collapsed="false">
      <c r="A405" s="3"/>
      <c r="B405" s="108"/>
      <c r="C405" s="70"/>
      <c r="D405" s="49"/>
      <c r="E405" s="109"/>
      <c r="F405" s="72"/>
      <c r="G405" s="109"/>
      <c r="H405" s="74"/>
      <c r="I405" s="104"/>
      <c r="J405" s="74"/>
      <c r="K405" s="74"/>
      <c r="L405" s="55"/>
      <c r="M405" s="55" t="str">
        <f aca="false">IF(ISBLANK($C405),"",IF(ISBLANK(E405),0,E405))</f>
        <v/>
      </c>
      <c r="N405" s="55" t="str">
        <f aca="false">IF(ISBLANK($C405),"",IF(ISBLANK(F405),0,F405))</f>
        <v/>
      </c>
      <c r="O405" s="55" t="e">
        <f aca="false">IF(AND(NOT(ISBLANK($C405)),NOT($T405),COUNTA($E405:$K405)&gt;0),ISBLANK($F405),FALSE())</f>
        <v>#VALUE!</v>
      </c>
      <c r="P405" s="55" t="str">
        <f aca="false">IF(ISBLANK($C405),"",IF(G405=Constants!$B$9, TRUE(), IF(G405=Constants!$B$10, FALSE(), TRUE())))</f>
        <v/>
      </c>
      <c r="Q405" s="55" t="str">
        <f aca="false">IF(ISBLANK($C405),"",IF(H405=Constants!$B$9, TRUE(), IF(H405=Constants!$B$10, FALSE(), TRUE())))</f>
        <v/>
      </c>
      <c r="R405" s="55" t="str">
        <f aca="false">IF(ISBLANK($C405),"",IF(ISBLANK(I405),Constants!$B$3,I405))</f>
        <v/>
      </c>
      <c r="S405" s="55" t="str">
        <f aca="false">IF(ISBLANK($C405),"",IF(ISBLANK(J405),0,MIN(J405,Constants!$B$6)))</f>
        <v/>
      </c>
      <c r="T405" s="55" t="str">
        <f aca="false">IF(ISBLANK($C405),"",IF(K405=Constants!$B$9, TRUE(), IF(K405=Constants!$B$10, FALSE(),  FALSE())))</f>
        <v/>
      </c>
      <c r="U405" s="55" t="str">
        <f aca="false">IF(ISBLANK($C405),"",AND(R405=Constants!$B$4, S405&lt;Constants!$B$6))</f>
        <v/>
      </c>
      <c r="V405" s="55" t="str">
        <f aca="false">IF(ISBLANK(C405), "", IF(T405, Constants!$B$11, IF(COUNTA(E405:K405)=0, Constants!$B$12, IF(NOT(AND(P405,S405&lt;&gt;0)), Constants!$B$13, IF(O405, Constants!$B$15, Constants!$B$14)))))</f>
        <v/>
      </c>
      <c r="W405" s="55" t="str">
        <f aca="false">IF(OR(ISBLANK($C405), SUMPRODUCT(--(P405:T405&lt;&gt;""))=0), "", IF(V405&lt;&gt;Constants!$B$14, V405, IF(AND(NOT(ISBLANK(J405)),P405,Q405,R405&lt;&gt;Constants!$B$2), Constants!$B$7, IF(AND(P405,OR(NOT(Q405),R405=Constants!$B$2)), Constants!$B$8, "Error"))))</f>
        <v/>
      </c>
      <c r="X405" s="56" t="str">
        <f aca="false">IF(OR(W405=Constants!$B$7,W405=Constants!$B$8), MAX(0, MIN(Constants!$B$6, S405))+IF(AND(R405=Constants!$B$4, NOT(U405)), Constants!$B$5, 0), "")</f>
        <v/>
      </c>
      <c r="Y405" s="55" t="str">
        <f aca="false">IF(ISBLANK($C405),"",IF(AND(ISNUMBER(X405),N405&gt;0),X405/N405, "") )</f>
        <v/>
      </c>
      <c r="Z405" s="55" t="str">
        <f aca="false">IF(AND(NOT(ISBLANK($C405)), W405=Constants!$B$7), Y405, "")</f>
        <v/>
      </c>
      <c r="AA405" s="55" t="str">
        <f aca="false">IF(ISNUMBER(Z405), RANK(Z405,Z$8:Z$507), "")</f>
        <v/>
      </c>
      <c r="AB405" s="55" t="str">
        <f aca="false">IF(AND(NOT(ISBLANK($C405)), W405=Constants!$B$8), Y405, "")</f>
        <v/>
      </c>
      <c r="AC405" s="55" t="str">
        <f aca="false">IF(ISNUMBER(AB405), RANK(AB405,AB$8:AB$507), "")</f>
        <v/>
      </c>
      <c r="AD405" s="55" t="str">
        <f aca="false">IF(ISBLANK($C405),"",IF(V405&lt;&gt;Constants!$B$14, V405, IF(W405=Constants!$B$7, AA405, IF(W405=Constants!$B$8, COUNT($AA$8:$AA$507) + AC405, ""))))</f>
        <v/>
      </c>
      <c r="AE405" s="55" t="str">
        <f aca="false">N405</f>
        <v/>
      </c>
      <c r="AF405" s="55" t="str">
        <f aca="false">IF(ISNUMBER(AE405), RANK(AE405,AE$8:AE$507,1), "")</f>
        <v/>
      </c>
      <c r="AG405" s="57" t="str">
        <f aca="false">IF(ISBLANK(C405), "", ABS(M405-S405))</f>
        <v/>
      </c>
      <c r="AH405" s="55" t="str">
        <f aca="false">IF(ISNUMBER(AG405), RANK(AG405,AG$8:AG$507,1), "")</f>
        <v/>
      </c>
      <c r="AI405" s="55" t="str">
        <f aca="false">IF(ISBLANK(C405),"",IF(V405&lt;&gt;Constants!$B$14, V405, RANK(AD405, AD$8:AD$507, 1)+ SUMPRODUCT(--(AD$8:AD$507=AD405),--(AF405&gt;AF$8:AF$507)) + SUMPRODUCT(--(AD$8:AD$507=AD405),--(AF405=AF$8:AF$507),--(AH405&gt;AH$8:AH$507))))</f>
        <v/>
      </c>
      <c r="AJ405" s="55" t="str">
        <f aca="false">IF(ISBLANK(C405),"",IF(V405&lt;&gt;Constants!$B$14, V405, AD405-AI405))</f>
        <v/>
      </c>
      <c r="AK405" s="59"/>
      <c r="AL405" s="60" t="str">
        <f aca="false">IF(ISBLANK($C405),"",IF($V405&lt;&gt;Constants!$B$14,$V405,X405))</f>
        <v/>
      </c>
      <c r="AM405" s="60" t="str">
        <f aca="false">IF(ISBLANK($C405),"",IF($V405&lt;&gt;Constants!$B$14,$V405,N405))</f>
        <v/>
      </c>
      <c r="AN405" s="62" t="str">
        <f aca="false">IF(ISBLANK(C405),"",IF(V405&lt;&gt;Constants!$B$14, V405, IF(W405=Constants!$B$7,Z405,IF(W405=Constants!$B$8,AB405,""))))</f>
        <v/>
      </c>
      <c r="AO405" s="63" t="str">
        <f aca="false">IF(ISBLANK(C405),"",W405)</f>
        <v/>
      </c>
      <c r="AP405" s="63" t="str">
        <f aca="false">IF(ISBLANK(C405),"",AJ405)</f>
        <v/>
      </c>
      <c r="AQ405" s="63" t="str">
        <f aca="false">IF(ISBLANK(C405),"",AI405)</f>
        <v/>
      </c>
      <c r="AR405" s="64" t="str">
        <f aca="false">IF(ISBLANK(C405),
  "",
IF(AQ405=Constants!$B$11,COUNTA($C$8:$C$507)+2,IF(AQ405=Constants!$B$12,COUNTA($C$8:$C$507)+1,IF(AQ405=Constants!$B$13,COUNTA($C$8:$C$507),AQ405))))</f>
        <v/>
      </c>
      <c r="AS405" s="3"/>
      <c r="AT405" s="65" t="n">
        <f aca="false">IF(OR(ISNUMBER(AQ405),AQ405="DQ",AQ405="P",AQ405="NS"),
    1,
    0
)</f>
        <v>0</v>
      </c>
      <c r="AU405" s="65" t="n">
        <v>398</v>
      </c>
      <c r="AV405" s="65" t="str">
        <f aca="false">IF(ISBLANK($C405),
    "",
   IF(ISNUMBER(AR405),AR405+ROW($B405)/1000,"")
)</f>
        <v/>
      </c>
      <c r="AW405" s="65" t="str">
        <f aca="false">IF(ISNUMBER(AV405), RANK(AV405,AV$8:AV$507,1), "")</f>
        <v/>
      </c>
      <c r="AX405" s="65" t="str">
        <f aca="false">IF(ISBLANK($C405),
    "",
    $B405
)</f>
        <v/>
      </c>
      <c r="AY405" s="65" t="str">
        <f aca="false">IF(ISBLANK($C405),
    "",
    $C405
)</f>
        <v/>
      </c>
      <c r="AZ405" s="65" t="str">
        <f aca="false">IF(ISBLANK($C405),
    "",
    $D405
)</f>
        <v/>
      </c>
      <c r="BA405" s="65" t="str">
        <f aca="false">AO405</f>
        <v/>
      </c>
      <c r="BB405" s="66" t="str">
        <f aca="false">AN405</f>
        <v/>
      </c>
      <c r="BC405" s="65" t="str">
        <f aca="false">IF(ISBLANK($C405),
    "",
    AQ405
)</f>
        <v/>
      </c>
      <c r="BD405" s="67" t="str">
        <f aca="false">IF(AU405&gt;AT$7,
    "",
    VLOOKUP(AU405,AW$8:BC$507,7,FALSE())
)</f>
        <v/>
      </c>
      <c r="BE405" s="68" t="str">
        <f aca="false">IF(AU405&gt;AT$7,
    "",
    VLOOKUP(AU405,AW$8:BC$507,2,FALSE())
)</f>
        <v/>
      </c>
      <c r="BF405" s="68" t="str">
        <f aca="false">IF(AU405&gt;AT$7,
    "",
    VLOOKUP(AU405,AW$8:BC$507,3,FALSE())
)</f>
        <v/>
      </c>
      <c r="BG405" s="68" t="str">
        <f aca="false">IF(AU405&gt;AT$7,
    "",
    VLOOKUP(AU405,AW$8:BC$507,4,FALSE())
)</f>
        <v/>
      </c>
      <c r="BH405" s="68" t="str">
        <f aca="false">IF(AU405&gt;AT$7,
    "",
    VLOOKUP(AU405,AW$8:BC$507,5,FALSE())
)</f>
        <v/>
      </c>
      <c r="BI405" s="69" t="str">
        <f aca="false">IF(AU405&gt;AT$7,
    "",
    VLOOKUP(AU405,AW$8:BC$507,6,FALSE())
)</f>
        <v/>
      </c>
      <c r="BJ405" s="46"/>
    </row>
    <row r="406" customFormat="false" ht="15.75" hidden="false" customHeight="false" outlineLevel="0" collapsed="false">
      <c r="A406" s="3"/>
      <c r="B406" s="108"/>
      <c r="C406" s="70"/>
      <c r="D406" s="49"/>
      <c r="E406" s="109"/>
      <c r="F406" s="72"/>
      <c r="G406" s="109"/>
      <c r="H406" s="74"/>
      <c r="I406" s="104"/>
      <c r="J406" s="74"/>
      <c r="K406" s="74"/>
      <c r="L406" s="55"/>
      <c r="M406" s="55" t="str">
        <f aca="false">IF(ISBLANK($C406),"",IF(ISBLANK(E406),0,E406))</f>
        <v/>
      </c>
      <c r="N406" s="55" t="str">
        <f aca="false">IF(ISBLANK($C406),"",IF(ISBLANK(F406),0,F406))</f>
        <v/>
      </c>
      <c r="O406" s="55" t="e">
        <f aca="false">IF(AND(NOT(ISBLANK($C406)),NOT($T406),COUNTA($E406:$K406)&gt;0),ISBLANK($F406),FALSE())</f>
        <v>#VALUE!</v>
      </c>
      <c r="P406" s="55" t="str">
        <f aca="false">IF(ISBLANK($C406),"",IF(G406=Constants!$B$9, TRUE(), IF(G406=Constants!$B$10, FALSE(), TRUE())))</f>
        <v/>
      </c>
      <c r="Q406" s="55" t="str">
        <f aca="false">IF(ISBLANK($C406),"",IF(H406=Constants!$B$9, TRUE(), IF(H406=Constants!$B$10, FALSE(), TRUE())))</f>
        <v/>
      </c>
      <c r="R406" s="55" t="str">
        <f aca="false">IF(ISBLANK($C406),"",IF(ISBLANK(I406),Constants!$B$3,I406))</f>
        <v/>
      </c>
      <c r="S406" s="55" t="str">
        <f aca="false">IF(ISBLANK($C406),"",IF(ISBLANK(J406),0,MIN(J406,Constants!$B$6)))</f>
        <v/>
      </c>
      <c r="T406" s="55" t="str">
        <f aca="false">IF(ISBLANK($C406),"",IF(K406=Constants!$B$9, TRUE(), IF(K406=Constants!$B$10, FALSE(),  FALSE())))</f>
        <v/>
      </c>
      <c r="U406" s="55" t="str">
        <f aca="false">IF(ISBLANK($C406),"",AND(R406=Constants!$B$4, S406&lt;Constants!$B$6))</f>
        <v/>
      </c>
      <c r="V406" s="55" t="str">
        <f aca="false">IF(ISBLANK(C406), "", IF(T406, Constants!$B$11, IF(COUNTA(E406:K406)=0, Constants!$B$12, IF(NOT(AND(P406,S406&lt;&gt;0)), Constants!$B$13, IF(O406, Constants!$B$15, Constants!$B$14)))))</f>
        <v/>
      </c>
      <c r="W406" s="55" t="str">
        <f aca="false">IF(OR(ISBLANK($C406), SUMPRODUCT(--(P406:T406&lt;&gt;""))=0), "", IF(V406&lt;&gt;Constants!$B$14, V406, IF(AND(NOT(ISBLANK(J406)),P406,Q406,R406&lt;&gt;Constants!$B$2), Constants!$B$7, IF(AND(P406,OR(NOT(Q406),R406=Constants!$B$2)), Constants!$B$8, "Error"))))</f>
        <v/>
      </c>
      <c r="X406" s="56" t="str">
        <f aca="false">IF(OR(W406=Constants!$B$7,W406=Constants!$B$8), MAX(0, MIN(Constants!$B$6, S406))+IF(AND(R406=Constants!$B$4, NOT(U406)), Constants!$B$5, 0), "")</f>
        <v/>
      </c>
      <c r="Y406" s="55" t="str">
        <f aca="false">IF(ISBLANK($C406),"",IF(AND(ISNUMBER(X406),N406&gt;0),X406/N406, "") )</f>
        <v/>
      </c>
      <c r="Z406" s="55" t="str">
        <f aca="false">IF(AND(NOT(ISBLANK($C406)), W406=Constants!$B$7), Y406, "")</f>
        <v/>
      </c>
      <c r="AA406" s="55" t="str">
        <f aca="false">IF(ISNUMBER(Z406), RANK(Z406,Z$8:Z$507), "")</f>
        <v/>
      </c>
      <c r="AB406" s="55" t="str">
        <f aca="false">IF(AND(NOT(ISBLANK($C406)), W406=Constants!$B$8), Y406, "")</f>
        <v/>
      </c>
      <c r="AC406" s="55" t="str">
        <f aca="false">IF(ISNUMBER(AB406), RANK(AB406,AB$8:AB$507), "")</f>
        <v/>
      </c>
      <c r="AD406" s="55" t="str">
        <f aca="false">IF(ISBLANK($C406),"",IF(V406&lt;&gt;Constants!$B$14, V406, IF(W406=Constants!$B$7, AA406, IF(W406=Constants!$B$8, COUNT($AA$8:$AA$507) + AC406, ""))))</f>
        <v/>
      </c>
      <c r="AE406" s="55" t="str">
        <f aca="false">N406</f>
        <v/>
      </c>
      <c r="AF406" s="55" t="str">
        <f aca="false">IF(ISNUMBER(AE406), RANK(AE406,AE$8:AE$507,1), "")</f>
        <v/>
      </c>
      <c r="AG406" s="57" t="str">
        <f aca="false">IF(ISBLANK(C406), "", ABS(M406-S406))</f>
        <v/>
      </c>
      <c r="AH406" s="55" t="str">
        <f aca="false">IF(ISNUMBER(AG406), RANK(AG406,AG$8:AG$507,1), "")</f>
        <v/>
      </c>
      <c r="AI406" s="55" t="str">
        <f aca="false">IF(ISBLANK(C406),"",IF(V406&lt;&gt;Constants!$B$14, V406, RANK(AD406, AD$8:AD$507, 1)+ SUMPRODUCT(--(AD$8:AD$507=AD406),--(AF406&gt;AF$8:AF$507)) + SUMPRODUCT(--(AD$8:AD$507=AD406),--(AF406=AF$8:AF$507),--(AH406&gt;AH$8:AH$507))))</f>
        <v/>
      </c>
      <c r="AJ406" s="55" t="str">
        <f aca="false">IF(ISBLANK(C406),"",IF(V406&lt;&gt;Constants!$B$14, V406, AD406-AI406))</f>
        <v/>
      </c>
      <c r="AK406" s="59"/>
      <c r="AL406" s="60" t="str">
        <f aca="false">IF(ISBLANK($C406),"",IF($V406&lt;&gt;Constants!$B$14,$V406,X406))</f>
        <v/>
      </c>
      <c r="AM406" s="60" t="str">
        <f aca="false">IF(ISBLANK($C406),"",IF($V406&lt;&gt;Constants!$B$14,$V406,N406))</f>
        <v/>
      </c>
      <c r="AN406" s="62" t="str">
        <f aca="false">IF(ISBLANK(C406),"",IF(V406&lt;&gt;Constants!$B$14, V406, IF(W406=Constants!$B$7,Z406,IF(W406=Constants!$B$8,AB406,""))))</f>
        <v/>
      </c>
      <c r="AO406" s="63" t="str">
        <f aca="false">IF(ISBLANK(C406),"",W406)</f>
        <v/>
      </c>
      <c r="AP406" s="63" t="str">
        <f aca="false">IF(ISBLANK(C406),"",AJ406)</f>
        <v/>
      </c>
      <c r="AQ406" s="63" t="str">
        <f aca="false">IF(ISBLANK(C406),"",AI406)</f>
        <v/>
      </c>
      <c r="AR406" s="64" t="str">
        <f aca="false">IF(ISBLANK(C406),
  "",
IF(AQ406=Constants!$B$11,COUNTA($C$8:$C$507)+2,IF(AQ406=Constants!$B$12,COUNTA($C$8:$C$507)+1,IF(AQ406=Constants!$B$13,COUNTA($C$8:$C$507),AQ406))))</f>
        <v/>
      </c>
      <c r="AS406" s="3"/>
      <c r="AT406" s="65" t="n">
        <f aca="false">IF(OR(ISNUMBER(AQ406),AQ406="DQ",AQ406="P",AQ406="NS"),
    1,
    0
)</f>
        <v>0</v>
      </c>
      <c r="AU406" s="65" t="n">
        <v>399</v>
      </c>
      <c r="AV406" s="65" t="str">
        <f aca="false">IF(ISBLANK($C406),
    "",
   IF(ISNUMBER(AR406),AR406+ROW($B406)/1000,"")
)</f>
        <v/>
      </c>
      <c r="AW406" s="65" t="str">
        <f aca="false">IF(ISNUMBER(AV406), RANK(AV406,AV$8:AV$507,1), "")</f>
        <v/>
      </c>
      <c r="AX406" s="65" t="str">
        <f aca="false">IF(ISBLANK($C406),
    "",
    $B406
)</f>
        <v/>
      </c>
      <c r="AY406" s="65" t="str">
        <f aca="false">IF(ISBLANK($C406),
    "",
    $C406
)</f>
        <v/>
      </c>
      <c r="AZ406" s="65" t="str">
        <f aca="false">IF(ISBLANK($C406),
    "",
    $D406
)</f>
        <v/>
      </c>
      <c r="BA406" s="65" t="str">
        <f aca="false">AO406</f>
        <v/>
      </c>
      <c r="BB406" s="66" t="str">
        <f aca="false">AN406</f>
        <v/>
      </c>
      <c r="BC406" s="65" t="str">
        <f aca="false">IF(ISBLANK($C406),
    "",
    AQ406
)</f>
        <v/>
      </c>
      <c r="BD406" s="67" t="str">
        <f aca="false">IF(AU406&gt;AT$7,
    "",
    VLOOKUP(AU406,AW$8:BC$507,7,FALSE())
)</f>
        <v/>
      </c>
      <c r="BE406" s="68" t="str">
        <f aca="false">IF(AU406&gt;AT$7,
    "",
    VLOOKUP(AU406,AW$8:BC$507,2,FALSE())
)</f>
        <v/>
      </c>
      <c r="BF406" s="68" t="str">
        <f aca="false">IF(AU406&gt;AT$7,
    "",
    VLOOKUP(AU406,AW$8:BC$507,3,FALSE())
)</f>
        <v/>
      </c>
      <c r="BG406" s="68" t="str">
        <f aca="false">IF(AU406&gt;AT$7,
    "",
    VLOOKUP(AU406,AW$8:BC$507,4,FALSE())
)</f>
        <v/>
      </c>
      <c r="BH406" s="68" t="str">
        <f aca="false">IF(AU406&gt;AT$7,
    "",
    VLOOKUP(AU406,AW$8:BC$507,5,FALSE())
)</f>
        <v/>
      </c>
      <c r="BI406" s="69" t="str">
        <f aca="false">IF(AU406&gt;AT$7,
    "",
    VLOOKUP(AU406,AW$8:BC$507,6,FALSE())
)</f>
        <v/>
      </c>
      <c r="BJ406" s="46"/>
    </row>
    <row r="407" customFormat="false" ht="15.75" hidden="false" customHeight="false" outlineLevel="0" collapsed="false">
      <c r="A407" s="3"/>
      <c r="B407" s="105"/>
      <c r="C407" s="106"/>
      <c r="D407" s="99"/>
      <c r="E407" s="110"/>
      <c r="F407" s="107"/>
      <c r="G407" s="110"/>
      <c r="H407" s="103"/>
      <c r="I407" s="102"/>
      <c r="J407" s="103"/>
      <c r="K407" s="103"/>
      <c r="L407" s="85"/>
      <c r="M407" s="85" t="str">
        <f aca="false">IF(ISBLANK($C407),"",IF(ISBLANK(E407),0,E407))</f>
        <v/>
      </c>
      <c r="N407" s="85" t="str">
        <f aca="false">IF(ISBLANK($C407),"",IF(ISBLANK(F407),0,F407))</f>
        <v/>
      </c>
      <c r="O407" s="86" t="e">
        <f aca="false">IF(AND(NOT(ISBLANK($C407)),NOT($T407),COUNTA($E407:$K407)&gt;0),ISBLANK($F407),FALSE())</f>
        <v>#VALUE!</v>
      </c>
      <c r="P407" s="85" t="str">
        <f aca="false">IF(ISBLANK($C407),"",IF(G407=Constants!$B$9, TRUE(), IF(G407=Constants!$B$10, FALSE(), TRUE())))</f>
        <v/>
      </c>
      <c r="Q407" s="85" t="str">
        <f aca="false">IF(ISBLANK($C407),"",IF(H407=Constants!$B$9, TRUE(), IF(H407=Constants!$B$10, FALSE(), TRUE())))</f>
        <v/>
      </c>
      <c r="R407" s="85" t="str">
        <f aca="false">IF(ISBLANK($C407),"",IF(ISBLANK(I407),Constants!$B$3,I407))</f>
        <v/>
      </c>
      <c r="S407" s="85" t="str">
        <f aca="false">IF(ISBLANK($C407),"",IF(ISBLANK(J407),0,MIN(J407,Constants!$B$6)))</f>
        <v/>
      </c>
      <c r="T407" s="85" t="str">
        <f aca="false">IF(ISBLANK($C407),"",IF(K407=Constants!$B$9, TRUE(), IF(K407=Constants!$B$10, FALSE(),  FALSE())))</f>
        <v/>
      </c>
      <c r="U407" s="85" t="str">
        <f aca="false">IF(ISBLANK($C407),"",AND(R407=Constants!$B$4, S407&lt;Constants!$B$6))</f>
        <v/>
      </c>
      <c r="V407" s="85" t="str">
        <f aca="false">IF(ISBLANK(C407), "", IF(T407, Constants!$B$11, IF(COUNTA(E407:K407)=0, Constants!$B$12, IF(NOT(AND(P407,S407&lt;&gt;0)), Constants!$B$13, IF(O407, Constants!$B$15, Constants!$B$14)))))</f>
        <v/>
      </c>
      <c r="W407" s="85" t="str">
        <f aca="false">IF(OR(ISBLANK($C407), SUMPRODUCT(--(P407:T407&lt;&gt;""))=0), "", IF(V407&lt;&gt;Constants!$B$14, V407, IF(AND(NOT(ISBLANK(J407)),P407,Q407,R407&lt;&gt;Constants!$B$2), Constants!$B$7, IF(AND(P407,OR(NOT(Q407),R407=Constants!$B$2)), Constants!$B$8, "Error"))))</f>
        <v/>
      </c>
      <c r="X407" s="87" t="str">
        <f aca="false">IF(OR(W407=Constants!$B$7,W407=Constants!$B$8), MAX(0, MIN(Constants!$B$6, S407))+IF(AND(R407=Constants!$B$4, NOT(U407)), Constants!$B$5, 0), "")</f>
        <v/>
      </c>
      <c r="Y407" s="85" t="str">
        <f aca="false">IF(ISBLANK($C407),"",IF(AND(ISNUMBER(X407),N407&gt;0),X407/N407, "") )</f>
        <v/>
      </c>
      <c r="Z407" s="85" t="str">
        <f aca="false">IF(AND(NOT(ISBLANK($C407)), W407=Constants!$B$7), Y407, "")</f>
        <v/>
      </c>
      <c r="AA407" s="85" t="str">
        <f aca="false">IF(ISNUMBER(Z407), RANK(Z407,Z$8:Z$507), "")</f>
        <v/>
      </c>
      <c r="AB407" s="85" t="str">
        <f aca="false">IF(AND(NOT(ISBLANK($C407)), W407=Constants!$B$8), Y407, "")</f>
        <v/>
      </c>
      <c r="AC407" s="85" t="str">
        <f aca="false">IF(ISNUMBER(AB407), RANK(AB407,AB$8:AB$507), "")</f>
        <v/>
      </c>
      <c r="AD407" s="85" t="str">
        <f aca="false">IF(ISBLANK($C407),"",IF(V407&lt;&gt;Constants!$B$14, V407, IF(W407=Constants!$B$7, AA407, IF(W407=Constants!$B$8, COUNT($AA$8:$AA$507) + AC407, ""))))</f>
        <v/>
      </c>
      <c r="AE407" s="85" t="str">
        <f aca="false">N407</f>
        <v/>
      </c>
      <c r="AF407" s="85" t="str">
        <f aca="false">IF(ISNUMBER(AE407), RANK(AE407,AE$8:AE$507,1), "")</f>
        <v/>
      </c>
      <c r="AG407" s="88" t="str">
        <f aca="false">IF(ISBLANK(C407), "", ABS(M407-S407))</f>
        <v/>
      </c>
      <c r="AH407" s="85" t="str">
        <f aca="false">IF(ISNUMBER(AG407), RANK(AG407,AG$8:AG$507,1), "")</f>
        <v/>
      </c>
      <c r="AI407" s="85" t="str">
        <f aca="false">IF(ISBLANK(C407),"",IF(V407&lt;&gt;Constants!$B$14, V407, RANK(AD407, AD$8:AD$507, 1)+ SUMPRODUCT(--(AD$8:AD$507=AD407),--(AF407&gt;AF$8:AF$507)) + SUMPRODUCT(--(AD$8:AD$507=AD407),--(AF407=AF$8:AF$507),--(AH407&gt;AH$8:AH$507))))</f>
        <v/>
      </c>
      <c r="AJ407" s="85" t="str">
        <f aca="false">IF(ISBLANK(C407),"",IF(V407&lt;&gt;Constants!$B$14, V407, AD407-AI407))</f>
        <v/>
      </c>
      <c r="AK407" s="89"/>
      <c r="AL407" s="90" t="str">
        <f aca="false">IF(ISBLANK($C407),"",IF($V407&lt;&gt;Constants!$B$14,$V407,X407))</f>
        <v/>
      </c>
      <c r="AM407" s="90" t="str">
        <f aca="false">IF(ISBLANK($C407),"",IF($V407&lt;&gt;Constants!$B$14,$V407,N407))</f>
        <v/>
      </c>
      <c r="AN407" s="91" t="str">
        <f aca="false">IF(ISBLANK(C407),"",IF(V407&lt;&gt;Constants!$B$14, V407, IF(W407=Constants!$B$7,Z407,IF(W407=Constants!$B$8,AB407,""))))</f>
        <v/>
      </c>
      <c r="AO407" s="92" t="str">
        <f aca="false">IF(ISBLANK(C407),"",W407)</f>
        <v/>
      </c>
      <c r="AP407" s="92" t="str">
        <f aca="false">IF(ISBLANK(C407),"",AJ407)</f>
        <v/>
      </c>
      <c r="AQ407" s="92" t="str">
        <f aca="false">IF(ISBLANK(C407),"",AI407)</f>
        <v/>
      </c>
      <c r="AR407" s="93" t="str">
        <f aca="false">IF(ISBLANK(C407),
  "",
IF(AQ407=Constants!$B$11,COUNTA($C$8:$C$507)+2,IF(AQ407=Constants!$B$12,COUNTA($C$8:$C$507)+1,IF(AQ407=Constants!$B$13,COUNTA($C$8:$C$507),AQ407))))</f>
        <v/>
      </c>
      <c r="AS407" s="3"/>
      <c r="AT407" s="94" t="n">
        <f aca="false">IF(OR(ISNUMBER(AQ407),AQ407="DQ",AQ407="P",AQ407="NS"),
    1,
    0
)</f>
        <v>0</v>
      </c>
      <c r="AU407" s="94" t="n">
        <v>400</v>
      </c>
      <c r="AV407" s="94" t="str">
        <f aca="false">IF(ISBLANK($C407),
    "",
   IF(ISNUMBER(AR407),AR407+ROW($B407)/1000,"")
)</f>
        <v/>
      </c>
      <c r="AW407" s="94" t="str">
        <f aca="false">IF(ISNUMBER(AV407), RANK(AV407,AV$8:AV$507,1), "")</f>
        <v/>
      </c>
      <c r="AX407" s="94" t="str">
        <f aca="false">IF(ISBLANK($C407),
    "",
    $B407
)</f>
        <v/>
      </c>
      <c r="AY407" s="94" t="str">
        <f aca="false">IF(ISBLANK($C407),
    "",
    $C407
)</f>
        <v/>
      </c>
      <c r="AZ407" s="94" t="str">
        <f aca="false">IF(ISBLANK($C407),
    "",
    $D407
)</f>
        <v/>
      </c>
      <c r="BA407" s="94" t="str">
        <f aca="false">AO407</f>
        <v/>
      </c>
      <c r="BB407" s="95" t="str">
        <f aca="false">AN407</f>
        <v/>
      </c>
      <c r="BC407" s="94" t="str">
        <f aca="false">IF(ISBLANK($C407),
    "",
    AQ407
)</f>
        <v/>
      </c>
      <c r="BD407" s="96" t="str">
        <f aca="false">IF(AU407&gt;AT$7,
    "",
    VLOOKUP(AU407,AW$8:BC$507,7,FALSE())
)</f>
        <v/>
      </c>
      <c r="BE407" s="97" t="str">
        <f aca="false">IF(AU407&gt;AT$7,
    "",
    VLOOKUP(AU407,AW$8:BC$507,2,FALSE())
)</f>
        <v/>
      </c>
      <c r="BF407" s="97" t="str">
        <f aca="false">IF(AU407&gt;AT$7,
    "",
    VLOOKUP(AU407,AW$8:BC$507,3,FALSE())
)</f>
        <v/>
      </c>
      <c r="BG407" s="97" t="str">
        <f aca="false">IF(AU407&gt;AT$7,
    "",
    VLOOKUP(AU407,AW$8:BC$507,4,FALSE())
)</f>
        <v/>
      </c>
      <c r="BH407" s="97" t="str">
        <f aca="false">IF(AU407&gt;AT$7,
    "",
    VLOOKUP(AU407,AW$8:BC$507,5,FALSE())
)</f>
        <v/>
      </c>
      <c r="BI407" s="98" t="str">
        <f aca="false">IF(AU407&gt;AT$7,
    "",
    VLOOKUP(AU407,AW$8:BC$507,6,FALSE())
)</f>
        <v/>
      </c>
      <c r="BJ407" s="46"/>
    </row>
    <row r="408" customFormat="false" ht="15.75" hidden="false" customHeight="false" outlineLevel="0" collapsed="false">
      <c r="A408" s="3"/>
      <c r="B408" s="105"/>
      <c r="C408" s="106"/>
      <c r="D408" s="99"/>
      <c r="E408" s="110"/>
      <c r="F408" s="107"/>
      <c r="G408" s="110"/>
      <c r="H408" s="103"/>
      <c r="I408" s="102"/>
      <c r="J408" s="103"/>
      <c r="K408" s="103"/>
      <c r="L408" s="85"/>
      <c r="M408" s="85" t="str">
        <f aca="false">IF(ISBLANK($C408),"",IF(ISBLANK(E408),0,E408))</f>
        <v/>
      </c>
      <c r="N408" s="85" t="str">
        <f aca="false">IF(ISBLANK($C408),"",IF(ISBLANK(F408),0,F408))</f>
        <v/>
      </c>
      <c r="O408" s="86" t="e">
        <f aca="false">IF(AND(NOT(ISBLANK($C408)),NOT($T408),COUNTA($E408:$K408)&gt;0),ISBLANK($F408),FALSE())</f>
        <v>#VALUE!</v>
      </c>
      <c r="P408" s="85" t="str">
        <f aca="false">IF(ISBLANK($C408),"",IF(G408=Constants!$B$9, TRUE(), IF(G408=Constants!$B$10, FALSE(), TRUE())))</f>
        <v/>
      </c>
      <c r="Q408" s="85" t="str">
        <f aca="false">IF(ISBLANK($C408),"",IF(H408=Constants!$B$9, TRUE(), IF(H408=Constants!$B$10, FALSE(), TRUE())))</f>
        <v/>
      </c>
      <c r="R408" s="85" t="str">
        <f aca="false">IF(ISBLANK($C408),"",IF(ISBLANK(I408),Constants!$B$3,I408))</f>
        <v/>
      </c>
      <c r="S408" s="85" t="str">
        <f aca="false">IF(ISBLANK($C408),"",IF(ISBLANK(J408),0,MIN(J408,Constants!$B$6)))</f>
        <v/>
      </c>
      <c r="T408" s="85" t="str">
        <f aca="false">IF(ISBLANK($C408),"",IF(K408=Constants!$B$9, TRUE(), IF(K408=Constants!$B$10, FALSE(),  FALSE())))</f>
        <v/>
      </c>
      <c r="U408" s="85" t="str">
        <f aca="false">IF(ISBLANK($C408),"",AND(R408=Constants!$B$4, S408&lt;Constants!$B$6))</f>
        <v/>
      </c>
      <c r="V408" s="85" t="str">
        <f aca="false">IF(ISBLANK(C408), "", IF(T408, Constants!$B$11, IF(COUNTA(E408:K408)=0, Constants!$B$12, IF(NOT(AND(P408,S408&lt;&gt;0)), Constants!$B$13, IF(O408, Constants!$B$15, Constants!$B$14)))))</f>
        <v/>
      </c>
      <c r="W408" s="85" t="str">
        <f aca="false">IF(OR(ISBLANK($C408), SUMPRODUCT(--(P408:T408&lt;&gt;""))=0), "", IF(V408&lt;&gt;Constants!$B$14, V408, IF(AND(NOT(ISBLANK(J408)),P408,Q408,R408&lt;&gt;Constants!$B$2), Constants!$B$7, IF(AND(P408,OR(NOT(Q408),R408=Constants!$B$2)), Constants!$B$8, "Error"))))</f>
        <v/>
      </c>
      <c r="X408" s="87" t="str">
        <f aca="false">IF(OR(W408=Constants!$B$7,W408=Constants!$B$8), MAX(0, MIN(Constants!$B$6, S408))+IF(AND(R408=Constants!$B$4, NOT(U408)), Constants!$B$5, 0), "")</f>
        <v/>
      </c>
      <c r="Y408" s="85" t="str">
        <f aca="false">IF(ISBLANK($C408),"",IF(AND(ISNUMBER(X408),N408&gt;0),X408/N408, "") )</f>
        <v/>
      </c>
      <c r="Z408" s="85" t="str">
        <f aca="false">IF(AND(NOT(ISBLANK($C408)), W408=Constants!$B$7), Y408, "")</f>
        <v/>
      </c>
      <c r="AA408" s="85" t="str">
        <f aca="false">IF(ISNUMBER(Z408), RANK(Z408,Z$8:Z$507), "")</f>
        <v/>
      </c>
      <c r="AB408" s="85" t="str">
        <f aca="false">IF(AND(NOT(ISBLANK($C408)), W408=Constants!$B$8), Y408, "")</f>
        <v/>
      </c>
      <c r="AC408" s="85" t="str">
        <f aca="false">IF(ISNUMBER(AB408), RANK(AB408,AB$8:AB$507), "")</f>
        <v/>
      </c>
      <c r="AD408" s="85" t="str">
        <f aca="false">IF(ISBLANK($C408),"",IF(V408&lt;&gt;Constants!$B$14, V408, IF(W408=Constants!$B$7, AA408, IF(W408=Constants!$B$8, COUNT($AA$8:$AA$507) + AC408, ""))))</f>
        <v/>
      </c>
      <c r="AE408" s="85" t="str">
        <f aca="false">N408</f>
        <v/>
      </c>
      <c r="AF408" s="85" t="str">
        <f aca="false">IF(ISNUMBER(AE408), RANK(AE408,AE$8:AE$507,1), "")</f>
        <v/>
      </c>
      <c r="AG408" s="88" t="str">
        <f aca="false">IF(ISBLANK(C408), "", ABS(M408-S408))</f>
        <v/>
      </c>
      <c r="AH408" s="85" t="str">
        <f aca="false">IF(ISNUMBER(AG408), RANK(AG408,AG$8:AG$507,1), "")</f>
        <v/>
      </c>
      <c r="AI408" s="85" t="str">
        <f aca="false">IF(ISBLANK(C408),"",IF(V408&lt;&gt;Constants!$B$14, V408, RANK(AD408, AD$8:AD$507, 1)+ SUMPRODUCT(--(AD$8:AD$507=AD408),--(AF408&gt;AF$8:AF$507)) + SUMPRODUCT(--(AD$8:AD$507=AD408),--(AF408=AF$8:AF$507),--(AH408&gt;AH$8:AH$507))))</f>
        <v/>
      </c>
      <c r="AJ408" s="85" t="str">
        <f aca="false">IF(ISBLANK(C408),"",IF(V408&lt;&gt;Constants!$B$14, V408, AD408-AI408))</f>
        <v/>
      </c>
      <c r="AK408" s="89"/>
      <c r="AL408" s="90" t="str">
        <f aca="false">IF(ISBLANK($C408),"",IF($V408&lt;&gt;Constants!$B$14,$V408,X408))</f>
        <v/>
      </c>
      <c r="AM408" s="90" t="str">
        <f aca="false">IF(ISBLANK($C408),"",IF($V408&lt;&gt;Constants!$B$14,$V408,N408))</f>
        <v/>
      </c>
      <c r="AN408" s="91" t="str">
        <f aca="false">IF(ISBLANK(C408),"",IF(V408&lt;&gt;Constants!$B$14, V408, IF(W408=Constants!$B$7,Z408,IF(W408=Constants!$B$8,AB408,""))))</f>
        <v/>
      </c>
      <c r="AO408" s="92" t="str">
        <f aca="false">IF(ISBLANK(C408),"",W408)</f>
        <v/>
      </c>
      <c r="AP408" s="92" t="str">
        <f aca="false">IF(ISBLANK(C408),"",AJ408)</f>
        <v/>
      </c>
      <c r="AQ408" s="92" t="str">
        <f aca="false">IF(ISBLANK(C408),"",AI408)</f>
        <v/>
      </c>
      <c r="AR408" s="93" t="str">
        <f aca="false">IF(ISBLANK(C408),
  "",
IF(AQ408=Constants!$B$11,COUNTA($C$8:$C$507)+2,IF(AQ408=Constants!$B$12,COUNTA($C$8:$C$507)+1,IF(AQ408=Constants!$B$13,COUNTA($C$8:$C$507),AQ408))))</f>
        <v/>
      </c>
      <c r="AS408" s="3"/>
      <c r="AT408" s="94" t="n">
        <f aca="false">IF(OR(ISNUMBER(AQ408),AQ408="DQ",AQ408="P",AQ408="NS"),
    1,
    0
)</f>
        <v>0</v>
      </c>
      <c r="AU408" s="94" t="n">
        <v>401</v>
      </c>
      <c r="AV408" s="94" t="str">
        <f aca="false">IF(ISBLANK($C408),
    "",
   IF(ISNUMBER(AR408),AR408+ROW($B408)/1000,"")
)</f>
        <v/>
      </c>
      <c r="AW408" s="94" t="str">
        <f aca="false">IF(ISNUMBER(AV408), RANK(AV408,AV$8:AV$507,1), "")</f>
        <v/>
      </c>
      <c r="AX408" s="94" t="str">
        <f aca="false">IF(ISBLANK($C408),
    "",
    $B408
)</f>
        <v/>
      </c>
      <c r="AY408" s="94" t="str">
        <f aca="false">IF(ISBLANK($C408),
    "",
    $C408
)</f>
        <v/>
      </c>
      <c r="AZ408" s="94" t="str">
        <f aca="false">IF(ISBLANK($C408),
    "",
    $D408
)</f>
        <v/>
      </c>
      <c r="BA408" s="94" t="str">
        <f aca="false">AO408</f>
        <v/>
      </c>
      <c r="BB408" s="95" t="str">
        <f aca="false">AN408</f>
        <v/>
      </c>
      <c r="BC408" s="94" t="str">
        <f aca="false">IF(ISBLANK($C408),
    "",
    AQ408
)</f>
        <v/>
      </c>
      <c r="BD408" s="96" t="str">
        <f aca="false">IF(AU408&gt;AT$7,
    "",
    VLOOKUP(AU408,AW$8:BC$507,7,FALSE())
)</f>
        <v/>
      </c>
      <c r="BE408" s="97" t="str">
        <f aca="false">IF(AU408&gt;AT$7,
    "",
    VLOOKUP(AU408,AW$8:BC$507,2,FALSE())
)</f>
        <v/>
      </c>
      <c r="BF408" s="97" t="str">
        <f aca="false">IF(AU408&gt;AT$7,
    "",
    VLOOKUP(AU408,AW$8:BC$507,3,FALSE())
)</f>
        <v/>
      </c>
      <c r="BG408" s="97" t="str">
        <f aca="false">IF(AU408&gt;AT$7,
    "",
    VLOOKUP(AU408,AW$8:BC$507,4,FALSE())
)</f>
        <v/>
      </c>
      <c r="BH408" s="97" t="str">
        <f aca="false">IF(AU408&gt;AT$7,
    "",
    VLOOKUP(AU408,AW$8:BC$507,5,FALSE())
)</f>
        <v/>
      </c>
      <c r="BI408" s="98" t="str">
        <f aca="false">IF(AU408&gt;AT$7,
    "",
    VLOOKUP(AU408,AW$8:BC$507,6,FALSE())
)</f>
        <v/>
      </c>
      <c r="BJ408" s="46"/>
    </row>
    <row r="409" customFormat="false" ht="15.75" hidden="false" customHeight="false" outlineLevel="0" collapsed="false">
      <c r="A409" s="3"/>
      <c r="B409" s="105"/>
      <c r="C409" s="106"/>
      <c r="D409" s="99"/>
      <c r="E409" s="110"/>
      <c r="F409" s="107"/>
      <c r="G409" s="110"/>
      <c r="H409" s="103"/>
      <c r="I409" s="102"/>
      <c r="J409" s="103"/>
      <c r="K409" s="103"/>
      <c r="L409" s="85"/>
      <c r="M409" s="85" t="str">
        <f aca="false">IF(ISBLANK($C409),"",IF(ISBLANK(E409),0,E409))</f>
        <v/>
      </c>
      <c r="N409" s="85" t="str">
        <f aca="false">IF(ISBLANK($C409),"",IF(ISBLANK(F409),0,F409))</f>
        <v/>
      </c>
      <c r="O409" s="86" t="e">
        <f aca="false">IF(AND(NOT(ISBLANK($C409)),NOT($T409),COUNTA($E409:$K409)&gt;0),ISBLANK($F409),FALSE())</f>
        <v>#VALUE!</v>
      </c>
      <c r="P409" s="85" t="str">
        <f aca="false">IF(ISBLANK($C409),"",IF(G409=Constants!$B$9, TRUE(), IF(G409=Constants!$B$10, FALSE(), TRUE())))</f>
        <v/>
      </c>
      <c r="Q409" s="85" t="str">
        <f aca="false">IF(ISBLANK($C409),"",IF(H409=Constants!$B$9, TRUE(), IF(H409=Constants!$B$10, FALSE(), TRUE())))</f>
        <v/>
      </c>
      <c r="R409" s="85" t="str">
        <f aca="false">IF(ISBLANK($C409),"",IF(ISBLANK(I409),Constants!$B$3,I409))</f>
        <v/>
      </c>
      <c r="S409" s="85" t="str">
        <f aca="false">IF(ISBLANK($C409),"",IF(ISBLANK(J409),0,MIN(J409,Constants!$B$6)))</f>
        <v/>
      </c>
      <c r="T409" s="85" t="str">
        <f aca="false">IF(ISBLANK($C409),"",IF(K409=Constants!$B$9, TRUE(), IF(K409=Constants!$B$10, FALSE(),  FALSE())))</f>
        <v/>
      </c>
      <c r="U409" s="85" t="str">
        <f aca="false">IF(ISBLANK($C409),"",AND(R409=Constants!$B$4, S409&lt;Constants!$B$6))</f>
        <v/>
      </c>
      <c r="V409" s="85" t="str">
        <f aca="false">IF(ISBLANK(C409), "", IF(T409, Constants!$B$11, IF(COUNTA(E409:K409)=0, Constants!$B$12, IF(NOT(AND(P409,S409&lt;&gt;0)), Constants!$B$13, IF(O409, Constants!$B$15, Constants!$B$14)))))</f>
        <v/>
      </c>
      <c r="W409" s="85" t="str">
        <f aca="false">IF(OR(ISBLANK($C409), SUMPRODUCT(--(P409:T409&lt;&gt;""))=0), "", IF(V409&lt;&gt;Constants!$B$14, V409, IF(AND(NOT(ISBLANK(J409)),P409,Q409,R409&lt;&gt;Constants!$B$2), Constants!$B$7, IF(AND(P409,OR(NOT(Q409),R409=Constants!$B$2)), Constants!$B$8, "Error"))))</f>
        <v/>
      </c>
      <c r="X409" s="87" t="str">
        <f aca="false">IF(OR(W409=Constants!$B$7,W409=Constants!$B$8), MAX(0, MIN(Constants!$B$6, S409))+IF(AND(R409=Constants!$B$4, NOT(U409)), Constants!$B$5, 0), "")</f>
        <v/>
      </c>
      <c r="Y409" s="85" t="str">
        <f aca="false">IF(ISBLANK($C409),"",IF(AND(ISNUMBER(X409),N409&gt;0),X409/N409, "") )</f>
        <v/>
      </c>
      <c r="Z409" s="85" t="str">
        <f aca="false">IF(AND(NOT(ISBLANK($C409)), W409=Constants!$B$7), Y409, "")</f>
        <v/>
      </c>
      <c r="AA409" s="85" t="str">
        <f aca="false">IF(ISNUMBER(Z409), RANK(Z409,Z$8:Z$507), "")</f>
        <v/>
      </c>
      <c r="AB409" s="85" t="str">
        <f aca="false">IF(AND(NOT(ISBLANK($C409)), W409=Constants!$B$8), Y409, "")</f>
        <v/>
      </c>
      <c r="AC409" s="85" t="str">
        <f aca="false">IF(ISNUMBER(AB409), RANK(AB409,AB$8:AB$507), "")</f>
        <v/>
      </c>
      <c r="AD409" s="85" t="str">
        <f aca="false">IF(ISBLANK($C409),"",IF(V409&lt;&gt;Constants!$B$14, V409, IF(W409=Constants!$B$7, AA409, IF(W409=Constants!$B$8, COUNT($AA$8:$AA$507) + AC409, ""))))</f>
        <v/>
      </c>
      <c r="AE409" s="85" t="str">
        <f aca="false">N409</f>
        <v/>
      </c>
      <c r="AF409" s="85" t="str">
        <f aca="false">IF(ISNUMBER(AE409), RANK(AE409,AE$8:AE$507,1), "")</f>
        <v/>
      </c>
      <c r="AG409" s="88" t="str">
        <f aca="false">IF(ISBLANK(C409), "", ABS(M409-S409))</f>
        <v/>
      </c>
      <c r="AH409" s="85" t="str">
        <f aca="false">IF(ISNUMBER(AG409), RANK(AG409,AG$8:AG$507,1), "")</f>
        <v/>
      </c>
      <c r="AI409" s="85" t="str">
        <f aca="false">IF(ISBLANK(C409),"",IF(V409&lt;&gt;Constants!$B$14, V409, RANK(AD409, AD$8:AD$507, 1)+ SUMPRODUCT(--(AD$8:AD$507=AD409),--(AF409&gt;AF$8:AF$507)) + SUMPRODUCT(--(AD$8:AD$507=AD409),--(AF409=AF$8:AF$507),--(AH409&gt;AH$8:AH$507))))</f>
        <v/>
      </c>
      <c r="AJ409" s="85" t="str">
        <f aca="false">IF(ISBLANK(C409),"",IF(V409&lt;&gt;Constants!$B$14, V409, AD409-AI409))</f>
        <v/>
      </c>
      <c r="AK409" s="89"/>
      <c r="AL409" s="90" t="str">
        <f aca="false">IF(ISBLANK($C409),"",IF($V409&lt;&gt;Constants!$B$14,$V409,X409))</f>
        <v/>
      </c>
      <c r="AM409" s="90" t="str">
        <f aca="false">IF(ISBLANK($C409),"",IF($V409&lt;&gt;Constants!$B$14,$V409,N409))</f>
        <v/>
      </c>
      <c r="AN409" s="91" t="str">
        <f aca="false">IF(ISBLANK(C409),"",IF(V409&lt;&gt;Constants!$B$14, V409, IF(W409=Constants!$B$7,Z409,IF(W409=Constants!$B$8,AB409,""))))</f>
        <v/>
      </c>
      <c r="AO409" s="92" t="str">
        <f aca="false">IF(ISBLANK(C409),"",W409)</f>
        <v/>
      </c>
      <c r="AP409" s="92" t="str">
        <f aca="false">IF(ISBLANK(C409),"",AJ409)</f>
        <v/>
      </c>
      <c r="AQ409" s="92" t="str">
        <f aca="false">IF(ISBLANK(C409),"",AI409)</f>
        <v/>
      </c>
      <c r="AR409" s="93" t="str">
        <f aca="false">IF(ISBLANK(C409),
  "",
IF(AQ409=Constants!$B$11,COUNTA($C$8:$C$507)+2,IF(AQ409=Constants!$B$12,COUNTA($C$8:$C$507)+1,IF(AQ409=Constants!$B$13,COUNTA($C$8:$C$507),AQ409))))</f>
        <v/>
      </c>
      <c r="AS409" s="3"/>
      <c r="AT409" s="94" t="n">
        <f aca="false">IF(OR(ISNUMBER(AQ409),AQ409="DQ",AQ409="P",AQ409="NS"),
    1,
    0
)</f>
        <v>0</v>
      </c>
      <c r="AU409" s="94" t="n">
        <v>402</v>
      </c>
      <c r="AV409" s="94" t="str">
        <f aca="false">IF(ISBLANK($C409),
    "",
   IF(ISNUMBER(AR409),AR409+ROW($B409)/1000,"")
)</f>
        <v/>
      </c>
      <c r="AW409" s="94" t="str">
        <f aca="false">IF(ISNUMBER(AV409), RANK(AV409,AV$8:AV$507,1), "")</f>
        <v/>
      </c>
      <c r="AX409" s="94" t="str">
        <f aca="false">IF(ISBLANK($C409),
    "",
    $B409
)</f>
        <v/>
      </c>
      <c r="AY409" s="94" t="str">
        <f aca="false">IF(ISBLANK($C409),
    "",
    $C409
)</f>
        <v/>
      </c>
      <c r="AZ409" s="94" t="str">
        <f aca="false">IF(ISBLANK($C409),
    "",
    $D409
)</f>
        <v/>
      </c>
      <c r="BA409" s="94" t="str">
        <f aca="false">AO409</f>
        <v/>
      </c>
      <c r="BB409" s="95" t="str">
        <f aca="false">AN409</f>
        <v/>
      </c>
      <c r="BC409" s="94" t="str">
        <f aca="false">IF(ISBLANK($C409),
    "",
    AQ409
)</f>
        <v/>
      </c>
      <c r="BD409" s="96" t="str">
        <f aca="false">IF(AU409&gt;AT$7,
    "",
    VLOOKUP(AU409,AW$8:BC$507,7,FALSE())
)</f>
        <v/>
      </c>
      <c r="BE409" s="97" t="str">
        <f aca="false">IF(AU409&gt;AT$7,
    "",
    VLOOKUP(AU409,AW$8:BC$507,2,FALSE())
)</f>
        <v/>
      </c>
      <c r="BF409" s="97" t="str">
        <f aca="false">IF(AU409&gt;AT$7,
    "",
    VLOOKUP(AU409,AW$8:BC$507,3,FALSE())
)</f>
        <v/>
      </c>
      <c r="BG409" s="97" t="str">
        <f aca="false">IF(AU409&gt;AT$7,
    "",
    VLOOKUP(AU409,AW$8:BC$507,4,FALSE())
)</f>
        <v/>
      </c>
      <c r="BH409" s="97" t="str">
        <f aca="false">IF(AU409&gt;AT$7,
    "",
    VLOOKUP(AU409,AW$8:BC$507,5,FALSE())
)</f>
        <v/>
      </c>
      <c r="BI409" s="98" t="str">
        <f aca="false">IF(AU409&gt;AT$7,
    "",
    VLOOKUP(AU409,AW$8:BC$507,6,FALSE())
)</f>
        <v/>
      </c>
      <c r="BJ409" s="46"/>
    </row>
    <row r="410" customFormat="false" ht="15.75" hidden="false" customHeight="false" outlineLevel="0" collapsed="false">
      <c r="A410" s="3"/>
      <c r="B410" s="108"/>
      <c r="C410" s="70"/>
      <c r="D410" s="49"/>
      <c r="E410" s="109"/>
      <c r="F410" s="72"/>
      <c r="G410" s="109"/>
      <c r="H410" s="74"/>
      <c r="I410" s="104"/>
      <c r="J410" s="74"/>
      <c r="K410" s="74"/>
      <c r="L410" s="55"/>
      <c r="M410" s="55" t="str">
        <f aca="false">IF(ISBLANK($C410),"",IF(ISBLANK(E410),0,E410))</f>
        <v/>
      </c>
      <c r="N410" s="55" t="str">
        <f aca="false">IF(ISBLANK($C410),"",IF(ISBLANK(F410),0,F410))</f>
        <v/>
      </c>
      <c r="O410" s="55" t="e">
        <f aca="false">IF(AND(NOT(ISBLANK($C410)),NOT($T410),COUNTA($E410:$K410)&gt;0),ISBLANK($F410),FALSE())</f>
        <v>#VALUE!</v>
      </c>
      <c r="P410" s="55" t="str">
        <f aca="false">IF(ISBLANK($C410),"",IF(G410=Constants!$B$9, TRUE(), IF(G410=Constants!$B$10, FALSE(), TRUE())))</f>
        <v/>
      </c>
      <c r="Q410" s="55" t="str">
        <f aca="false">IF(ISBLANK($C410),"",IF(H410=Constants!$B$9, TRUE(), IF(H410=Constants!$B$10, FALSE(), TRUE())))</f>
        <v/>
      </c>
      <c r="R410" s="55" t="str">
        <f aca="false">IF(ISBLANK($C410),"",IF(ISBLANK(I410),Constants!$B$3,I410))</f>
        <v/>
      </c>
      <c r="S410" s="55" t="str">
        <f aca="false">IF(ISBLANK($C410),"",IF(ISBLANK(J410),0,MIN(J410,Constants!$B$6)))</f>
        <v/>
      </c>
      <c r="T410" s="55" t="str">
        <f aca="false">IF(ISBLANK($C410),"",IF(K410=Constants!$B$9, TRUE(), IF(K410=Constants!$B$10, FALSE(),  FALSE())))</f>
        <v/>
      </c>
      <c r="U410" s="55" t="str">
        <f aca="false">IF(ISBLANK($C410),"",AND(R410=Constants!$B$4, S410&lt;Constants!$B$6))</f>
        <v/>
      </c>
      <c r="V410" s="55" t="str">
        <f aca="false">IF(ISBLANK(C410), "", IF(T410, Constants!$B$11, IF(COUNTA(E410:K410)=0, Constants!$B$12, IF(NOT(AND(P410,S410&lt;&gt;0)), Constants!$B$13, IF(O410, Constants!$B$15, Constants!$B$14)))))</f>
        <v/>
      </c>
      <c r="W410" s="55" t="str">
        <f aca="false">IF(OR(ISBLANK($C410), SUMPRODUCT(--(P410:T410&lt;&gt;""))=0), "", IF(V410&lt;&gt;Constants!$B$14, V410, IF(AND(NOT(ISBLANK(J410)),P410,Q410,R410&lt;&gt;Constants!$B$2), Constants!$B$7, IF(AND(P410,OR(NOT(Q410),R410=Constants!$B$2)), Constants!$B$8, "Error"))))</f>
        <v/>
      </c>
      <c r="X410" s="56" t="str">
        <f aca="false">IF(OR(W410=Constants!$B$7,W410=Constants!$B$8), MAX(0, MIN(Constants!$B$6, S410))+IF(AND(R410=Constants!$B$4, NOT(U410)), Constants!$B$5, 0), "")</f>
        <v/>
      </c>
      <c r="Y410" s="55" t="str">
        <f aca="false">IF(ISBLANK($C410),"",IF(AND(ISNUMBER(X410),N410&gt;0),X410/N410, "") )</f>
        <v/>
      </c>
      <c r="Z410" s="55" t="str">
        <f aca="false">IF(AND(NOT(ISBLANK($C410)), W410=Constants!$B$7), Y410, "")</f>
        <v/>
      </c>
      <c r="AA410" s="55" t="str">
        <f aca="false">IF(ISNUMBER(Z410), RANK(Z410,Z$8:Z$507), "")</f>
        <v/>
      </c>
      <c r="AB410" s="55" t="str">
        <f aca="false">IF(AND(NOT(ISBLANK($C410)), W410=Constants!$B$8), Y410, "")</f>
        <v/>
      </c>
      <c r="AC410" s="55" t="str">
        <f aca="false">IF(ISNUMBER(AB410), RANK(AB410,AB$8:AB$507), "")</f>
        <v/>
      </c>
      <c r="AD410" s="55" t="str">
        <f aca="false">IF(ISBLANK($C410),"",IF(V410&lt;&gt;Constants!$B$14, V410, IF(W410=Constants!$B$7, AA410, IF(W410=Constants!$B$8, COUNT($AA$8:$AA$507) + AC410, ""))))</f>
        <v/>
      </c>
      <c r="AE410" s="55" t="str">
        <f aca="false">N410</f>
        <v/>
      </c>
      <c r="AF410" s="55" t="str">
        <f aca="false">IF(ISNUMBER(AE410), RANK(AE410,AE$8:AE$507,1), "")</f>
        <v/>
      </c>
      <c r="AG410" s="57" t="str">
        <f aca="false">IF(ISBLANK(C410), "", ABS(M410-S410))</f>
        <v/>
      </c>
      <c r="AH410" s="55" t="str">
        <f aca="false">IF(ISNUMBER(AG410), RANK(AG410,AG$8:AG$507,1), "")</f>
        <v/>
      </c>
      <c r="AI410" s="55" t="str">
        <f aca="false">IF(ISBLANK(C410),"",IF(V410&lt;&gt;Constants!$B$14, V410, RANK(AD410, AD$8:AD$507, 1)+ SUMPRODUCT(--(AD$8:AD$507=AD410),--(AF410&gt;AF$8:AF$507)) + SUMPRODUCT(--(AD$8:AD$507=AD410),--(AF410=AF$8:AF$507),--(AH410&gt;AH$8:AH$507))))</f>
        <v/>
      </c>
      <c r="AJ410" s="55" t="str">
        <f aca="false">IF(ISBLANK(C410),"",IF(V410&lt;&gt;Constants!$B$14, V410, AD410-AI410))</f>
        <v/>
      </c>
      <c r="AK410" s="59"/>
      <c r="AL410" s="60" t="str">
        <f aca="false">IF(ISBLANK($C410),"",IF($V410&lt;&gt;Constants!$B$14,$V410,X410))</f>
        <v/>
      </c>
      <c r="AM410" s="60" t="str">
        <f aca="false">IF(ISBLANK($C410),"",IF($V410&lt;&gt;Constants!$B$14,$V410,N410))</f>
        <v/>
      </c>
      <c r="AN410" s="62" t="str">
        <f aca="false">IF(ISBLANK(C410),"",IF(V410&lt;&gt;Constants!$B$14, V410, IF(W410=Constants!$B$7,Z410,IF(W410=Constants!$B$8,AB410,""))))</f>
        <v/>
      </c>
      <c r="AO410" s="63" t="str">
        <f aca="false">IF(ISBLANK(C410),"",W410)</f>
        <v/>
      </c>
      <c r="AP410" s="63" t="str">
        <f aca="false">IF(ISBLANK(C410),"",AJ410)</f>
        <v/>
      </c>
      <c r="AQ410" s="63" t="str">
        <f aca="false">IF(ISBLANK(C410),"",AI410)</f>
        <v/>
      </c>
      <c r="AR410" s="64" t="str">
        <f aca="false">IF(ISBLANK(C410),
  "",
IF(AQ410=Constants!$B$11,COUNTA($C$8:$C$507)+2,IF(AQ410=Constants!$B$12,COUNTA($C$8:$C$507)+1,IF(AQ410=Constants!$B$13,COUNTA($C$8:$C$507),AQ410))))</f>
        <v/>
      </c>
      <c r="AS410" s="3"/>
      <c r="AT410" s="65" t="n">
        <f aca="false">IF(OR(ISNUMBER(AQ410),AQ410="DQ",AQ410="P",AQ410="NS"),
    1,
    0
)</f>
        <v>0</v>
      </c>
      <c r="AU410" s="65" t="n">
        <v>403</v>
      </c>
      <c r="AV410" s="65" t="str">
        <f aca="false">IF(ISBLANK($C410),
    "",
   IF(ISNUMBER(AR410),AR410+ROW($B410)/1000,"")
)</f>
        <v/>
      </c>
      <c r="AW410" s="65" t="str">
        <f aca="false">IF(ISNUMBER(AV410), RANK(AV410,AV$8:AV$507,1), "")</f>
        <v/>
      </c>
      <c r="AX410" s="65" t="str">
        <f aca="false">IF(ISBLANK($C410),
    "",
    $B410
)</f>
        <v/>
      </c>
      <c r="AY410" s="65" t="str">
        <f aca="false">IF(ISBLANK($C410),
    "",
    $C410
)</f>
        <v/>
      </c>
      <c r="AZ410" s="65" t="str">
        <f aca="false">IF(ISBLANK($C410),
    "",
    $D410
)</f>
        <v/>
      </c>
      <c r="BA410" s="65" t="str">
        <f aca="false">AO410</f>
        <v/>
      </c>
      <c r="BB410" s="66" t="str">
        <f aca="false">AN410</f>
        <v/>
      </c>
      <c r="BC410" s="65" t="str">
        <f aca="false">IF(ISBLANK($C410),
    "",
    AQ410
)</f>
        <v/>
      </c>
      <c r="BD410" s="67" t="str">
        <f aca="false">IF(AU410&gt;AT$7,
    "",
    VLOOKUP(AU410,AW$8:BC$507,7,FALSE())
)</f>
        <v/>
      </c>
      <c r="BE410" s="68" t="str">
        <f aca="false">IF(AU410&gt;AT$7,
    "",
    VLOOKUP(AU410,AW$8:BC$507,2,FALSE())
)</f>
        <v/>
      </c>
      <c r="BF410" s="68" t="str">
        <f aca="false">IF(AU410&gt;AT$7,
    "",
    VLOOKUP(AU410,AW$8:BC$507,3,FALSE())
)</f>
        <v/>
      </c>
      <c r="BG410" s="68" t="str">
        <f aca="false">IF(AU410&gt;AT$7,
    "",
    VLOOKUP(AU410,AW$8:BC$507,4,FALSE())
)</f>
        <v/>
      </c>
      <c r="BH410" s="68" t="str">
        <f aca="false">IF(AU410&gt;AT$7,
    "",
    VLOOKUP(AU410,AW$8:BC$507,5,FALSE())
)</f>
        <v/>
      </c>
      <c r="BI410" s="69" t="str">
        <f aca="false">IF(AU410&gt;AT$7,
    "",
    VLOOKUP(AU410,AW$8:BC$507,6,FALSE())
)</f>
        <v/>
      </c>
      <c r="BJ410" s="46"/>
    </row>
    <row r="411" customFormat="false" ht="15.75" hidden="false" customHeight="false" outlineLevel="0" collapsed="false">
      <c r="A411" s="3"/>
      <c r="B411" s="108"/>
      <c r="C411" s="70"/>
      <c r="D411" s="49"/>
      <c r="E411" s="109"/>
      <c r="F411" s="72"/>
      <c r="G411" s="109"/>
      <c r="H411" s="74"/>
      <c r="I411" s="104"/>
      <c r="J411" s="74"/>
      <c r="K411" s="74"/>
      <c r="L411" s="55"/>
      <c r="M411" s="55" t="str">
        <f aca="false">IF(ISBLANK($C411),"",IF(ISBLANK(E411),0,E411))</f>
        <v/>
      </c>
      <c r="N411" s="55" t="str">
        <f aca="false">IF(ISBLANK($C411),"",IF(ISBLANK(F411),0,F411))</f>
        <v/>
      </c>
      <c r="O411" s="55" t="e">
        <f aca="false">IF(AND(NOT(ISBLANK($C411)),NOT($T411),COUNTA($E411:$K411)&gt;0),ISBLANK($F411),FALSE())</f>
        <v>#VALUE!</v>
      </c>
      <c r="P411" s="55" t="str">
        <f aca="false">IF(ISBLANK($C411),"",IF(G411=Constants!$B$9, TRUE(), IF(G411=Constants!$B$10, FALSE(), TRUE())))</f>
        <v/>
      </c>
      <c r="Q411" s="55" t="str">
        <f aca="false">IF(ISBLANK($C411),"",IF(H411=Constants!$B$9, TRUE(), IF(H411=Constants!$B$10, FALSE(), TRUE())))</f>
        <v/>
      </c>
      <c r="R411" s="55" t="str">
        <f aca="false">IF(ISBLANK($C411),"",IF(ISBLANK(I411),Constants!$B$3,I411))</f>
        <v/>
      </c>
      <c r="S411" s="55" t="str">
        <f aca="false">IF(ISBLANK($C411),"",IF(ISBLANK(J411),0,MIN(J411,Constants!$B$6)))</f>
        <v/>
      </c>
      <c r="T411" s="55" t="str">
        <f aca="false">IF(ISBLANK($C411),"",IF(K411=Constants!$B$9, TRUE(), IF(K411=Constants!$B$10, FALSE(),  FALSE())))</f>
        <v/>
      </c>
      <c r="U411" s="55" t="str">
        <f aca="false">IF(ISBLANK($C411),"",AND(R411=Constants!$B$4, S411&lt;Constants!$B$6))</f>
        <v/>
      </c>
      <c r="V411" s="55" t="str">
        <f aca="false">IF(ISBLANK(C411), "", IF(T411, Constants!$B$11, IF(COUNTA(E411:K411)=0, Constants!$B$12, IF(NOT(AND(P411,S411&lt;&gt;0)), Constants!$B$13, IF(O411, Constants!$B$15, Constants!$B$14)))))</f>
        <v/>
      </c>
      <c r="W411" s="55" t="str">
        <f aca="false">IF(OR(ISBLANK($C411), SUMPRODUCT(--(P411:T411&lt;&gt;""))=0), "", IF(V411&lt;&gt;Constants!$B$14, V411, IF(AND(NOT(ISBLANK(J411)),P411,Q411,R411&lt;&gt;Constants!$B$2), Constants!$B$7, IF(AND(P411,OR(NOT(Q411),R411=Constants!$B$2)), Constants!$B$8, "Error"))))</f>
        <v/>
      </c>
      <c r="X411" s="56" t="str">
        <f aca="false">IF(OR(W411=Constants!$B$7,W411=Constants!$B$8), MAX(0, MIN(Constants!$B$6, S411))+IF(AND(R411=Constants!$B$4, NOT(U411)), Constants!$B$5, 0), "")</f>
        <v/>
      </c>
      <c r="Y411" s="55" t="str">
        <f aca="false">IF(ISBLANK($C411),"",IF(AND(ISNUMBER(X411),N411&gt;0),X411/N411, "") )</f>
        <v/>
      </c>
      <c r="Z411" s="55" t="str">
        <f aca="false">IF(AND(NOT(ISBLANK($C411)), W411=Constants!$B$7), Y411, "")</f>
        <v/>
      </c>
      <c r="AA411" s="55" t="str">
        <f aca="false">IF(ISNUMBER(Z411), RANK(Z411,Z$8:Z$507), "")</f>
        <v/>
      </c>
      <c r="AB411" s="55" t="str">
        <f aca="false">IF(AND(NOT(ISBLANK($C411)), W411=Constants!$B$8), Y411, "")</f>
        <v/>
      </c>
      <c r="AC411" s="55" t="str">
        <f aca="false">IF(ISNUMBER(AB411), RANK(AB411,AB$8:AB$507), "")</f>
        <v/>
      </c>
      <c r="AD411" s="55" t="str">
        <f aca="false">IF(ISBLANK($C411),"",IF(V411&lt;&gt;Constants!$B$14, V411, IF(W411=Constants!$B$7, AA411, IF(W411=Constants!$B$8, COUNT($AA$8:$AA$507) + AC411, ""))))</f>
        <v/>
      </c>
      <c r="AE411" s="55" t="str">
        <f aca="false">N411</f>
        <v/>
      </c>
      <c r="AF411" s="55" t="str">
        <f aca="false">IF(ISNUMBER(AE411), RANK(AE411,AE$8:AE$507,1), "")</f>
        <v/>
      </c>
      <c r="AG411" s="57" t="str">
        <f aca="false">IF(ISBLANK(C411), "", ABS(M411-S411))</f>
        <v/>
      </c>
      <c r="AH411" s="55" t="str">
        <f aca="false">IF(ISNUMBER(AG411), RANK(AG411,AG$8:AG$507,1), "")</f>
        <v/>
      </c>
      <c r="AI411" s="55" t="str">
        <f aca="false">IF(ISBLANK(C411),"",IF(V411&lt;&gt;Constants!$B$14, V411, RANK(AD411, AD$8:AD$507, 1)+ SUMPRODUCT(--(AD$8:AD$507=AD411),--(AF411&gt;AF$8:AF$507)) + SUMPRODUCT(--(AD$8:AD$507=AD411),--(AF411=AF$8:AF$507),--(AH411&gt;AH$8:AH$507))))</f>
        <v/>
      </c>
      <c r="AJ411" s="55" t="str">
        <f aca="false">IF(ISBLANK(C411),"",IF(V411&lt;&gt;Constants!$B$14, V411, AD411-AI411))</f>
        <v/>
      </c>
      <c r="AK411" s="59"/>
      <c r="AL411" s="60" t="str">
        <f aca="false">IF(ISBLANK($C411),"",IF($V411&lt;&gt;Constants!$B$14,$V411,X411))</f>
        <v/>
      </c>
      <c r="AM411" s="60" t="str">
        <f aca="false">IF(ISBLANK($C411),"",IF($V411&lt;&gt;Constants!$B$14,$V411,N411))</f>
        <v/>
      </c>
      <c r="AN411" s="62" t="str">
        <f aca="false">IF(ISBLANK(C411),"",IF(V411&lt;&gt;Constants!$B$14, V411, IF(W411=Constants!$B$7,Z411,IF(W411=Constants!$B$8,AB411,""))))</f>
        <v/>
      </c>
      <c r="AO411" s="63" t="str">
        <f aca="false">IF(ISBLANK(C411),"",W411)</f>
        <v/>
      </c>
      <c r="AP411" s="63" t="str">
        <f aca="false">IF(ISBLANK(C411),"",AJ411)</f>
        <v/>
      </c>
      <c r="AQ411" s="63" t="str">
        <f aca="false">IF(ISBLANK(C411),"",AI411)</f>
        <v/>
      </c>
      <c r="AR411" s="64" t="str">
        <f aca="false">IF(ISBLANK(C411),
  "",
IF(AQ411=Constants!$B$11,COUNTA($C$8:$C$507)+2,IF(AQ411=Constants!$B$12,COUNTA($C$8:$C$507)+1,IF(AQ411=Constants!$B$13,COUNTA($C$8:$C$507),AQ411))))</f>
        <v/>
      </c>
      <c r="AS411" s="3"/>
      <c r="AT411" s="65" t="n">
        <f aca="false">IF(OR(ISNUMBER(AQ411),AQ411="DQ",AQ411="P",AQ411="NS"),
    1,
    0
)</f>
        <v>0</v>
      </c>
      <c r="AU411" s="65" t="n">
        <v>404</v>
      </c>
      <c r="AV411" s="65" t="str">
        <f aca="false">IF(ISBLANK($C411),
    "",
   IF(ISNUMBER(AR411),AR411+ROW($B411)/1000,"")
)</f>
        <v/>
      </c>
      <c r="AW411" s="65" t="str">
        <f aca="false">IF(ISNUMBER(AV411), RANK(AV411,AV$8:AV$507,1), "")</f>
        <v/>
      </c>
      <c r="AX411" s="65" t="str">
        <f aca="false">IF(ISBLANK($C411),
    "",
    $B411
)</f>
        <v/>
      </c>
      <c r="AY411" s="65" t="str">
        <f aca="false">IF(ISBLANK($C411),
    "",
    $C411
)</f>
        <v/>
      </c>
      <c r="AZ411" s="65" t="str">
        <f aca="false">IF(ISBLANK($C411),
    "",
    $D411
)</f>
        <v/>
      </c>
      <c r="BA411" s="65" t="str">
        <f aca="false">AO411</f>
        <v/>
      </c>
      <c r="BB411" s="66" t="str">
        <f aca="false">AN411</f>
        <v/>
      </c>
      <c r="BC411" s="65" t="str">
        <f aca="false">IF(ISBLANK($C411),
    "",
    AQ411
)</f>
        <v/>
      </c>
      <c r="BD411" s="67" t="str">
        <f aca="false">IF(AU411&gt;AT$7,
    "",
    VLOOKUP(AU411,AW$8:BC$507,7,FALSE())
)</f>
        <v/>
      </c>
      <c r="BE411" s="68" t="str">
        <f aca="false">IF(AU411&gt;AT$7,
    "",
    VLOOKUP(AU411,AW$8:BC$507,2,FALSE())
)</f>
        <v/>
      </c>
      <c r="BF411" s="68" t="str">
        <f aca="false">IF(AU411&gt;AT$7,
    "",
    VLOOKUP(AU411,AW$8:BC$507,3,FALSE())
)</f>
        <v/>
      </c>
      <c r="BG411" s="68" t="str">
        <f aca="false">IF(AU411&gt;AT$7,
    "",
    VLOOKUP(AU411,AW$8:BC$507,4,FALSE())
)</f>
        <v/>
      </c>
      <c r="BH411" s="68" t="str">
        <f aca="false">IF(AU411&gt;AT$7,
    "",
    VLOOKUP(AU411,AW$8:BC$507,5,FALSE())
)</f>
        <v/>
      </c>
      <c r="BI411" s="69" t="str">
        <f aca="false">IF(AU411&gt;AT$7,
    "",
    VLOOKUP(AU411,AW$8:BC$507,6,FALSE())
)</f>
        <v/>
      </c>
      <c r="BJ411" s="46"/>
    </row>
    <row r="412" customFormat="false" ht="15.75" hidden="false" customHeight="false" outlineLevel="0" collapsed="false">
      <c r="A412" s="3"/>
      <c r="B412" s="108"/>
      <c r="C412" s="70"/>
      <c r="D412" s="49"/>
      <c r="E412" s="109"/>
      <c r="F412" s="72"/>
      <c r="G412" s="109"/>
      <c r="H412" s="74"/>
      <c r="I412" s="104"/>
      <c r="J412" s="74"/>
      <c r="K412" s="74"/>
      <c r="L412" s="55"/>
      <c r="M412" s="55" t="str">
        <f aca="false">IF(ISBLANK($C412),"",IF(ISBLANK(E412),0,E412))</f>
        <v/>
      </c>
      <c r="N412" s="55" t="str">
        <f aca="false">IF(ISBLANK($C412),"",IF(ISBLANK(F412),0,F412))</f>
        <v/>
      </c>
      <c r="O412" s="55" t="e">
        <f aca="false">IF(AND(NOT(ISBLANK($C412)),NOT($T412),COUNTA($E412:$K412)&gt;0),ISBLANK($F412),FALSE())</f>
        <v>#VALUE!</v>
      </c>
      <c r="P412" s="55" t="str">
        <f aca="false">IF(ISBLANK($C412),"",IF(G412=Constants!$B$9, TRUE(), IF(G412=Constants!$B$10, FALSE(), TRUE())))</f>
        <v/>
      </c>
      <c r="Q412" s="55" t="str">
        <f aca="false">IF(ISBLANK($C412),"",IF(H412=Constants!$B$9, TRUE(), IF(H412=Constants!$B$10, FALSE(), TRUE())))</f>
        <v/>
      </c>
      <c r="R412" s="55" t="str">
        <f aca="false">IF(ISBLANK($C412),"",IF(ISBLANK(I412),Constants!$B$3,I412))</f>
        <v/>
      </c>
      <c r="S412" s="55" t="str">
        <f aca="false">IF(ISBLANK($C412),"",IF(ISBLANK(J412),0,MIN(J412,Constants!$B$6)))</f>
        <v/>
      </c>
      <c r="T412" s="55" t="str">
        <f aca="false">IF(ISBLANK($C412),"",IF(K412=Constants!$B$9, TRUE(), IF(K412=Constants!$B$10, FALSE(),  FALSE())))</f>
        <v/>
      </c>
      <c r="U412" s="55" t="str">
        <f aca="false">IF(ISBLANK($C412),"",AND(R412=Constants!$B$4, S412&lt;Constants!$B$6))</f>
        <v/>
      </c>
      <c r="V412" s="55" t="str">
        <f aca="false">IF(ISBLANK(C412), "", IF(T412, Constants!$B$11, IF(COUNTA(E412:K412)=0, Constants!$B$12, IF(NOT(AND(P412,S412&lt;&gt;0)), Constants!$B$13, IF(O412, Constants!$B$15, Constants!$B$14)))))</f>
        <v/>
      </c>
      <c r="W412" s="55" t="str">
        <f aca="false">IF(OR(ISBLANK($C412), SUMPRODUCT(--(P412:T412&lt;&gt;""))=0), "", IF(V412&lt;&gt;Constants!$B$14, V412, IF(AND(NOT(ISBLANK(J412)),P412,Q412,R412&lt;&gt;Constants!$B$2), Constants!$B$7, IF(AND(P412,OR(NOT(Q412),R412=Constants!$B$2)), Constants!$B$8, "Error"))))</f>
        <v/>
      </c>
      <c r="X412" s="56" t="str">
        <f aca="false">IF(OR(W412=Constants!$B$7,W412=Constants!$B$8), MAX(0, MIN(Constants!$B$6, S412))+IF(AND(R412=Constants!$B$4, NOT(U412)), Constants!$B$5, 0), "")</f>
        <v/>
      </c>
      <c r="Y412" s="55" t="str">
        <f aca="false">IF(ISBLANK($C412),"",IF(AND(ISNUMBER(X412),N412&gt;0),X412/N412, "") )</f>
        <v/>
      </c>
      <c r="Z412" s="55" t="str">
        <f aca="false">IF(AND(NOT(ISBLANK($C412)), W412=Constants!$B$7), Y412, "")</f>
        <v/>
      </c>
      <c r="AA412" s="55" t="str">
        <f aca="false">IF(ISNUMBER(Z412), RANK(Z412,Z$8:Z$507), "")</f>
        <v/>
      </c>
      <c r="AB412" s="55" t="str">
        <f aca="false">IF(AND(NOT(ISBLANK($C412)), W412=Constants!$B$8), Y412, "")</f>
        <v/>
      </c>
      <c r="AC412" s="55" t="str">
        <f aca="false">IF(ISNUMBER(AB412), RANK(AB412,AB$8:AB$507), "")</f>
        <v/>
      </c>
      <c r="AD412" s="55" t="str">
        <f aca="false">IF(ISBLANK($C412),"",IF(V412&lt;&gt;Constants!$B$14, V412, IF(W412=Constants!$B$7, AA412, IF(W412=Constants!$B$8, COUNT($AA$8:$AA$507) + AC412, ""))))</f>
        <v/>
      </c>
      <c r="AE412" s="55" t="str">
        <f aca="false">N412</f>
        <v/>
      </c>
      <c r="AF412" s="55" t="str">
        <f aca="false">IF(ISNUMBER(AE412), RANK(AE412,AE$8:AE$507,1), "")</f>
        <v/>
      </c>
      <c r="AG412" s="57" t="str">
        <f aca="false">IF(ISBLANK(C412), "", ABS(M412-S412))</f>
        <v/>
      </c>
      <c r="AH412" s="55" t="str">
        <f aca="false">IF(ISNUMBER(AG412), RANK(AG412,AG$8:AG$507,1), "")</f>
        <v/>
      </c>
      <c r="AI412" s="55" t="str">
        <f aca="false">IF(ISBLANK(C412),"",IF(V412&lt;&gt;Constants!$B$14, V412, RANK(AD412, AD$8:AD$507, 1)+ SUMPRODUCT(--(AD$8:AD$507=AD412),--(AF412&gt;AF$8:AF$507)) + SUMPRODUCT(--(AD$8:AD$507=AD412),--(AF412=AF$8:AF$507),--(AH412&gt;AH$8:AH$507))))</f>
        <v/>
      </c>
      <c r="AJ412" s="55" t="str">
        <f aca="false">IF(ISBLANK(C412),"",IF(V412&lt;&gt;Constants!$B$14, V412, AD412-AI412))</f>
        <v/>
      </c>
      <c r="AK412" s="59"/>
      <c r="AL412" s="60" t="str">
        <f aca="false">IF(ISBLANK($C412),"",IF($V412&lt;&gt;Constants!$B$14,$V412,X412))</f>
        <v/>
      </c>
      <c r="AM412" s="60" t="str">
        <f aca="false">IF(ISBLANK($C412),"",IF($V412&lt;&gt;Constants!$B$14,$V412,N412))</f>
        <v/>
      </c>
      <c r="AN412" s="62" t="str">
        <f aca="false">IF(ISBLANK(C412),"",IF(V412&lt;&gt;Constants!$B$14, V412, IF(W412=Constants!$B$7,Z412,IF(W412=Constants!$B$8,AB412,""))))</f>
        <v/>
      </c>
      <c r="AO412" s="63" t="str">
        <f aca="false">IF(ISBLANK(C412),"",W412)</f>
        <v/>
      </c>
      <c r="AP412" s="63" t="str">
        <f aca="false">IF(ISBLANK(C412),"",AJ412)</f>
        <v/>
      </c>
      <c r="AQ412" s="63" t="str">
        <f aca="false">IF(ISBLANK(C412),"",AI412)</f>
        <v/>
      </c>
      <c r="AR412" s="64" t="str">
        <f aca="false">IF(ISBLANK(C412),
  "",
IF(AQ412=Constants!$B$11,COUNTA($C$8:$C$507)+2,IF(AQ412=Constants!$B$12,COUNTA($C$8:$C$507)+1,IF(AQ412=Constants!$B$13,COUNTA($C$8:$C$507),AQ412))))</f>
        <v/>
      </c>
      <c r="AS412" s="3"/>
      <c r="AT412" s="65" t="n">
        <f aca="false">IF(OR(ISNUMBER(AQ412),AQ412="DQ",AQ412="P",AQ412="NS"),
    1,
    0
)</f>
        <v>0</v>
      </c>
      <c r="AU412" s="65" t="n">
        <v>405</v>
      </c>
      <c r="AV412" s="65" t="str">
        <f aca="false">IF(ISBLANK($C412),
    "",
   IF(ISNUMBER(AR412),AR412+ROW($B412)/1000,"")
)</f>
        <v/>
      </c>
      <c r="AW412" s="65" t="str">
        <f aca="false">IF(ISNUMBER(AV412), RANK(AV412,AV$8:AV$507,1), "")</f>
        <v/>
      </c>
      <c r="AX412" s="65" t="str">
        <f aca="false">IF(ISBLANK($C412),
    "",
    $B412
)</f>
        <v/>
      </c>
      <c r="AY412" s="65" t="str">
        <f aca="false">IF(ISBLANK($C412),
    "",
    $C412
)</f>
        <v/>
      </c>
      <c r="AZ412" s="65" t="str">
        <f aca="false">IF(ISBLANK($C412),
    "",
    $D412
)</f>
        <v/>
      </c>
      <c r="BA412" s="65" t="str">
        <f aca="false">AO412</f>
        <v/>
      </c>
      <c r="BB412" s="66" t="str">
        <f aca="false">AN412</f>
        <v/>
      </c>
      <c r="BC412" s="65" t="str">
        <f aca="false">IF(ISBLANK($C412),
    "",
    AQ412
)</f>
        <v/>
      </c>
      <c r="BD412" s="67" t="str">
        <f aca="false">IF(AU412&gt;AT$7,
    "",
    VLOOKUP(AU412,AW$8:BC$507,7,FALSE())
)</f>
        <v/>
      </c>
      <c r="BE412" s="68" t="str">
        <f aca="false">IF(AU412&gt;AT$7,
    "",
    VLOOKUP(AU412,AW$8:BC$507,2,FALSE())
)</f>
        <v/>
      </c>
      <c r="BF412" s="68" t="str">
        <f aca="false">IF(AU412&gt;AT$7,
    "",
    VLOOKUP(AU412,AW$8:BC$507,3,FALSE())
)</f>
        <v/>
      </c>
      <c r="BG412" s="68" t="str">
        <f aca="false">IF(AU412&gt;AT$7,
    "",
    VLOOKUP(AU412,AW$8:BC$507,4,FALSE())
)</f>
        <v/>
      </c>
      <c r="BH412" s="68" t="str">
        <f aca="false">IF(AU412&gt;AT$7,
    "",
    VLOOKUP(AU412,AW$8:BC$507,5,FALSE())
)</f>
        <v/>
      </c>
      <c r="BI412" s="69" t="str">
        <f aca="false">IF(AU412&gt;AT$7,
    "",
    VLOOKUP(AU412,AW$8:BC$507,6,FALSE())
)</f>
        <v/>
      </c>
      <c r="BJ412" s="46"/>
    </row>
    <row r="413" customFormat="false" ht="15.75" hidden="false" customHeight="false" outlineLevel="0" collapsed="false">
      <c r="A413" s="3"/>
      <c r="B413" s="105"/>
      <c r="C413" s="106"/>
      <c r="D413" s="99"/>
      <c r="E413" s="110"/>
      <c r="F413" s="107"/>
      <c r="G413" s="110"/>
      <c r="H413" s="103"/>
      <c r="I413" s="102"/>
      <c r="J413" s="103"/>
      <c r="K413" s="103"/>
      <c r="L413" s="85"/>
      <c r="M413" s="85" t="str">
        <f aca="false">IF(ISBLANK($C413),"",IF(ISBLANK(E413),0,E413))</f>
        <v/>
      </c>
      <c r="N413" s="85" t="str">
        <f aca="false">IF(ISBLANK($C413),"",IF(ISBLANK(F413),0,F413))</f>
        <v/>
      </c>
      <c r="O413" s="86" t="e">
        <f aca="false">IF(AND(NOT(ISBLANK($C413)),NOT($T413),COUNTA($E413:$K413)&gt;0),ISBLANK($F413),FALSE())</f>
        <v>#VALUE!</v>
      </c>
      <c r="P413" s="85" t="str">
        <f aca="false">IF(ISBLANK($C413),"",IF(G413=Constants!$B$9, TRUE(), IF(G413=Constants!$B$10, FALSE(), TRUE())))</f>
        <v/>
      </c>
      <c r="Q413" s="85" t="str">
        <f aca="false">IF(ISBLANK($C413),"",IF(H413=Constants!$B$9, TRUE(), IF(H413=Constants!$B$10, FALSE(), TRUE())))</f>
        <v/>
      </c>
      <c r="R413" s="85" t="str">
        <f aca="false">IF(ISBLANK($C413),"",IF(ISBLANK(I413),Constants!$B$3,I413))</f>
        <v/>
      </c>
      <c r="S413" s="85" t="str">
        <f aca="false">IF(ISBLANK($C413),"",IF(ISBLANK(J413),0,MIN(J413,Constants!$B$6)))</f>
        <v/>
      </c>
      <c r="T413" s="85" t="str">
        <f aca="false">IF(ISBLANK($C413),"",IF(K413=Constants!$B$9, TRUE(), IF(K413=Constants!$B$10, FALSE(),  FALSE())))</f>
        <v/>
      </c>
      <c r="U413" s="85" t="str">
        <f aca="false">IF(ISBLANK($C413),"",AND(R413=Constants!$B$4, S413&lt;Constants!$B$6))</f>
        <v/>
      </c>
      <c r="V413" s="85" t="str">
        <f aca="false">IF(ISBLANK(C413), "", IF(T413, Constants!$B$11, IF(COUNTA(E413:K413)=0, Constants!$B$12, IF(NOT(AND(P413,S413&lt;&gt;0)), Constants!$B$13, IF(O413, Constants!$B$15, Constants!$B$14)))))</f>
        <v/>
      </c>
      <c r="W413" s="85" t="str">
        <f aca="false">IF(OR(ISBLANK($C413), SUMPRODUCT(--(P413:T413&lt;&gt;""))=0), "", IF(V413&lt;&gt;Constants!$B$14, V413, IF(AND(NOT(ISBLANK(J413)),P413,Q413,R413&lt;&gt;Constants!$B$2), Constants!$B$7, IF(AND(P413,OR(NOT(Q413),R413=Constants!$B$2)), Constants!$B$8, "Error"))))</f>
        <v/>
      </c>
      <c r="X413" s="87" t="str">
        <f aca="false">IF(OR(W413=Constants!$B$7,W413=Constants!$B$8), MAX(0, MIN(Constants!$B$6, S413))+IF(AND(R413=Constants!$B$4, NOT(U413)), Constants!$B$5, 0), "")</f>
        <v/>
      </c>
      <c r="Y413" s="85" t="str">
        <f aca="false">IF(ISBLANK($C413),"",IF(AND(ISNUMBER(X413),N413&gt;0),X413/N413, "") )</f>
        <v/>
      </c>
      <c r="Z413" s="85" t="str">
        <f aca="false">IF(AND(NOT(ISBLANK($C413)), W413=Constants!$B$7), Y413, "")</f>
        <v/>
      </c>
      <c r="AA413" s="85" t="str">
        <f aca="false">IF(ISNUMBER(Z413), RANK(Z413,Z$8:Z$507), "")</f>
        <v/>
      </c>
      <c r="AB413" s="85" t="str">
        <f aca="false">IF(AND(NOT(ISBLANK($C413)), W413=Constants!$B$8), Y413, "")</f>
        <v/>
      </c>
      <c r="AC413" s="85" t="str">
        <f aca="false">IF(ISNUMBER(AB413), RANK(AB413,AB$8:AB$507), "")</f>
        <v/>
      </c>
      <c r="AD413" s="85" t="str">
        <f aca="false">IF(ISBLANK($C413),"",IF(V413&lt;&gt;Constants!$B$14, V413, IF(W413=Constants!$B$7, AA413, IF(W413=Constants!$B$8, COUNT($AA$8:$AA$507) + AC413, ""))))</f>
        <v/>
      </c>
      <c r="AE413" s="85" t="str">
        <f aca="false">N413</f>
        <v/>
      </c>
      <c r="AF413" s="85" t="str">
        <f aca="false">IF(ISNUMBER(AE413), RANK(AE413,AE$8:AE$507,1), "")</f>
        <v/>
      </c>
      <c r="AG413" s="88" t="str">
        <f aca="false">IF(ISBLANK(C413), "", ABS(M413-S413))</f>
        <v/>
      </c>
      <c r="AH413" s="85" t="str">
        <f aca="false">IF(ISNUMBER(AG413), RANK(AG413,AG$8:AG$507,1), "")</f>
        <v/>
      </c>
      <c r="AI413" s="85" t="str">
        <f aca="false">IF(ISBLANK(C413),"",IF(V413&lt;&gt;Constants!$B$14, V413, RANK(AD413, AD$8:AD$507, 1)+ SUMPRODUCT(--(AD$8:AD$507=AD413),--(AF413&gt;AF$8:AF$507)) + SUMPRODUCT(--(AD$8:AD$507=AD413),--(AF413=AF$8:AF$507),--(AH413&gt;AH$8:AH$507))))</f>
        <v/>
      </c>
      <c r="AJ413" s="85" t="str">
        <f aca="false">IF(ISBLANK(C413),"",IF(V413&lt;&gt;Constants!$B$14, V413, AD413-AI413))</f>
        <v/>
      </c>
      <c r="AK413" s="89"/>
      <c r="AL413" s="90" t="str">
        <f aca="false">IF(ISBLANK($C413),"",IF($V413&lt;&gt;Constants!$B$14,$V413,X413))</f>
        <v/>
      </c>
      <c r="AM413" s="90" t="str">
        <f aca="false">IF(ISBLANK($C413),"",IF($V413&lt;&gt;Constants!$B$14,$V413,N413))</f>
        <v/>
      </c>
      <c r="AN413" s="91" t="str">
        <f aca="false">IF(ISBLANK(C413),"",IF(V413&lt;&gt;Constants!$B$14, V413, IF(W413=Constants!$B$7,Z413,IF(W413=Constants!$B$8,AB413,""))))</f>
        <v/>
      </c>
      <c r="AO413" s="92" t="str">
        <f aca="false">IF(ISBLANK(C413),"",W413)</f>
        <v/>
      </c>
      <c r="AP413" s="92" t="str">
        <f aca="false">IF(ISBLANK(C413),"",AJ413)</f>
        <v/>
      </c>
      <c r="AQ413" s="92" t="str">
        <f aca="false">IF(ISBLANK(C413),"",AI413)</f>
        <v/>
      </c>
      <c r="AR413" s="93" t="str">
        <f aca="false">IF(ISBLANK(C413),
  "",
IF(AQ413=Constants!$B$11,COUNTA($C$8:$C$507)+2,IF(AQ413=Constants!$B$12,COUNTA($C$8:$C$507)+1,IF(AQ413=Constants!$B$13,COUNTA($C$8:$C$507),AQ413))))</f>
        <v/>
      </c>
      <c r="AS413" s="3"/>
      <c r="AT413" s="94" t="n">
        <f aca="false">IF(OR(ISNUMBER(AQ413),AQ413="DQ",AQ413="P",AQ413="NS"),
    1,
    0
)</f>
        <v>0</v>
      </c>
      <c r="AU413" s="94" t="n">
        <v>406</v>
      </c>
      <c r="AV413" s="94" t="str">
        <f aca="false">IF(ISBLANK($C413),
    "",
   IF(ISNUMBER(AR413),AR413+ROW($B413)/1000,"")
)</f>
        <v/>
      </c>
      <c r="AW413" s="94" t="str">
        <f aca="false">IF(ISNUMBER(AV413), RANK(AV413,AV$8:AV$507,1), "")</f>
        <v/>
      </c>
      <c r="AX413" s="94" t="str">
        <f aca="false">IF(ISBLANK($C413),
    "",
    $B413
)</f>
        <v/>
      </c>
      <c r="AY413" s="94" t="str">
        <f aca="false">IF(ISBLANK($C413),
    "",
    $C413
)</f>
        <v/>
      </c>
      <c r="AZ413" s="94" t="str">
        <f aca="false">IF(ISBLANK($C413),
    "",
    $D413
)</f>
        <v/>
      </c>
      <c r="BA413" s="94" t="str">
        <f aca="false">AO413</f>
        <v/>
      </c>
      <c r="BB413" s="95" t="str">
        <f aca="false">AN413</f>
        <v/>
      </c>
      <c r="BC413" s="94" t="str">
        <f aca="false">IF(ISBLANK($C413),
    "",
    AQ413
)</f>
        <v/>
      </c>
      <c r="BD413" s="96" t="str">
        <f aca="false">IF(AU413&gt;AT$7,
    "",
    VLOOKUP(AU413,AW$8:BC$507,7,FALSE())
)</f>
        <v/>
      </c>
      <c r="BE413" s="97" t="str">
        <f aca="false">IF(AU413&gt;AT$7,
    "",
    VLOOKUP(AU413,AW$8:BC$507,2,FALSE())
)</f>
        <v/>
      </c>
      <c r="BF413" s="97" t="str">
        <f aca="false">IF(AU413&gt;AT$7,
    "",
    VLOOKUP(AU413,AW$8:BC$507,3,FALSE())
)</f>
        <v/>
      </c>
      <c r="BG413" s="97" t="str">
        <f aca="false">IF(AU413&gt;AT$7,
    "",
    VLOOKUP(AU413,AW$8:BC$507,4,FALSE())
)</f>
        <v/>
      </c>
      <c r="BH413" s="97" t="str">
        <f aca="false">IF(AU413&gt;AT$7,
    "",
    VLOOKUP(AU413,AW$8:BC$507,5,FALSE())
)</f>
        <v/>
      </c>
      <c r="BI413" s="98" t="str">
        <f aca="false">IF(AU413&gt;AT$7,
    "",
    VLOOKUP(AU413,AW$8:BC$507,6,FALSE())
)</f>
        <v/>
      </c>
      <c r="BJ413" s="46"/>
    </row>
    <row r="414" customFormat="false" ht="15.75" hidden="false" customHeight="false" outlineLevel="0" collapsed="false">
      <c r="A414" s="3"/>
      <c r="B414" s="105"/>
      <c r="C414" s="106"/>
      <c r="D414" s="99"/>
      <c r="E414" s="110"/>
      <c r="F414" s="107"/>
      <c r="G414" s="110"/>
      <c r="H414" s="103"/>
      <c r="I414" s="102"/>
      <c r="J414" s="103"/>
      <c r="K414" s="103"/>
      <c r="L414" s="85"/>
      <c r="M414" s="85" t="str">
        <f aca="false">IF(ISBLANK($C414),"",IF(ISBLANK(E414),0,E414))</f>
        <v/>
      </c>
      <c r="N414" s="85" t="str">
        <f aca="false">IF(ISBLANK($C414),"",IF(ISBLANK(F414),0,F414))</f>
        <v/>
      </c>
      <c r="O414" s="86" t="e">
        <f aca="false">IF(AND(NOT(ISBLANK($C414)),NOT($T414),COUNTA($E414:$K414)&gt;0),ISBLANK($F414),FALSE())</f>
        <v>#VALUE!</v>
      </c>
      <c r="P414" s="85" t="str">
        <f aca="false">IF(ISBLANK($C414),"",IF(G414=Constants!$B$9, TRUE(), IF(G414=Constants!$B$10, FALSE(), TRUE())))</f>
        <v/>
      </c>
      <c r="Q414" s="85" t="str">
        <f aca="false">IF(ISBLANK($C414),"",IF(H414=Constants!$B$9, TRUE(), IF(H414=Constants!$B$10, FALSE(), TRUE())))</f>
        <v/>
      </c>
      <c r="R414" s="85" t="str">
        <f aca="false">IF(ISBLANK($C414),"",IF(ISBLANK(I414),Constants!$B$3,I414))</f>
        <v/>
      </c>
      <c r="S414" s="85" t="str">
        <f aca="false">IF(ISBLANK($C414),"",IF(ISBLANK(J414),0,MIN(J414,Constants!$B$6)))</f>
        <v/>
      </c>
      <c r="T414" s="85" t="str">
        <f aca="false">IF(ISBLANK($C414),"",IF(K414=Constants!$B$9, TRUE(), IF(K414=Constants!$B$10, FALSE(),  FALSE())))</f>
        <v/>
      </c>
      <c r="U414" s="85" t="str">
        <f aca="false">IF(ISBLANK($C414),"",AND(R414=Constants!$B$4, S414&lt;Constants!$B$6))</f>
        <v/>
      </c>
      <c r="V414" s="85" t="str">
        <f aca="false">IF(ISBLANK(C414), "", IF(T414, Constants!$B$11, IF(COUNTA(E414:K414)=0, Constants!$B$12, IF(NOT(AND(P414,S414&lt;&gt;0)), Constants!$B$13, IF(O414, Constants!$B$15, Constants!$B$14)))))</f>
        <v/>
      </c>
      <c r="W414" s="85" t="str">
        <f aca="false">IF(OR(ISBLANK($C414), SUMPRODUCT(--(P414:T414&lt;&gt;""))=0), "", IF(V414&lt;&gt;Constants!$B$14, V414, IF(AND(NOT(ISBLANK(J414)),P414,Q414,R414&lt;&gt;Constants!$B$2), Constants!$B$7, IF(AND(P414,OR(NOT(Q414),R414=Constants!$B$2)), Constants!$B$8, "Error"))))</f>
        <v/>
      </c>
      <c r="X414" s="87" t="str">
        <f aca="false">IF(OR(W414=Constants!$B$7,W414=Constants!$B$8), MAX(0, MIN(Constants!$B$6, S414))+IF(AND(R414=Constants!$B$4, NOT(U414)), Constants!$B$5, 0), "")</f>
        <v/>
      </c>
      <c r="Y414" s="85" t="str">
        <f aca="false">IF(ISBLANK($C414),"",IF(AND(ISNUMBER(X414),N414&gt;0),X414/N414, "") )</f>
        <v/>
      </c>
      <c r="Z414" s="85" t="str">
        <f aca="false">IF(AND(NOT(ISBLANK($C414)), W414=Constants!$B$7), Y414, "")</f>
        <v/>
      </c>
      <c r="AA414" s="85" t="str">
        <f aca="false">IF(ISNUMBER(Z414), RANK(Z414,Z$8:Z$507), "")</f>
        <v/>
      </c>
      <c r="AB414" s="85" t="str">
        <f aca="false">IF(AND(NOT(ISBLANK($C414)), W414=Constants!$B$8), Y414, "")</f>
        <v/>
      </c>
      <c r="AC414" s="85" t="str">
        <f aca="false">IF(ISNUMBER(AB414), RANK(AB414,AB$8:AB$507), "")</f>
        <v/>
      </c>
      <c r="AD414" s="85" t="str">
        <f aca="false">IF(ISBLANK($C414),"",IF(V414&lt;&gt;Constants!$B$14, V414, IF(W414=Constants!$B$7, AA414, IF(W414=Constants!$B$8, COUNT($AA$8:$AA$507) + AC414, ""))))</f>
        <v/>
      </c>
      <c r="AE414" s="85" t="str">
        <f aca="false">N414</f>
        <v/>
      </c>
      <c r="AF414" s="85" t="str">
        <f aca="false">IF(ISNUMBER(AE414), RANK(AE414,AE$8:AE$507,1), "")</f>
        <v/>
      </c>
      <c r="AG414" s="88" t="str">
        <f aca="false">IF(ISBLANK(C414), "", ABS(M414-S414))</f>
        <v/>
      </c>
      <c r="AH414" s="85" t="str">
        <f aca="false">IF(ISNUMBER(AG414), RANK(AG414,AG$8:AG$507,1), "")</f>
        <v/>
      </c>
      <c r="AI414" s="85" t="str">
        <f aca="false">IF(ISBLANK(C414),"",IF(V414&lt;&gt;Constants!$B$14, V414, RANK(AD414, AD$8:AD$507, 1)+ SUMPRODUCT(--(AD$8:AD$507=AD414),--(AF414&gt;AF$8:AF$507)) + SUMPRODUCT(--(AD$8:AD$507=AD414),--(AF414=AF$8:AF$507),--(AH414&gt;AH$8:AH$507))))</f>
        <v/>
      </c>
      <c r="AJ414" s="85" t="str">
        <f aca="false">IF(ISBLANK(C414),"",IF(V414&lt;&gt;Constants!$B$14, V414, AD414-AI414))</f>
        <v/>
      </c>
      <c r="AK414" s="89"/>
      <c r="AL414" s="90" t="str">
        <f aca="false">IF(ISBLANK($C414),"",IF($V414&lt;&gt;Constants!$B$14,$V414,X414))</f>
        <v/>
      </c>
      <c r="AM414" s="90" t="str">
        <f aca="false">IF(ISBLANK($C414),"",IF($V414&lt;&gt;Constants!$B$14,$V414,N414))</f>
        <v/>
      </c>
      <c r="AN414" s="91" t="str">
        <f aca="false">IF(ISBLANK(C414),"",IF(V414&lt;&gt;Constants!$B$14, V414, IF(W414=Constants!$B$7,Z414,IF(W414=Constants!$B$8,AB414,""))))</f>
        <v/>
      </c>
      <c r="AO414" s="92" t="str">
        <f aca="false">IF(ISBLANK(C414),"",W414)</f>
        <v/>
      </c>
      <c r="AP414" s="92" t="str">
        <f aca="false">IF(ISBLANK(C414),"",AJ414)</f>
        <v/>
      </c>
      <c r="AQ414" s="92" t="str">
        <f aca="false">IF(ISBLANK(C414),"",AI414)</f>
        <v/>
      </c>
      <c r="AR414" s="93" t="str">
        <f aca="false">IF(ISBLANK(C414),
  "",
IF(AQ414=Constants!$B$11,COUNTA($C$8:$C$507)+2,IF(AQ414=Constants!$B$12,COUNTA($C$8:$C$507)+1,IF(AQ414=Constants!$B$13,COUNTA($C$8:$C$507),AQ414))))</f>
        <v/>
      </c>
      <c r="AS414" s="3"/>
      <c r="AT414" s="94" t="n">
        <f aca="false">IF(OR(ISNUMBER(AQ414),AQ414="DQ",AQ414="P",AQ414="NS"),
    1,
    0
)</f>
        <v>0</v>
      </c>
      <c r="AU414" s="94" t="n">
        <v>407</v>
      </c>
      <c r="AV414" s="94" t="str">
        <f aca="false">IF(ISBLANK($C414),
    "",
   IF(ISNUMBER(AR414),AR414+ROW($B414)/1000,"")
)</f>
        <v/>
      </c>
      <c r="AW414" s="94" t="str">
        <f aca="false">IF(ISNUMBER(AV414), RANK(AV414,AV$8:AV$507,1), "")</f>
        <v/>
      </c>
      <c r="AX414" s="94" t="str">
        <f aca="false">IF(ISBLANK($C414),
    "",
    $B414
)</f>
        <v/>
      </c>
      <c r="AY414" s="94" t="str">
        <f aca="false">IF(ISBLANK($C414),
    "",
    $C414
)</f>
        <v/>
      </c>
      <c r="AZ414" s="94" t="str">
        <f aca="false">IF(ISBLANK($C414),
    "",
    $D414
)</f>
        <v/>
      </c>
      <c r="BA414" s="94" t="str">
        <f aca="false">AO414</f>
        <v/>
      </c>
      <c r="BB414" s="95" t="str">
        <f aca="false">AN414</f>
        <v/>
      </c>
      <c r="BC414" s="94" t="str">
        <f aca="false">IF(ISBLANK($C414),
    "",
    AQ414
)</f>
        <v/>
      </c>
      <c r="BD414" s="96" t="str">
        <f aca="false">IF(AU414&gt;AT$7,
    "",
    VLOOKUP(AU414,AW$8:BC$507,7,FALSE())
)</f>
        <v/>
      </c>
      <c r="BE414" s="97" t="str">
        <f aca="false">IF(AU414&gt;AT$7,
    "",
    VLOOKUP(AU414,AW$8:BC$507,2,FALSE())
)</f>
        <v/>
      </c>
      <c r="BF414" s="97" t="str">
        <f aca="false">IF(AU414&gt;AT$7,
    "",
    VLOOKUP(AU414,AW$8:BC$507,3,FALSE())
)</f>
        <v/>
      </c>
      <c r="BG414" s="97" t="str">
        <f aca="false">IF(AU414&gt;AT$7,
    "",
    VLOOKUP(AU414,AW$8:BC$507,4,FALSE())
)</f>
        <v/>
      </c>
      <c r="BH414" s="97" t="str">
        <f aca="false">IF(AU414&gt;AT$7,
    "",
    VLOOKUP(AU414,AW$8:BC$507,5,FALSE())
)</f>
        <v/>
      </c>
      <c r="BI414" s="98" t="str">
        <f aca="false">IF(AU414&gt;AT$7,
    "",
    VLOOKUP(AU414,AW$8:BC$507,6,FALSE())
)</f>
        <v/>
      </c>
      <c r="BJ414" s="46"/>
    </row>
    <row r="415" customFormat="false" ht="15.75" hidden="false" customHeight="false" outlineLevel="0" collapsed="false">
      <c r="A415" s="3"/>
      <c r="B415" s="105"/>
      <c r="C415" s="106"/>
      <c r="D415" s="99"/>
      <c r="E415" s="110"/>
      <c r="F415" s="107"/>
      <c r="G415" s="110"/>
      <c r="H415" s="103"/>
      <c r="I415" s="102"/>
      <c r="J415" s="103"/>
      <c r="K415" s="103"/>
      <c r="L415" s="85"/>
      <c r="M415" s="85" t="str">
        <f aca="false">IF(ISBLANK($C415),"",IF(ISBLANK(E415),0,E415))</f>
        <v/>
      </c>
      <c r="N415" s="85" t="str">
        <f aca="false">IF(ISBLANK($C415),"",IF(ISBLANK(F415),0,F415))</f>
        <v/>
      </c>
      <c r="O415" s="86" t="e">
        <f aca="false">IF(AND(NOT(ISBLANK($C415)),NOT($T415),COUNTA($E415:$K415)&gt;0),ISBLANK($F415),FALSE())</f>
        <v>#VALUE!</v>
      </c>
      <c r="P415" s="85" t="str">
        <f aca="false">IF(ISBLANK($C415),"",IF(G415=Constants!$B$9, TRUE(), IF(G415=Constants!$B$10, FALSE(), TRUE())))</f>
        <v/>
      </c>
      <c r="Q415" s="85" t="str">
        <f aca="false">IF(ISBLANK($C415),"",IF(H415=Constants!$B$9, TRUE(), IF(H415=Constants!$B$10, FALSE(), TRUE())))</f>
        <v/>
      </c>
      <c r="R415" s="85" t="str">
        <f aca="false">IF(ISBLANK($C415),"",IF(ISBLANK(I415),Constants!$B$3,I415))</f>
        <v/>
      </c>
      <c r="S415" s="85" t="str">
        <f aca="false">IF(ISBLANK($C415),"",IF(ISBLANK(J415),0,MIN(J415,Constants!$B$6)))</f>
        <v/>
      </c>
      <c r="T415" s="85" t="str">
        <f aca="false">IF(ISBLANK($C415),"",IF(K415=Constants!$B$9, TRUE(), IF(K415=Constants!$B$10, FALSE(),  FALSE())))</f>
        <v/>
      </c>
      <c r="U415" s="85" t="str">
        <f aca="false">IF(ISBLANK($C415),"",AND(R415=Constants!$B$4, S415&lt;Constants!$B$6))</f>
        <v/>
      </c>
      <c r="V415" s="85" t="str">
        <f aca="false">IF(ISBLANK(C415), "", IF(T415, Constants!$B$11, IF(COUNTA(E415:K415)=0, Constants!$B$12, IF(NOT(AND(P415,S415&lt;&gt;0)), Constants!$B$13, IF(O415, Constants!$B$15, Constants!$B$14)))))</f>
        <v/>
      </c>
      <c r="W415" s="85" t="str">
        <f aca="false">IF(OR(ISBLANK($C415), SUMPRODUCT(--(P415:T415&lt;&gt;""))=0), "", IF(V415&lt;&gt;Constants!$B$14, V415, IF(AND(NOT(ISBLANK(J415)),P415,Q415,R415&lt;&gt;Constants!$B$2), Constants!$B$7, IF(AND(P415,OR(NOT(Q415),R415=Constants!$B$2)), Constants!$B$8, "Error"))))</f>
        <v/>
      </c>
      <c r="X415" s="87" t="str">
        <f aca="false">IF(OR(W415=Constants!$B$7,W415=Constants!$B$8), MAX(0, MIN(Constants!$B$6, S415))+IF(AND(R415=Constants!$B$4, NOT(U415)), Constants!$B$5, 0), "")</f>
        <v/>
      </c>
      <c r="Y415" s="85" t="str">
        <f aca="false">IF(ISBLANK($C415),"",IF(AND(ISNUMBER(X415),N415&gt;0),X415/N415, "") )</f>
        <v/>
      </c>
      <c r="Z415" s="85" t="str">
        <f aca="false">IF(AND(NOT(ISBLANK($C415)), W415=Constants!$B$7), Y415, "")</f>
        <v/>
      </c>
      <c r="AA415" s="85" t="str">
        <f aca="false">IF(ISNUMBER(Z415), RANK(Z415,Z$8:Z$507), "")</f>
        <v/>
      </c>
      <c r="AB415" s="85" t="str">
        <f aca="false">IF(AND(NOT(ISBLANK($C415)), W415=Constants!$B$8), Y415, "")</f>
        <v/>
      </c>
      <c r="AC415" s="85" t="str">
        <f aca="false">IF(ISNUMBER(AB415), RANK(AB415,AB$8:AB$507), "")</f>
        <v/>
      </c>
      <c r="AD415" s="85" t="str">
        <f aca="false">IF(ISBLANK($C415),"",IF(V415&lt;&gt;Constants!$B$14, V415, IF(W415=Constants!$B$7, AA415, IF(W415=Constants!$B$8, COUNT($AA$8:$AA$507) + AC415, ""))))</f>
        <v/>
      </c>
      <c r="AE415" s="85" t="str">
        <f aca="false">N415</f>
        <v/>
      </c>
      <c r="AF415" s="85" t="str">
        <f aca="false">IF(ISNUMBER(AE415), RANK(AE415,AE$8:AE$507,1), "")</f>
        <v/>
      </c>
      <c r="AG415" s="88" t="str">
        <f aca="false">IF(ISBLANK(C415), "", ABS(M415-S415))</f>
        <v/>
      </c>
      <c r="AH415" s="85" t="str">
        <f aca="false">IF(ISNUMBER(AG415), RANK(AG415,AG$8:AG$507,1), "")</f>
        <v/>
      </c>
      <c r="AI415" s="85" t="str">
        <f aca="false">IF(ISBLANK(C415),"",IF(V415&lt;&gt;Constants!$B$14, V415, RANK(AD415, AD$8:AD$507, 1)+ SUMPRODUCT(--(AD$8:AD$507=AD415),--(AF415&gt;AF$8:AF$507)) + SUMPRODUCT(--(AD$8:AD$507=AD415),--(AF415=AF$8:AF$507),--(AH415&gt;AH$8:AH$507))))</f>
        <v/>
      </c>
      <c r="AJ415" s="85" t="str">
        <f aca="false">IF(ISBLANK(C415),"",IF(V415&lt;&gt;Constants!$B$14, V415, AD415-AI415))</f>
        <v/>
      </c>
      <c r="AK415" s="89"/>
      <c r="AL415" s="90" t="str">
        <f aca="false">IF(ISBLANK($C415),"",IF($V415&lt;&gt;Constants!$B$14,$V415,X415))</f>
        <v/>
      </c>
      <c r="AM415" s="90" t="str">
        <f aca="false">IF(ISBLANK($C415),"",IF($V415&lt;&gt;Constants!$B$14,$V415,N415))</f>
        <v/>
      </c>
      <c r="AN415" s="91" t="str">
        <f aca="false">IF(ISBLANK(C415),"",IF(V415&lt;&gt;Constants!$B$14, V415, IF(W415=Constants!$B$7,Z415,IF(W415=Constants!$B$8,AB415,""))))</f>
        <v/>
      </c>
      <c r="AO415" s="92" t="str">
        <f aca="false">IF(ISBLANK(C415),"",W415)</f>
        <v/>
      </c>
      <c r="AP415" s="92" t="str">
        <f aca="false">IF(ISBLANK(C415),"",AJ415)</f>
        <v/>
      </c>
      <c r="AQ415" s="92" t="str">
        <f aca="false">IF(ISBLANK(C415),"",AI415)</f>
        <v/>
      </c>
      <c r="AR415" s="93" t="str">
        <f aca="false">IF(ISBLANK(C415),
  "",
IF(AQ415=Constants!$B$11,COUNTA($C$8:$C$507)+2,IF(AQ415=Constants!$B$12,COUNTA($C$8:$C$507)+1,IF(AQ415=Constants!$B$13,COUNTA($C$8:$C$507),AQ415))))</f>
        <v/>
      </c>
      <c r="AS415" s="3"/>
      <c r="AT415" s="94" t="n">
        <f aca="false">IF(OR(ISNUMBER(AQ415),AQ415="DQ",AQ415="P",AQ415="NS"),
    1,
    0
)</f>
        <v>0</v>
      </c>
      <c r="AU415" s="94" t="n">
        <v>408</v>
      </c>
      <c r="AV415" s="94" t="str">
        <f aca="false">IF(ISBLANK($C415),
    "",
   IF(ISNUMBER(AR415),AR415+ROW($B415)/1000,"")
)</f>
        <v/>
      </c>
      <c r="AW415" s="94" t="str">
        <f aca="false">IF(ISNUMBER(AV415), RANK(AV415,AV$8:AV$507,1), "")</f>
        <v/>
      </c>
      <c r="AX415" s="94" t="str">
        <f aca="false">IF(ISBLANK($C415),
    "",
    $B415
)</f>
        <v/>
      </c>
      <c r="AY415" s="94" t="str">
        <f aca="false">IF(ISBLANK($C415),
    "",
    $C415
)</f>
        <v/>
      </c>
      <c r="AZ415" s="94" t="str">
        <f aca="false">IF(ISBLANK($C415),
    "",
    $D415
)</f>
        <v/>
      </c>
      <c r="BA415" s="94" t="str">
        <f aca="false">AO415</f>
        <v/>
      </c>
      <c r="BB415" s="95" t="str">
        <f aca="false">AN415</f>
        <v/>
      </c>
      <c r="BC415" s="94" t="str">
        <f aca="false">IF(ISBLANK($C415),
    "",
    AQ415
)</f>
        <v/>
      </c>
      <c r="BD415" s="96" t="str">
        <f aca="false">IF(AU415&gt;AT$7,
    "",
    VLOOKUP(AU415,AW$8:BC$507,7,FALSE())
)</f>
        <v/>
      </c>
      <c r="BE415" s="97" t="str">
        <f aca="false">IF(AU415&gt;AT$7,
    "",
    VLOOKUP(AU415,AW$8:BC$507,2,FALSE())
)</f>
        <v/>
      </c>
      <c r="BF415" s="97" t="str">
        <f aca="false">IF(AU415&gt;AT$7,
    "",
    VLOOKUP(AU415,AW$8:BC$507,3,FALSE())
)</f>
        <v/>
      </c>
      <c r="BG415" s="97" t="str">
        <f aca="false">IF(AU415&gt;AT$7,
    "",
    VLOOKUP(AU415,AW$8:BC$507,4,FALSE())
)</f>
        <v/>
      </c>
      <c r="BH415" s="97" t="str">
        <f aca="false">IF(AU415&gt;AT$7,
    "",
    VLOOKUP(AU415,AW$8:BC$507,5,FALSE())
)</f>
        <v/>
      </c>
      <c r="BI415" s="98" t="str">
        <f aca="false">IF(AU415&gt;AT$7,
    "",
    VLOOKUP(AU415,AW$8:BC$507,6,FALSE())
)</f>
        <v/>
      </c>
      <c r="BJ415" s="46"/>
    </row>
    <row r="416" customFormat="false" ht="15.75" hidden="false" customHeight="false" outlineLevel="0" collapsed="false">
      <c r="A416" s="3"/>
      <c r="B416" s="108"/>
      <c r="C416" s="70"/>
      <c r="D416" s="49"/>
      <c r="E416" s="109"/>
      <c r="F416" s="72"/>
      <c r="G416" s="109"/>
      <c r="H416" s="74"/>
      <c r="I416" s="104"/>
      <c r="J416" s="74"/>
      <c r="K416" s="74"/>
      <c r="L416" s="55"/>
      <c r="M416" s="55" t="str">
        <f aca="false">IF(ISBLANK($C416),"",IF(ISBLANK(E416),0,E416))</f>
        <v/>
      </c>
      <c r="N416" s="55" t="str">
        <f aca="false">IF(ISBLANK($C416),"",IF(ISBLANK(F416),0,F416))</f>
        <v/>
      </c>
      <c r="O416" s="55" t="e">
        <f aca="false">IF(AND(NOT(ISBLANK($C416)),NOT($T416),COUNTA($E416:$K416)&gt;0),ISBLANK($F416),FALSE())</f>
        <v>#VALUE!</v>
      </c>
      <c r="P416" s="55" t="str">
        <f aca="false">IF(ISBLANK($C416),"",IF(G416=Constants!$B$9, TRUE(), IF(G416=Constants!$B$10, FALSE(), TRUE())))</f>
        <v/>
      </c>
      <c r="Q416" s="55" t="str">
        <f aca="false">IF(ISBLANK($C416),"",IF(H416=Constants!$B$9, TRUE(), IF(H416=Constants!$B$10, FALSE(), TRUE())))</f>
        <v/>
      </c>
      <c r="R416" s="55" t="str">
        <f aca="false">IF(ISBLANK($C416),"",IF(ISBLANK(I416),Constants!$B$3,I416))</f>
        <v/>
      </c>
      <c r="S416" s="55" t="str">
        <f aca="false">IF(ISBLANK($C416),"",IF(ISBLANK(J416),0,MIN(J416,Constants!$B$6)))</f>
        <v/>
      </c>
      <c r="T416" s="55" t="str">
        <f aca="false">IF(ISBLANK($C416),"",IF(K416=Constants!$B$9, TRUE(), IF(K416=Constants!$B$10, FALSE(),  FALSE())))</f>
        <v/>
      </c>
      <c r="U416" s="55" t="str">
        <f aca="false">IF(ISBLANK($C416),"",AND(R416=Constants!$B$4, S416&lt;Constants!$B$6))</f>
        <v/>
      </c>
      <c r="V416" s="55" t="str">
        <f aca="false">IF(ISBLANK(C416), "", IF(T416, Constants!$B$11, IF(COUNTA(E416:K416)=0, Constants!$B$12, IF(NOT(AND(P416,S416&lt;&gt;0)), Constants!$B$13, IF(O416, Constants!$B$15, Constants!$B$14)))))</f>
        <v/>
      </c>
      <c r="W416" s="55" t="str">
        <f aca="false">IF(OR(ISBLANK($C416), SUMPRODUCT(--(P416:T416&lt;&gt;""))=0), "", IF(V416&lt;&gt;Constants!$B$14, V416, IF(AND(NOT(ISBLANK(J416)),P416,Q416,R416&lt;&gt;Constants!$B$2), Constants!$B$7, IF(AND(P416,OR(NOT(Q416),R416=Constants!$B$2)), Constants!$B$8, "Error"))))</f>
        <v/>
      </c>
      <c r="X416" s="56" t="str">
        <f aca="false">IF(OR(W416=Constants!$B$7,W416=Constants!$B$8), MAX(0, MIN(Constants!$B$6, S416))+IF(AND(R416=Constants!$B$4, NOT(U416)), Constants!$B$5, 0), "")</f>
        <v/>
      </c>
      <c r="Y416" s="55" t="str">
        <f aca="false">IF(ISBLANK($C416),"",IF(AND(ISNUMBER(X416),N416&gt;0),X416/N416, "") )</f>
        <v/>
      </c>
      <c r="Z416" s="55" t="str">
        <f aca="false">IF(AND(NOT(ISBLANK($C416)), W416=Constants!$B$7), Y416, "")</f>
        <v/>
      </c>
      <c r="AA416" s="55" t="str">
        <f aca="false">IF(ISNUMBER(Z416), RANK(Z416,Z$8:Z$507), "")</f>
        <v/>
      </c>
      <c r="AB416" s="55" t="str">
        <f aca="false">IF(AND(NOT(ISBLANK($C416)), W416=Constants!$B$8), Y416, "")</f>
        <v/>
      </c>
      <c r="AC416" s="55" t="str">
        <f aca="false">IF(ISNUMBER(AB416), RANK(AB416,AB$8:AB$507), "")</f>
        <v/>
      </c>
      <c r="AD416" s="55" t="str">
        <f aca="false">IF(ISBLANK($C416),"",IF(V416&lt;&gt;Constants!$B$14, V416, IF(W416=Constants!$B$7, AA416, IF(W416=Constants!$B$8, COUNT($AA$8:$AA$507) + AC416, ""))))</f>
        <v/>
      </c>
      <c r="AE416" s="55" t="str">
        <f aca="false">N416</f>
        <v/>
      </c>
      <c r="AF416" s="55" t="str">
        <f aca="false">IF(ISNUMBER(AE416), RANK(AE416,AE$8:AE$507,1), "")</f>
        <v/>
      </c>
      <c r="AG416" s="57" t="str">
        <f aca="false">IF(ISBLANK(C416), "", ABS(M416-S416))</f>
        <v/>
      </c>
      <c r="AH416" s="55" t="str">
        <f aca="false">IF(ISNUMBER(AG416), RANK(AG416,AG$8:AG$507,1), "")</f>
        <v/>
      </c>
      <c r="AI416" s="55" t="str">
        <f aca="false">IF(ISBLANK(C416),"",IF(V416&lt;&gt;Constants!$B$14, V416, RANK(AD416, AD$8:AD$507, 1)+ SUMPRODUCT(--(AD$8:AD$507=AD416),--(AF416&gt;AF$8:AF$507)) + SUMPRODUCT(--(AD$8:AD$507=AD416),--(AF416=AF$8:AF$507),--(AH416&gt;AH$8:AH$507))))</f>
        <v/>
      </c>
      <c r="AJ416" s="55" t="str">
        <f aca="false">IF(ISBLANK(C416),"",IF(V416&lt;&gt;Constants!$B$14, V416, AD416-AI416))</f>
        <v/>
      </c>
      <c r="AK416" s="59"/>
      <c r="AL416" s="60" t="str">
        <f aca="false">IF(ISBLANK($C416),"",IF($V416&lt;&gt;Constants!$B$14,$V416,X416))</f>
        <v/>
      </c>
      <c r="AM416" s="60" t="str">
        <f aca="false">IF(ISBLANK($C416),"",IF($V416&lt;&gt;Constants!$B$14,$V416,N416))</f>
        <v/>
      </c>
      <c r="AN416" s="62" t="str">
        <f aca="false">IF(ISBLANK(C416),"",IF(V416&lt;&gt;Constants!$B$14, V416, IF(W416=Constants!$B$7,Z416,IF(W416=Constants!$B$8,AB416,""))))</f>
        <v/>
      </c>
      <c r="AO416" s="63" t="str">
        <f aca="false">IF(ISBLANK(C416),"",W416)</f>
        <v/>
      </c>
      <c r="AP416" s="63" t="str">
        <f aca="false">IF(ISBLANK(C416),"",AJ416)</f>
        <v/>
      </c>
      <c r="AQ416" s="63" t="str">
        <f aca="false">IF(ISBLANK(C416),"",AI416)</f>
        <v/>
      </c>
      <c r="AR416" s="64" t="str">
        <f aca="false">IF(ISBLANK(C416),
  "",
IF(AQ416=Constants!$B$11,COUNTA($C$8:$C$507)+2,IF(AQ416=Constants!$B$12,COUNTA($C$8:$C$507)+1,IF(AQ416=Constants!$B$13,COUNTA($C$8:$C$507),AQ416))))</f>
        <v/>
      </c>
      <c r="AS416" s="3"/>
      <c r="AT416" s="65" t="n">
        <f aca="false">IF(OR(ISNUMBER(AQ416),AQ416="DQ",AQ416="P",AQ416="NS"),
    1,
    0
)</f>
        <v>0</v>
      </c>
      <c r="AU416" s="65" t="n">
        <v>409</v>
      </c>
      <c r="AV416" s="65" t="str">
        <f aca="false">IF(ISBLANK($C416),
    "",
   IF(ISNUMBER(AR416),AR416+ROW($B416)/1000,"")
)</f>
        <v/>
      </c>
      <c r="AW416" s="65" t="str">
        <f aca="false">IF(ISNUMBER(AV416), RANK(AV416,AV$8:AV$507,1), "")</f>
        <v/>
      </c>
      <c r="AX416" s="65" t="str">
        <f aca="false">IF(ISBLANK($C416),
    "",
    $B416
)</f>
        <v/>
      </c>
      <c r="AY416" s="65" t="str">
        <f aca="false">IF(ISBLANK($C416),
    "",
    $C416
)</f>
        <v/>
      </c>
      <c r="AZ416" s="65" t="str">
        <f aca="false">IF(ISBLANK($C416),
    "",
    $D416
)</f>
        <v/>
      </c>
      <c r="BA416" s="65" t="str">
        <f aca="false">AO416</f>
        <v/>
      </c>
      <c r="BB416" s="66" t="str">
        <f aca="false">AN416</f>
        <v/>
      </c>
      <c r="BC416" s="65" t="str">
        <f aca="false">IF(ISBLANK($C416),
    "",
    AQ416
)</f>
        <v/>
      </c>
      <c r="BD416" s="67" t="str">
        <f aca="false">IF(AU416&gt;AT$7,
    "",
    VLOOKUP(AU416,AW$8:BC$507,7,FALSE())
)</f>
        <v/>
      </c>
      <c r="BE416" s="68" t="str">
        <f aca="false">IF(AU416&gt;AT$7,
    "",
    VLOOKUP(AU416,AW$8:BC$507,2,FALSE())
)</f>
        <v/>
      </c>
      <c r="BF416" s="68" t="str">
        <f aca="false">IF(AU416&gt;AT$7,
    "",
    VLOOKUP(AU416,AW$8:BC$507,3,FALSE())
)</f>
        <v/>
      </c>
      <c r="BG416" s="68" t="str">
        <f aca="false">IF(AU416&gt;AT$7,
    "",
    VLOOKUP(AU416,AW$8:BC$507,4,FALSE())
)</f>
        <v/>
      </c>
      <c r="BH416" s="68" t="str">
        <f aca="false">IF(AU416&gt;AT$7,
    "",
    VLOOKUP(AU416,AW$8:BC$507,5,FALSE())
)</f>
        <v/>
      </c>
      <c r="BI416" s="69" t="str">
        <f aca="false">IF(AU416&gt;AT$7,
    "",
    VLOOKUP(AU416,AW$8:BC$507,6,FALSE())
)</f>
        <v/>
      </c>
      <c r="BJ416" s="46"/>
    </row>
    <row r="417" customFormat="false" ht="15.75" hidden="false" customHeight="false" outlineLevel="0" collapsed="false">
      <c r="A417" s="3"/>
      <c r="B417" s="108"/>
      <c r="C417" s="70"/>
      <c r="D417" s="49"/>
      <c r="E417" s="109"/>
      <c r="F417" s="72"/>
      <c r="G417" s="109"/>
      <c r="H417" s="74"/>
      <c r="I417" s="104"/>
      <c r="J417" s="74"/>
      <c r="K417" s="74"/>
      <c r="L417" s="55"/>
      <c r="M417" s="55" t="str">
        <f aca="false">IF(ISBLANK($C417),"",IF(ISBLANK(E417),0,E417))</f>
        <v/>
      </c>
      <c r="N417" s="55" t="str">
        <f aca="false">IF(ISBLANK($C417),"",IF(ISBLANK(F417),0,F417))</f>
        <v/>
      </c>
      <c r="O417" s="55" t="e">
        <f aca="false">IF(AND(NOT(ISBLANK($C417)),NOT($T417),COUNTA($E417:$K417)&gt;0),ISBLANK($F417),FALSE())</f>
        <v>#VALUE!</v>
      </c>
      <c r="P417" s="55" t="str">
        <f aca="false">IF(ISBLANK($C417),"",IF(G417=Constants!$B$9, TRUE(), IF(G417=Constants!$B$10, FALSE(), TRUE())))</f>
        <v/>
      </c>
      <c r="Q417" s="55" t="str">
        <f aca="false">IF(ISBLANK($C417),"",IF(H417=Constants!$B$9, TRUE(), IF(H417=Constants!$B$10, FALSE(), TRUE())))</f>
        <v/>
      </c>
      <c r="R417" s="55" t="str">
        <f aca="false">IF(ISBLANK($C417),"",IF(ISBLANK(I417),Constants!$B$3,I417))</f>
        <v/>
      </c>
      <c r="S417" s="55" t="str">
        <f aca="false">IF(ISBLANK($C417),"",IF(ISBLANK(J417),0,MIN(J417,Constants!$B$6)))</f>
        <v/>
      </c>
      <c r="T417" s="55" t="str">
        <f aca="false">IF(ISBLANK($C417),"",IF(K417=Constants!$B$9, TRUE(), IF(K417=Constants!$B$10, FALSE(),  FALSE())))</f>
        <v/>
      </c>
      <c r="U417" s="55" t="str">
        <f aca="false">IF(ISBLANK($C417),"",AND(R417=Constants!$B$4, S417&lt;Constants!$B$6))</f>
        <v/>
      </c>
      <c r="V417" s="55" t="str">
        <f aca="false">IF(ISBLANK(C417), "", IF(T417, Constants!$B$11, IF(COUNTA(E417:K417)=0, Constants!$B$12, IF(NOT(AND(P417,S417&lt;&gt;0)), Constants!$B$13, IF(O417, Constants!$B$15, Constants!$B$14)))))</f>
        <v/>
      </c>
      <c r="W417" s="55" t="str">
        <f aca="false">IF(OR(ISBLANK($C417), SUMPRODUCT(--(P417:T417&lt;&gt;""))=0), "", IF(V417&lt;&gt;Constants!$B$14, V417, IF(AND(NOT(ISBLANK(J417)),P417,Q417,R417&lt;&gt;Constants!$B$2), Constants!$B$7, IF(AND(P417,OR(NOT(Q417),R417=Constants!$B$2)), Constants!$B$8, "Error"))))</f>
        <v/>
      </c>
      <c r="X417" s="56" t="str">
        <f aca="false">IF(OR(W417=Constants!$B$7,W417=Constants!$B$8), MAX(0, MIN(Constants!$B$6, S417))+IF(AND(R417=Constants!$B$4, NOT(U417)), Constants!$B$5, 0), "")</f>
        <v/>
      </c>
      <c r="Y417" s="55" t="str">
        <f aca="false">IF(ISBLANK($C417),"",IF(AND(ISNUMBER(X417),N417&gt;0),X417/N417, "") )</f>
        <v/>
      </c>
      <c r="Z417" s="55" t="str">
        <f aca="false">IF(AND(NOT(ISBLANK($C417)), W417=Constants!$B$7), Y417, "")</f>
        <v/>
      </c>
      <c r="AA417" s="55" t="str">
        <f aca="false">IF(ISNUMBER(Z417), RANK(Z417,Z$8:Z$507), "")</f>
        <v/>
      </c>
      <c r="AB417" s="55" t="str">
        <f aca="false">IF(AND(NOT(ISBLANK($C417)), W417=Constants!$B$8), Y417, "")</f>
        <v/>
      </c>
      <c r="AC417" s="55" t="str">
        <f aca="false">IF(ISNUMBER(AB417), RANK(AB417,AB$8:AB$507), "")</f>
        <v/>
      </c>
      <c r="AD417" s="55" t="str">
        <f aca="false">IF(ISBLANK($C417),"",IF(V417&lt;&gt;Constants!$B$14, V417, IF(W417=Constants!$B$7, AA417, IF(W417=Constants!$B$8, COUNT($AA$8:$AA$507) + AC417, ""))))</f>
        <v/>
      </c>
      <c r="AE417" s="55" t="str">
        <f aca="false">N417</f>
        <v/>
      </c>
      <c r="AF417" s="55" t="str">
        <f aca="false">IF(ISNUMBER(AE417), RANK(AE417,AE$8:AE$507,1), "")</f>
        <v/>
      </c>
      <c r="AG417" s="57" t="str">
        <f aca="false">IF(ISBLANK(C417), "", ABS(M417-S417))</f>
        <v/>
      </c>
      <c r="AH417" s="55" t="str">
        <f aca="false">IF(ISNUMBER(AG417), RANK(AG417,AG$8:AG$507,1), "")</f>
        <v/>
      </c>
      <c r="AI417" s="55" t="str">
        <f aca="false">IF(ISBLANK(C417),"",IF(V417&lt;&gt;Constants!$B$14, V417, RANK(AD417, AD$8:AD$507, 1)+ SUMPRODUCT(--(AD$8:AD$507=AD417),--(AF417&gt;AF$8:AF$507)) + SUMPRODUCT(--(AD$8:AD$507=AD417),--(AF417=AF$8:AF$507),--(AH417&gt;AH$8:AH$507))))</f>
        <v/>
      </c>
      <c r="AJ417" s="55" t="str">
        <f aca="false">IF(ISBLANK(C417),"",IF(V417&lt;&gt;Constants!$B$14, V417, AD417-AI417))</f>
        <v/>
      </c>
      <c r="AK417" s="59"/>
      <c r="AL417" s="60" t="str">
        <f aca="false">IF(ISBLANK($C417),"",IF($V417&lt;&gt;Constants!$B$14,$V417,X417))</f>
        <v/>
      </c>
      <c r="AM417" s="60" t="str">
        <f aca="false">IF(ISBLANK($C417),"",IF($V417&lt;&gt;Constants!$B$14,$V417,N417))</f>
        <v/>
      </c>
      <c r="AN417" s="62" t="str">
        <f aca="false">IF(ISBLANK(C417),"",IF(V417&lt;&gt;Constants!$B$14, V417, IF(W417=Constants!$B$7,Z417,IF(W417=Constants!$B$8,AB417,""))))</f>
        <v/>
      </c>
      <c r="AO417" s="63" t="str">
        <f aca="false">IF(ISBLANK(C417),"",W417)</f>
        <v/>
      </c>
      <c r="AP417" s="63" t="str">
        <f aca="false">IF(ISBLANK(C417),"",AJ417)</f>
        <v/>
      </c>
      <c r="AQ417" s="63" t="str">
        <f aca="false">IF(ISBLANK(C417),"",AI417)</f>
        <v/>
      </c>
      <c r="AR417" s="64" t="str">
        <f aca="false">IF(ISBLANK(C417),
  "",
IF(AQ417=Constants!$B$11,COUNTA($C$8:$C$507)+2,IF(AQ417=Constants!$B$12,COUNTA($C$8:$C$507)+1,IF(AQ417=Constants!$B$13,COUNTA($C$8:$C$507),AQ417))))</f>
        <v/>
      </c>
      <c r="AS417" s="3"/>
      <c r="AT417" s="65" t="n">
        <f aca="false">IF(OR(ISNUMBER(AQ417),AQ417="DQ",AQ417="P",AQ417="NS"),
    1,
    0
)</f>
        <v>0</v>
      </c>
      <c r="AU417" s="65" t="n">
        <v>410</v>
      </c>
      <c r="AV417" s="65" t="str">
        <f aca="false">IF(ISBLANK($C417),
    "",
   IF(ISNUMBER(AR417),AR417+ROW($B417)/1000,"")
)</f>
        <v/>
      </c>
      <c r="AW417" s="65" t="str">
        <f aca="false">IF(ISNUMBER(AV417), RANK(AV417,AV$8:AV$507,1), "")</f>
        <v/>
      </c>
      <c r="AX417" s="65" t="str">
        <f aca="false">IF(ISBLANK($C417),
    "",
    $B417
)</f>
        <v/>
      </c>
      <c r="AY417" s="65" t="str">
        <f aca="false">IF(ISBLANK($C417),
    "",
    $C417
)</f>
        <v/>
      </c>
      <c r="AZ417" s="65" t="str">
        <f aca="false">IF(ISBLANK($C417),
    "",
    $D417
)</f>
        <v/>
      </c>
      <c r="BA417" s="65" t="str">
        <f aca="false">AO417</f>
        <v/>
      </c>
      <c r="BB417" s="66" t="str">
        <f aca="false">AN417</f>
        <v/>
      </c>
      <c r="BC417" s="65" t="str">
        <f aca="false">IF(ISBLANK($C417),
    "",
    AQ417
)</f>
        <v/>
      </c>
      <c r="BD417" s="67" t="str">
        <f aca="false">IF(AU417&gt;AT$7,
    "",
    VLOOKUP(AU417,AW$8:BC$507,7,FALSE())
)</f>
        <v/>
      </c>
      <c r="BE417" s="68" t="str">
        <f aca="false">IF(AU417&gt;AT$7,
    "",
    VLOOKUP(AU417,AW$8:BC$507,2,FALSE())
)</f>
        <v/>
      </c>
      <c r="BF417" s="68" t="str">
        <f aca="false">IF(AU417&gt;AT$7,
    "",
    VLOOKUP(AU417,AW$8:BC$507,3,FALSE())
)</f>
        <v/>
      </c>
      <c r="BG417" s="68" t="str">
        <f aca="false">IF(AU417&gt;AT$7,
    "",
    VLOOKUP(AU417,AW$8:BC$507,4,FALSE())
)</f>
        <v/>
      </c>
      <c r="BH417" s="68" t="str">
        <f aca="false">IF(AU417&gt;AT$7,
    "",
    VLOOKUP(AU417,AW$8:BC$507,5,FALSE())
)</f>
        <v/>
      </c>
      <c r="BI417" s="69" t="str">
        <f aca="false">IF(AU417&gt;AT$7,
    "",
    VLOOKUP(AU417,AW$8:BC$507,6,FALSE())
)</f>
        <v/>
      </c>
      <c r="BJ417" s="46"/>
    </row>
    <row r="418" customFormat="false" ht="15.75" hidden="false" customHeight="false" outlineLevel="0" collapsed="false">
      <c r="A418" s="3"/>
      <c r="B418" s="108"/>
      <c r="C418" s="70"/>
      <c r="D418" s="49"/>
      <c r="E418" s="109"/>
      <c r="F418" s="72"/>
      <c r="G418" s="109"/>
      <c r="H418" s="74"/>
      <c r="I418" s="104"/>
      <c r="J418" s="74"/>
      <c r="K418" s="74"/>
      <c r="L418" s="55"/>
      <c r="M418" s="55" t="str">
        <f aca="false">IF(ISBLANK($C418),"",IF(ISBLANK(E418),0,E418))</f>
        <v/>
      </c>
      <c r="N418" s="55" t="str">
        <f aca="false">IF(ISBLANK($C418),"",IF(ISBLANK(F418),0,F418))</f>
        <v/>
      </c>
      <c r="O418" s="55" t="e">
        <f aca="false">IF(AND(NOT(ISBLANK($C418)),NOT($T418),COUNTA($E418:$K418)&gt;0),ISBLANK($F418),FALSE())</f>
        <v>#VALUE!</v>
      </c>
      <c r="P418" s="55" t="str">
        <f aca="false">IF(ISBLANK($C418),"",IF(G418=Constants!$B$9, TRUE(), IF(G418=Constants!$B$10, FALSE(), TRUE())))</f>
        <v/>
      </c>
      <c r="Q418" s="55" t="str">
        <f aca="false">IF(ISBLANK($C418),"",IF(H418=Constants!$B$9, TRUE(), IF(H418=Constants!$B$10, FALSE(), TRUE())))</f>
        <v/>
      </c>
      <c r="R418" s="55" t="str">
        <f aca="false">IF(ISBLANK($C418),"",IF(ISBLANK(I418),Constants!$B$3,I418))</f>
        <v/>
      </c>
      <c r="S418" s="55" t="str">
        <f aca="false">IF(ISBLANK($C418),"",IF(ISBLANK(J418),0,MIN(J418,Constants!$B$6)))</f>
        <v/>
      </c>
      <c r="T418" s="55" t="str">
        <f aca="false">IF(ISBLANK($C418),"",IF(K418=Constants!$B$9, TRUE(), IF(K418=Constants!$B$10, FALSE(),  FALSE())))</f>
        <v/>
      </c>
      <c r="U418" s="55" t="str">
        <f aca="false">IF(ISBLANK($C418),"",AND(R418=Constants!$B$4, S418&lt;Constants!$B$6))</f>
        <v/>
      </c>
      <c r="V418" s="55" t="str">
        <f aca="false">IF(ISBLANK(C418), "", IF(T418, Constants!$B$11, IF(COUNTA(E418:K418)=0, Constants!$B$12, IF(NOT(AND(P418,S418&lt;&gt;0)), Constants!$B$13, IF(O418, Constants!$B$15, Constants!$B$14)))))</f>
        <v/>
      </c>
      <c r="W418" s="55" t="str">
        <f aca="false">IF(OR(ISBLANK($C418), SUMPRODUCT(--(P418:T418&lt;&gt;""))=0), "", IF(V418&lt;&gt;Constants!$B$14, V418, IF(AND(NOT(ISBLANK(J418)),P418,Q418,R418&lt;&gt;Constants!$B$2), Constants!$B$7, IF(AND(P418,OR(NOT(Q418),R418=Constants!$B$2)), Constants!$B$8, "Error"))))</f>
        <v/>
      </c>
      <c r="X418" s="56" t="str">
        <f aca="false">IF(OR(W418=Constants!$B$7,W418=Constants!$B$8), MAX(0, MIN(Constants!$B$6, S418))+IF(AND(R418=Constants!$B$4, NOT(U418)), Constants!$B$5, 0), "")</f>
        <v/>
      </c>
      <c r="Y418" s="55" t="str">
        <f aca="false">IF(ISBLANK($C418),"",IF(AND(ISNUMBER(X418),N418&gt;0),X418/N418, "") )</f>
        <v/>
      </c>
      <c r="Z418" s="55" t="str">
        <f aca="false">IF(AND(NOT(ISBLANK($C418)), W418=Constants!$B$7), Y418, "")</f>
        <v/>
      </c>
      <c r="AA418" s="55" t="str">
        <f aca="false">IF(ISNUMBER(Z418), RANK(Z418,Z$8:Z$507), "")</f>
        <v/>
      </c>
      <c r="AB418" s="55" t="str">
        <f aca="false">IF(AND(NOT(ISBLANK($C418)), W418=Constants!$B$8), Y418, "")</f>
        <v/>
      </c>
      <c r="AC418" s="55" t="str">
        <f aca="false">IF(ISNUMBER(AB418), RANK(AB418,AB$8:AB$507), "")</f>
        <v/>
      </c>
      <c r="AD418" s="55" t="str">
        <f aca="false">IF(ISBLANK($C418),"",IF(V418&lt;&gt;Constants!$B$14, V418, IF(W418=Constants!$B$7, AA418, IF(W418=Constants!$B$8, COUNT($AA$8:$AA$507) + AC418, ""))))</f>
        <v/>
      </c>
      <c r="AE418" s="55" t="str">
        <f aca="false">N418</f>
        <v/>
      </c>
      <c r="AF418" s="55" t="str">
        <f aca="false">IF(ISNUMBER(AE418), RANK(AE418,AE$8:AE$507,1), "")</f>
        <v/>
      </c>
      <c r="AG418" s="57" t="str">
        <f aca="false">IF(ISBLANK(C418), "", ABS(M418-S418))</f>
        <v/>
      </c>
      <c r="AH418" s="55" t="str">
        <f aca="false">IF(ISNUMBER(AG418), RANK(AG418,AG$8:AG$507,1), "")</f>
        <v/>
      </c>
      <c r="AI418" s="55" t="str">
        <f aca="false">IF(ISBLANK(C418),"",IF(V418&lt;&gt;Constants!$B$14, V418, RANK(AD418, AD$8:AD$507, 1)+ SUMPRODUCT(--(AD$8:AD$507=AD418),--(AF418&gt;AF$8:AF$507)) + SUMPRODUCT(--(AD$8:AD$507=AD418),--(AF418=AF$8:AF$507),--(AH418&gt;AH$8:AH$507))))</f>
        <v/>
      </c>
      <c r="AJ418" s="55" t="str">
        <f aca="false">IF(ISBLANK(C418),"",IF(V418&lt;&gt;Constants!$B$14, V418, AD418-AI418))</f>
        <v/>
      </c>
      <c r="AK418" s="59"/>
      <c r="AL418" s="60" t="str">
        <f aca="false">IF(ISBLANK($C418),"",IF($V418&lt;&gt;Constants!$B$14,$V418,X418))</f>
        <v/>
      </c>
      <c r="AM418" s="60" t="str">
        <f aca="false">IF(ISBLANK($C418),"",IF($V418&lt;&gt;Constants!$B$14,$V418,N418))</f>
        <v/>
      </c>
      <c r="AN418" s="62" t="str">
        <f aca="false">IF(ISBLANK(C418),"",IF(V418&lt;&gt;Constants!$B$14, V418, IF(W418=Constants!$B$7,Z418,IF(W418=Constants!$B$8,AB418,""))))</f>
        <v/>
      </c>
      <c r="AO418" s="63" t="str">
        <f aca="false">IF(ISBLANK(C418),"",W418)</f>
        <v/>
      </c>
      <c r="AP418" s="63" t="str">
        <f aca="false">IF(ISBLANK(C418),"",AJ418)</f>
        <v/>
      </c>
      <c r="AQ418" s="63" t="str">
        <f aca="false">IF(ISBLANK(C418),"",AI418)</f>
        <v/>
      </c>
      <c r="AR418" s="64" t="str">
        <f aca="false">IF(ISBLANK(C418),
  "",
IF(AQ418=Constants!$B$11,COUNTA($C$8:$C$507)+2,IF(AQ418=Constants!$B$12,COUNTA($C$8:$C$507)+1,IF(AQ418=Constants!$B$13,COUNTA($C$8:$C$507),AQ418))))</f>
        <v/>
      </c>
      <c r="AS418" s="3"/>
      <c r="AT418" s="65" t="n">
        <f aca="false">IF(OR(ISNUMBER(AQ418),AQ418="DQ",AQ418="P",AQ418="NS"),
    1,
    0
)</f>
        <v>0</v>
      </c>
      <c r="AU418" s="65" t="n">
        <v>411</v>
      </c>
      <c r="AV418" s="65" t="str">
        <f aca="false">IF(ISBLANK($C418),
    "",
   IF(ISNUMBER(AR418),AR418+ROW($B418)/1000,"")
)</f>
        <v/>
      </c>
      <c r="AW418" s="65" t="str">
        <f aca="false">IF(ISNUMBER(AV418), RANK(AV418,AV$8:AV$507,1), "")</f>
        <v/>
      </c>
      <c r="AX418" s="65" t="str">
        <f aca="false">IF(ISBLANK($C418),
    "",
    $B418
)</f>
        <v/>
      </c>
      <c r="AY418" s="65" t="str">
        <f aca="false">IF(ISBLANK($C418),
    "",
    $C418
)</f>
        <v/>
      </c>
      <c r="AZ418" s="65" t="str">
        <f aca="false">IF(ISBLANK($C418),
    "",
    $D418
)</f>
        <v/>
      </c>
      <c r="BA418" s="65" t="str">
        <f aca="false">AO418</f>
        <v/>
      </c>
      <c r="BB418" s="66" t="str">
        <f aca="false">AN418</f>
        <v/>
      </c>
      <c r="BC418" s="65" t="str">
        <f aca="false">IF(ISBLANK($C418),
    "",
    AQ418
)</f>
        <v/>
      </c>
      <c r="BD418" s="67" t="str">
        <f aca="false">IF(AU418&gt;AT$7,
    "",
    VLOOKUP(AU418,AW$8:BC$507,7,FALSE())
)</f>
        <v/>
      </c>
      <c r="BE418" s="68" t="str">
        <f aca="false">IF(AU418&gt;AT$7,
    "",
    VLOOKUP(AU418,AW$8:BC$507,2,FALSE())
)</f>
        <v/>
      </c>
      <c r="BF418" s="68" t="str">
        <f aca="false">IF(AU418&gt;AT$7,
    "",
    VLOOKUP(AU418,AW$8:BC$507,3,FALSE())
)</f>
        <v/>
      </c>
      <c r="BG418" s="68" t="str">
        <f aca="false">IF(AU418&gt;AT$7,
    "",
    VLOOKUP(AU418,AW$8:BC$507,4,FALSE())
)</f>
        <v/>
      </c>
      <c r="BH418" s="68" t="str">
        <f aca="false">IF(AU418&gt;AT$7,
    "",
    VLOOKUP(AU418,AW$8:BC$507,5,FALSE())
)</f>
        <v/>
      </c>
      <c r="BI418" s="69" t="str">
        <f aca="false">IF(AU418&gt;AT$7,
    "",
    VLOOKUP(AU418,AW$8:BC$507,6,FALSE())
)</f>
        <v/>
      </c>
      <c r="BJ418" s="46"/>
    </row>
    <row r="419" customFormat="false" ht="15.75" hidden="false" customHeight="false" outlineLevel="0" collapsed="false">
      <c r="A419" s="3"/>
      <c r="B419" s="105"/>
      <c r="C419" s="106"/>
      <c r="D419" s="99"/>
      <c r="E419" s="110"/>
      <c r="F419" s="107"/>
      <c r="G419" s="110"/>
      <c r="H419" s="103"/>
      <c r="I419" s="102"/>
      <c r="J419" s="103"/>
      <c r="K419" s="103"/>
      <c r="L419" s="85"/>
      <c r="M419" s="85" t="str">
        <f aca="false">IF(ISBLANK($C419),"",IF(ISBLANK(E419),0,E419))</f>
        <v/>
      </c>
      <c r="N419" s="85" t="str">
        <f aca="false">IF(ISBLANK($C419),"",IF(ISBLANK(F419),0,F419))</f>
        <v/>
      </c>
      <c r="O419" s="86" t="e">
        <f aca="false">IF(AND(NOT(ISBLANK($C419)),NOT($T419),COUNTA($E419:$K419)&gt;0),ISBLANK($F419),FALSE())</f>
        <v>#VALUE!</v>
      </c>
      <c r="P419" s="85" t="str">
        <f aca="false">IF(ISBLANK($C419),"",IF(G419=Constants!$B$9, TRUE(), IF(G419=Constants!$B$10, FALSE(), TRUE())))</f>
        <v/>
      </c>
      <c r="Q419" s="85" t="str">
        <f aca="false">IF(ISBLANK($C419),"",IF(H419=Constants!$B$9, TRUE(), IF(H419=Constants!$B$10, FALSE(), TRUE())))</f>
        <v/>
      </c>
      <c r="R419" s="85" t="str">
        <f aca="false">IF(ISBLANK($C419),"",IF(ISBLANK(I419),Constants!$B$3,I419))</f>
        <v/>
      </c>
      <c r="S419" s="85" t="str">
        <f aca="false">IF(ISBLANK($C419),"",IF(ISBLANK(J419),0,MIN(J419,Constants!$B$6)))</f>
        <v/>
      </c>
      <c r="T419" s="85" t="str">
        <f aca="false">IF(ISBLANK($C419),"",IF(K419=Constants!$B$9, TRUE(), IF(K419=Constants!$B$10, FALSE(),  FALSE())))</f>
        <v/>
      </c>
      <c r="U419" s="85" t="str">
        <f aca="false">IF(ISBLANK($C419),"",AND(R419=Constants!$B$4, S419&lt;Constants!$B$6))</f>
        <v/>
      </c>
      <c r="V419" s="85" t="str">
        <f aca="false">IF(ISBLANK(C419), "", IF(T419, Constants!$B$11, IF(COUNTA(E419:K419)=0, Constants!$B$12, IF(NOT(AND(P419,S419&lt;&gt;0)), Constants!$B$13, IF(O419, Constants!$B$15, Constants!$B$14)))))</f>
        <v/>
      </c>
      <c r="W419" s="85" t="str">
        <f aca="false">IF(OR(ISBLANK($C419), SUMPRODUCT(--(P419:T419&lt;&gt;""))=0), "", IF(V419&lt;&gt;Constants!$B$14, V419, IF(AND(NOT(ISBLANK(J419)),P419,Q419,R419&lt;&gt;Constants!$B$2), Constants!$B$7, IF(AND(P419,OR(NOT(Q419),R419=Constants!$B$2)), Constants!$B$8, "Error"))))</f>
        <v/>
      </c>
      <c r="X419" s="87" t="str">
        <f aca="false">IF(OR(W419=Constants!$B$7,W419=Constants!$B$8), MAX(0, MIN(Constants!$B$6, S419))+IF(AND(R419=Constants!$B$4, NOT(U419)), Constants!$B$5, 0), "")</f>
        <v/>
      </c>
      <c r="Y419" s="85" t="str">
        <f aca="false">IF(ISBLANK($C419),"",IF(AND(ISNUMBER(X419),N419&gt;0),X419/N419, "") )</f>
        <v/>
      </c>
      <c r="Z419" s="85" t="str">
        <f aca="false">IF(AND(NOT(ISBLANK($C419)), W419=Constants!$B$7), Y419, "")</f>
        <v/>
      </c>
      <c r="AA419" s="85" t="str">
        <f aca="false">IF(ISNUMBER(Z419), RANK(Z419,Z$8:Z$507), "")</f>
        <v/>
      </c>
      <c r="AB419" s="85" t="str">
        <f aca="false">IF(AND(NOT(ISBLANK($C419)), W419=Constants!$B$8), Y419, "")</f>
        <v/>
      </c>
      <c r="AC419" s="85" t="str">
        <f aca="false">IF(ISNUMBER(AB419), RANK(AB419,AB$8:AB$507), "")</f>
        <v/>
      </c>
      <c r="AD419" s="85" t="str">
        <f aca="false">IF(ISBLANK($C419),"",IF(V419&lt;&gt;Constants!$B$14, V419, IF(W419=Constants!$B$7, AA419, IF(W419=Constants!$B$8, COUNT($AA$8:$AA$507) + AC419, ""))))</f>
        <v/>
      </c>
      <c r="AE419" s="85" t="str">
        <f aca="false">N419</f>
        <v/>
      </c>
      <c r="AF419" s="85" t="str">
        <f aca="false">IF(ISNUMBER(AE419), RANK(AE419,AE$8:AE$507,1), "")</f>
        <v/>
      </c>
      <c r="AG419" s="88" t="str">
        <f aca="false">IF(ISBLANK(C419), "", ABS(M419-S419))</f>
        <v/>
      </c>
      <c r="AH419" s="85" t="str">
        <f aca="false">IF(ISNUMBER(AG419), RANK(AG419,AG$8:AG$507,1), "")</f>
        <v/>
      </c>
      <c r="AI419" s="85" t="str">
        <f aca="false">IF(ISBLANK(C419),"",IF(V419&lt;&gt;Constants!$B$14, V419, RANK(AD419, AD$8:AD$507, 1)+ SUMPRODUCT(--(AD$8:AD$507=AD419),--(AF419&gt;AF$8:AF$507)) + SUMPRODUCT(--(AD$8:AD$507=AD419),--(AF419=AF$8:AF$507),--(AH419&gt;AH$8:AH$507))))</f>
        <v/>
      </c>
      <c r="AJ419" s="85" t="str">
        <f aca="false">IF(ISBLANK(C419),"",IF(V419&lt;&gt;Constants!$B$14, V419, AD419-AI419))</f>
        <v/>
      </c>
      <c r="AK419" s="89"/>
      <c r="AL419" s="90" t="str">
        <f aca="false">IF(ISBLANK($C419),"",IF($V419&lt;&gt;Constants!$B$14,$V419,X419))</f>
        <v/>
      </c>
      <c r="AM419" s="90" t="str">
        <f aca="false">IF(ISBLANK($C419),"",IF($V419&lt;&gt;Constants!$B$14,$V419,N419))</f>
        <v/>
      </c>
      <c r="AN419" s="91" t="str">
        <f aca="false">IF(ISBLANK(C419),"",IF(V419&lt;&gt;Constants!$B$14, V419, IF(W419=Constants!$B$7,Z419,IF(W419=Constants!$B$8,AB419,""))))</f>
        <v/>
      </c>
      <c r="AO419" s="92" t="str">
        <f aca="false">IF(ISBLANK(C419),"",W419)</f>
        <v/>
      </c>
      <c r="AP419" s="92" t="str">
        <f aca="false">IF(ISBLANK(C419),"",AJ419)</f>
        <v/>
      </c>
      <c r="AQ419" s="92" t="str">
        <f aca="false">IF(ISBLANK(C419),"",AI419)</f>
        <v/>
      </c>
      <c r="AR419" s="93" t="str">
        <f aca="false">IF(ISBLANK(C419),
  "",
IF(AQ419=Constants!$B$11,COUNTA($C$8:$C$507)+2,IF(AQ419=Constants!$B$12,COUNTA($C$8:$C$507)+1,IF(AQ419=Constants!$B$13,COUNTA($C$8:$C$507),AQ419))))</f>
        <v/>
      </c>
      <c r="AS419" s="3"/>
      <c r="AT419" s="94" t="n">
        <f aca="false">IF(OR(ISNUMBER(AQ419),AQ419="DQ",AQ419="P",AQ419="NS"),
    1,
    0
)</f>
        <v>0</v>
      </c>
      <c r="AU419" s="94" t="n">
        <v>412</v>
      </c>
      <c r="AV419" s="94" t="str">
        <f aca="false">IF(ISBLANK($C419),
    "",
   IF(ISNUMBER(AR419),AR419+ROW($B419)/1000,"")
)</f>
        <v/>
      </c>
      <c r="AW419" s="94" t="str">
        <f aca="false">IF(ISNUMBER(AV419), RANK(AV419,AV$8:AV$507,1), "")</f>
        <v/>
      </c>
      <c r="AX419" s="94" t="str">
        <f aca="false">IF(ISBLANK($C419),
    "",
    $B419
)</f>
        <v/>
      </c>
      <c r="AY419" s="94" t="str">
        <f aca="false">IF(ISBLANK($C419),
    "",
    $C419
)</f>
        <v/>
      </c>
      <c r="AZ419" s="94" t="str">
        <f aca="false">IF(ISBLANK($C419),
    "",
    $D419
)</f>
        <v/>
      </c>
      <c r="BA419" s="94" t="str">
        <f aca="false">AO419</f>
        <v/>
      </c>
      <c r="BB419" s="95" t="str">
        <f aca="false">AN419</f>
        <v/>
      </c>
      <c r="BC419" s="94" t="str">
        <f aca="false">IF(ISBLANK($C419),
    "",
    AQ419
)</f>
        <v/>
      </c>
      <c r="BD419" s="96" t="str">
        <f aca="false">IF(AU419&gt;AT$7,
    "",
    VLOOKUP(AU419,AW$8:BC$507,7,FALSE())
)</f>
        <v/>
      </c>
      <c r="BE419" s="97" t="str">
        <f aca="false">IF(AU419&gt;AT$7,
    "",
    VLOOKUP(AU419,AW$8:BC$507,2,FALSE())
)</f>
        <v/>
      </c>
      <c r="BF419" s="97" t="str">
        <f aca="false">IF(AU419&gt;AT$7,
    "",
    VLOOKUP(AU419,AW$8:BC$507,3,FALSE())
)</f>
        <v/>
      </c>
      <c r="BG419" s="97" t="str">
        <f aca="false">IF(AU419&gt;AT$7,
    "",
    VLOOKUP(AU419,AW$8:BC$507,4,FALSE())
)</f>
        <v/>
      </c>
      <c r="BH419" s="97" t="str">
        <f aca="false">IF(AU419&gt;AT$7,
    "",
    VLOOKUP(AU419,AW$8:BC$507,5,FALSE())
)</f>
        <v/>
      </c>
      <c r="BI419" s="98" t="str">
        <f aca="false">IF(AU419&gt;AT$7,
    "",
    VLOOKUP(AU419,AW$8:BC$507,6,FALSE())
)</f>
        <v/>
      </c>
      <c r="BJ419" s="46"/>
    </row>
    <row r="420" customFormat="false" ht="15.75" hidden="false" customHeight="false" outlineLevel="0" collapsed="false">
      <c r="A420" s="3"/>
      <c r="B420" s="105"/>
      <c r="C420" s="106"/>
      <c r="D420" s="99"/>
      <c r="E420" s="110"/>
      <c r="F420" s="107"/>
      <c r="G420" s="110"/>
      <c r="H420" s="103"/>
      <c r="I420" s="102"/>
      <c r="J420" s="103"/>
      <c r="K420" s="103"/>
      <c r="L420" s="85"/>
      <c r="M420" s="85" t="str">
        <f aca="false">IF(ISBLANK($C420),"",IF(ISBLANK(E420),0,E420))</f>
        <v/>
      </c>
      <c r="N420" s="85" t="str">
        <f aca="false">IF(ISBLANK($C420),"",IF(ISBLANK(F420),0,F420))</f>
        <v/>
      </c>
      <c r="O420" s="86" t="e">
        <f aca="false">IF(AND(NOT(ISBLANK($C420)),NOT($T420),COUNTA($E420:$K420)&gt;0),ISBLANK($F420),FALSE())</f>
        <v>#VALUE!</v>
      </c>
      <c r="P420" s="85" t="str">
        <f aca="false">IF(ISBLANK($C420),"",IF(G420=Constants!$B$9, TRUE(), IF(G420=Constants!$B$10, FALSE(), TRUE())))</f>
        <v/>
      </c>
      <c r="Q420" s="85" t="str">
        <f aca="false">IF(ISBLANK($C420),"",IF(H420=Constants!$B$9, TRUE(), IF(H420=Constants!$B$10, FALSE(), TRUE())))</f>
        <v/>
      </c>
      <c r="R420" s="85" t="str">
        <f aca="false">IF(ISBLANK($C420),"",IF(ISBLANK(I420),Constants!$B$3,I420))</f>
        <v/>
      </c>
      <c r="S420" s="85" t="str">
        <f aca="false">IF(ISBLANK($C420),"",IF(ISBLANK(J420),0,MIN(J420,Constants!$B$6)))</f>
        <v/>
      </c>
      <c r="T420" s="85" t="str">
        <f aca="false">IF(ISBLANK($C420),"",IF(K420=Constants!$B$9, TRUE(), IF(K420=Constants!$B$10, FALSE(),  FALSE())))</f>
        <v/>
      </c>
      <c r="U420" s="85" t="str">
        <f aca="false">IF(ISBLANK($C420),"",AND(R420=Constants!$B$4, S420&lt;Constants!$B$6))</f>
        <v/>
      </c>
      <c r="V420" s="85" t="str">
        <f aca="false">IF(ISBLANK(C420), "", IF(T420, Constants!$B$11, IF(COUNTA(E420:K420)=0, Constants!$B$12, IF(NOT(AND(P420,S420&lt;&gt;0)), Constants!$B$13, IF(O420, Constants!$B$15, Constants!$B$14)))))</f>
        <v/>
      </c>
      <c r="W420" s="85" t="str">
        <f aca="false">IF(OR(ISBLANK($C420), SUMPRODUCT(--(P420:T420&lt;&gt;""))=0), "", IF(V420&lt;&gt;Constants!$B$14, V420, IF(AND(NOT(ISBLANK(J420)),P420,Q420,R420&lt;&gt;Constants!$B$2), Constants!$B$7, IF(AND(P420,OR(NOT(Q420),R420=Constants!$B$2)), Constants!$B$8, "Error"))))</f>
        <v/>
      </c>
      <c r="X420" s="87" t="str">
        <f aca="false">IF(OR(W420=Constants!$B$7,W420=Constants!$B$8), MAX(0, MIN(Constants!$B$6, S420))+IF(AND(R420=Constants!$B$4, NOT(U420)), Constants!$B$5, 0), "")</f>
        <v/>
      </c>
      <c r="Y420" s="85" t="str">
        <f aca="false">IF(ISBLANK($C420),"",IF(AND(ISNUMBER(X420),N420&gt;0),X420/N420, "") )</f>
        <v/>
      </c>
      <c r="Z420" s="85" t="str">
        <f aca="false">IF(AND(NOT(ISBLANK($C420)), W420=Constants!$B$7), Y420, "")</f>
        <v/>
      </c>
      <c r="AA420" s="85" t="str">
        <f aca="false">IF(ISNUMBER(Z420), RANK(Z420,Z$8:Z$507), "")</f>
        <v/>
      </c>
      <c r="AB420" s="85" t="str">
        <f aca="false">IF(AND(NOT(ISBLANK($C420)), W420=Constants!$B$8), Y420, "")</f>
        <v/>
      </c>
      <c r="AC420" s="85" t="str">
        <f aca="false">IF(ISNUMBER(AB420), RANK(AB420,AB$8:AB$507), "")</f>
        <v/>
      </c>
      <c r="AD420" s="85" t="str">
        <f aca="false">IF(ISBLANK($C420),"",IF(V420&lt;&gt;Constants!$B$14, V420, IF(W420=Constants!$B$7, AA420, IF(W420=Constants!$B$8, COUNT($AA$8:$AA$507) + AC420, ""))))</f>
        <v/>
      </c>
      <c r="AE420" s="85" t="str">
        <f aca="false">N420</f>
        <v/>
      </c>
      <c r="AF420" s="85" t="str">
        <f aca="false">IF(ISNUMBER(AE420), RANK(AE420,AE$8:AE$507,1), "")</f>
        <v/>
      </c>
      <c r="AG420" s="88" t="str">
        <f aca="false">IF(ISBLANK(C420), "", ABS(M420-S420))</f>
        <v/>
      </c>
      <c r="AH420" s="85" t="str">
        <f aca="false">IF(ISNUMBER(AG420), RANK(AG420,AG$8:AG$507,1), "")</f>
        <v/>
      </c>
      <c r="AI420" s="85" t="str">
        <f aca="false">IF(ISBLANK(C420),"",IF(V420&lt;&gt;Constants!$B$14, V420, RANK(AD420, AD$8:AD$507, 1)+ SUMPRODUCT(--(AD$8:AD$507=AD420),--(AF420&gt;AF$8:AF$507)) + SUMPRODUCT(--(AD$8:AD$507=AD420),--(AF420=AF$8:AF$507),--(AH420&gt;AH$8:AH$507))))</f>
        <v/>
      </c>
      <c r="AJ420" s="85" t="str">
        <f aca="false">IF(ISBLANK(C420),"",IF(V420&lt;&gt;Constants!$B$14, V420, AD420-AI420))</f>
        <v/>
      </c>
      <c r="AK420" s="89"/>
      <c r="AL420" s="90" t="str">
        <f aca="false">IF(ISBLANK($C420),"",IF($V420&lt;&gt;Constants!$B$14,$V420,X420))</f>
        <v/>
      </c>
      <c r="AM420" s="90" t="str">
        <f aca="false">IF(ISBLANK($C420),"",IF($V420&lt;&gt;Constants!$B$14,$V420,N420))</f>
        <v/>
      </c>
      <c r="AN420" s="91" t="str">
        <f aca="false">IF(ISBLANK(C420),"",IF(V420&lt;&gt;Constants!$B$14, V420, IF(W420=Constants!$B$7,Z420,IF(W420=Constants!$B$8,AB420,""))))</f>
        <v/>
      </c>
      <c r="AO420" s="92" t="str">
        <f aca="false">IF(ISBLANK(C420),"",W420)</f>
        <v/>
      </c>
      <c r="AP420" s="92" t="str">
        <f aca="false">IF(ISBLANK(C420),"",AJ420)</f>
        <v/>
      </c>
      <c r="AQ420" s="92" t="str">
        <f aca="false">IF(ISBLANK(C420),"",AI420)</f>
        <v/>
      </c>
      <c r="AR420" s="93" t="str">
        <f aca="false">IF(ISBLANK(C420),
  "",
IF(AQ420=Constants!$B$11,COUNTA($C$8:$C$507)+2,IF(AQ420=Constants!$B$12,COUNTA($C$8:$C$507)+1,IF(AQ420=Constants!$B$13,COUNTA($C$8:$C$507),AQ420))))</f>
        <v/>
      </c>
      <c r="AS420" s="3"/>
      <c r="AT420" s="94" t="n">
        <f aca="false">IF(OR(ISNUMBER(AQ420),AQ420="DQ",AQ420="P",AQ420="NS"),
    1,
    0
)</f>
        <v>0</v>
      </c>
      <c r="AU420" s="94" t="n">
        <v>413</v>
      </c>
      <c r="AV420" s="94" t="str">
        <f aca="false">IF(ISBLANK($C420),
    "",
   IF(ISNUMBER(AR420),AR420+ROW($B420)/1000,"")
)</f>
        <v/>
      </c>
      <c r="AW420" s="94" t="str">
        <f aca="false">IF(ISNUMBER(AV420), RANK(AV420,AV$8:AV$507,1), "")</f>
        <v/>
      </c>
      <c r="AX420" s="94" t="str">
        <f aca="false">IF(ISBLANK($C420),
    "",
    $B420
)</f>
        <v/>
      </c>
      <c r="AY420" s="94" t="str">
        <f aca="false">IF(ISBLANK($C420),
    "",
    $C420
)</f>
        <v/>
      </c>
      <c r="AZ420" s="94" t="str">
        <f aca="false">IF(ISBLANK($C420),
    "",
    $D420
)</f>
        <v/>
      </c>
      <c r="BA420" s="94" t="str">
        <f aca="false">AO420</f>
        <v/>
      </c>
      <c r="BB420" s="95" t="str">
        <f aca="false">AN420</f>
        <v/>
      </c>
      <c r="BC420" s="94" t="str">
        <f aca="false">IF(ISBLANK($C420),
    "",
    AQ420
)</f>
        <v/>
      </c>
      <c r="BD420" s="96" t="str">
        <f aca="false">IF(AU420&gt;AT$7,
    "",
    VLOOKUP(AU420,AW$8:BC$507,7,FALSE())
)</f>
        <v/>
      </c>
      <c r="BE420" s="97" t="str">
        <f aca="false">IF(AU420&gt;AT$7,
    "",
    VLOOKUP(AU420,AW$8:BC$507,2,FALSE())
)</f>
        <v/>
      </c>
      <c r="BF420" s="97" t="str">
        <f aca="false">IF(AU420&gt;AT$7,
    "",
    VLOOKUP(AU420,AW$8:BC$507,3,FALSE())
)</f>
        <v/>
      </c>
      <c r="BG420" s="97" t="str">
        <f aca="false">IF(AU420&gt;AT$7,
    "",
    VLOOKUP(AU420,AW$8:BC$507,4,FALSE())
)</f>
        <v/>
      </c>
      <c r="BH420" s="97" t="str">
        <f aca="false">IF(AU420&gt;AT$7,
    "",
    VLOOKUP(AU420,AW$8:BC$507,5,FALSE())
)</f>
        <v/>
      </c>
      <c r="BI420" s="98" t="str">
        <f aca="false">IF(AU420&gt;AT$7,
    "",
    VLOOKUP(AU420,AW$8:BC$507,6,FALSE())
)</f>
        <v/>
      </c>
      <c r="BJ420" s="46"/>
    </row>
    <row r="421" customFormat="false" ht="15.75" hidden="false" customHeight="false" outlineLevel="0" collapsed="false">
      <c r="A421" s="3"/>
      <c r="B421" s="105"/>
      <c r="C421" s="106"/>
      <c r="D421" s="99"/>
      <c r="E421" s="110"/>
      <c r="F421" s="107"/>
      <c r="G421" s="110"/>
      <c r="H421" s="103"/>
      <c r="I421" s="102"/>
      <c r="J421" s="103"/>
      <c r="K421" s="103"/>
      <c r="L421" s="85"/>
      <c r="M421" s="85" t="str">
        <f aca="false">IF(ISBLANK($C421),"",IF(ISBLANK(E421),0,E421))</f>
        <v/>
      </c>
      <c r="N421" s="85" t="str">
        <f aca="false">IF(ISBLANK($C421),"",IF(ISBLANK(F421),0,F421))</f>
        <v/>
      </c>
      <c r="O421" s="86" t="e">
        <f aca="false">IF(AND(NOT(ISBLANK($C421)),NOT($T421),COUNTA($E421:$K421)&gt;0),ISBLANK($F421),FALSE())</f>
        <v>#VALUE!</v>
      </c>
      <c r="P421" s="85" t="str">
        <f aca="false">IF(ISBLANK($C421),"",IF(G421=Constants!$B$9, TRUE(), IF(G421=Constants!$B$10, FALSE(), TRUE())))</f>
        <v/>
      </c>
      <c r="Q421" s="85" t="str">
        <f aca="false">IF(ISBLANK($C421),"",IF(H421=Constants!$B$9, TRUE(), IF(H421=Constants!$B$10, FALSE(), TRUE())))</f>
        <v/>
      </c>
      <c r="R421" s="85" t="str">
        <f aca="false">IF(ISBLANK($C421),"",IF(ISBLANK(I421),Constants!$B$3,I421))</f>
        <v/>
      </c>
      <c r="S421" s="85" t="str">
        <f aca="false">IF(ISBLANK($C421),"",IF(ISBLANK(J421),0,MIN(J421,Constants!$B$6)))</f>
        <v/>
      </c>
      <c r="T421" s="85" t="str">
        <f aca="false">IF(ISBLANK($C421),"",IF(K421=Constants!$B$9, TRUE(), IF(K421=Constants!$B$10, FALSE(),  FALSE())))</f>
        <v/>
      </c>
      <c r="U421" s="85" t="str">
        <f aca="false">IF(ISBLANK($C421),"",AND(R421=Constants!$B$4, S421&lt;Constants!$B$6))</f>
        <v/>
      </c>
      <c r="V421" s="85" t="str">
        <f aca="false">IF(ISBLANK(C421), "", IF(T421, Constants!$B$11, IF(COUNTA(E421:K421)=0, Constants!$B$12, IF(NOT(AND(P421,S421&lt;&gt;0)), Constants!$B$13, IF(O421, Constants!$B$15, Constants!$B$14)))))</f>
        <v/>
      </c>
      <c r="W421" s="85" t="str">
        <f aca="false">IF(OR(ISBLANK($C421), SUMPRODUCT(--(P421:T421&lt;&gt;""))=0), "", IF(V421&lt;&gt;Constants!$B$14, V421, IF(AND(NOT(ISBLANK(J421)),P421,Q421,R421&lt;&gt;Constants!$B$2), Constants!$B$7, IF(AND(P421,OR(NOT(Q421),R421=Constants!$B$2)), Constants!$B$8, "Error"))))</f>
        <v/>
      </c>
      <c r="X421" s="87" t="str">
        <f aca="false">IF(OR(W421=Constants!$B$7,W421=Constants!$B$8), MAX(0, MIN(Constants!$B$6, S421))+IF(AND(R421=Constants!$B$4, NOT(U421)), Constants!$B$5, 0), "")</f>
        <v/>
      </c>
      <c r="Y421" s="85" t="str">
        <f aca="false">IF(ISBLANK($C421),"",IF(AND(ISNUMBER(X421),N421&gt;0),X421/N421, "") )</f>
        <v/>
      </c>
      <c r="Z421" s="85" t="str">
        <f aca="false">IF(AND(NOT(ISBLANK($C421)), W421=Constants!$B$7), Y421, "")</f>
        <v/>
      </c>
      <c r="AA421" s="85" t="str">
        <f aca="false">IF(ISNUMBER(Z421), RANK(Z421,Z$8:Z$507), "")</f>
        <v/>
      </c>
      <c r="AB421" s="85" t="str">
        <f aca="false">IF(AND(NOT(ISBLANK($C421)), W421=Constants!$B$8), Y421, "")</f>
        <v/>
      </c>
      <c r="AC421" s="85" t="str">
        <f aca="false">IF(ISNUMBER(AB421), RANK(AB421,AB$8:AB$507), "")</f>
        <v/>
      </c>
      <c r="AD421" s="85" t="str">
        <f aca="false">IF(ISBLANK($C421),"",IF(V421&lt;&gt;Constants!$B$14, V421, IF(W421=Constants!$B$7, AA421, IF(W421=Constants!$B$8, COUNT($AA$8:$AA$507) + AC421, ""))))</f>
        <v/>
      </c>
      <c r="AE421" s="85" t="str">
        <f aca="false">N421</f>
        <v/>
      </c>
      <c r="AF421" s="85" t="str">
        <f aca="false">IF(ISNUMBER(AE421), RANK(AE421,AE$8:AE$507,1), "")</f>
        <v/>
      </c>
      <c r="AG421" s="88" t="str">
        <f aca="false">IF(ISBLANK(C421), "", ABS(M421-S421))</f>
        <v/>
      </c>
      <c r="AH421" s="85" t="str">
        <f aca="false">IF(ISNUMBER(AG421), RANK(AG421,AG$8:AG$507,1), "")</f>
        <v/>
      </c>
      <c r="AI421" s="85" t="str">
        <f aca="false">IF(ISBLANK(C421),"",IF(V421&lt;&gt;Constants!$B$14, V421, RANK(AD421, AD$8:AD$507, 1)+ SUMPRODUCT(--(AD$8:AD$507=AD421),--(AF421&gt;AF$8:AF$507)) + SUMPRODUCT(--(AD$8:AD$507=AD421),--(AF421=AF$8:AF$507),--(AH421&gt;AH$8:AH$507))))</f>
        <v/>
      </c>
      <c r="AJ421" s="85" t="str">
        <f aca="false">IF(ISBLANK(C421),"",IF(V421&lt;&gt;Constants!$B$14, V421, AD421-AI421))</f>
        <v/>
      </c>
      <c r="AK421" s="89"/>
      <c r="AL421" s="90" t="str">
        <f aca="false">IF(ISBLANK($C421),"",IF($V421&lt;&gt;Constants!$B$14,$V421,X421))</f>
        <v/>
      </c>
      <c r="AM421" s="90" t="str">
        <f aca="false">IF(ISBLANK($C421),"",IF($V421&lt;&gt;Constants!$B$14,$V421,N421))</f>
        <v/>
      </c>
      <c r="AN421" s="91" t="str">
        <f aca="false">IF(ISBLANK(C421),"",IF(V421&lt;&gt;Constants!$B$14, V421, IF(W421=Constants!$B$7,Z421,IF(W421=Constants!$B$8,AB421,""))))</f>
        <v/>
      </c>
      <c r="AO421" s="92" t="str">
        <f aca="false">IF(ISBLANK(C421),"",W421)</f>
        <v/>
      </c>
      <c r="AP421" s="92" t="str">
        <f aca="false">IF(ISBLANK(C421),"",AJ421)</f>
        <v/>
      </c>
      <c r="AQ421" s="92" t="str">
        <f aca="false">IF(ISBLANK(C421),"",AI421)</f>
        <v/>
      </c>
      <c r="AR421" s="93" t="str">
        <f aca="false">IF(ISBLANK(C421),
  "",
IF(AQ421=Constants!$B$11,COUNTA($C$8:$C$507)+2,IF(AQ421=Constants!$B$12,COUNTA($C$8:$C$507)+1,IF(AQ421=Constants!$B$13,COUNTA($C$8:$C$507),AQ421))))</f>
        <v/>
      </c>
      <c r="AS421" s="3"/>
      <c r="AT421" s="94" t="n">
        <f aca="false">IF(OR(ISNUMBER(AQ421),AQ421="DQ",AQ421="P",AQ421="NS"),
    1,
    0
)</f>
        <v>0</v>
      </c>
      <c r="AU421" s="94" t="n">
        <v>414</v>
      </c>
      <c r="AV421" s="94" t="str">
        <f aca="false">IF(ISBLANK($C421),
    "",
   IF(ISNUMBER(AR421),AR421+ROW($B421)/1000,"")
)</f>
        <v/>
      </c>
      <c r="AW421" s="94" t="str">
        <f aca="false">IF(ISNUMBER(AV421), RANK(AV421,AV$8:AV$507,1), "")</f>
        <v/>
      </c>
      <c r="AX421" s="94" t="str">
        <f aca="false">IF(ISBLANK($C421),
    "",
    $B421
)</f>
        <v/>
      </c>
      <c r="AY421" s="94" t="str">
        <f aca="false">IF(ISBLANK($C421),
    "",
    $C421
)</f>
        <v/>
      </c>
      <c r="AZ421" s="94" t="str">
        <f aca="false">IF(ISBLANK($C421),
    "",
    $D421
)</f>
        <v/>
      </c>
      <c r="BA421" s="94" t="str">
        <f aca="false">AO421</f>
        <v/>
      </c>
      <c r="BB421" s="95" t="str">
        <f aca="false">AN421</f>
        <v/>
      </c>
      <c r="BC421" s="94" t="str">
        <f aca="false">IF(ISBLANK($C421),
    "",
    AQ421
)</f>
        <v/>
      </c>
      <c r="BD421" s="96" t="str">
        <f aca="false">IF(AU421&gt;AT$7,
    "",
    VLOOKUP(AU421,AW$8:BC$507,7,FALSE())
)</f>
        <v/>
      </c>
      <c r="BE421" s="97" t="str">
        <f aca="false">IF(AU421&gt;AT$7,
    "",
    VLOOKUP(AU421,AW$8:BC$507,2,FALSE())
)</f>
        <v/>
      </c>
      <c r="BF421" s="97" t="str">
        <f aca="false">IF(AU421&gt;AT$7,
    "",
    VLOOKUP(AU421,AW$8:BC$507,3,FALSE())
)</f>
        <v/>
      </c>
      <c r="BG421" s="97" t="str">
        <f aca="false">IF(AU421&gt;AT$7,
    "",
    VLOOKUP(AU421,AW$8:BC$507,4,FALSE())
)</f>
        <v/>
      </c>
      <c r="BH421" s="97" t="str">
        <f aca="false">IF(AU421&gt;AT$7,
    "",
    VLOOKUP(AU421,AW$8:BC$507,5,FALSE())
)</f>
        <v/>
      </c>
      <c r="BI421" s="98" t="str">
        <f aca="false">IF(AU421&gt;AT$7,
    "",
    VLOOKUP(AU421,AW$8:BC$507,6,FALSE())
)</f>
        <v/>
      </c>
      <c r="BJ421" s="46"/>
    </row>
    <row r="422" customFormat="false" ht="15.75" hidden="false" customHeight="false" outlineLevel="0" collapsed="false">
      <c r="A422" s="3"/>
      <c r="B422" s="108"/>
      <c r="C422" s="70"/>
      <c r="D422" s="49"/>
      <c r="E422" s="109"/>
      <c r="F422" s="72"/>
      <c r="G422" s="109"/>
      <c r="H422" s="74"/>
      <c r="I422" s="104"/>
      <c r="J422" s="74"/>
      <c r="K422" s="74"/>
      <c r="L422" s="55"/>
      <c r="M422" s="55" t="str">
        <f aca="false">IF(ISBLANK($C422),"",IF(ISBLANK(E422),0,E422))</f>
        <v/>
      </c>
      <c r="N422" s="55" t="str">
        <f aca="false">IF(ISBLANK($C422),"",IF(ISBLANK(F422),0,F422))</f>
        <v/>
      </c>
      <c r="O422" s="55" t="e">
        <f aca="false">IF(AND(NOT(ISBLANK($C422)),NOT($T422),COUNTA($E422:$K422)&gt;0),ISBLANK($F422),FALSE())</f>
        <v>#VALUE!</v>
      </c>
      <c r="P422" s="55" t="str">
        <f aca="false">IF(ISBLANK($C422),"",IF(G422=Constants!$B$9, TRUE(), IF(G422=Constants!$B$10, FALSE(), TRUE())))</f>
        <v/>
      </c>
      <c r="Q422" s="55" t="str">
        <f aca="false">IF(ISBLANK($C422),"",IF(H422=Constants!$B$9, TRUE(), IF(H422=Constants!$B$10, FALSE(), TRUE())))</f>
        <v/>
      </c>
      <c r="R422" s="55" t="str">
        <f aca="false">IF(ISBLANK($C422),"",IF(ISBLANK(I422),Constants!$B$3,I422))</f>
        <v/>
      </c>
      <c r="S422" s="55" t="str">
        <f aca="false">IF(ISBLANK($C422),"",IF(ISBLANK(J422),0,MIN(J422,Constants!$B$6)))</f>
        <v/>
      </c>
      <c r="T422" s="55" t="str">
        <f aca="false">IF(ISBLANK($C422),"",IF(K422=Constants!$B$9, TRUE(), IF(K422=Constants!$B$10, FALSE(),  FALSE())))</f>
        <v/>
      </c>
      <c r="U422" s="55" t="str">
        <f aca="false">IF(ISBLANK($C422),"",AND(R422=Constants!$B$4, S422&lt;Constants!$B$6))</f>
        <v/>
      </c>
      <c r="V422" s="55" t="str">
        <f aca="false">IF(ISBLANK(C422), "", IF(T422, Constants!$B$11, IF(COUNTA(E422:K422)=0, Constants!$B$12, IF(NOT(AND(P422,S422&lt;&gt;0)), Constants!$B$13, IF(O422, Constants!$B$15, Constants!$B$14)))))</f>
        <v/>
      </c>
      <c r="W422" s="55" t="str">
        <f aca="false">IF(OR(ISBLANK($C422), SUMPRODUCT(--(P422:T422&lt;&gt;""))=0), "", IF(V422&lt;&gt;Constants!$B$14, V422, IF(AND(NOT(ISBLANK(J422)),P422,Q422,R422&lt;&gt;Constants!$B$2), Constants!$B$7, IF(AND(P422,OR(NOT(Q422),R422=Constants!$B$2)), Constants!$B$8, "Error"))))</f>
        <v/>
      </c>
      <c r="X422" s="56" t="str">
        <f aca="false">IF(OR(W422=Constants!$B$7,W422=Constants!$B$8), MAX(0, MIN(Constants!$B$6, S422))+IF(AND(R422=Constants!$B$4, NOT(U422)), Constants!$B$5, 0), "")</f>
        <v/>
      </c>
      <c r="Y422" s="55" t="str">
        <f aca="false">IF(ISBLANK($C422),"",IF(AND(ISNUMBER(X422),N422&gt;0),X422/N422, "") )</f>
        <v/>
      </c>
      <c r="Z422" s="55" t="str">
        <f aca="false">IF(AND(NOT(ISBLANK($C422)), W422=Constants!$B$7), Y422, "")</f>
        <v/>
      </c>
      <c r="AA422" s="55" t="str">
        <f aca="false">IF(ISNUMBER(Z422), RANK(Z422,Z$8:Z$507), "")</f>
        <v/>
      </c>
      <c r="AB422" s="55" t="str">
        <f aca="false">IF(AND(NOT(ISBLANK($C422)), W422=Constants!$B$8), Y422, "")</f>
        <v/>
      </c>
      <c r="AC422" s="55" t="str">
        <f aca="false">IF(ISNUMBER(AB422), RANK(AB422,AB$8:AB$507), "")</f>
        <v/>
      </c>
      <c r="AD422" s="55" t="str">
        <f aca="false">IF(ISBLANK($C422),"",IF(V422&lt;&gt;Constants!$B$14, V422, IF(W422=Constants!$B$7, AA422, IF(W422=Constants!$B$8, COUNT($AA$8:$AA$507) + AC422, ""))))</f>
        <v/>
      </c>
      <c r="AE422" s="55" t="str">
        <f aca="false">N422</f>
        <v/>
      </c>
      <c r="AF422" s="55" t="str">
        <f aca="false">IF(ISNUMBER(AE422), RANK(AE422,AE$8:AE$507,1), "")</f>
        <v/>
      </c>
      <c r="AG422" s="57" t="str">
        <f aca="false">IF(ISBLANK(C422), "", ABS(M422-S422))</f>
        <v/>
      </c>
      <c r="AH422" s="55" t="str">
        <f aca="false">IF(ISNUMBER(AG422), RANK(AG422,AG$8:AG$507,1), "")</f>
        <v/>
      </c>
      <c r="AI422" s="55" t="str">
        <f aca="false">IF(ISBLANK(C422),"",IF(V422&lt;&gt;Constants!$B$14, V422, RANK(AD422, AD$8:AD$507, 1)+ SUMPRODUCT(--(AD$8:AD$507=AD422),--(AF422&gt;AF$8:AF$507)) + SUMPRODUCT(--(AD$8:AD$507=AD422),--(AF422=AF$8:AF$507),--(AH422&gt;AH$8:AH$507))))</f>
        <v/>
      </c>
      <c r="AJ422" s="55" t="str">
        <f aca="false">IF(ISBLANK(C422),"",IF(V422&lt;&gt;Constants!$B$14, V422, AD422-AI422))</f>
        <v/>
      </c>
      <c r="AK422" s="59"/>
      <c r="AL422" s="60" t="str">
        <f aca="false">IF(ISBLANK($C422),"",IF($V422&lt;&gt;Constants!$B$14,$V422,X422))</f>
        <v/>
      </c>
      <c r="AM422" s="60" t="str">
        <f aca="false">IF(ISBLANK($C422),"",IF($V422&lt;&gt;Constants!$B$14,$V422,N422))</f>
        <v/>
      </c>
      <c r="AN422" s="62" t="str">
        <f aca="false">IF(ISBLANK(C422),"",IF(V422&lt;&gt;Constants!$B$14, V422, IF(W422=Constants!$B$7,Z422,IF(W422=Constants!$B$8,AB422,""))))</f>
        <v/>
      </c>
      <c r="AO422" s="63" t="str">
        <f aca="false">IF(ISBLANK(C422),"",W422)</f>
        <v/>
      </c>
      <c r="AP422" s="63" t="str">
        <f aca="false">IF(ISBLANK(C422),"",AJ422)</f>
        <v/>
      </c>
      <c r="AQ422" s="63" t="str">
        <f aca="false">IF(ISBLANK(C422),"",AI422)</f>
        <v/>
      </c>
      <c r="AR422" s="64" t="str">
        <f aca="false">IF(ISBLANK(C422),
  "",
IF(AQ422=Constants!$B$11,COUNTA($C$8:$C$507)+2,IF(AQ422=Constants!$B$12,COUNTA($C$8:$C$507)+1,IF(AQ422=Constants!$B$13,COUNTA($C$8:$C$507),AQ422))))</f>
        <v/>
      </c>
      <c r="AS422" s="3"/>
      <c r="AT422" s="65" t="n">
        <f aca="false">IF(OR(ISNUMBER(AQ422),AQ422="DQ",AQ422="P",AQ422="NS"),
    1,
    0
)</f>
        <v>0</v>
      </c>
      <c r="AU422" s="65" t="n">
        <v>415</v>
      </c>
      <c r="AV422" s="65" t="str">
        <f aca="false">IF(ISBLANK($C422),
    "",
   IF(ISNUMBER(AR422),AR422+ROW($B422)/1000,"")
)</f>
        <v/>
      </c>
      <c r="AW422" s="65" t="str">
        <f aca="false">IF(ISNUMBER(AV422), RANK(AV422,AV$8:AV$507,1), "")</f>
        <v/>
      </c>
      <c r="AX422" s="65" t="str">
        <f aca="false">IF(ISBLANK($C422),
    "",
    $B422
)</f>
        <v/>
      </c>
      <c r="AY422" s="65" t="str">
        <f aca="false">IF(ISBLANK($C422),
    "",
    $C422
)</f>
        <v/>
      </c>
      <c r="AZ422" s="65" t="str">
        <f aca="false">IF(ISBLANK($C422),
    "",
    $D422
)</f>
        <v/>
      </c>
      <c r="BA422" s="65" t="str">
        <f aca="false">AO422</f>
        <v/>
      </c>
      <c r="BB422" s="66" t="str">
        <f aca="false">AN422</f>
        <v/>
      </c>
      <c r="BC422" s="65" t="str">
        <f aca="false">IF(ISBLANK($C422),
    "",
    AQ422
)</f>
        <v/>
      </c>
      <c r="BD422" s="67" t="str">
        <f aca="false">IF(AU422&gt;AT$7,
    "",
    VLOOKUP(AU422,AW$8:BC$507,7,FALSE())
)</f>
        <v/>
      </c>
      <c r="BE422" s="68" t="str">
        <f aca="false">IF(AU422&gt;AT$7,
    "",
    VLOOKUP(AU422,AW$8:BC$507,2,FALSE())
)</f>
        <v/>
      </c>
      <c r="BF422" s="68" t="str">
        <f aca="false">IF(AU422&gt;AT$7,
    "",
    VLOOKUP(AU422,AW$8:BC$507,3,FALSE())
)</f>
        <v/>
      </c>
      <c r="BG422" s="68" t="str">
        <f aca="false">IF(AU422&gt;AT$7,
    "",
    VLOOKUP(AU422,AW$8:BC$507,4,FALSE())
)</f>
        <v/>
      </c>
      <c r="BH422" s="68" t="str">
        <f aca="false">IF(AU422&gt;AT$7,
    "",
    VLOOKUP(AU422,AW$8:BC$507,5,FALSE())
)</f>
        <v/>
      </c>
      <c r="BI422" s="69" t="str">
        <f aca="false">IF(AU422&gt;AT$7,
    "",
    VLOOKUP(AU422,AW$8:BC$507,6,FALSE())
)</f>
        <v/>
      </c>
      <c r="BJ422" s="46"/>
    </row>
    <row r="423" customFormat="false" ht="15.75" hidden="false" customHeight="false" outlineLevel="0" collapsed="false">
      <c r="A423" s="3"/>
      <c r="B423" s="108"/>
      <c r="C423" s="70"/>
      <c r="D423" s="49"/>
      <c r="E423" s="109"/>
      <c r="F423" s="72"/>
      <c r="G423" s="109"/>
      <c r="H423" s="74"/>
      <c r="I423" s="104"/>
      <c r="J423" s="74"/>
      <c r="K423" s="74"/>
      <c r="L423" s="55"/>
      <c r="M423" s="55" t="str">
        <f aca="false">IF(ISBLANK($C423),"",IF(ISBLANK(E423),0,E423))</f>
        <v/>
      </c>
      <c r="N423" s="55" t="str">
        <f aca="false">IF(ISBLANK($C423),"",IF(ISBLANK(F423),0,F423))</f>
        <v/>
      </c>
      <c r="O423" s="55" t="e">
        <f aca="false">IF(AND(NOT(ISBLANK($C423)),NOT($T423),COUNTA($E423:$K423)&gt;0),ISBLANK($F423),FALSE())</f>
        <v>#VALUE!</v>
      </c>
      <c r="P423" s="55" t="str">
        <f aca="false">IF(ISBLANK($C423),"",IF(G423=Constants!$B$9, TRUE(), IF(G423=Constants!$B$10, FALSE(), TRUE())))</f>
        <v/>
      </c>
      <c r="Q423" s="55" t="str">
        <f aca="false">IF(ISBLANK($C423),"",IF(H423=Constants!$B$9, TRUE(), IF(H423=Constants!$B$10, FALSE(), TRUE())))</f>
        <v/>
      </c>
      <c r="R423" s="55" t="str">
        <f aca="false">IF(ISBLANK($C423),"",IF(ISBLANK(I423),Constants!$B$3,I423))</f>
        <v/>
      </c>
      <c r="S423" s="55" t="str">
        <f aca="false">IF(ISBLANK($C423),"",IF(ISBLANK(J423),0,MIN(J423,Constants!$B$6)))</f>
        <v/>
      </c>
      <c r="T423" s="55" t="str">
        <f aca="false">IF(ISBLANK($C423),"",IF(K423=Constants!$B$9, TRUE(), IF(K423=Constants!$B$10, FALSE(),  FALSE())))</f>
        <v/>
      </c>
      <c r="U423" s="55" t="str">
        <f aca="false">IF(ISBLANK($C423),"",AND(R423=Constants!$B$4, S423&lt;Constants!$B$6))</f>
        <v/>
      </c>
      <c r="V423" s="55" t="str">
        <f aca="false">IF(ISBLANK(C423), "", IF(T423, Constants!$B$11, IF(COUNTA(E423:K423)=0, Constants!$B$12, IF(NOT(AND(P423,S423&lt;&gt;0)), Constants!$B$13, IF(O423, Constants!$B$15, Constants!$B$14)))))</f>
        <v/>
      </c>
      <c r="W423" s="55" t="str">
        <f aca="false">IF(OR(ISBLANK($C423), SUMPRODUCT(--(P423:T423&lt;&gt;""))=0), "", IF(V423&lt;&gt;Constants!$B$14, V423, IF(AND(NOT(ISBLANK(J423)),P423,Q423,R423&lt;&gt;Constants!$B$2), Constants!$B$7, IF(AND(P423,OR(NOT(Q423),R423=Constants!$B$2)), Constants!$B$8, "Error"))))</f>
        <v/>
      </c>
      <c r="X423" s="56" t="str">
        <f aca="false">IF(OR(W423=Constants!$B$7,W423=Constants!$B$8), MAX(0, MIN(Constants!$B$6, S423))+IF(AND(R423=Constants!$B$4, NOT(U423)), Constants!$B$5, 0), "")</f>
        <v/>
      </c>
      <c r="Y423" s="55" t="str">
        <f aca="false">IF(ISBLANK($C423),"",IF(AND(ISNUMBER(X423),N423&gt;0),X423/N423, "") )</f>
        <v/>
      </c>
      <c r="Z423" s="55" t="str">
        <f aca="false">IF(AND(NOT(ISBLANK($C423)), W423=Constants!$B$7), Y423, "")</f>
        <v/>
      </c>
      <c r="AA423" s="55" t="str">
        <f aca="false">IF(ISNUMBER(Z423), RANK(Z423,Z$8:Z$507), "")</f>
        <v/>
      </c>
      <c r="AB423" s="55" t="str">
        <f aca="false">IF(AND(NOT(ISBLANK($C423)), W423=Constants!$B$8), Y423, "")</f>
        <v/>
      </c>
      <c r="AC423" s="55" t="str">
        <f aca="false">IF(ISNUMBER(AB423), RANK(AB423,AB$8:AB$507), "")</f>
        <v/>
      </c>
      <c r="AD423" s="55" t="str">
        <f aca="false">IF(ISBLANK($C423),"",IF(V423&lt;&gt;Constants!$B$14, V423, IF(W423=Constants!$B$7, AA423, IF(W423=Constants!$B$8, COUNT($AA$8:$AA$507) + AC423, ""))))</f>
        <v/>
      </c>
      <c r="AE423" s="55" t="str">
        <f aca="false">N423</f>
        <v/>
      </c>
      <c r="AF423" s="55" t="str">
        <f aca="false">IF(ISNUMBER(AE423), RANK(AE423,AE$8:AE$507,1), "")</f>
        <v/>
      </c>
      <c r="AG423" s="57" t="str">
        <f aca="false">IF(ISBLANK(C423), "", ABS(M423-S423))</f>
        <v/>
      </c>
      <c r="AH423" s="55" t="str">
        <f aca="false">IF(ISNUMBER(AG423), RANK(AG423,AG$8:AG$507,1), "")</f>
        <v/>
      </c>
      <c r="AI423" s="55" t="str">
        <f aca="false">IF(ISBLANK(C423),"",IF(V423&lt;&gt;Constants!$B$14, V423, RANK(AD423, AD$8:AD$507, 1)+ SUMPRODUCT(--(AD$8:AD$507=AD423),--(AF423&gt;AF$8:AF$507)) + SUMPRODUCT(--(AD$8:AD$507=AD423),--(AF423=AF$8:AF$507),--(AH423&gt;AH$8:AH$507))))</f>
        <v/>
      </c>
      <c r="AJ423" s="55" t="str">
        <f aca="false">IF(ISBLANK(C423),"",IF(V423&lt;&gt;Constants!$B$14, V423, AD423-AI423))</f>
        <v/>
      </c>
      <c r="AK423" s="59"/>
      <c r="AL423" s="60" t="str">
        <f aca="false">IF(ISBLANK($C423),"",IF($V423&lt;&gt;Constants!$B$14,$V423,X423))</f>
        <v/>
      </c>
      <c r="AM423" s="60" t="str">
        <f aca="false">IF(ISBLANK($C423),"",IF($V423&lt;&gt;Constants!$B$14,$V423,N423))</f>
        <v/>
      </c>
      <c r="AN423" s="62" t="str">
        <f aca="false">IF(ISBLANK(C423),"",IF(V423&lt;&gt;Constants!$B$14, V423, IF(W423=Constants!$B$7,Z423,IF(W423=Constants!$B$8,AB423,""))))</f>
        <v/>
      </c>
      <c r="AO423" s="63" t="str">
        <f aca="false">IF(ISBLANK(C423),"",W423)</f>
        <v/>
      </c>
      <c r="AP423" s="63" t="str">
        <f aca="false">IF(ISBLANK(C423),"",AJ423)</f>
        <v/>
      </c>
      <c r="AQ423" s="63" t="str">
        <f aca="false">IF(ISBLANK(C423),"",AI423)</f>
        <v/>
      </c>
      <c r="AR423" s="64" t="str">
        <f aca="false">IF(ISBLANK(C423),
  "",
IF(AQ423=Constants!$B$11,COUNTA($C$8:$C$507)+2,IF(AQ423=Constants!$B$12,COUNTA($C$8:$C$507)+1,IF(AQ423=Constants!$B$13,COUNTA($C$8:$C$507),AQ423))))</f>
        <v/>
      </c>
      <c r="AS423" s="3"/>
      <c r="AT423" s="65" t="n">
        <f aca="false">IF(OR(ISNUMBER(AQ423),AQ423="DQ",AQ423="P",AQ423="NS"),
    1,
    0
)</f>
        <v>0</v>
      </c>
      <c r="AU423" s="65" t="n">
        <v>416</v>
      </c>
      <c r="AV423" s="65" t="str">
        <f aca="false">IF(ISBLANK($C423),
    "",
   IF(ISNUMBER(AR423),AR423+ROW($B423)/1000,"")
)</f>
        <v/>
      </c>
      <c r="AW423" s="65" t="str">
        <f aca="false">IF(ISNUMBER(AV423), RANK(AV423,AV$8:AV$507,1), "")</f>
        <v/>
      </c>
      <c r="AX423" s="65" t="str">
        <f aca="false">IF(ISBLANK($C423),
    "",
    $B423
)</f>
        <v/>
      </c>
      <c r="AY423" s="65" t="str">
        <f aca="false">IF(ISBLANK($C423),
    "",
    $C423
)</f>
        <v/>
      </c>
      <c r="AZ423" s="65" t="str">
        <f aca="false">IF(ISBLANK($C423),
    "",
    $D423
)</f>
        <v/>
      </c>
      <c r="BA423" s="65" t="str">
        <f aca="false">AO423</f>
        <v/>
      </c>
      <c r="BB423" s="66" t="str">
        <f aca="false">AN423</f>
        <v/>
      </c>
      <c r="BC423" s="65" t="str">
        <f aca="false">IF(ISBLANK($C423),
    "",
    AQ423
)</f>
        <v/>
      </c>
      <c r="BD423" s="67" t="str">
        <f aca="false">IF(AU423&gt;AT$7,
    "",
    VLOOKUP(AU423,AW$8:BC$507,7,FALSE())
)</f>
        <v/>
      </c>
      <c r="BE423" s="68" t="str">
        <f aca="false">IF(AU423&gt;AT$7,
    "",
    VLOOKUP(AU423,AW$8:BC$507,2,FALSE())
)</f>
        <v/>
      </c>
      <c r="BF423" s="68" t="str">
        <f aca="false">IF(AU423&gt;AT$7,
    "",
    VLOOKUP(AU423,AW$8:BC$507,3,FALSE())
)</f>
        <v/>
      </c>
      <c r="BG423" s="68" t="str">
        <f aca="false">IF(AU423&gt;AT$7,
    "",
    VLOOKUP(AU423,AW$8:BC$507,4,FALSE())
)</f>
        <v/>
      </c>
      <c r="BH423" s="68" t="str">
        <f aca="false">IF(AU423&gt;AT$7,
    "",
    VLOOKUP(AU423,AW$8:BC$507,5,FALSE())
)</f>
        <v/>
      </c>
      <c r="BI423" s="69" t="str">
        <f aca="false">IF(AU423&gt;AT$7,
    "",
    VLOOKUP(AU423,AW$8:BC$507,6,FALSE())
)</f>
        <v/>
      </c>
      <c r="BJ423" s="46"/>
    </row>
    <row r="424" customFormat="false" ht="15.75" hidden="false" customHeight="false" outlineLevel="0" collapsed="false">
      <c r="A424" s="3"/>
      <c r="B424" s="108"/>
      <c r="C424" s="70"/>
      <c r="D424" s="49"/>
      <c r="E424" s="109"/>
      <c r="F424" s="72"/>
      <c r="G424" s="109"/>
      <c r="H424" s="74"/>
      <c r="I424" s="104"/>
      <c r="J424" s="74"/>
      <c r="K424" s="74"/>
      <c r="L424" s="55"/>
      <c r="M424" s="55" t="str">
        <f aca="false">IF(ISBLANK($C424),"",IF(ISBLANK(E424),0,E424))</f>
        <v/>
      </c>
      <c r="N424" s="55" t="str">
        <f aca="false">IF(ISBLANK($C424),"",IF(ISBLANK(F424),0,F424))</f>
        <v/>
      </c>
      <c r="O424" s="55" t="e">
        <f aca="false">IF(AND(NOT(ISBLANK($C424)),NOT($T424),COUNTA($E424:$K424)&gt;0),ISBLANK($F424),FALSE())</f>
        <v>#VALUE!</v>
      </c>
      <c r="P424" s="55" t="str">
        <f aca="false">IF(ISBLANK($C424),"",IF(G424=Constants!$B$9, TRUE(), IF(G424=Constants!$B$10, FALSE(), TRUE())))</f>
        <v/>
      </c>
      <c r="Q424" s="55" t="str">
        <f aca="false">IF(ISBLANK($C424),"",IF(H424=Constants!$B$9, TRUE(), IF(H424=Constants!$B$10, FALSE(), TRUE())))</f>
        <v/>
      </c>
      <c r="R424" s="55" t="str">
        <f aca="false">IF(ISBLANK($C424),"",IF(ISBLANK(I424),Constants!$B$3,I424))</f>
        <v/>
      </c>
      <c r="S424" s="55" t="str">
        <f aca="false">IF(ISBLANK($C424),"",IF(ISBLANK(J424),0,MIN(J424,Constants!$B$6)))</f>
        <v/>
      </c>
      <c r="T424" s="55" t="str">
        <f aca="false">IF(ISBLANK($C424),"",IF(K424=Constants!$B$9, TRUE(), IF(K424=Constants!$B$10, FALSE(),  FALSE())))</f>
        <v/>
      </c>
      <c r="U424" s="55" t="str">
        <f aca="false">IF(ISBLANK($C424),"",AND(R424=Constants!$B$4, S424&lt;Constants!$B$6))</f>
        <v/>
      </c>
      <c r="V424" s="55" t="str">
        <f aca="false">IF(ISBLANK(C424), "", IF(T424, Constants!$B$11, IF(COUNTA(E424:K424)=0, Constants!$B$12, IF(NOT(AND(P424,S424&lt;&gt;0)), Constants!$B$13, IF(O424, Constants!$B$15, Constants!$B$14)))))</f>
        <v/>
      </c>
      <c r="W424" s="55" t="str">
        <f aca="false">IF(OR(ISBLANK($C424), SUMPRODUCT(--(P424:T424&lt;&gt;""))=0), "", IF(V424&lt;&gt;Constants!$B$14, V424, IF(AND(NOT(ISBLANK(J424)),P424,Q424,R424&lt;&gt;Constants!$B$2), Constants!$B$7, IF(AND(P424,OR(NOT(Q424),R424=Constants!$B$2)), Constants!$B$8, "Error"))))</f>
        <v/>
      </c>
      <c r="X424" s="56" t="str">
        <f aca="false">IF(OR(W424=Constants!$B$7,W424=Constants!$B$8), MAX(0, MIN(Constants!$B$6, S424))+IF(AND(R424=Constants!$B$4, NOT(U424)), Constants!$B$5, 0), "")</f>
        <v/>
      </c>
      <c r="Y424" s="55" t="str">
        <f aca="false">IF(ISBLANK($C424),"",IF(AND(ISNUMBER(X424),N424&gt;0),X424/N424, "") )</f>
        <v/>
      </c>
      <c r="Z424" s="55" t="str">
        <f aca="false">IF(AND(NOT(ISBLANK($C424)), W424=Constants!$B$7), Y424, "")</f>
        <v/>
      </c>
      <c r="AA424" s="55" t="str">
        <f aca="false">IF(ISNUMBER(Z424), RANK(Z424,Z$8:Z$507), "")</f>
        <v/>
      </c>
      <c r="AB424" s="55" t="str">
        <f aca="false">IF(AND(NOT(ISBLANK($C424)), W424=Constants!$B$8), Y424, "")</f>
        <v/>
      </c>
      <c r="AC424" s="55" t="str">
        <f aca="false">IF(ISNUMBER(AB424), RANK(AB424,AB$8:AB$507), "")</f>
        <v/>
      </c>
      <c r="AD424" s="55" t="str">
        <f aca="false">IF(ISBLANK($C424),"",IF(V424&lt;&gt;Constants!$B$14, V424, IF(W424=Constants!$B$7, AA424, IF(W424=Constants!$B$8, COUNT($AA$8:$AA$507) + AC424, ""))))</f>
        <v/>
      </c>
      <c r="AE424" s="55" t="str">
        <f aca="false">N424</f>
        <v/>
      </c>
      <c r="AF424" s="55" t="str">
        <f aca="false">IF(ISNUMBER(AE424), RANK(AE424,AE$8:AE$507,1), "")</f>
        <v/>
      </c>
      <c r="AG424" s="57" t="str">
        <f aca="false">IF(ISBLANK(C424), "", ABS(M424-S424))</f>
        <v/>
      </c>
      <c r="AH424" s="55" t="str">
        <f aca="false">IF(ISNUMBER(AG424), RANK(AG424,AG$8:AG$507,1), "")</f>
        <v/>
      </c>
      <c r="AI424" s="55" t="str">
        <f aca="false">IF(ISBLANK(C424),"",IF(V424&lt;&gt;Constants!$B$14, V424, RANK(AD424, AD$8:AD$507, 1)+ SUMPRODUCT(--(AD$8:AD$507=AD424),--(AF424&gt;AF$8:AF$507)) + SUMPRODUCT(--(AD$8:AD$507=AD424),--(AF424=AF$8:AF$507),--(AH424&gt;AH$8:AH$507))))</f>
        <v/>
      </c>
      <c r="AJ424" s="55" t="str">
        <f aca="false">IF(ISBLANK(C424),"",IF(V424&lt;&gt;Constants!$B$14, V424, AD424-AI424))</f>
        <v/>
      </c>
      <c r="AK424" s="59"/>
      <c r="AL424" s="60" t="str">
        <f aca="false">IF(ISBLANK($C424),"",IF($V424&lt;&gt;Constants!$B$14,$V424,X424))</f>
        <v/>
      </c>
      <c r="AM424" s="60" t="str">
        <f aca="false">IF(ISBLANK($C424),"",IF($V424&lt;&gt;Constants!$B$14,$V424,N424))</f>
        <v/>
      </c>
      <c r="AN424" s="62" t="str">
        <f aca="false">IF(ISBLANK(C424),"",IF(V424&lt;&gt;Constants!$B$14, V424, IF(W424=Constants!$B$7,Z424,IF(W424=Constants!$B$8,AB424,""))))</f>
        <v/>
      </c>
      <c r="AO424" s="63" t="str">
        <f aca="false">IF(ISBLANK(C424),"",W424)</f>
        <v/>
      </c>
      <c r="AP424" s="63" t="str">
        <f aca="false">IF(ISBLANK(C424),"",AJ424)</f>
        <v/>
      </c>
      <c r="AQ424" s="63" t="str">
        <f aca="false">IF(ISBLANK(C424),"",AI424)</f>
        <v/>
      </c>
      <c r="AR424" s="64" t="str">
        <f aca="false">IF(ISBLANK(C424),
  "",
IF(AQ424=Constants!$B$11,COUNTA($C$8:$C$507)+2,IF(AQ424=Constants!$B$12,COUNTA($C$8:$C$507)+1,IF(AQ424=Constants!$B$13,COUNTA($C$8:$C$507),AQ424))))</f>
        <v/>
      </c>
      <c r="AS424" s="3"/>
      <c r="AT424" s="65" t="n">
        <f aca="false">IF(OR(ISNUMBER(AQ424),AQ424="DQ",AQ424="P",AQ424="NS"),
    1,
    0
)</f>
        <v>0</v>
      </c>
      <c r="AU424" s="65" t="n">
        <v>417</v>
      </c>
      <c r="AV424" s="65" t="str">
        <f aca="false">IF(ISBLANK($C424),
    "",
   IF(ISNUMBER(AR424),AR424+ROW($B424)/1000,"")
)</f>
        <v/>
      </c>
      <c r="AW424" s="65" t="str">
        <f aca="false">IF(ISNUMBER(AV424), RANK(AV424,AV$8:AV$507,1), "")</f>
        <v/>
      </c>
      <c r="AX424" s="65" t="str">
        <f aca="false">IF(ISBLANK($C424),
    "",
    $B424
)</f>
        <v/>
      </c>
      <c r="AY424" s="65" t="str">
        <f aca="false">IF(ISBLANK($C424),
    "",
    $C424
)</f>
        <v/>
      </c>
      <c r="AZ424" s="65" t="str">
        <f aca="false">IF(ISBLANK($C424),
    "",
    $D424
)</f>
        <v/>
      </c>
      <c r="BA424" s="65" t="str">
        <f aca="false">AO424</f>
        <v/>
      </c>
      <c r="BB424" s="66" t="str">
        <f aca="false">AN424</f>
        <v/>
      </c>
      <c r="BC424" s="65" t="str">
        <f aca="false">IF(ISBLANK($C424),
    "",
    AQ424
)</f>
        <v/>
      </c>
      <c r="BD424" s="67" t="str">
        <f aca="false">IF(AU424&gt;AT$7,
    "",
    VLOOKUP(AU424,AW$8:BC$507,7,FALSE())
)</f>
        <v/>
      </c>
      <c r="BE424" s="68" t="str">
        <f aca="false">IF(AU424&gt;AT$7,
    "",
    VLOOKUP(AU424,AW$8:BC$507,2,FALSE())
)</f>
        <v/>
      </c>
      <c r="BF424" s="68" t="str">
        <f aca="false">IF(AU424&gt;AT$7,
    "",
    VLOOKUP(AU424,AW$8:BC$507,3,FALSE())
)</f>
        <v/>
      </c>
      <c r="BG424" s="68" t="str">
        <f aca="false">IF(AU424&gt;AT$7,
    "",
    VLOOKUP(AU424,AW$8:BC$507,4,FALSE())
)</f>
        <v/>
      </c>
      <c r="BH424" s="68" t="str">
        <f aca="false">IF(AU424&gt;AT$7,
    "",
    VLOOKUP(AU424,AW$8:BC$507,5,FALSE())
)</f>
        <v/>
      </c>
      <c r="BI424" s="69" t="str">
        <f aca="false">IF(AU424&gt;AT$7,
    "",
    VLOOKUP(AU424,AW$8:BC$507,6,FALSE())
)</f>
        <v/>
      </c>
      <c r="BJ424" s="46"/>
    </row>
    <row r="425" customFormat="false" ht="15.75" hidden="false" customHeight="false" outlineLevel="0" collapsed="false">
      <c r="A425" s="3"/>
      <c r="B425" s="105"/>
      <c r="C425" s="106"/>
      <c r="D425" s="99"/>
      <c r="E425" s="110"/>
      <c r="F425" s="107"/>
      <c r="G425" s="110"/>
      <c r="H425" s="103"/>
      <c r="I425" s="102"/>
      <c r="J425" s="103"/>
      <c r="K425" s="103"/>
      <c r="L425" s="85"/>
      <c r="M425" s="85" t="str">
        <f aca="false">IF(ISBLANK($C425),"",IF(ISBLANK(E425),0,E425))</f>
        <v/>
      </c>
      <c r="N425" s="85" t="str">
        <f aca="false">IF(ISBLANK($C425),"",IF(ISBLANK(F425),0,F425))</f>
        <v/>
      </c>
      <c r="O425" s="86" t="e">
        <f aca="false">IF(AND(NOT(ISBLANK($C425)),NOT($T425),COUNTA($E425:$K425)&gt;0),ISBLANK($F425),FALSE())</f>
        <v>#VALUE!</v>
      </c>
      <c r="P425" s="85" t="str">
        <f aca="false">IF(ISBLANK($C425),"",IF(G425=Constants!$B$9, TRUE(), IF(G425=Constants!$B$10, FALSE(), TRUE())))</f>
        <v/>
      </c>
      <c r="Q425" s="85" t="str">
        <f aca="false">IF(ISBLANK($C425),"",IF(H425=Constants!$B$9, TRUE(), IF(H425=Constants!$B$10, FALSE(), TRUE())))</f>
        <v/>
      </c>
      <c r="R425" s="85" t="str">
        <f aca="false">IF(ISBLANK($C425),"",IF(ISBLANK(I425),Constants!$B$3,I425))</f>
        <v/>
      </c>
      <c r="S425" s="85" t="str">
        <f aca="false">IF(ISBLANK($C425),"",IF(ISBLANK(J425),0,MIN(J425,Constants!$B$6)))</f>
        <v/>
      </c>
      <c r="T425" s="85" t="str">
        <f aca="false">IF(ISBLANK($C425),"",IF(K425=Constants!$B$9, TRUE(), IF(K425=Constants!$B$10, FALSE(),  FALSE())))</f>
        <v/>
      </c>
      <c r="U425" s="85" t="str">
        <f aca="false">IF(ISBLANK($C425),"",AND(R425=Constants!$B$4, S425&lt;Constants!$B$6))</f>
        <v/>
      </c>
      <c r="V425" s="85" t="str">
        <f aca="false">IF(ISBLANK(C425), "", IF(T425, Constants!$B$11, IF(COUNTA(E425:K425)=0, Constants!$B$12, IF(NOT(AND(P425,S425&lt;&gt;0)), Constants!$B$13, IF(O425, Constants!$B$15, Constants!$B$14)))))</f>
        <v/>
      </c>
      <c r="W425" s="85" t="str">
        <f aca="false">IF(OR(ISBLANK($C425), SUMPRODUCT(--(P425:T425&lt;&gt;""))=0), "", IF(V425&lt;&gt;Constants!$B$14, V425, IF(AND(NOT(ISBLANK(J425)),P425,Q425,R425&lt;&gt;Constants!$B$2), Constants!$B$7, IF(AND(P425,OR(NOT(Q425),R425=Constants!$B$2)), Constants!$B$8, "Error"))))</f>
        <v/>
      </c>
      <c r="X425" s="87" t="str">
        <f aca="false">IF(OR(W425=Constants!$B$7,W425=Constants!$B$8), MAX(0, MIN(Constants!$B$6, S425))+IF(AND(R425=Constants!$B$4, NOT(U425)), Constants!$B$5, 0), "")</f>
        <v/>
      </c>
      <c r="Y425" s="85" t="str">
        <f aca="false">IF(ISBLANK($C425),"",IF(AND(ISNUMBER(X425),N425&gt;0),X425/N425, "") )</f>
        <v/>
      </c>
      <c r="Z425" s="85" t="str">
        <f aca="false">IF(AND(NOT(ISBLANK($C425)), W425=Constants!$B$7), Y425, "")</f>
        <v/>
      </c>
      <c r="AA425" s="85" t="str">
        <f aca="false">IF(ISNUMBER(Z425), RANK(Z425,Z$8:Z$507), "")</f>
        <v/>
      </c>
      <c r="AB425" s="85" t="str">
        <f aca="false">IF(AND(NOT(ISBLANK($C425)), W425=Constants!$B$8), Y425, "")</f>
        <v/>
      </c>
      <c r="AC425" s="85" t="str">
        <f aca="false">IF(ISNUMBER(AB425), RANK(AB425,AB$8:AB$507), "")</f>
        <v/>
      </c>
      <c r="AD425" s="85" t="str">
        <f aca="false">IF(ISBLANK($C425),"",IF(V425&lt;&gt;Constants!$B$14, V425, IF(W425=Constants!$B$7, AA425, IF(W425=Constants!$B$8, COUNT($AA$8:$AA$507) + AC425, ""))))</f>
        <v/>
      </c>
      <c r="AE425" s="85" t="str">
        <f aca="false">N425</f>
        <v/>
      </c>
      <c r="AF425" s="85" t="str">
        <f aca="false">IF(ISNUMBER(AE425), RANK(AE425,AE$8:AE$507,1), "")</f>
        <v/>
      </c>
      <c r="AG425" s="88" t="str">
        <f aca="false">IF(ISBLANK(C425), "", ABS(M425-S425))</f>
        <v/>
      </c>
      <c r="AH425" s="85" t="str">
        <f aca="false">IF(ISNUMBER(AG425), RANK(AG425,AG$8:AG$507,1), "")</f>
        <v/>
      </c>
      <c r="AI425" s="85" t="str">
        <f aca="false">IF(ISBLANK(C425),"",IF(V425&lt;&gt;Constants!$B$14, V425, RANK(AD425, AD$8:AD$507, 1)+ SUMPRODUCT(--(AD$8:AD$507=AD425),--(AF425&gt;AF$8:AF$507)) + SUMPRODUCT(--(AD$8:AD$507=AD425),--(AF425=AF$8:AF$507),--(AH425&gt;AH$8:AH$507))))</f>
        <v/>
      </c>
      <c r="AJ425" s="85" t="str">
        <f aca="false">IF(ISBLANK(C425),"",IF(V425&lt;&gt;Constants!$B$14, V425, AD425-AI425))</f>
        <v/>
      </c>
      <c r="AK425" s="89"/>
      <c r="AL425" s="90" t="str">
        <f aca="false">IF(ISBLANK($C425),"",IF($V425&lt;&gt;Constants!$B$14,$V425,X425))</f>
        <v/>
      </c>
      <c r="AM425" s="90" t="str">
        <f aca="false">IF(ISBLANK($C425),"",IF($V425&lt;&gt;Constants!$B$14,$V425,N425))</f>
        <v/>
      </c>
      <c r="AN425" s="91" t="str">
        <f aca="false">IF(ISBLANK(C425),"",IF(V425&lt;&gt;Constants!$B$14, V425, IF(W425=Constants!$B$7,Z425,IF(W425=Constants!$B$8,AB425,""))))</f>
        <v/>
      </c>
      <c r="AO425" s="92" t="str">
        <f aca="false">IF(ISBLANK(C425),"",W425)</f>
        <v/>
      </c>
      <c r="AP425" s="92" t="str">
        <f aca="false">IF(ISBLANK(C425),"",AJ425)</f>
        <v/>
      </c>
      <c r="AQ425" s="92" t="str">
        <f aca="false">IF(ISBLANK(C425),"",AI425)</f>
        <v/>
      </c>
      <c r="AR425" s="93" t="str">
        <f aca="false">IF(ISBLANK(C425),
  "",
IF(AQ425=Constants!$B$11,COUNTA($C$8:$C$507)+2,IF(AQ425=Constants!$B$12,COUNTA($C$8:$C$507)+1,IF(AQ425=Constants!$B$13,COUNTA($C$8:$C$507),AQ425))))</f>
        <v/>
      </c>
      <c r="AS425" s="3"/>
      <c r="AT425" s="94" t="n">
        <f aca="false">IF(OR(ISNUMBER(AQ425),AQ425="DQ",AQ425="P",AQ425="NS"),
    1,
    0
)</f>
        <v>0</v>
      </c>
      <c r="AU425" s="94" t="n">
        <v>418</v>
      </c>
      <c r="AV425" s="94" t="str">
        <f aca="false">IF(ISBLANK($C425),
    "",
   IF(ISNUMBER(AR425),AR425+ROW($B425)/1000,"")
)</f>
        <v/>
      </c>
      <c r="AW425" s="94" t="str">
        <f aca="false">IF(ISNUMBER(AV425), RANK(AV425,AV$8:AV$507,1), "")</f>
        <v/>
      </c>
      <c r="AX425" s="94" t="str">
        <f aca="false">IF(ISBLANK($C425),
    "",
    $B425
)</f>
        <v/>
      </c>
      <c r="AY425" s="94" t="str">
        <f aca="false">IF(ISBLANK($C425),
    "",
    $C425
)</f>
        <v/>
      </c>
      <c r="AZ425" s="94" t="str">
        <f aca="false">IF(ISBLANK($C425),
    "",
    $D425
)</f>
        <v/>
      </c>
      <c r="BA425" s="94" t="str">
        <f aca="false">AO425</f>
        <v/>
      </c>
      <c r="BB425" s="95" t="str">
        <f aca="false">AN425</f>
        <v/>
      </c>
      <c r="BC425" s="94" t="str">
        <f aca="false">IF(ISBLANK($C425),
    "",
    AQ425
)</f>
        <v/>
      </c>
      <c r="BD425" s="96" t="str">
        <f aca="false">IF(AU425&gt;AT$7,
    "",
    VLOOKUP(AU425,AW$8:BC$507,7,FALSE())
)</f>
        <v/>
      </c>
      <c r="BE425" s="97" t="str">
        <f aca="false">IF(AU425&gt;AT$7,
    "",
    VLOOKUP(AU425,AW$8:BC$507,2,FALSE())
)</f>
        <v/>
      </c>
      <c r="BF425" s="97" t="str">
        <f aca="false">IF(AU425&gt;AT$7,
    "",
    VLOOKUP(AU425,AW$8:BC$507,3,FALSE())
)</f>
        <v/>
      </c>
      <c r="BG425" s="97" t="str">
        <f aca="false">IF(AU425&gt;AT$7,
    "",
    VLOOKUP(AU425,AW$8:BC$507,4,FALSE())
)</f>
        <v/>
      </c>
      <c r="BH425" s="97" t="str">
        <f aca="false">IF(AU425&gt;AT$7,
    "",
    VLOOKUP(AU425,AW$8:BC$507,5,FALSE())
)</f>
        <v/>
      </c>
      <c r="BI425" s="98" t="str">
        <f aca="false">IF(AU425&gt;AT$7,
    "",
    VLOOKUP(AU425,AW$8:BC$507,6,FALSE())
)</f>
        <v/>
      </c>
      <c r="BJ425" s="46"/>
    </row>
    <row r="426" customFormat="false" ht="15.75" hidden="false" customHeight="false" outlineLevel="0" collapsed="false">
      <c r="A426" s="3"/>
      <c r="B426" s="105"/>
      <c r="C426" s="106"/>
      <c r="D426" s="99"/>
      <c r="E426" s="110"/>
      <c r="F426" s="107"/>
      <c r="G426" s="110"/>
      <c r="H426" s="103"/>
      <c r="I426" s="102"/>
      <c r="J426" s="103"/>
      <c r="K426" s="103"/>
      <c r="L426" s="85"/>
      <c r="M426" s="85" t="str">
        <f aca="false">IF(ISBLANK($C426),"",IF(ISBLANK(E426),0,E426))</f>
        <v/>
      </c>
      <c r="N426" s="85" t="str">
        <f aca="false">IF(ISBLANK($C426),"",IF(ISBLANK(F426),0,F426))</f>
        <v/>
      </c>
      <c r="O426" s="86" t="e">
        <f aca="false">IF(AND(NOT(ISBLANK($C426)),NOT($T426),COUNTA($E426:$K426)&gt;0),ISBLANK($F426),FALSE())</f>
        <v>#VALUE!</v>
      </c>
      <c r="P426" s="85" t="str">
        <f aca="false">IF(ISBLANK($C426),"",IF(G426=Constants!$B$9, TRUE(), IF(G426=Constants!$B$10, FALSE(), TRUE())))</f>
        <v/>
      </c>
      <c r="Q426" s="85" t="str">
        <f aca="false">IF(ISBLANK($C426),"",IF(H426=Constants!$B$9, TRUE(), IF(H426=Constants!$B$10, FALSE(), TRUE())))</f>
        <v/>
      </c>
      <c r="R426" s="85" t="str">
        <f aca="false">IF(ISBLANK($C426),"",IF(ISBLANK(I426),Constants!$B$3,I426))</f>
        <v/>
      </c>
      <c r="S426" s="85" t="str">
        <f aca="false">IF(ISBLANK($C426),"",IF(ISBLANK(J426),0,MIN(J426,Constants!$B$6)))</f>
        <v/>
      </c>
      <c r="T426" s="85" t="str">
        <f aca="false">IF(ISBLANK($C426),"",IF(K426=Constants!$B$9, TRUE(), IF(K426=Constants!$B$10, FALSE(),  FALSE())))</f>
        <v/>
      </c>
      <c r="U426" s="85" t="str">
        <f aca="false">IF(ISBLANK($C426),"",AND(R426=Constants!$B$4, S426&lt;Constants!$B$6))</f>
        <v/>
      </c>
      <c r="V426" s="85" t="str">
        <f aca="false">IF(ISBLANK(C426), "", IF(T426, Constants!$B$11, IF(COUNTA(E426:K426)=0, Constants!$B$12, IF(NOT(AND(P426,S426&lt;&gt;0)), Constants!$B$13, IF(O426, Constants!$B$15, Constants!$B$14)))))</f>
        <v/>
      </c>
      <c r="W426" s="85" t="str">
        <f aca="false">IF(OR(ISBLANK($C426), SUMPRODUCT(--(P426:T426&lt;&gt;""))=0), "", IF(V426&lt;&gt;Constants!$B$14, V426, IF(AND(NOT(ISBLANK(J426)),P426,Q426,R426&lt;&gt;Constants!$B$2), Constants!$B$7, IF(AND(P426,OR(NOT(Q426),R426=Constants!$B$2)), Constants!$B$8, "Error"))))</f>
        <v/>
      </c>
      <c r="X426" s="87" t="str">
        <f aca="false">IF(OR(W426=Constants!$B$7,W426=Constants!$B$8), MAX(0, MIN(Constants!$B$6, S426))+IF(AND(R426=Constants!$B$4, NOT(U426)), Constants!$B$5, 0), "")</f>
        <v/>
      </c>
      <c r="Y426" s="85" t="str">
        <f aca="false">IF(ISBLANK($C426),"",IF(AND(ISNUMBER(X426),N426&gt;0),X426/N426, "") )</f>
        <v/>
      </c>
      <c r="Z426" s="85" t="str">
        <f aca="false">IF(AND(NOT(ISBLANK($C426)), W426=Constants!$B$7), Y426, "")</f>
        <v/>
      </c>
      <c r="AA426" s="85" t="str">
        <f aca="false">IF(ISNUMBER(Z426), RANK(Z426,Z$8:Z$507), "")</f>
        <v/>
      </c>
      <c r="AB426" s="85" t="str">
        <f aca="false">IF(AND(NOT(ISBLANK($C426)), W426=Constants!$B$8), Y426, "")</f>
        <v/>
      </c>
      <c r="AC426" s="85" t="str">
        <f aca="false">IF(ISNUMBER(AB426), RANK(AB426,AB$8:AB$507), "")</f>
        <v/>
      </c>
      <c r="AD426" s="85" t="str">
        <f aca="false">IF(ISBLANK($C426),"",IF(V426&lt;&gt;Constants!$B$14, V426, IF(W426=Constants!$B$7, AA426, IF(W426=Constants!$B$8, COUNT($AA$8:$AA$507) + AC426, ""))))</f>
        <v/>
      </c>
      <c r="AE426" s="85" t="str">
        <f aca="false">N426</f>
        <v/>
      </c>
      <c r="AF426" s="85" t="str">
        <f aca="false">IF(ISNUMBER(AE426), RANK(AE426,AE$8:AE$507,1), "")</f>
        <v/>
      </c>
      <c r="AG426" s="88" t="str">
        <f aca="false">IF(ISBLANK(C426), "", ABS(M426-S426))</f>
        <v/>
      </c>
      <c r="AH426" s="85" t="str">
        <f aca="false">IF(ISNUMBER(AG426), RANK(AG426,AG$8:AG$507,1), "")</f>
        <v/>
      </c>
      <c r="AI426" s="85" t="str">
        <f aca="false">IF(ISBLANK(C426),"",IF(V426&lt;&gt;Constants!$B$14, V426, RANK(AD426, AD$8:AD$507, 1)+ SUMPRODUCT(--(AD$8:AD$507=AD426),--(AF426&gt;AF$8:AF$507)) + SUMPRODUCT(--(AD$8:AD$507=AD426),--(AF426=AF$8:AF$507),--(AH426&gt;AH$8:AH$507))))</f>
        <v/>
      </c>
      <c r="AJ426" s="85" t="str">
        <f aca="false">IF(ISBLANK(C426),"",IF(V426&lt;&gt;Constants!$B$14, V426, AD426-AI426))</f>
        <v/>
      </c>
      <c r="AK426" s="89"/>
      <c r="AL426" s="90" t="str">
        <f aca="false">IF(ISBLANK($C426),"",IF($V426&lt;&gt;Constants!$B$14,$V426,X426))</f>
        <v/>
      </c>
      <c r="AM426" s="90" t="str">
        <f aca="false">IF(ISBLANK($C426),"",IF($V426&lt;&gt;Constants!$B$14,$V426,N426))</f>
        <v/>
      </c>
      <c r="AN426" s="91" t="str">
        <f aca="false">IF(ISBLANK(C426),"",IF(V426&lt;&gt;Constants!$B$14, V426, IF(W426=Constants!$B$7,Z426,IF(W426=Constants!$B$8,AB426,""))))</f>
        <v/>
      </c>
      <c r="AO426" s="92" t="str">
        <f aca="false">IF(ISBLANK(C426),"",W426)</f>
        <v/>
      </c>
      <c r="AP426" s="92" t="str">
        <f aca="false">IF(ISBLANK(C426),"",AJ426)</f>
        <v/>
      </c>
      <c r="AQ426" s="92" t="str">
        <f aca="false">IF(ISBLANK(C426),"",AI426)</f>
        <v/>
      </c>
      <c r="AR426" s="93" t="str">
        <f aca="false">IF(ISBLANK(C426),
  "",
IF(AQ426=Constants!$B$11,COUNTA($C$8:$C$507)+2,IF(AQ426=Constants!$B$12,COUNTA($C$8:$C$507)+1,IF(AQ426=Constants!$B$13,COUNTA($C$8:$C$507),AQ426))))</f>
        <v/>
      </c>
      <c r="AS426" s="3"/>
      <c r="AT426" s="94" t="n">
        <f aca="false">IF(OR(ISNUMBER(AQ426),AQ426="DQ",AQ426="P",AQ426="NS"),
    1,
    0
)</f>
        <v>0</v>
      </c>
      <c r="AU426" s="94" t="n">
        <v>419</v>
      </c>
      <c r="AV426" s="94" t="str">
        <f aca="false">IF(ISBLANK($C426),
    "",
   IF(ISNUMBER(AR426),AR426+ROW($B426)/1000,"")
)</f>
        <v/>
      </c>
      <c r="AW426" s="94" t="str">
        <f aca="false">IF(ISNUMBER(AV426), RANK(AV426,AV$8:AV$507,1), "")</f>
        <v/>
      </c>
      <c r="AX426" s="94" t="str">
        <f aca="false">IF(ISBLANK($C426),
    "",
    $B426
)</f>
        <v/>
      </c>
      <c r="AY426" s="94" t="str">
        <f aca="false">IF(ISBLANK($C426),
    "",
    $C426
)</f>
        <v/>
      </c>
      <c r="AZ426" s="94" t="str">
        <f aca="false">IF(ISBLANK($C426),
    "",
    $D426
)</f>
        <v/>
      </c>
      <c r="BA426" s="94" t="str">
        <f aca="false">AO426</f>
        <v/>
      </c>
      <c r="BB426" s="95" t="str">
        <f aca="false">AN426</f>
        <v/>
      </c>
      <c r="BC426" s="94" t="str">
        <f aca="false">IF(ISBLANK($C426),
    "",
    AQ426
)</f>
        <v/>
      </c>
      <c r="BD426" s="96" t="str">
        <f aca="false">IF(AU426&gt;AT$7,
    "",
    VLOOKUP(AU426,AW$8:BC$507,7,FALSE())
)</f>
        <v/>
      </c>
      <c r="BE426" s="97" t="str">
        <f aca="false">IF(AU426&gt;AT$7,
    "",
    VLOOKUP(AU426,AW$8:BC$507,2,FALSE())
)</f>
        <v/>
      </c>
      <c r="BF426" s="97" t="str">
        <f aca="false">IF(AU426&gt;AT$7,
    "",
    VLOOKUP(AU426,AW$8:BC$507,3,FALSE())
)</f>
        <v/>
      </c>
      <c r="BG426" s="97" t="str">
        <f aca="false">IF(AU426&gt;AT$7,
    "",
    VLOOKUP(AU426,AW$8:BC$507,4,FALSE())
)</f>
        <v/>
      </c>
      <c r="BH426" s="97" t="str">
        <f aca="false">IF(AU426&gt;AT$7,
    "",
    VLOOKUP(AU426,AW$8:BC$507,5,FALSE())
)</f>
        <v/>
      </c>
      <c r="BI426" s="98" t="str">
        <f aca="false">IF(AU426&gt;AT$7,
    "",
    VLOOKUP(AU426,AW$8:BC$507,6,FALSE())
)</f>
        <v/>
      </c>
      <c r="BJ426" s="46"/>
    </row>
    <row r="427" customFormat="false" ht="15.75" hidden="false" customHeight="false" outlineLevel="0" collapsed="false">
      <c r="A427" s="3"/>
      <c r="B427" s="105"/>
      <c r="C427" s="106"/>
      <c r="D427" s="99"/>
      <c r="E427" s="110"/>
      <c r="F427" s="107"/>
      <c r="G427" s="110"/>
      <c r="H427" s="103"/>
      <c r="I427" s="102"/>
      <c r="J427" s="103"/>
      <c r="K427" s="103"/>
      <c r="L427" s="85"/>
      <c r="M427" s="85" t="str">
        <f aca="false">IF(ISBLANK($C427),"",IF(ISBLANK(E427),0,E427))</f>
        <v/>
      </c>
      <c r="N427" s="85" t="str">
        <f aca="false">IF(ISBLANK($C427),"",IF(ISBLANK(F427),0,F427))</f>
        <v/>
      </c>
      <c r="O427" s="86" t="e">
        <f aca="false">IF(AND(NOT(ISBLANK($C427)),NOT($T427),COUNTA($E427:$K427)&gt;0),ISBLANK($F427),FALSE())</f>
        <v>#VALUE!</v>
      </c>
      <c r="P427" s="85" t="str">
        <f aca="false">IF(ISBLANK($C427),"",IF(G427=Constants!$B$9, TRUE(), IF(G427=Constants!$B$10, FALSE(), TRUE())))</f>
        <v/>
      </c>
      <c r="Q427" s="85" t="str">
        <f aca="false">IF(ISBLANK($C427),"",IF(H427=Constants!$B$9, TRUE(), IF(H427=Constants!$B$10, FALSE(), TRUE())))</f>
        <v/>
      </c>
      <c r="R427" s="85" t="str">
        <f aca="false">IF(ISBLANK($C427),"",IF(ISBLANK(I427),Constants!$B$3,I427))</f>
        <v/>
      </c>
      <c r="S427" s="85" t="str">
        <f aca="false">IF(ISBLANK($C427),"",IF(ISBLANK(J427),0,MIN(J427,Constants!$B$6)))</f>
        <v/>
      </c>
      <c r="T427" s="85" t="str">
        <f aca="false">IF(ISBLANK($C427),"",IF(K427=Constants!$B$9, TRUE(), IF(K427=Constants!$B$10, FALSE(),  FALSE())))</f>
        <v/>
      </c>
      <c r="U427" s="85" t="str">
        <f aca="false">IF(ISBLANK($C427),"",AND(R427=Constants!$B$4, S427&lt;Constants!$B$6))</f>
        <v/>
      </c>
      <c r="V427" s="85" t="str">
        <f aca="false">IF(ISBLANK(C427), "", IF(T427, Constants!$B$11, IF(COUNTA(E427:K427)=0, Constants!$B$12, IF(NOT(AND(P427,S427&lt;&gt;0)), Constants!$B$13, IF(O427, Constants!$B$15, Constants!$B$14)))))</f>
        <v/>
      </c>
      <c r="W427" s="85" t="str">
        <f aca="false">IF(OR(ISBLANK($C427), SUMPRODUCT(--(P427:T427&lt;&gt;""))=0), "", IF(V427&lt;&gt;Constants!$B$14, V427, IF(AND(NOT(ISBLANK(J427)),P427,Q427,R427&lt;&gt;Constants!$B$2), Constants!$B$7, IF(AND(P427,OR(NOT(Q427),R427=Constants!$B$2)), Constants!$B$8, "Error"))))</f>
        <v/>
      </c>
      <c r="X427" s="87" t="str">
        <f aca="false">IF(OR(W427=Constants!$B$7,W427=Constants!$B$8), MAX(0, MIN(Constants!$B$6, S427))+IF(AND(R427=Constants!$B$4, NOT(U427)), Constants!$B$5, 0), "")</f>
        <v/>
      </c>
      <c r="Y427" s="85" t="str">
        <f aca="false">IF(ISBLANK($C427),"",IF(AND(ISNUMBER(X427),N427&gt;0),X427/N427, "") )</f>
        <v/>
      </c>
      <c r="Z427" s="85" t="str">
        <f aca="false">IF(AND(NOT(ISBLANK($C427)), W427=Constants!$B$7), Y427, "")</f>
        <v/>
      </c>
      <c r="AA427" s="85" t="str">
        <f aca="false">IF(ISNUMBER(Z427), RANK(Z427,Z$8:Z$507), "")</f>
        <v/>
      </c>
      <c r="AB427" s="85" t="str">
        <f aca="false">IF(AND(NOT(ISBLANK($C427)), W427=Constants!$B$8), Y427, "")</f>
        <v/>
      </c>
      <c r="AC427" s="85" t="str">
        <f aca="false">IF(ISNUMBER(AB427), RANK(AB427,AB$8:AB$507), "")</f>
        <v/>
      </c>
      <c r="AD427" s="85" t="str">
        <f aca="false">IF(ISBLANK($C427),"",IF(V427&lt;&gt;Constants!$B$14, V427, IF(W427=Constants!$B$7, AA427, IF(W427=Constants!$B$8, COUNT($AA$8:$AA$507) + AC427, ""))))</f>
        <v/>
      </c>
      <c r="AE427" s="85" t="str">
        <f aca="false">N427</f>
        <v/>
      </c>
      <c r="AF427" s="85" t="str">
        <f aca="false">IF(ISNUMBER(AE427), RANK(AE427,AE$8:AE$507,1), "")</f>
        <v/>
      </c>
      <c r="AG427" s="88" t="str">
        <f aca="false">IF(ISBLANK(C427), "", ABS(M427-S427))</f>
        <v/>
      </c>
      <c r="AH427" s="85" t="str">
        <f aca="false">IF(ISNUMBER(AG427), RANK(AG427,AG$8:AG$507,1), "")</f>
        <v/>
      </c>
      <c r="AI427" s="85" t="str">
        <f aca="false">IF(ISBLANK(C427),"",IF(V427&lt;&gt;Constants!$B$14, V427, RANK(AD427, AD$8:AD$507, 1)+ SUMPRODUCT(--(AD$8:AD$507=AD427),--(AF427&gt;AF$8:AF$507)) + SUMPRODUCT(--(AD$8:AD$507=AD427),--(AF427=AF$8:AF$507),--(AH427&gt;AH$8:AH$507))))</f>
        <v/>
      </c>
      <c r="AJ427" s="85" t="str">
        <f aca="false">IF(ISBLANK(C427),"",IF(V427&lt;&gt;Constants!$B$14, V427, AD427-AI427))</f>
        <v/>
      </c>
      <c r="AK427" s="89"/>
      <c r="AL427" s="90" t="str">
        <f aca="false">IF(ISBLANK($C427),"",IF($V427&lt;&gt;Constants!$B$14,$V427,X427))</f>
        <v/>
      </c>
      <c r="AM427" s="90" t="str">
        <f aca="false">IF(ISBLANK($C427),"",IF($V427&lt;&gt;Constants!$B$14,$V427,N427))</f>
        <v/>
      </c>
      <c r="AN427" s="91" t="str">
        <f aca="false">IF(ISBLANK(C427),"",IF(V427&lt;&gt;Constants!$B$14, V427, IF(W427=Constants!$B$7,Z427,IF(W427=Constants!$B$8,AB427,""))))</f>
        <v/>
      </c>
      <c r="AO427" s="92" t="str">
        <f aca="false">IF(ISBLANK(C427),"",W427)</f>
        <v/>
      </c>
      <c r="AP427" s="92" t="str">
        <f aca="false">IF(ISBLANK(C427),"",AJ427)</f>
        <v/>
      </c>
      <c r="AQ427" s="92" t="str">
        <f aca="false">IF(ISBLANK(C427),"",AI427)</f>
        <v/>
      </c>
      <c r="AR427" s="93" t="str">
        <f aca="false">IF(ISBLANK(C427),
  "",
IF(AQ427=Constants!$B$11,COUNTA($C$8:$C$507)+2,IF(AQ427=Constants!$B$12,COUNTA($C$8:$C$507)+1,IF(AQ427=Constants!$B$13,COUNTA($C$8:$C$507),AQ427))))</f>
        <v/>
      </c>
      <c r="AS427" s="3"/>
      <c r="AT427" s="94" t="n">
        <f aca="false">IF(OR(ISNUMBER(AQ427),AQ427="DQ",AQ427="P",AQ427="NS"),
    1,
    0
)</f>
        <v>0</v>
      </c>
      <c r="AU427" s="94" t="n">
        <v>420</v>
      </c>
      <c r="AV427" s="94" t="str">
        <f aca="false">IF(ISBLANK($C427),
    "",
   IF(ISNUMBER(AR427),AR427+ROW($B427)/1000,"")
)</f>
        <v/>
      </c>
      <c r="AW427" s="94" t="str">
        <f aca="false">IF(ISNUMBER(AV427), RANK(AV427,AV$8:AV$507,1), "")</f>
        <v/>
      </c>
      <c r="AX427" s="94" t="str">
        <f aca="false">IF(ISBLANK($C427),
    "",
    $B427
)</f>
        <v/>
      </c>
      <c r="AY427" s="94" t="str">
        <f aca="false">IF(ISBLANK($C427),
    "",
    $C427
)</f>
        <v/>
      </c>
      <c r="AZ427" s="94" t="str">
        <f aca="false">IF(ISBLANK($C427),
    "",
    $D427
)</f>
        <v/>
      </c>
      <c r="BA427" s="94" t="str">
        <f aca="false">AO427</f>
        <v/>
      </c>
      <c r="BB427" s="95" t="str">
        <f aca="false">AN427</f>
        <v/>
      </c>
      <c r="BC427" s="94" t="str">
        <f aca="false">IF(ISBLANK($C427),
    "",
    AQ427
)</f>
        <v/>
      </c>
      <c r="BD427" s="96" t="str">
        <f aca="false">IF(AU427&gt;AT$7,
    "",
    VLOOKUP(AU427,AW$8:BC$507,7,FALSE())
)</f>
        <v/>
      </c>
      <c r="BE427" s="97" t="str">
        <f aca="false">IF(AU427&gt;AT$7,
    "",
    VLOOKUP(AU427,AW$8:BC$507,2,FALSE())
)</f>
        <v/>
      </c>
      <c r="BF427" s="97" t="str">
        <f aca="false">IF(AU427&gt;AT$7,
    "",
    VLOOKUP(AU427,AW$8:BC$507,3,FALSE())
)</f>
        <v/>
      </c>
      <c r="BG427" s="97" t="str">
        <f aca="false">IF(AU427&gt;AT$7,
    "",
    VLOOKUP(AU427,AW$8:BC$507,4,FALSE())
)</f>
        <v/>
      </c>
      <c r="BH427" s="97" t="str">
        <f aca="false">IF(AU427&gt;AT$7,
    "",
    VLOOKUP(AU427,AW$8:BC$507,5,FALSE())
)</f>
        <v/>
      </c>
      <c r="BI427" s="98" t="str">
        <f aca="false">IF(AU427&gt;AT$7,
    "",
    VLOOKUP(AU427,AW$8:BC$507,6,FALSE())
)</f>
        <v/>
      </c>
      <c r="BJ427" s="46"/>
    </row>
    <row r="428" customFormat="false" ht="15.75" hidden="false" customHeight="false" outlineLevel="0" collapsed="false">
      <c r="A428" s="3"/>
      <c r="B428" s="108"/>
      <c r="C428" s="70"/>
      <c r="D428" s="49"/>
      <c r="E428" s="109"/>
      <c r="F428" s="72"/>
      <c r="G428" s="109"/>
      <c r="H428" s="74"/>
      <c r="I428" s="104"/>
      <c r="J428" s="74"/>
      <c r="K428" s="74"/>
      <c r="L428" s="55"/>
      <c r="M428" s="55" t="str">
        <f aca="false">IF(ISBLANK($C428),"",IF(ISBLANK(E428),0,E428))</f>
        <v/>
      </c>
      <c r="N428" s="55" t="str">
        <f aca="false">IF(ISBLANK($C428),"",IF(ISBLANK(F428),0,F428))</f>
        <v/>
      </c>
      <c r="O428" s="55" t="e">
        <f aca="false">IF(AND(NOT(ISBLANK($C428)),NOT($T428),COUNTA($E428:$K428)&gt;0),ISBLANK($F428),FALSE())</f>
        <v>#VALUE!</v>
      </c>
      <c r="P428" s="55" t="str">
        <f aca="false">IF(ISBLANK($C428),"",IF(G428=Constants!$B$9, TRUE(), IF(G428=Constants!$B$10, FALSE(), TRUE())))</f>
        <v/>
      </c>
      <c r="Q428" s="55" t="str">
        <f aca="false">IF(ISBLANK($C428),"",IF(H428=Constants!$B$9, TRUE(), IF(H428=Constants!$B$10, FALSE(), TRUE())))</f>
        <v/>
      </c>
      <c r="R428" s="55" t="str">
        <f aca="false">IF(ISBLANK($C428),"",IF(ISBLANK(I428),Constants!$B$3,I428))</f>
        <v/>
      </c>
      <c r="S428" s="55" t="str">
        <f aca="false">IF(ISBLANK($C428),"",IF(ISBLANK(J428),0,MIN(J428,Constants!$B$6)))</f>
        <v/>
      </c>
      <c r="T428" s="55" t="str">
        <f aca="false">IF(ISBLANK($C428),"",IF(K428=Constants!$B$9, TRUE(), IF(K428=Constants!$B$10, FALSE(),  FALSE())))</f>
        <v/>
      </c>
      <c r="U428" s="55" t="str">
        <f aca="false">IF(ISBLANK($C428),"",AND(R428=Constants!$B$4, S428&lt;Constants!$B$6))</f>
        <v/>
      </c>
      <c r="V428" s="55" t="str">
        <f aca="false">IF(ISBLANK(C428), "", IF(T428, Constants!$B$11, IF(COUNTA(E428:K428)=0, Constants!$B$12, IF(NOT(AND(P428,S428&lt;&gt;0)), Constants!$B$13, IF(O428, Constants!$B$15, Constants!$B$14)))))</f>
        <v/>
      </c>
      <c r="W428" s="55" t="str">
        <f aca="false">IF(OR(ISBLANK($C428), SUMPRODUCT(--(P428:T428&lt;&gt;""))=0), "", IF(V428&lt;&gt;Constants!$B$14, V428, IF(AND(NOT(ISBLANK(J428)),P428,Q428,R428&lt;&gt;Constants!$B$2), Constants!$B$7, IF(AND(P428,OR(NOT(Q428),R428=Constants!$B$2)), Constants!$B$8, "Error"))))</f>
        <v/>
      </c>
      <c r="X428" s="56" t="str">
        <f aca="false">IF(OR(W428=Constants!$B$7,W428=Constants!$B$8), MAX(0, MIN(Constants!$B$6, S428))+IF(AND(R428=Constants!$B$4, NOT(U428)), Constants!$B$5, 0), "")</f>
        <v/>
      </c>
      <c r="Y428" s="55" t="str">
        <f aca="false">IF(ISBLANK($C428),"",IF(AND(ISNUMBER(X428),N428&gt;0),X428/N428, "") )</f>
        <v/>
      </c>
      <c r="Z428" s="55" t="str">
        <f aca="false">IF(AND(NOT(ISBLANK($C428)), W428=Constants!$B$7), Y428, "")</f>
        <v/>
      </c>
      <c r="AA428" s="55" t="str">
        <f aca="false">IF(ISNUMBER(Z428), RANK(Z428,Z$8:Z$507), "")</f>
        <v/>
      </c>
      <c r="AB428" s="55" t="str">
        <f aca="false">IF(AND(NOT(ISBLANK($C428)), W428=Constants!$B$8), Y428, "")</f>
        <v/>
      </c>
      <c r="AC428" s="55" t="str">
        <f aca="false">IF(ISNUMBER(AB428), RANK(AB428,AB$8:AB$507), "")</f>
        <v/>
      </c>
      <c r="AD428" s="55" t="str">
        <f aca="false">IF(ISBLANK($C428),"",IF(V428&lt;&gt;Constants!$B$14, V428, IF(W428=Constants!$B$7, AA428, IF(W428=Constants!$B$8, COUNT($AA$8:$AA$507) + AC428, ""))))</f>
        <v/>
      </c>
      <c r="AE428" s="55" t="str">
        <f aca="false">N428</f>
        <v/>
      </c>
      <c r="AF428" s="55" t="str">
        <f aca="false">IF(ISNUMBER(AE428), RANK(AE428,AE$8:AE$507,1), "")</f>
        <v/>
      </c>
      <c r="AG428" s="57" t="str">
        <f aca="false">IF(ISBLANK(C428), "", ABS(M428-S428))</f>
        <v/>
      </c>
      <c r="AH428" s="55" t="str">
        <f aca="false">IF(ISNUMBER(AG428), RANK(AG428,AG$8:AG$507,1), "")</f>
        <v/>
      </c>
      <c r="AI428" s="55" t="str">
        <f aca="false">IF(ISBLANK(C428),"",IF(V428&lt;&gt;Constants!$B$14, V428, RANK(AD428, AD$8:AD$507, 1)+ SUMPRODUCT(--(AD$8:AD$507=AD428),--(AF428&gt;AF$8:AF$507)) + SUMPRODUCT(--(AD$8:AD$507=AD428),--(AF428=AF$8:AF$507),--(AH428&gt;AH$8:AH$507))))</f>
        <v/>
      </c>
      <c r="AJ428" s="55" t="str">
        <f aca="false">IF(ISBLANK(C428),"",IF(V428&lt;&gt;Constants!$B$14, V428, AD428-AI428))</f>
        <v/>
      </c>
      <c r="AK428" s="59"/>
      <c r="AL428" s="60" t="str">
        <f aca="false">IF(ISBLANK($C428),"",IF($V428&lt;&gt;Constants!$B$14,$V428,X428))</f>
        <v/>
      </c>
      <c r="AM428" s="60" t="str">
        <f aca="false">IF(ISBLANK($C428),"",IF($V428&lt;&gt;Constants!$B$14,$V428,N428))</f>
        <v/>
      </c>
      <c r="AN428" s="62" t="str">
        <f aca="false">IF(ISBLANK(C428),"",IF(V428&lt;&gt;Constants!$B$14, V428, IF(W428=Constants!$B$7,Z428,IF(W428=Constants!$B$8,AB428,""))))</f>
        <v/>
      </c>
      <c r="AO428" s="63" t="str">
        <f aca="false">IF(ISBLANK(C428),"",W428)</f>
        <v/>
      </c>
      <c r="AP428" s="63" t="str">
        <f aca="false">IF(ISBLANK(C428),"",AJ428)</f>
        <v/>
      </c>
      <c r="AQ428" s="63" t="str">
        <f aca="false">IF(ISBLANK(C428),"",AI428)</f>
        <v/>
      </c>
      <c r="AR428" s="64" t="str">
        <f aca="false">IF(ISBLANK(C428),
  "",
IF(AQ428=Constants!$B$11,COUNTA($C$8:$C$507)+2,IF(AQ428=Constants!$B$12,COUNTA($C$8:$C$507)+1,IF(AQ428=Constants!$B$13,COUNTA($C$8:$C$507),AQ428))))</f>
        <v/>
      </c>
      <c r="AS428" s="3"/>
      <c r="AT428" s="65" t="n">
        <f aca="false">IF(OR(ISNUMBER(AQ428),AQ428="DQ",AQ428="P",AQ428="NS"),
    1,
    0
)</f>
        <v>0</v>
      </c>
      <c r="AU428" s="65" t="n">
        <v>421</v>
      </c>
      <c r="AV428" s="65" t="str">
        <f aca="false">IF(ISBLANK($C428),
    "",
   IF(ISNUMBER(AR428),AR428+ROW($B428)/1000,"")
)</f>
        <v/>
      </c>
      <c r="AW428" s="65" t="str">
        <f aca="false">IF(ISNUMBER(AV428), RANK(AV428,AV$8:AV$507,1), "")</f>
        <v/>
      </c>
      <c r="AX428" s="65" t="str">
        <f aca="false">IF(ISBLANK($C428),
    "",
    $B428
)</f>
        <v/>
      </c>
      <c r="AY428" s="65" t="str">
        <f aca="false">IF(ISBLANK($C428),
    "",
    $C428
)</f>
        <v/>
      </c>
      <c r="AZ428" s="65" t="str">
        <f aca="false">IF(ISBLANK($C428),
    "",
    $D428
)</f>
        <v/>
      </c>
      <c r="BA428" s="65" t="str">
        <f aca="false">AO428</f>
        <v/>
      </c>
      <c r="BB428" s="66" t="str">
        <f aca="false">AN428</f>
        <v/>
      </c>
      <c r="BC428" s="65" t="str">
        <f aca="false">IF(ISBLANK($C428),
    "",
    AQ428
)</f>
        <v/>
      </c>
      <c r="BD428" s="67" t="str">
        <f aca="false">IF(AU428&gt;AT$7,
    "",
    VLOOKUP(AU428,AW$8:BC$507,7,FALSE())
)</f>
        <v/>
      </c>
      <c r="BE428" s="68" t="str">
        <f aca="false">IF(AU428&gt;AT$7,
    "",
    VLOOKUP(AU428,AW$8:BC$507,2,FALSE())
)</f>
        <v/>
      </c>
      <c r="BF428" s="68" t="str">
        <f aca="false">IF(AU428&gt;AT$7,
    "",
    VLOOKUP(AU428,AW$8:BC$507,3,FALSE())
)</f>
        <v/>
      </c>
      <c r="BG428" s="68" t="str">
        <f aca="false">IF(AU428&gt;AT$7,
    "",
    VLOOKUP(AU428,AW$8:BC$507,4,FALSE())
)</f>
        <v/>
      </c>
      <c r="BH428" s="68" t="str">
        <f aca="false">IF(AU428&gt;AT$7,
    "",
    VLOOKUP(AU428,AW$8:BC$507,5,FALSE())
)</f>
        <v/>
      </c>
      <c r="BI428" s="69" t="str">
        <f aca="false">IF(AU428&gt;AT$7,
    "",
    VLOOKUP(AU428,AW$8:BC$507,6,FALSE())
)</f>
        <v/>
      </c>
      <c r="BJ428" s="46"/>
    </row>
    <row r="429" customFormat="false" ht="15.75" hidden="false" customHeight="false" outlineLevel="0" collapsed="false">
      <c r="A429" s="3"/>
      <c r="B429" s="108"/>
      <c r="C429" s="70"/>
      <c r="D429" s="49"/>
      <c r="E429" s="109"/>
      <c r="F429" s="72"/>
      <c r="G429" s="109"/>
      <c r="H429" s="74"/>
      <c r="I429" s="104"/>
      <c r="J429" s="74"/>
      <c r="K429" s="74"/>
      <c r="L429" s="55"/>
      <c r="M429" s="55" t="str">
        <f aca="false">IF(ISBLANK($C429),"",IF(ISBLANK(E429),0,E429))</f>
        <v/>
      </c>
      <c r="N429" s="55" t="str">
        <f aca="false">IF(ISBLANK($C429),"",IF(ISBLANK(F429),0,F429))</f>
        <v/>
      </c>
      <c r="O429" s="55" t="e">
        <f aca="false">IF(AND(NOT(ISBLANK($C429)),NOT($T429),COUNTA($E429:$K429)&gt;0),ISBLANK($F429),FALSE())</f>
        <v>#VALUE!</v>
      </c>
      <c r="P429" s="55" t="str">
        <f aca="false">IF(ISBLANK($C429),"",IF(G429=Constants!$B$9, TRUE(), IF(G429=Constants!$B$10, FALSE(), TRUE())))</f>
        <v/>
      </c>
      <c r="Q429" s="55" t="str">
        <f aca="false">IF(ISBLANK($C429),"",IF(H429=Constants!$B$9, TRUE(), IF(H429=Constants!$B$10, FALSE(), TRUE())))</f>
        <v/>
      </c>
      <c r="R429" s="55" t="str">
        <f aca="false">IF(ISBLANK($C429),"",IF(ISBLANK(I429),Constants!$B$3,I429))</f>
        <v/>
      </c>
      <c r="S429" s="55" t="str">
        <f aca="false">IF(ISBLANK($C429),"",IF(ISBLANK(J429),0,MIN(J429,Constants!$B$6)))</f>
        <v/>
      </c>
      <c r="T429" s="55" t="str">
        <f aca="false">IF(ISBLANK($C429),"",IF(K429=Constants!$B$9, TRUE(), IF(K429=Constants!$B$10, FALSE(),  FALSE())))</f>
        <v/>
      </c>
      <c r="U429" s="55" t="str">
        <f aca="false">IF(ISBLANK($C429),"",AND(R429=Constants!$B$4, S429&lt;Constants!$B$6))</f>
        <v/>
      </c>
      <c r="V429" s="55" t="str">
        <f aca="false">IF(ISBLANK(C429), "", IF(T429, Constants!$B$11, IF(COUNTA(E429:K429)=0, Constants!$B$12, IF(NOT(AND(P429,S429&lt;&gt;0)), Constants!$B$13, IF(O429, Constants!$B$15, Constants!$B$14)))))</f>
        <v/>
      </c>
      <c r="W429" s="55" t="str">
        <f aca="false">IF(OR(ISBLANK($C429), SUMPRODUCT(--(P429:T429&lt;&gt;""))=0), "", IF(V429&lt;&gt;Constants!$B$14, V429, IF(AND(NOT(ISBLANK(J429)),P429,Q429,R429&lt;&gt;Constants!$B$2), Constants!$B$7, IF(AND(P429,OR(NOT(Q429),R429=Constants!$B$2)), Constants!$B$8, "Error"))))</f>
        <v/>
      </c>
      <c r="X429" s="56" t="str">
        <f aca="false">IF(OR(W429=Constants!$B$7,W429=Constants!$B$8), MAX(0, MIN(Constants!$B$6, S429))+IF(AND(R429=Constants!$B$4, NOT(U429)), Constants!$B$5, 0), "")</f>
        <v/>
      </c>
      <c r="Y429" s="55" t="str">
        <f aca="false">IF(ISBLANK($C429),"",IF(AND(ISNUMBER(X429),N429&gt;0),X429/N429, "") )</f>
        <v/>
      </c>
      <c r="Z429" s="55" t="str">
        <f aca="false">IF(AND(NOT(ISBLANK($C429)), W429=Constants!$B$7), Y429, "")</f>
        <v/>
      </c>
      <c r="AA429" s="55" t="str">
        <f aca="false">IF(ISNUMBER(Z429), RANK(Z429,Z$8:Z$507), "")</f>
        <v/>
      </c>
      <c r="AB429" s="55" t="str">
        <f aca="false">IF(AND(NOT(ISBLANK($C429)), W429=Constants!$B$8), Y429, "")</f>
        <v/>
      </c>
      <c r="AC429" s="55" t="str">
        <f aca="false">IF(ISNUMBER(AB429), RANK(AB429,AB$8:AB$507), "")</f>
        <v/>
      </c>
      <c r="AD429" s="55" t="str">
        <f aca="false">IF(ISBLANK($C429),"",IF(V429&lt;&gt;Constants!$B$14, V429, IF(W429=Constants!$B$7, AA429, IF(W429=Constants!$B$8, COUNT($AA$8:$AA$507) + AC429, ""))))</f>
        <v/>
      </c>
      <c r="AE429" s="55" t="str">
        <f aca="false">N429</f>
        <v/>
      </c>
      <c r="AF429" s="55" t="str">
        <f aca="false">IF(ISNUMBER(AE429), RANK(AE429,AE$8:AE$507,1), "")</f>
        <v/>
      </c>
      <c r="AG429" s="57" t="str">
        <f aca="false">IF(ISBLANK(C429), "", ABS(M429-S429))</f>
        <v/>
      </c>
      <c r="AH429" s="55" t="str">
        <f aca="false">IF(ISNUMBER(AG429), RANK(AG429,AG$8:AG$507,1), "")</f>
        <v/>
      </c>
      <c r="AI429" s="55" t="str">
        <f aca="false">IF(ISBLANK(C429),"",IF(V429&lt;&gt;Constants!$B$14, V429, RANK(AD429, AD$8:AD$507, 1)+ SUMPRODUCT(--(AD$8:AD$507=AD429),--(AF429&gt;AF$8:AF$507)) + SUMPRODUCT(--(AD$8:AD$507=AD429),--(AF429=AF$8:AF$507),--(AH429&gt;AH$8:AH$507))))</f>
        <v/>
      </c>
      <c r="AJ429" s="55" t="str">
        <f aca="false">IF(ISBLANK(C429),"",IF(V429&lt;&gt;Constants!$B$14, V429, AD429-AI429))</f>
        <v/>
      </c>
      <c r="AK429" s="59"/>
      <c r="AL429" s="60" t="str">
        <f aca="false">IF(ISBLANK($C429),"",IF($V429&lt;&gt;Constants!$B$14,$V429,X429))</f>
        <v/>
      </c>
      <c r="AM429" s="60" t="str">
        <f aca="false">IF(ISBLANK($C429),"",IF($V429&lt;&gt;Constants!$B$14,$V429,N429))</f>
        <v/>
      </c>
      <c r="AN429" s="62" t="str">
        <f aca="false">IF(ISBLANK(C429),"",IF(V429&lt;&gt;Constants!$B$14, V429, IF(W429=Constants!$B$7,Z429,IF(W429=Constants!$B$8,AB429,""))))</f>
        <v/>
      </c>
      <c r="AO429" s="63" t="str">
        <f aca="false">IF(ISBLANK(C429),"",W429)</f>
        <v/>
      </c>
      <c r="AP429" s="63" t="str">
        <f aca="false">IF(ISBLANK(C429),"",AJ429)</f>
        <v/>
      </c>
      <c r="AQ429" s="63" t="str">
        <f aca="false">IF(ISBLANK(C429),"",AI429)</f>
        <v/>
      </c>
      <c r="AR429" s="64" t="str">
        <f aca="false">IF(ISBLANK(C429),
  "",
IF(AQ429=Constants!$B$11,COUNTA($C$8:$C$507)+2,IF(AQ429=Constants!$B$12,COUNTA($C$8:$C$507)+1,IF(AQ429=Constants!$B$13,COUNTA($C$8:$C$507),AQ429))))</f>
        <v/>
      </c>
      <c r="AS429" s="3"/>
      <c r="AT429" s="65" t="n">
        <f aca="false">IF(OR(ISNUMBER(AQ429),AQ429="DQ",AQ429="P",AQ429="NS"),
    1,
    0
)</f>
        <v>0</v>
      </c>
      <c r="AU429" s="65" t="n">
        <v>422</v>
      </c>
      <c r="AV429" s="65" t="str">
        <f aca="false">IF(ISBLANK($C429),
    "",
   IF(ISNUMBER(AR429),AR429+ROW($B429)/1000,"")
)</f>
        <v/>
      </c>
      <c r="AW429" s="65" t="str">
        <f aca="false">IF(ISNUMBER(AV429), RANK(AV429,AV$8:AV$507,1), "")</f>
        <v/>
      </c>
      <c r="AX429" s="65" t="str">
        <f aca="false">IF(ISBLANK($C429),
    "",
    $B429
)</f>
        <v/>
      </c>
      <c r="AY429" s="65" t="str">
        <f aca="false">IF(ISBLANK($C429),
    "",
    $C429
)</f>
        <v/>
      </c>
      <c r="AZ429" s="65" t="str">
        <f aca="false">IF(ISBLANK($C429),
    "",
    $D429
)</f>
        <v/>
      </c>
      <c r="BA429" s="65" t="str">
        <f aca="false">AO429</f>
        <v/>
      </c>
      <c r="BB429" s="66" t="str">
        <f aca="false">AN429</f>
        <v/>
      </c>
      <c r="BC429" s="65" t="str">
        <f aca="false">IF(ISBLANK($C429),
    "",
    AQ429
)</f>
        <v/>
      </c>
      <c r="BD429" s="67" t="str">
        <f aca="false">IF(AU429&gt;AT$7,
    "",
    VLOOKUP(AU429,AW$8:BC$507,7,FALSE())
)</f>
        <v/>
      </c>
      <c r="BE429" s="68" t="str">
        <f aca="false">IF(AU429&gt;AT$7,
    "",
    VLOOKUP(AU429,AW$8:BC$507,2,FALSE())
)</f>
        <v/>
      </c>
      <c r="BF429" s="68" t="str">
        <f aca="false">IF(AU429&gt;AT$7,
    "",
    VLOOKUP(AU429,AW$8:BC$507,3,FALSE())
)</f>
        <v/>
      </c>
      <c r="BG429" s="68" t="str">
        <f aca="false">IF(AU429&gt;AT$7,
    "",
    VLOOKUP(AU429,AW$8:BC$507,4,FALSE())
)</f>
        <v/>
      </c>
      <c r="BH429" s="68" t="str">
        <f aca="false">IF(AU429&gt;AT$7,
    "",
    VLOOKUP(AU429,AW$8:BC$507,5,FALSE())
)</f>
        <v/>
      </c>
      <c r="BI429" s="69" t="str">
        <f aca="false">IF(AU429&gt;AT$7,
    "",
    VLOOKUP(AU429,AW$8:BC$507,6,FALSE())
)</f>
        <v/>
      </c>
      <c r="BJ429" s="46"/>
    </row>
    <row r="430" customFormat="false" ht="15.75" hidden="false" customHeight="false" outlineLevel="0" collapsed="false">
      <c r="A430" s="3"/>
      <c r="B430" s="108"/>
      <c r="C430" s="70"/>
      <c r="D430" s="49"/>
      <c r="E430" s="109"/>
      <c r="F430" s="72"/>
      <c r="G430" s="109"/>
      <c r="H430" s="74"/>
      <c r="I430" s="104"/>
      <c r="J430" s="74"/>
      <c r="K430" s="74"/>
      <c r="L430" s="55"/>
      <c r="M430" s="55" t="str">
        <f aca="false">IF(ISBLANK($C430),"",IF(ISBLANK(E430),0,E430))</f>
        <v/>
      </c>
      <c r="N430" s="55" t="str">
        <f aca="false">IF(ISBLANK($C430),"",IF(ISBLANK(F430),0,F430))</f>
        <v/>
      </c>
      <c r="O430" s="55" t="e">
        <f aca="false">IF(AND(NOT(ISBLANK($C430)),NOT($T430),COUNTA($E430:$K430)&gt;0),ISBLANK($F430),FALSE())</f>
        <v>#VALUE!</v>
      </c>
      <c r="P430" s="55" t="str">
        <f aca="false">IF(ISBLANK($C430),"",IF(G430=Constants!$B$9, TRUE(), IF(G430=Constants!$B$10, FALSE(), TRUE())))</f>
        <v/>
      </c>
      <c r="Q430" s="55" t="str">
        <f aca="false">IF(ISBLANK($C430),"",IF(H430=Constants!$B$9, TRUE(), IF(H430=Constants!$B$10, FALSE(), TRUE())))</f>
        <v/>
      </c>
      <c r="R430" s="55" t="str">
        <f aca="false">IF(ISBLANK($C430),"",IF(ISBLANK(I430),Constants!$B$3,I430))</f>
        <v/>
      </c>
      <c r="S430" s="55" t="str">
        <f aca="false">IF(ISBLANK($C430),"",IF(ISBLANK(J430),0,MIN(J430,Constants!$B$6)))</f>
        <v/>
      </c>
      <c r="T430" s="55" t="str">
        <f aca="false">IF(ISBLANK($C430),"",IF(K430=Constants!$B$9, TRUE(), IF(K430=Constants!$B$10, FALSE(),  FALSE())))</f>
        <v/>
      </c>
      <c r="U430" s="55" t="str">
        <f aca="false">IF(ISBLANK($C430),"",AND(R430=Constants!$B$4, S430&lt;Constants!$B$6))</f>
        <v/>
      </c>
      <c r="V430" s="55" t="str">
        <f aca="false">IF(ISBLANK(C430), "", IF(T430, Constants!$B$11, IF(COUNTA(E430:K430)=0, Constants!$B$12, IF(NOT(AND(P430,S430&lt;&gt;0)), Constants!$B$13, IF(O430, Constants!$B$15, Constants!$B$14)))))</f>
        <v/>
      </c>
      <c r="W430" s="55" t="str">
        <f aca="false">IF(OR(ISBLANK($C430), SUMPRODUCT(--(P430:T430&lt;&gt;""))=0), "", IF(V430&lt;&gt;Constants!$B$14, V430, IF(AND(NOT(ISBLANK(J430)),P430,Q430,R430&lt;&gt;Constants!$B$2), Constants!$B$7, IF(AND(P430,OR(NOT(Q430),R430=Constants!$B$2)), Constants!$B$8, "Error"))))</f>
        <v/>
      </c>
      <c r="X430" s="56" t="str">
        <f aca="false">IF(OR(W430=Constants!$B$7,W430=Constants!$B$8), MAX(0, MIN(Constants!$B$6, S430))+IF(AND(R430=Constants!$B$4, NOT(U430)), Constants!$B$5, 0), "")</f>
        <v/>
      </c>
      <c r="Y430" s="55" t="str">
        <f aca="false">IF(ISBLANK($C430),"",IF(AND(ISNUMBER(X430),N430&gt;0),X430/N430, "") )</f>
        <v/>
      </c>
      <c r="Z430" s="55" t="str">
        <f aca="false">IF(AND(NOT(ISBLANK($C430)), W430=Constants!$B$7), Y430, "")</f>
        <v/>
      </c>
      <c r="AA430" s="55" t="str">
        <f aca="false">IF(ISNUMBER(Z430), RANK(Z430,Z$8:Z$507), "")</f>
        <v/>
      </c>
      <c r="AB430" s="55" t="str">
        <f aca="false">IF(AND(NOT(ISBLANK($C430)), W430=Constants!$B$8), Y430, "")</f>
        <v/>
      </c>
      <c r="AC430" s="55" t="str">
        <f aca="false">IF(ISNUMBER(AB430), RANK(AB430,AB$8:AB$507), "")</f>
        <v/>
      </c>
      <c r="AD430" s="55" t="str">
        <f aca="false">IF(ISBLANK($C430),"",IF(V430&lt;&gt;Constants!$B$14, V430, IF(W430=Constants!$B$7, AA430, IF(W430=Constants!$B$8, COUNT($AA$8:$AA$507) + AC430, ""))))</f>
        <v/>
      </c>
      <c r="AE430" s="55" t="str">
        <f aca="false">N430</f>
        <v/>
      </c>
      <c r="AF430" s="55" t="str">
        <f aca="false">IF(ISNUMBER(AE430), RANK(AE430,AE$8:AE$507,1), "")</f>
        <v/>
      </c>
      <c r="AG430" s="57" t="str">
        <f aca="false">IF(ISBLANK(C430), "", ABS(M430-S430))</f>
        <v/>
      </c>
      <c r="AH430" s="55" t="str">
        <f aca="false">IF(ISNUMBER(AG430), RANK(AG430,AG$8:AG$507,1), "")</f>
        <v/>
      </c>
      <c r="AI430" s="55" t="str">
        <f aca="false">IF(ISBLANK(C430),"",IF(V430&lt;&gt;Constants!$B$14, V430, RANK(AD430, AD$8:AD$507, 1)+ SUMPRODUCT(--(AD$8:AD$507=AD430),--(AF430&gt;AF$8:AF$507)) + SUMPRODUCT(--(AD$8:AD$507=AD430),--(AF430=AF$8:AF$507),--(AH430&gt;AH$8:AH$507))))</f>
        <v/>
      </c>
      <c r="AJ430" s="55" t="str">
        <f aca="false">IF(ISBLANK(C430),"",IF(V430&lt;&gt;Constants!$B$14, V430, AD430-AI430))</f>
        <v/>
      </c>
      <c r="AK430" s="59"/>
      <c r="AL430" s="60" t="str">
        <f aca="false">IF(ISBLANK($C430),"",IF($V430&lt;&gt;Constants!$B$14,$V430,X430))</f>
        <v/>
      </c>
      <c r="AM430" s="60" t="str">
        <f aca="false">IF(ISBLANK($C430),"",IF($V430&lt;&gt;Constants!$B$14,$V430,N430))</f>
        <v/>
      </c>
      <c r="AN430" s="62" t="str">
        <f aca="false">IF(ISBLANK(C430),"",IF(V430&lt;&gt;Constants!$B$14, V430, IF(W430=Constants!$B$7,Z430,IF(W430=Constants!$B$8,AB430,""))))</f>
        <v/>
      </c>
      <c r="AO430" s="63" t="str">
        <f aca="false">IF(ISBLANK(C430),"",W430)</f>
        <v/>
      </c>
      <c r="AP430" s="63" t="str">
        <f aca="false">IF(ISBLANK(C430),"",AJ430)</f>
        <v/>
      </c>
      <c r="AQ430" s="63" t="str">
        <f aca="false">IF(ISBLANK(C430),"",AI430)</f>
        <v/>
      </c>
      <c r="AR430" s="64" t="str">
        <f aca="false">IF(ISBLANK(C430),
  "",
IF(AQ430=Constants!$B$11,COUNTA($C$8:$C$507)+2,IF(AQ430=Constants!$B$12,COUNTA($C$8:$C$507)+1,IF(AQ430=Constants!$B$13,COUNTA($C$8:$C$507),AQ430))))</f>
        <v/>
      </c>
      <c r="AS430" s="3"/>
      <c r="AT430" s="65" t="n">
        <f aca="false">IF(OR(ISNUMBER(AQ430),AQ430="DQ",AQ430="P",AQ430="NS"),
    1,
    0
)</f>
        <v>0</v>
      </c>
      <c r="AU430" s="65" t="n">
        <v>423</v>
      </c>
      <c r="AV430" s="65" t="str">
        <f aca="false">IF(ISBLANK($C430),
    "",
   IF(ISNUMBER(AR430),AR430+ROW($B430)/1000,"")
)</f>
        <v/>
      </c>
      <c r="AW430" s="65" t="str">
        <f aca="false">IF(ISNUMBER(AV430), RANK(AV430,AV$8:AV$507,1), "")</f>
        <v/>
      </c>
      <c r="AX430" s="65" t="str">
        <f aca="false">IF(ISBLANK($C430),
    "",
    $B430
)</f>
        <v/>
      </c>
      <c r="AY430" s="65" t="str">
        <f aca="false">IF(ISBLANK($C430),
    "",
    $C430
)</f>
        <v/>
      </c>
      <c r="AZ430" s="65" t="str">
        <f aca="false">IF(ISBLANK($C430),
    "",
    $D430
)</f>
        <v/>
      </c>
      <c r="BA430" s="65" t="str">
        <f aca="false">AO430</f>
        <v/>
      </c>
      <c r="BB430" s="66" t="str">
        <f aca="false">AN430</f>
        <v/>
      </c>
      <c r="BC430" s="65" t="str">
        <f aca="false">IF(ISBLANK($C430),
    "",
    AQ430
)</f>
        <v/>
      </c>
      <c r="BD430" s="67" t="str">
        <f aca="false">IF(AU430&gt;AT$7,
    "",
    VLOOKUP(AU430,AW$8:BC$507,7,FALSE())
)</f>
        <v/>
      </c>
      <c r="BE430" s="68" t="str">
        <f aca="false">IF(AU430&gt;AT$7,
    "",
    VLOOKUP(AU430,AW$8:BC$507,2,FALSE())
)</f>
        <v/>
      </c>
      <c r="BF430" s="68" t="str">
        <f aca="false">IF(AU430&gt;AT$7,
    "",
    VLOOKUP(AU430,AW$8:BC$507,3,FALSE())
)</f>
        <v/>
      </c>
      <c r="BG430" s="68" t="str">
        <f aca="false">IF(AU430&gt;AT$7,
    "",
    VLOOKUP(AU430,AW$8:BC$507,4,FALSE())
)</f>
        <v/>
      </c>
      <c r="BH430" s="68" t="str">
        <f aca="false">IF(AU430&gt;AT$7,
    "",
    VLOOKUP(AU430,AW$8:BC$507,5,FALSE())
)</f>
        <v/>
      </c>
      <c r="BI430" s="69" t="str">
        <f aca="false">IF(AU430&gt;AT$7,
    "",
    VLOOKUP(AU430,AW$8:BC$507,6,FALSE())
)</f>
        <v/>
      </c>
      <c r="BJ430" s="46"/>
    </row>
    <row r="431" customFormat="false" ht="15.75" hidden="false" customHeight="false" outlineLevel="0" collapsed="false">
      <c r="A431" s="3"/>
      <c r="B431" s="105"/>
      <c r="C431" s="106"/>
      <c r="D431" s="99"/>
      <c r="E431" s="110"/>
      <c r="F431" s="107"/>
      <c r="G431" s="110"/>
      <c r="H431" s="103"/>
      <c r="I431" s="102"/>
      <c r="J431" s="103"/>
      <c r="K431" s="103"/>
      <c r="L431" s="85"/>
      <c r="M431" s="85" t="str">
        <f aca="false">IF(ISBLANK($C431),"",IF(ISBLANK(E431),0,E431))</f>
        <v/>
      </c>
      <c r="N431" s="85" t="str">
        <f aca="false">IF(ISBLANK($C431),"",IF(ISBLANK(F431),0,F431))</f>
        <v/>
      </c>
      <c r="O431" s="86" t="e">
        <f aca="false">IF(AND(NOT(ISBLANK($C431)),NOT($T431),COUNTA($E431:$K431)&gt;0),ISBLANK($F431),FALSE())</f>
        <v>#VALUE!</v>
      </c>
      <c r="P431" s="85" t="str">
        <f aca="false">IF(ISBLANK($C431),"",IF(G431=Constants!$B$9, TRUE(), IF(G431=Constants!$B$10, FALSE(), TRUE())))</f>
        <v/>
      </c>
      <c r="Q431" s="85" t="str">
        <f aca="false">IF(ISBLANK($C431),"",IF(H431=Constants!$B$9, TRUE(), IF(H431=Constants!$B$10, FALSE(), TRUE())))</f>
        <v/>
      </c>
      <c r="R431" s="85" t="str">
        <f aca="false">IF(ISBLANK($C431),"",IF(ISBLANK(I431),Constants!$B$3,I431))</f>
        <v/>
      </c>
      <c r="S431" s="85" t="str">
        <f aca="false">IF(ISBLANK($C431),"",IF(ISBLANK(J431),0,MIN(J431,Constants!$B$6)))</f>
        <v/>
      </c>
      <c r="T431" s="85" t="str">
        <f aca="false">IF(ISBLANK($C431),"",IF(K431=Constants!$B$9, TRUE(), IF(K431=Constants!$B$10, FALSE(),  FALSE())))</f>
        <v/>
      </c>
      <c r="U431" s="85" t="str">
        <f aca="false">IF(ISBLANK($C431),"",AND(R431=Constants!$B$4, S431&lt;Constants!$B$6))</f>
        <v/>
      </c>
      <c r="V431" s="85" t="str">
        <f aca="false">IF(ISBLANK(C431), "", IF(T431, Constants!$B$11, IF(COUNTA(E431:K431)=0, Constants!$B$12, IF(NOT(AND(P431,S431&lt;&gt;0)), Constants!$B$13, IF(O431, Constants!$B$15, Constants!$B$14)))))</f>
        <v/>
      </c>
      <c r="W431" s="85" t="str">
        <f aca="false">IF(OR(ISBLANK($C431), SUMPRODUCT(--(P431:T431&lt;&gt;""))=0), "", IF(V431&lt;&gt;Constants!$B$14, V431, IF(AND(NOT(ISBLANK(J431)),P431,Q431,R431&lt;&gt;Constants!$B$2), Constants!$B$7, IF(AND(P431,OR(NOT(Q431),R431=Constants!$B$2)), Constants!$B$8, "Error"))))</f>
        <v/>
      </c>
      <c r="X431" s="87" t="str">
        <f aca="false">IF(OR(W431=Constants!$B$7,W431=Constants!$B$8), MAX(0, MIN(Constants!$B$6, S431))+IF(AND(R431=Constants!$B$4, NOT(U431)), Constants!$B$5, 0), "")</f>
        <v/>
      </c>
      <c r="Y431" s="85" t="str">
        <f aca="false">IF(ISBLANK($C431),"",IF(AND(ISNUMBER(X431),N431&gt;0),X431/N431, "") )</f>
        <v/>
      </c>
      <c r="Z431" s="85" t="str">
        <f aca="false">IF(AND(NOT(ISBLANK($C431)), W431=Constants!$B$7), Y431, "")</f>
        <v/>
      </c>
      <c r="AA431" s="85" t="str">
        <f aca="false">IF(ISNUMBER(Z431), RANK(Z431,Z$8:Z$507), "")</f>
        <v/>
      </c>
      <c r="AB431" s="85" t="str">
        <f aca="false">IF(AND(NOT(ISBLANK($C431)), W431=Constants!$B$8), Y431, "")</f>
        <v/>
      </c>
      <c r="AC431" s="85" t="str">
        <f aca="false">IF(ISNUMBER(AB431), RANK(AB431,AB$8:AB$507), "")</f>
        <v/>
      </c>
      <c r="AD431" s="85" t="str">
        <f aca="false">IF(ISBLANK($C431),"",IF(V431&lt;&gt;Constants!$B$14, V431, IF(W431=Constants!$B$7, AA431, IF(W431=Constants!$B$8, COUNT($AA$8:$AA$507) + AC431, ""))))</f>
        <v/>
      </c>
      <c r="AE431" s="85" t="str">
        <f aca="false">N431</f>
        <v/>
      </c>
      <c r="AF431" s="85" t="str">
        <f aca="false">IF(ISNUMBER(AE431), RANK(AE431,AE$8:AE$507,1), "")</f>
        <v/>
      </c>
      <c r="AG431" s="88" t="str">
        <f aca="false">IF(ISBLANK(C431), "", ABS(M431-S431))</f>
        <v/>
      </c>
      <c r="AH431" s="85" t="str">
        <f aca="false">IF(ISNUMBER(AG431), RANK(AG431,AG$8:AG$507,1), "")</f>
        <v/>
      </c>
      <c r="AI431" s="85" t="str">
        <f aca="false">IF(ISBLANK(C431),"",IF(V431&lt;&gt;Constants!$B$14, V431, RANK(AD431, AD$8:AD$507, 1)+ SUMPRODUCT(--(AD$8:AD$507=AD431),--(AF431&gt;AF$8:AF$507)) + SUMPRODUCT(--(AD$8:AD$507=AD431),--(AF431=AF$8:AF$507),--(AH431&gt;AH$8:AH$507))))</f>
        <v/>
      </c>
      <c r="AJ431" s="85" t="str">
        <f aca="false">IF(ISBLANK(C431),"",IF(V431&lt;&gt;Constants!$B$14, V431, AD431-AI431))</f>
        <v/>
      </c>
      <c r="AK431" s="89"/>
      <c r="AL431" s="90" t="str">
        <f aca="false">IF(ISBLANK($C431),"",IF($V431&lt;&gt;Constants!$B$14,$V431,X431))</f>
        <v/>
      </c>
      <c r="AM431" s="90" t="str">
        <f aca="false">IF(ISBLANK($C431),"",IF($V431&lt;&gt;Constants!$B$14,$V431,N431))</f>
        <v/>
      </c>
      <c r="AN431" s="91" t="str">
        <f aca="false">IF(ISBLANK(C431),"",IF(V431&lt;&gt;Constants!$B$14, V431, IF(W431=Constants!$B$7,Z431,IF(W431=Constants!$B$8,AB431,""))))</f>
        <v/>
      </c>
      <c r="AO431" s="92" t="str">
        <f aca="false">IF(ISBLANK(C431),"",W431)</f>
        <v/>
      </c>
      <c r="AP431" s="92" t="str">
        <f aca="false">IF(ISBLANK(C431),"",AJ431)</f>
        <v/>
      </c>
      <c r="AQ431" s="92" t="str">
        <f aca="false">IF(ISBLANK(C431),"",AI431)</f>
        <v/>
      </c>
      <c r="AR431" s="93" t="str">
        <f aca="false">IF(ISBLANK(C431),
  "",
IF(AQ431=Constants!$B$11,COUNTA($C$8:$C$507)+2,IF(AQ431=Constants!$B$12,COUNTA($C$8:$C$507)+1,IF(AQ431=Constants!$B$13,COUNTA($C$8:$C$507),AQ431))))</f>
        <v/>
      </c>
      <c r="AS431" s="3"/>
      <c r="AT431" s="94" t="n">
        <f aca="false">IF(OR(ISNUMBER(AQ431),AQ431="DQ",AQ431="P",AQ431="NS"),
    1,
    0
)</f>
        <v>0</v>
      </c>
      <c r="AU431" s="94" t="n">
        <v>424</v>
      </c>
      <c r="AV431" s="94" t="str">
        <f aca="false">IF(ISBLANK($C431),
    "",
   IF(ISNUMBER(AR431),AR431+ROW($B431)/1000,"")
)</f>
        <v/>
      </c>
      <c r="AW431" s="94" t="str">
        <f aca="false">IF(ISNUMBER(AV431), RANK(AV431,AV$8:AV$507,1), "")</f>
        <v/>
      </c>
      <c r="AX431" s="94" t="str">
        <f aca="false">IF(ISBLANK($C431),
    "",
    $B431
)</f>
        <v/>
      </c>
      <c r="AY431" s="94" t="str">
        <f aca="false">IF(ISBLANK($C431),
    "",
    $C431
)</f>
        <v/>
      </c>
      <c r="AZ431" s="94" t="str">
        <f aca="false">IF(ISBLANK($C431),
    "",
    $D431
)</f>
        <v/>
      </c>
      <c r="BA431" s="94" t="str">
        <f aca="false">AO431</f>
        <v/>
      </c>
      <c r="BB431" s="95" t="str">
        <f aca="false">AN431</f>
        <v/>
      </c>
      <c r="BC431" s="94" t="str">
        <f aca="false">IF(ISBLANK($C431),
    "",
    AQ431
)</f>
        <v/>
      </c>
      <c r="BD431" s="96" t="str">
        <f aca="false">IF(AU431&gt;AT$7,
    "",
    VLOOKUP(AU431,AW$8:BC$507,7,FALSE())
)</f>
        <v/>
      </c>
      <c r="BE431" s="97" t="str">
        <f aca="false">IF(AU431&gt;AT$7,
    "",
    VLOOKUP(AU431,AW$8:BC$507,2,FALSE())
)</f>
        <v/>
      </c>
      <c r="BF431" s="97" t="str">
        <f aca="false">IF(AU431&gt;AT$7,
    "",
    VLOOKUP(AU431,AW$8:BC$507,3,FALSE())
)</f>
        <v/>
      </c>
      <c r="BG431" s="97" t="str">
        <f aca="false">IF(AU431&gt;AT$7,
    "",
    VLOOKUP(AU431,AW$8:BC$507,4,FALSE())
)</f>
        <v/>
      </c>
      <c r="BH431" s="97" t="str">
        <f aca="false">IF(AU431&gt;AT$7,
    "",
    VLOOKUP(AU431,AW$8:BC$507,5,FALSE())
)</f>
        <v/>
      </c>
      <c r="BI431" s="98" t="str">
        <f aca="false">IF(AU431&gt;AT$7,
    "",
    VLOOKUP(AU431,AW$8:BC$507,6,FALSE())
)</f>
        <v/>
      </c>
      <c r="BJ431" s="46"/>
    </row>
    <row r="432" customFormat="false" ht="15.75" hidden="false" customHeight="false" outlineLevel="0" collapsed="false">
      <c r="A432" s="3"/>
      <c r="B432" s="105"/>
      <c r="C432" s="106"/>
      <c r="D432" s="99"/>
      <c r="E432" s="110"/>
      <c r="F432" s="107"/>
      <c r="G432" s="110"/>
      <c r="H432" s="103"/>
      <c r="I432" s="102"/>
      <c r="J432" s="103"/>
      <c r="K432" s="103"/>
      <c r="L432" s="85"/>
      <c r="M432" s="85" t="str">
        <f aca="false">IF(ISBLANK($C432),"",IF(ISBLANK(E432),0,E432))</f>
        <v/>
      </c>
      <c r="N432" s="85" t="str">
        <f aca="false">IF(ISBLANK($C432),"",IF(ISBLANK(F432),0,F432))</f>
        <v/>
      </c>
      <c r="O432" s="86" t="e">
        <f aca="false">IF(AND(NOT(ISBLANK($C432)),NOT($T432),COUNTA($E432:$K432)&gt;0),ISBLANK($F432),FALSE())</f>
        <v>#VALUE!</v>
      </c>
      <c r="P432" s="85" t="str">
        <f aca="false">IF(ISBLANK($C432),"",IF(G432=Constants!$B$9, TRUE(), IF(G432=Constants!$B$10, FALSE(), TRUE())))</f>
        <v/>
      </c>
      <c r="Q432" s="85" t="str">
        <f aca="false">IF(ISBLANK($C432),"",IF(H432=Constants!$B$9, TRUE(), IF(H432=Constants!$B$10, FALSE(), TRUE())))</f>
        <v/>
      </c>
      <c r="R432" s="85" t="str">
        <f aca="false">IF(ISBLANK($C432),"",IF(ISBLANK(I432),Constants!$B$3,I432))</f>
        <v/>
      </c>
      <c r="S432" s="85" t="str">
        <f aca="false">IF(ISBLANK($C432),"",IF(ISBLANK(J432),0,MIN(J432,Constants!$B$6)))</f>
        <v/>
      </c>
      <c r="T432" s="85" t="str">
        <f aca="false">IF(ISBLANK($C432),"",IF(K432=Constants!$B$9, TRUE(), IF(K432=Constants!$B$10, FALSE(),  FALSE())))</f>
        <v/>
      </c>
      <c r="U432" s="85" t="str">
        <f aca="false">IF(ISBLANK($C432),"",AND(R432=Constants!$B$4, S432&lt;Constants!$B$6))</f>
        <v/>
      </c>
      <c r="V432" s="85" t="str">
        <f aca="false">IF(ISBLANK(C432), "", IF(T432, Constants!$B$11, IF(COUNTA(E432:K432)=0, Constants!$B$12, IF(NOT(AND(P432,S432&lt;&gt;0)), Constants!$B$13, IF(O432, Constants!$B$15, Constants!$B$14)))))</f>
        <v/>
      </c>
      <c r="W432" s="85" t="str">
        <f aca="false">IF(OR(ISBLANK($C432), SUMPRODUCT(--(P432:T432&lt;&gt;""))=0), "", IF(V432&lt;&gt;Constants!$B$14, V432, IF(AND(NOT(ISBLANK(J432)),P432,Q432,R432&lt;&gt;Constants!$B$2), Constants!$B$7, IF(AND(P432,OR(NOT(Q432),R432=Constants!$B$2)), Constants!$B$8, "Error"))))</f>
        <v/>
      </c>
      <c r="X432" s="87" t="str">
        <f aca="false">IF(OR(W432=Constants!$B$7,W432=Constants!$B$8), MAX(0, MIN(Constants!$B$6, S432))+IF(AND(R432=Constants!$B$4, NOT(U432)), Constants!$B$5, 0), "")</f>
        <v/>
      </c>
      <c r="Y432" s="85" t="str">
        <f aca="false">IF(ISBLANK($C432),"",IF(AND(ISNUMBER(X432),N432&gt;0),X432/N432, "") )</f>
        <v/>
      </c>
      <c r="Z432" s="85" t="str">
        <f aca="false">IF(AND(NOT(ISBLANK($C432)), W432=Constants!$B$7), Y432, "")</f>
        <v/>
      </c>
      <c r="AA432" s="85" t="str">
        <f aca="false">IF(ISNUMBER(Z432), RANK(Z432,Z$8:Z$507), "")</f>
        <v/>
      </c>
      <c r="AB432" s="85" t="str">
        <f aca="false">IF(AND(NOT(ISBLANK($C432)), W432=Constants!$B$8), Y432, "")</f>
        <v/>
      </c>
      <c r="AC432" s="85" t="str">
        <f aca="false">IF(ISNUMBER(AB432), RANK(AB432,AB$8:AB$507), "")</f>
        <v/>
      </c>
      <c r="AD432" s="85" t="str">
        <f aca="false">IF(ISBLANK($C432),"",IF(V432&lt;&gt;Constants!$B$14, V432, IF(W432=Constants!$B$7, AA432, IF(W432=Constants!$B$8, COUNT($AA$8:$AA$507) + AC432, ""))))</f>
        <v/>
      </c>
      <c r="AE432" s="85" t="str">
        <f aca="false">N432</f>
        <v/>
      </c>
      <c r="AF432" s="85" t="str">
        <f aca="false">IF(ISNUMBER(AE432), RANK(AE432,AE$8:AE$507,1), "")</f>
        <v/>
      </c>
      <c r="AG432" s="88" t="str">
        <f aca="false">IF(ISBLANK(C432), "", ABS(M432-S432))</f>
        <v/>
      </c>
      <c r="AH432" s="85" t="str">
        <f aca="false">IF(ISNUMBER(AG432), RANK(AG432,AG$8:AG$507,1), "")</f>
        <v/>
      </c>
      <c r="AI432" s="85" t="str">
        <f aca="false">IF(ISBLANK(C432),"",IF(V432&lt;&gt;Constants!$B$14, V432, RANK(AD432, AD$8:AD$507, 1)+ SUMPRODUCT(--(AD$8:AD$507=AD432),--(AF432&gt;AF$8:AF$507)) + SUMPRODUCT(--(AD$8:AD$507=AD432),--(AF432=AF$8:AF$507),--(AH432&gt;AH$8:AH$507))))</f>
        <v/>
      </c>
      <c r="AJ432" s="85" t="str">
        <f aca="false">IF(ISBLANK(C432),"",IF(V432&lt;&gt;Constants!$B$14, V432, AD432-AI432))</f>
        <v/>
      </c>
      <c r="AK432" s="89"/>
      <c r="AL432" s="90" t="str">
        <f aca="false">IF(ISBLANK($C432),"",IF($V432&lt;&gt;Constants!$B$14,$V432,X432))</f>
        <v/>
      </c>
      <c r="AM432" s="90" t="str">
        <f aca="false">IF(ISBLANK($C432),"",IF($V432&lt;&gt;Constants!$B$14,$V432,N432))</f>
        <v/>
      </c>
      <c r="AN432" s="91" t="str">
        <f aca="false">IF(ISBLANK(C432),"",IF(V432&lt;&gt;Constants!$B$14, V432, IF(W432=Constants!$B$7,Z432,IF(W432=Constants!$B$8,AB432,""))))</f>
        <v/>
      </c>
      <c r="AO432" s="92" t="str">
        <f aca="false">IF(ISBLANK(C432),"",W432)</f>
        <v/>
      </c>
      <c r="AP432" s="92" t="str">
        <f aca="false">IF(ISBLANK(C432),"",AJ432)</f>
        <v/>
      </c>
      <c r="AQ432" s="92" t="str">
        <f aca="false">IF(ISBLANK(C432),"",AI432)</f>
        <v/>
      </c>
      <c r="AR432" s="93" t="str">
        <f aca="false">IF(ISBLANK(C432),
  "",
IF(AQ432=Constants!$B$11,COUNTA($C$8:$C$507)+2,IF(AQ432=Constants!$B$12,COUNTA($C$8:$C$507)+1,IF(AQ432=Constants!$B$13,COUNTA($C$8:$C$507),AQ432))))</f>
        <v/>
      </c>
      <c r="AS432" s="3"/>
      <c r="AT432" s="94" t="n">
        <f aca="false">IF(OR(ISNUMBER(AQ432),AQ432="DQ",AQ432="P",AQ432="NS"),
    1,
    0
)</f>
        <v>0</v>
      </c>
      <c r="AU432" s="94" t="n">
        <v>425</v>
      </c>
      <c r="AV432" s="94" t="str">
        <f aca="false">IF(ISBLANK($C432),
    "",
   IF(ISNUMBER(AR432),AR432+ROW($B432)/1000,"")
)</f>
        <v/>
      </c>
      <c r="AW432" s="94" t="str">
        <f aca="false">IF(ISNUMBER(AV432), RANK(AV432,AV$8:AV$507,1), "")</f>
        <v/>
      </c>
      <c r="AX432" s="94" t="str">
        <f aca="false">IF(ISBLANK($C432),
    "",
    $B432
)</f>
        <v/>
      </c>
      <c r="AY432" s="94" t="str">
        <f aca="false">IF(ISBLANK($C432),
    "",
    $C432
)</f>
        <v/>
      </c>
      <c r="AZ432" s="94" t="str">
        <f aca="false">IF(ISBLANK($C432),
    "",
    $D432
)</f>
        <v/>
      </c>
      <c r="BA432" s="94" t="str">
        <f aca="false">AO432</f>
        <v/>
      </c>
      <c r="BB432" s="95" t="str">
        <f aca="false">AN432</f>
        <v/>
      </c>
      <c r="BC432" s="94" t="str">
        <f aca="false">IF(ISBLANK($C432),
    "",
    AQ432
)</f>
        <v/>
      </c>
      <c r="BD432" s="96" t="str">
        <f aca="false">IF(AU432&gt;AT$7,
    "",
    VLOOKUP(AU432,AW$8:BC$507,7,FALSE())
)</f>
        <v/>
      </c>
      <c r="BE432" s="97" t="str">
        <f aca="false">IF(AU432&gt;AT$7,
    "",
    VLOOKUP(AU432,AW$8:BC$507,2,FALSE())
)</f>
        <v/>
      </c>
      <c r="BF432" s="97" t="str">
        <f aca="false">IF(AU432&gt;AT$7,
    "",
    VLOOKUP(AU432,AW$8:BC$507,3,FALSE())
)</f>
        <v/>
      </c>
      <c r="BG432" s="97" t="str">
        <f aca="false">IF(AU432&gt;AT$7,
    "",
    VLOOKUP(AU432,AW$8:BC$507,4,FALSE())
)</f>
        <v/>
      </c>
      <c r="BH432" s="97" t="str">
        <f aca="false">IF(AU432&gt;AT$7,
    "",
    VLOOKUP(AU432,AW$8:BC$507,5,FALSE())
)</f>
        <v/>
      </c>
      <c r="BI432" s="98" t="str">
        <f aca="false">IF(AU432&gt;AT$7,
    "",
    VLOOKUP(AU432,AW$8:BC$507,6,FALSE())
)</f>
        <v/>
      </c>
      <c r="BJ432" s="46"/>
    </row>
    <row r="433" customFormat="false" ht="15.75" hidden="false" customHeight="false" outlineLevel="0" collapsed="false">
      <c r="A433" s="3"/>
      <c r="B433" s="105"/>
      <c r="C433" s="106"/>
      <c r="D433" s="99"/>
      <c r="E433" s="110"/>
      <c r="F433" s="107"/>
      <c r="G433" s="110"/>
      <c r="H433" s="103"/>
      <c r="I433" s="102"/>
      <c r="J433" s="103"/>
      <c r="K433" s="103"/>
      <c r="L433" s="85"/>
      <c r="M433" s="85" t="str">
        <f aca="false">IF(ISBLANK($C433),"",IF(ISBLANK(E433),0,E433))</f>
        <v/>
      </c>
      <c r="N433" s="85" t="str">
        <f aca="false">IF(ISBLANK($C433),"",IF(ISBLANK(F433),0,F433))</f>
        <v/>
      </c>
      <c r="O433" s="86" t="e">
        <f aca="false">IF(AND(NOT(ISBLANK($C433)),NOT($T433),COUNTA($E433:$K433)&gt;0),ISBLANK($F433),FALSE())</f>
        <v>#VALUE!</v>
      </c>
      <c r="P433" s="85" t="str">
        <f aca="false">IF(ISBLANK($C433),"",IF(G433=Constants!$B$9, TRUE(), IF(G433=Constants!$B$10, FALSE(), TRUE())))</f>
        <v/>
      </c>
      <c r="Q433" s="85" t="str">
        <f aca="false">IF(ISBLANK($C433),"",IF(H433=Constants!$B$9, TRUE(), IF(H433=Constants!$B$10, FALSE(), TRUE())))</f>
        <v/>
      </c>
      <c r="R433" s="85" t="str">
        <f aca="false">IF(ISBLANK($C433),"",IF(ISBLANK(I433),Constants!$B$3,I433))</f>
        <v/>
      </c>
      <c r="S433" s="85" t="str">
        <f aca="false">IF(ISBLANK($C433),"",IF(ISBLANK(J433),0,MIN(J433,Constants!$B$6)))</f>
        <v/>
      </c>
      <c r="T433" s="85" t="str">
        <f aca="false">IF(ISBLANK($C433),"",IF(K433=Constants!$B$9, TRUE(), IF(K433=Constants!$B$10, FALSE(),  FALSE())))</f>
        <v/>
      </c>
      <c r="U433" s="85" t="str">
        <f aca="false">IF(ISBLANK($C433),"",AND(R433=Constants!$B$4, S433&lt;Constants!$B$6))</f>
        <v/>
      </c>
      <c r="V433" s="85" t="str">
        <f aca="false">IF(ISBLANK(C433), "", IF(T433, Constants!$B$11, IF(COUNTA(E433:K433)=0, Constants!$B$12, IF(NOT(AND(P433,S433&lt;&gt;0)), Constants!$B$13, IF(O433, Constants!$B$15, Constants!$B$14)))))</f>
        <v/>
      </c>
      <c r="W433" s="85" t="str">
        <f aca="false">IF(OR(ISBLANK($C433), SUMPRODUCT(--(P433:T433&lt;&gt;""))=0), "", IF(V433&lt;&gt;Constants!$B$14, V433, IF(AND(NOT(ISBLANK(J433)),P433,Q433,R433&lt;&gt;Constants!$B$2), Constants!$B$7, IF(AND(P433,OR(NOT(Q433),R433=Constants!$B$2)), Constants!$B$8, "Error"))))</f>
        <v/>
      </c>
      <c r="X433" s="87" t="str">
        <f aca="false">IF(OR(W433=Constants!$B$7,W433=Constants!$B$8), MAX(0, MIN(Constants!$B$6, S433))+IF(AND(R433=Constants!$B$4, NOT(U433)), Constants!$B$5, 0), "")</f>
        <v/>
      </c>
      <c r="Y433" s="85" t="str">
        <f aca="false">IF(ISBLANK($C433),"",IF(AND(ISNUMBER(X433),N433&gt;0),X433/N433, "") )</f>
        <v/>
      </c>
      <c r="Z433" s="85" t="str">
        <f aca="false">IF(AND(NOT(ISBLANK($C433)), W433=Constants!$B$7), Y433, "")</f>
        <v/>
      </c>
      <c r="AA433" s="85" t="str">
        <f aca="false">IF(ISNUMBER(Z433), RANK(Z433,Z$8:Z$507), "")</f>
        <v/>
      </c>
      <c r="AB433" s="85" t="str">
        <f aca="false">IF(AND(NOT(ISBLANK($C433)), W433=Constants!$B$8), Y433, "")</f>
        <v/>
      </c>
      <c r="AC433" s="85" t="str">
        <f aca="false">IF(ISNUMBER(AB433), RANK(AB433,AB$8:AB$507), "")</f>
        <v/>
      </c>
      <c r="AD433" s="85" t="str">
        <f aca="false">IF(ISBLANK($C433),"",IF(V433&lt;&gt;Constants!$B$14, V433, IF(W433=Constants!$B$7, AA433, IF(W433=Constants!$B$8, COUNT($AA$8:$AA$507) + AC433, ""))))</f>
        <v/>
      </c>
      <c r="AE433" s="85" t="str">
        <f aca="false">N433</f>
        <v/>
      </c>
      <c r="AF433" s="85" t="str">
        <f aca="false">IF(ISNUMBER(AE433), RANK(AE433,AE$8:AE$507,1), "")</f>
        <v/>
      </c>
      <c r="AG433" s="88" t="str">
        <f aca="false">IF(ISBLANK(C433), "", ABS(M433-S433))</f>
        <v/>
      </c>
      <c r="AH433" s="85" t="str">
        <f aca="false">IF(ISNUMBER(AG433), RANK(AG433,AG$8:AG$507,1), "")</f>
        <v/>
      </c>
      <c r="AI433" s="85" t="str">
        <f aca="false">IF(ISBLANK(C433),"",IF(V433&lt;&gt;Constants!$B$14, V433, RANK(AD433, AD$8:AD$507, 1)+ SUMPRODUCT(--(AD$8:AD$507=AD433),--(AF433&gt;AF$8:AF$507)) + SUMPRODUCT(--(AD$8:AD$507=AD433),--(AF433=AF$8:AF$507),--(AH433&gt;AH$8:AH$507))))</f>
        <v/>
      </c>
      <c r="AJ433" s="85" t="str">
        <f aca="false">IF(ISBLANK(C433),"",IF(V433&lt;&gt;Constants!$B$14, V433, AD433-AI433))</f>
        <v/>
      </c>
      <c r="AK433" s="89"/>
      <c r="AL433" s="90" t="str">
        <f aca="false">IF(ISBLANK($C433),"",IF($V433&lt;&gt;Constants!$B$14,$V433,X433))</f>
        <v/>
      </c>
      <c r="AM433" s="90" t="str">
        <f aca="false">IF(ISBLANK($C433),"",IF($V433&lt;&gt;Constants!$B$14,$V433,N433))</f>
        <v/>
      </c>
      <c r="AN433" s="91" t="str">
        <f aca="false">IF(ISBLANK(C433),"",IF(V433&lt;&gt;Constants!$B$14, V433, IF(W433=Constants!$B$7,Z433,IF(W433=Constants!$B$8,AB433,""))))</f>
        <v/>
      </c>
      <c r="AO433" s="92" t="str">
        <f aca="false">IF(ISBLANK(C433),"",W433)</f>
        <v/>
      </c>
      <c r="AP433" s="92" t="str">
        <f aca="false">IF(ISBLANK(C433),"",AJ433)</f>
        <v/>
      </c>
      <c r="AQ433" s="92" t="str">
        <f aca="false">IF(ISBLANK(C433),"",AI433)</f>
        <v/>
      </c>
      <c r="AR433" s="93" t="str">
        <f aca="false">IF(ISBLANK(C433),
  "",
IF(AQ433=Constants!$B$11,COUNTA($C$8:$C$507)+2,IF(AQ433=Constants!$B$12,COUNTA($C$8:$C$507)+1,IF(AQ433=Constants!$B$13,COUNTA($C$8:$C$507),AQ433))))</f>
        <v/>
      </c>
      <c r="AS433" s="3"/>
      <c r="AT433" s="94" t="n">
        <f aca="false">IF(OR(ISNUMBER(AQ433),AQ433="DQ",AQ433="P",AQ433="NS"),
    1,
    0
)</f>
        <v>0</v>
      </c>
      <c r="AU433" s="94" t="n">
        <v>426</v>
      </c>
      <c r="AV433" s="94" t="str">
        <f aca="false">IF(ISBLANK($C433),
    "",
   IF(ISNUMBER(AR433),AR433+ROW($B433)/1000,"")
)</f>
        <v/>
      </c>
      <c r="AW433" s="94" t="str">
        <f aca="false">IF(ISNUMBER(AV433), RANK(AV433,AV$8:AV$507,1), "")</f>
        <v/>
      </c>
      <c r="AX433" s="94" t="str">
        <f aca="false">IF(ISBLANK($C433),
    "",
    $B433
)</f>
        <v/>
      </c>
      <c r="AY433" s="94" t="str">
        <f aca="false">IF(ISBLANK($C433),
    "",
    $C433
)</f>
        <v/>
      </c>
      <c r="AZ433" s="94" t="str">
        <f aca="false">IF(ISBLANK($C433),
    "",
    $D433
)</f>
        <v/>
      </c>
      <c r="BA433" s="94" t="str">
        <f aca="false">AO433</f>
        <v/>
      </c>
      <c r="BB433" s="95" t="str">
        <f aca="false">AN433</f>
        <v/>
      </c>
      <c r="BC433" s="94" t="str">
        <f aca="false">IF(ISBLANK($C433),
    "",
    AQ433
)</f>
        <v/>
      </c>
      <c r="BD433" s="96" t="str">
        <f aca="false">IF(AU433&gt;AT$7,
    "",
    VLOOKUP(AU433,AW$8:BC$507,7,FALSE())
)</f>
        <v/>
      </c>
      <c r="BE433" s="97" t="str">
        <f aca="false">IF(AU433&gt;AT$7,
    "",
    VLOOKUP(AU433,AW$8:BC$507,2,FALSE())
)</f>
        <v/>
      </c>
      <c r="BF433" s="97" t="str">
        <f aca="false">IF(AU433&gt;AT$7,
    "",
    VLOOKUP(AU433,AW$8:BC$507,3,FALSE())
)</f>
        <v/>
      </c>
      <c r="BG433" s="97" t="str">
        <f aca="false">IF(AU433&gt;AT$7,
    "",
    VLOOKUP(AU433,AW$8:BC$507,4,FALSE())
)</f>
        <v/>
      </c>
      <c r="BH433" s="97" t="str">
        <f aca="false">IF(AU433&gt;AT$7,
    "",
    VLOOKUP(AU433,AW$8:BC$507,5,FALSE())
)</f>
        <v/>
      </c>
      <c r="BI433" s="98" t="str">
        <f aca="false">IF(AU433&gt;AT$7,
    "",
    VLOOKUP(AU433,AW$8:BC$507,6,FALSE())
)</f>
        <v/>
      </c>
      <c r="BJ433" s="46"/>
    </row>
    <row r="434" customFormat="false" ht="15.75" hidden="false" customHeight="false" outlineLevel="0" collapsed="false">
      <c r="A434" s="3"/>
      <c r="B434" s="108"/>
      <c r="C434" s="70"/>
      <c r="D434" s="49"/>
      <c r="E434" s="109"/>
      <c r="F434" s="72"/>
      <c r="G434" s="109"/>
      <c r="H434" s="74"/>
      <c r="I434" s="104"/>
      <c r="J434" s="74"/>
      <c r="K434" s="74"/>
      <c r="L434" s="55"/>
      <c r="M434" s="55" t="str">
        <f aca="false">IF(ISBLANK($C434),"",IF(ISBLANK(E434),0,E434))</f>
        <v/>
      </c>
      <c r="N434" s="55" t="str">
        <f aca="false">IF(ISBLANK($C434),"",IF(ISBLANK(F434),0,F434))</f>
        <v/>
      </c>
      <c r="O434" s="55" t="e">
        <f aca="false">IF(AND(NOT(ISBLANK($C434)),NOT($T434),COUNTA($E434:$K434)&gt;0),ISBLANK($F434),FALSE())</f>
        <v>#VALUE!</v>
      </c>
      <c r="P434" s="55" t="str">
        <f aca="false">IF(ISBLANK($C434),"",IF(G434=Constants!$B$9, TRUE(), IF(G434=Constants!$B$10, FALSE(), TRUE())))</f>
        <v/>
      </c>
      <c r="Q434" s="55" t="str">
        <f aca="false">IF(ISBLANK($C434),"",IF(H434=Constants!$B$9, TRUE(), IF(H434=Constants!$B$10, FALSE(), TRUE())))</f>
        <v/>
      </c>
      <c r="R434" s="55" t="str">
        <f aca="false">IF(ISBLANK($C434),"",IF(ISBLANK(I434),Constants!$B$3,I434))</f>
        <v/>
      </c>
      <c r="S434" s="55" t="str">
        <f aca="false">IF(ISBLANK($C434),"",IF(ISBLANK(J434),0,MIN(J434,Constants!$B$6)))</f>
        <v/>
      </c>
      <c r="T434" s="55" t="str">
        <f aca="false">IF(ISBLANK($C434),"",IF(K434=Constants!$B$9, TRUE(), IF(K434=Constants!$B$10, FALSE(),  FALSE())))</f>
        <v/>
      </c>
      <c r="U434" s="55" t="str">
        <f aca="false">IF(ISBLANK($C434),"",AND(R434=Constants!$B$4, S434&lt;Constants!$B$6))</f>
        <v/>
      </c>
      <c r="V434" s="55" t="str">
        <f aca="false">IF(ISBLANK(C434), "", IF(T434, Constants!$B$11, IF(COUNTA(E434:K434)=0, Constants!$B$12, IF(NOT(AND(P434,S434&lt;&gt;0)), Constants!$B$13, IF(O434, Constants!$B$15, Constants!$B$14)))))</f>
        <v/>
      </c>
      <c r="W434" s="55" t="str">
        <f aca="false">IF(OR(ISBLANK($C434), SUMPRODUCT(--(P434:T434&lt;&gt;""))=0), "", IF(V434&lt;&gt;Constants!$B$14, V434, IF(AND(NOT(ISBLANK(J434)),P434,Q434,R434&lt;&gt;Constants!$B$2), Constants!$B$7, IF(AND(P434,OR(NOT(Q434),R434=Constants!$B$2)), Constants!$B$8, "Error"))))</f>
        <v/>
      </c>
      <c r="X434" s="56" t="str">
        <f aca="false">IF(OR(W434=Constants!$B$7,W434=Constants!$B$8), MAX(0, MIN(Constants!$B$6, S434))+IF(AND(R434=Constants!$B$4, NOT(U434)), Constants!$B$5, 0), "")</f>
        <v/>
      </c>
      <c r="Y434" s="55" t="str">
        <f aca="false">IF(ISBLANK($C434),"",IF(AND(ISNUMBER(X434),N434&gt;0),X434/N434, "") )</f>
        <v/>
      </c>
      <c r="Z434" s="55" t="str">
        <f aca="false">IF(AND(NOT(ISBLANK($C434)), W434=Constants!$B$7), Y434, "")</f>
        <v/>
      </c>
      <c r="AA434" s="55" t="str">
        <f aca="false">IF(ISNUMBER(Z434), RANK(Z434,Z$8:Z$507), "")</f>
        <v/>
      </c>
      <c r="AB434" s="55" t="str">
        <f aca="false">IF(AND(NOT(ISBLANK($C434)), W434=Constants!$B$8), Y434, "")</f>
        <v/>
      </c>
      <c r="AC434" s="55" t="str">
        <f aca="false">IF(ISNUMBER(AB434), RANK(AB434,AB$8:AB$507), "")</f>
        <v/>
      </c>
      <c r="AD434" s="55" t="str">
        <f aca="false">IF(ISBLANK($C434),"",IF(V434&lt;&gt;Constants!$B$14, V434, IF(W434=Constants!$B$7, AA434, IF(W434=Constants!$B$8, COUNT($AA$8:$AA$507) + AC434, ""))))</f>
        <v/>
      </c>
      <c r="AE434" s="55" t="str">
        <f aca="false">N434</f>
        <v/>
      </c>
      <c r="AF434" s="55" t="str">
        <f aca="false">IF(ISNUMBER(AE434), RANK(AE434,AE$8:AE$507,1), "")</f>
        <v/>
      </c>
      <c r="AG434" s="57" t="str">
        <f aca="false">IF(ISBLANK(C434), "", ABS(M434-S434))</f>
        <v/>
      </c>
      <c r="AH434" s="55" t="str">
        <f aca="false">IF(ISNUMBER(AG434), RANK(AG434,AG$8:AG$507,1), "")</f>
        <v/>
      </c>
      <c r="AI434" s="55" t="str">
        <f aca="false">IF(ISBLANK(C434),"",IF(V434&lt;&gt;Constants!$B$14, V434, RANK(AD434, AD$8:AD$507, 1)+ SUMPRODUCT(--(AD$8:AD$507=AD434),--(AF434&gt;AF$8:AF$507)) + SUMPRODUCT(--(AD$8:AD$507=AD434),--(AF434=AF$8:AF$507),--(AH434&gt;AH$8:AH$507))))</f>
        <v/>
      </c>
      <c r="AJ434" s="55" t="str">
        <f aca="false">IF(ISBLANK(C434),"",IF(V434&lt;&gt;Constants!$B$14, V434, AD434-AI434))</f>
        <v/>
      </c>
      <c r="AK434" s="59"/>
      <c r="AL434" s="60" t="str">
        <f aca="false">IF(ISBLANK($C434),"",IF($V434&lt;&gt;Constants!$B$14,$V434,X434))</f>
        <v/>
      </c>
      <c r="AM434" s="60" t="str">
        <f aca="false">IF(ISBLANK($C434),"",IF($V434&lt;&gt;Constants!$B$14,$V434,N434))</f>
        <v/>
      </c>
      <c r="AN434" s="62" t="str">
        <f aca="false">IF(ISBLANK(C434),"",IF(V434&lt;&gt;Constants!$B$14, V434, IF(W434=Constants!$B$7,Z434,IF(W434=Constants!$B$8,AB434,""))))</f>
        <v/>
      </c>
      <c r="AO434" s="63" t="str">
        <f aca="false">IF(ISBLANK(C434),"",W434)</f>
        <v/>
      </c>
      <c r="AP434" s="63" t="str">
        <f aca="false">IF(ISBLANK(C434),"",AJ434)</f>
        <v/>
      </c>
      <c r="AQ434" s="63" t="str">
        <f aca="false">IF(ISBLANK(C434),"",AI434)</f>
        <v/>
      </c>
      <c r="AR434" s="64" t="str">
        <f aca="false">IF(ISBLANK(C434),
  "",
IF(AQ434=Constants!$B$11,COUNTA($C$8:$C$507)+2,IF(AQ434=Constants!$B$12,COUNTA($C$8:$C$507)+1,IF(AQ434=Constants!$B$13,COUNTA($C$8:$C$507),AQ434))))</f>
        <v/>
      </c>
      <c r="AS434" s="3"/>
      <c r="AT434" s="65" t="n">
        <f aca="false">IF(OR(ISNUMBER(AQ434),AQ434="DQ",AQ434="P",AQ434="NS"),
    1,
    0
)</f>
        <v>0</v>
      </c>
      <c r="AU434" s="65" t="n">
        <v>427</v>
      </c>
      <c r="AV434" s="65" t="str">
        <f aca="false">IF(ISBLANK($C434),
    "",
   IF(ISNUMBER(AR434),AR434+ROW($B434)/1000,"")
)</f>
        <v/>
      </c>
      <c r="AW434" s="65" t="str">
        <f aca="false">IF(ISNUMBER(AV434), RANK(AV434,AV$8:AV$507,1), "")</f>
        <v/>
      </c>
      <c r="AX434" s="65" t="str">
        <f aca="false">IF(ISBLANK($C434),
    "",
    $B434
)</f>
        <v/>
      </c>
      <c r="AY434" s="65" t="str">
        <f aca="false">IF(ISBLANK($C434),
    "",
    $C434
)</f>
        <v/>
      </c>
      <c r="AZ434" s="65" t="str">
        <f aca="false">IF(ISBLANK($C434),
    "",
    $D434
)</f>
        <v/>
      </c>
      <c r="BA434" s="65" t="str">
        <f aca="false">AO434</f>
        <v/>
      </c>
      <c r="BB434" s="66" t="str">
        <f aca="false">AN434</f>
        <v/>
      </c>
      <c r="BC434" s="65" t="str">
        <f aca="false">IF(ISBLANK($C434),
    "",
    AQ434
)</f>
        <v/>
      </c>
      <c r="BD434" s="67" t="str">
        <f aca="false">IF(AU434&gt;AT$7,
    "",
    VLOOKUP(AU434,AW$8:BC$507,7,FALSE())
)</f>
        <v/>
      </c>
      <c r="BE434" s="68" t="str">
        <f aca="false">IF(AU434&gt;AT$7,
    "",
    VLOOKUP(AU434,AW$8:BC$507,2,FALSE())
)</f>
        <v/>
      </c>
      <c r="BF434" s="68" t="str">
        <f aca="false">IF(AU434&gt;AT$7,
    "",
    VLOOKUP(AU434,AW$8:BC$507,3,FALSE())
)</f>
        <v/>
      </c>
      <c r="BG434" s="68" t="str">
        <f aca="false">IF(AU434&gt;AT$7,
    "",
    VLOOKUP(AU434,AW$8:BC$507,4,FALSE())
)</f>
        <v/>
      </c>
      <c r="BH434" s="68" t="str">
        <f aca="false">IF(AU434&gt;AT$7,
    "",
    VLOOKUP(AU434,AW$8:BC$507,5,FALSE())
)</f>
        <v/>
      </c>
      <c r="BI434" s="69" t="str">
        <f aca="false">IF(AU434&gt;AT$7,
    "",
    VLOOKUP(AU434,AW$8:BC$507,6,FALSE())
)</f>
        <v/>
      </c>
      <c r="BJ434" s="46"/>
    </row>
    <row r="435" customFormat="false" ht="15.75" hidden="false" customHeight="false" outlineLevel="0" collapsed="false">
      <c r="A435" s="3"/>
      <c r="B435" s="108"/>
      <c r="C435" s="70"/>
      <c r="D435" s="49"/>
      <c r="E435" s="109"/>
      <c r="F435" s="72"/>
      <c r="G435" s="109"/>
      <c r="H435" s="74"/>
      <c r="I435" s="104"/>
      <c r="J435" s="74"/>
      <c r="K435" s="74"/>
      <c r="L435" s="55"/>
      <c r="M435" s="55" t="str">
        <f aca="false">IF(ISBLANK($C435),"",IF(ISBLANK(E435),0,E435))</f>
        <v/>
      </c>
      <c r="N435" s="55" t="str">
        <f aca="false">IF(ISBLANK($C435),"",IF(ISBLANK(F435),0,F435))</f>
        <v/>
      </c>
      <c r="O435" s="55" t="e">
        <f aca="false">IF(AND(NOT(ISBLANK($C435)),NOT($T435),COUNTA($E435:$K435)&gt;0),ISBLANK($F435),FALSE())</f>
        <v>#VALUE!</v>
      </c>
      <c r="P435" s="55" t="str">
        <f aca="false">IF(ISBLANK($C435),"",IF(G435=Constants!$B$9, TRUE(), IF(G435=Constants!$B$10, FALSE(), TRUE())))</f>
        <v/>
      </c>
      <c r="Q435" s="55" t="str">
        <f aca="false">IF(ISBLANK($C435),"",IF(H435=Constants!$B$9, TRUE(), IF(H435=Constants!$B$10, FALSE(), TRUE())))</f>
        <v/>
      </c>
      <c r="R435" s="55" t="str">
        <f aca="false">IF(ISBLANK($C435),"",IF(ISBLANK(I435),Constants!$B$3,I435))</f>
        <v/>
      </c>
      <c r="S435" s="55" t="str">
        <f aca="false">IF(ISBLANK($C435),"",IF(ISBLANK(J435),0,MIN(J435,Constants!$B$6)))</f>
        <v/>
      </c>
      <c r="T435" s="55" t="str">
        <f aca="false">IF(ISBLANK($C435),"",IF(K435=Constants!$B$9, TRUE(), IF(K435=Constants!$B$10, FALSE(),  FALSE())))</f>
        <v/>
      </c>
      <c r="U435" s="55" t="str">
        <f aca="false">IF(ISBLANK($C435),"",AND(R435=Constants!$B$4, S435&lt;Constants!$B$6))</f>
        <v/>
      </c>
      <c r="V435" s="55" t="str">
        <f aca="false">IF(ISBLANK(C435), "", IF(T435, Constants!$B$11, IF(COUNTA(E435:K435)=0, Constants!$B$12, IF(NOT(AND(P435,S435&lt;&gt;0)), Constants!$B$13, IF(O435, Constants!$B$15, Constants!$B$14)))))</f>
        <v/>
      </c>
      <c r="W435" s="55" t="str">
        <f aca="false">IF(OR(ISBLANK($C435), SUMPRODUCT(--(P435:T435&lt;&gt;""))=0), "", IF(V435&lt;&gt;Constants!$B$14, V435, IF(AND(NOT(ISBLANK(J435)),P435,Q435,R435&lt;&gt;Constants!$B$2), Constants!$B$7, IF(AND(P435,OR(NOT(Q435),R435=Constants!$B$2)), Constants!$B$8, "Error"))))</f>
        <v/>
      </c>
      <c r="X435" s="56" t="str">
        <f aca="false">IF(OR(W435=Constants!$B$7,W435=Constants!$B$8), MAX(0, MIN(Constants!$B$6, S435))+IF(AND(R435=Constants!$B$4, NOT(U435)), Constants!$B$5, 0), "")</f>
        <v/>
      </c>
      <c r="Y435" s="55" t="str">
        <f aca="false">IF(ISBLANK($C435),"",IF(AND(ISNUMBER(X435),N435&gt;0),X435/N435, "") )</f>
        <v/>
      </c>
      <c r="Z435" s="55" t="str">
        <f aca="false">IF(AND(NOT(ISBLANK($C435)), W435=Constants!$B$7), Y435, "")</f>
        <v/>
      </c>
      <c r="AA435" s="55" t="str">
        <f aca="false">IF(ISNUMBER(Z435), RANK(Z435,Z$8:Z$507), "")</f>
        <v/>
      </c>
      <c r="AB435" s="55" t="str">
        <f aca="false">IF(AND(NOT(ISBLANK($C435)), W435=Constants!$B$8), Y435, "")</f>
        <v/>
      </c>
      <c r="AC435" s="55" t="str">
        <f aca="false">IF(ISNUMBER(AB435), RANK(AB435,AB$8:AB$507), "")</f>
        <v/>
      </c>
      <c r="AD435" s="55" t="str">
        <f aca="false">IF(ISBLANK($C435),"",IF(V435&lt;&gt;Constants!$B$14, V435, IF(W435=Constants!$B$7, AA435, IF(W435=Constants!$B$8, COUNT($AA$8:$AA$507) + AC435, ""))))</f>
        <v/>
      </c>
      <c r="AE435" s="55" t="str">
        <f aca="false">N435</f>
        <v/>
      </c>
      <c r="AF435" s="55" t="str">
        <f aca="false">IF(ISNUMBER(AE435), RANK(AE435,AE$8:AE$507,1), "")</f>
        <v/>
      </c>
      <c r="AG435" s="57" t="str">
        <f aca="false">IF(ISBLANK(C435), "", ABS(M435-S435))</f>
        <v/>
      </c>
      <c r="AH435" s="55" t="str">
        <f aca="false">IF(ISNUMBER(AG435), RANK(AG435,AG$8:AG$507,1), "")</f>
        <v/>
      </c>
      <c r="AI435" s="55" t="str">
        <f aca="false">IF(ISBLANK(C435),"",IF(V435&lt;&gt;Constants!$B$14, V435, RANK(AD435, AD$8:AD$507, 1)+ SUMPRODUCT(--(AD$8:AD$507=AD435),--(AF435&gt;AF$8:AF$507)) + SUMPRODUCT(--(AD$8:AD$507=AD435),--(AF435=AF$8:AF$507),--(AH435&gt;AH$8:AH$507))))</f>
        <v/>
      </c>
      <c r="AJ435" s="55" t="str">
        <f aca="false">IF(ISBLANK(C435),"",IF(V435&lt;&gt;Constants!$B$14, V435, AD435-AI435))</f>
        <v/>
      </c>
      <c r="AK435" s="59"/>
      <c r="AL435" s="60" t="str">
        <f aca="false">IF(ISBLANK($C435),"",IF($V435&lt;&gt;Constants!$B$14,$V435,X435))</f>
        <v/>
      </c>
      <c r="AM435" s="60" t="str">
        <f aca="false">IF(ISBLANK($C435),"",IF($V435&lt;&gt;Constants!$B$14,$V435,N435))</f>
        <v/>
      </c>
      <c r="AN435" s="62" t="str">
        <f aca="false">IF(ISBLANK(C435),"",IF(V435&lt;&gt;Constants!$B$14, V435, IF(W435=Constants!$B$7,Z435,IF(W435=Constants!$B$8,AB435,""))))</f>
        <v/>
      </c>
      <c r="AO435" s="63" t="str">
        <f aca="false">IF(ISBLANK(C435),"",W435)</f>
        <v/>
      </c>
      <c r="AP435" s="63" t="str">
        <f aca="false">IF(ISBLANK(C435),"",AJ435)</f>
        <v/>
      </c>
      <c r="AQ435" s="63" t="str">
        <f aca="false">IF(ISBLANK(C435),"",AI435)</f>
        <v/>
      </c>
      <c r="AR435" s="64" t="str">
        <f aca="false">IF(ISBLANK(C435),
  "",
IF(AQ435=Constants!$B$11,COUNTA($C$8:$C$507)+2,IF(AQ435=Constants!$B$12,COUNTA($C$8:$C$507)+1,IF(AQ435=Constants!$B$13,COUNTA($C$8:$C$507),AQ435))))</f>
        <v/>
      </c>
      <c r="AS435" s="3"/>
      <c r="AT435" s="65" t="n">
        <f aca="false">IF(OR(ISNUMBER(AQ435),AQ435="DQ",AQ435="P",AQ435="NS"),
    1,
    0
)</f>
        <v>0</v>
      </c>
      <c r="AU435" s="65" t="n">
        <v>428</v>
      </c>
      <c r="AV435" s="65" t="str">
        <f aca="false">IF(ISBLANK($C435),
    "",
   IF(ISNUMBER(AR435),AR435+ROW($B435)/1000,"")
)</f>
        <v/>
      </c>
      <c r="AW435" s="65" t="str">
        <f aca="false">IF(ISNUMBER(AV435), RANK(AV435,AV$8:AV$507,1), "")</f>
        <v/>
      </c>
      <c r="AX435" s="65" t="str">
        <f aca="false">IF(ISBLANK($C435),
    "",
    $B435
)</f>
        <v/>
      </c>
      <c r="AY435" s="65" t="str">
        <f aca="false">IF(ISBLANK($C435),
    "",
    $C435
)</f>
        <v/>
      </c>
      <c r="AZ435" s="65" t="str">
        <f aca="false">IF(ISBLANK($C435),
    "",
    $D435
)</f>
        <v/>
      </c>
      <c r="BA435" s="65" t="str">
        <f aca="false">AO435</f>
        <v/>
      </c>
      <c r="BB435" s="66" t="str">
        <f aca="false">AN435</f>
        <v/>
      </c>
      <c r="BC435" s="65" t="str">
        <f aca="false">IF(ISBLANK($C435),
    "",
    AQ435
)</f>
        <v/>
      </c>
      <c r="BD435" s="67" t="str">
        <f aca="false">IF(AU435&gt;AT$7,
    "",
    VLOOKUP(AU435,AW$8:BC$507,7,FALSE())
)</f>
        <v/>
      </c>
      <c r="BE435" s="68" t="str">
        <f aca="false">IF(AU435&gt;AT$7,
    "",
    VLOOKUP(AU435,AW$8:BC$507,2,FALSE())
)</f>
        <v/>
      </c>
      <c r="BF435" s="68" t="str">
        <f aca="false">IF(AU435&gt;AT$7,
    "",
    VLOOKUP(AU435,AW$8:BC$507,3,FALSE())
)</f>
        <v/>
      </c>
      <c r="BG435" s="68" t="str">
        <f aca="false">IF(AU435&gt;AT$7,
    "",
    VLOOKUP(AU435,AW$8:BC$507,4,FALSE())
)</f>
        <v/>
      </c>
      <c r="BH435" s="68" t="str">
        <f aca="false">IF(AU435&gt;AT$7,
    "",
    VLOOKUP(AU435,AW$8:BC$507,5,FALSE())
)</f>
        <v/>
      </c>
      <c r="BI435" s="69" t="str">
        <f aca="false">IF(AU435&gt;AT$7,
    "",
    VLOOKUP(AU435,AW$8:BC$507,6,FALSE())
)</f>
        <v/>
      </c>
      <c r="BJ435" s="46"/>
    </row>
    <row r="436" customFormat="false" ht="15.75" hidden="false" customHeight="false" outlineLevel="0" collapsed="false">
      <c r="A436" s="3"/>
      <c r="B436" s="108"/>
      <c r="C436" s="70"/>
      <c r="D436" s="49"/>
      <c r="E436" s="109"/>
      <c r="F436" s="72"/>
      <c r="G436" s="109"/>
      <c r="H436" s="74"/>
      <c r="I436" s="104"/>
      <c r="J436" s="74"/>
      <c r="K436" s="74"/>
      <c r="L436" s="55"/>
      <c r="M436" s="55" t="str">
        <f aca="false">IF(ISBLANK($C436),"",IF(ISBLANK(E436),0,E436))</f>
        <v/>
      </c>
      <c r="N436" s="55" t="str">
        <f aca="false">IF(ISBLANK($C436),"",IF(ISBLANK(F436),0,F436))</f>
        <v/>
      </c>
      <c r="O436" s="55" t="e">
        <f aca="false">IF(AND(NOT(ISBLANK($C436)),NOT($T436),COUNTA($E436:$K436)&gt;0),ISBLANK($F436),FALSE())</f>
        <v>#VALUE!</v>
      </c>
      <c r="P436" s="55" t="str">
        <f aca="false">IF(ISBLANK($C436),"",IF(G436=Constants!$B$9, TRUE(), IF(G436=Constants!$B$10, FALSE(), TRUE())))</f>
        <v/>
      </c>
      <c r="Q436" s="55" t="str">
        <f aca="false">IF(ISBLANK($C436),"",IF(H436=Constants!$B$9, TRUE(), IF(H436=Constants!$B$10, FALSE(), TRUE())))</f>
        <v/>
      </c>
      <c r="R436" s="55" t="str">
        <f aca="false">IF(ISBLANK($C436),"",IF(ISBLANK(I436),Constants!$B$3,I436))</f>
        <v/>
      </c>
      <c r="S436" s="55" t="str">
        <f aca="false">IF(ISBLANK($C436),"",IF(ISBLANK(J436),0,MIN(J436,Constants!$B$6)))</f>
        <v/>
      </c>
      <c r="T436" s="55" t="str">
        <f aca="false">IF(ISBLANK($C436),"",IF(K436=Constants!$B$9, TRUE(), IF(K436=Constants!$B$10, FALSE(),  FALSE())))</f>
        <v/>
      </c>
      <c r="U436" s="55" t="str">
        <f aca="false">IF(ISBLANK($C436),"",AND(R436=Constants!$B$4, S436&lt;Constants!$B$6))</f>
        <v/>
      </c>
      <c r="V436" s="55" t="str">
        <f aca="false">IF(ISBLANK(C436), "", IF(T436, Constants!$B$11, IF(COUNTA(E436:K436)=0, Constants!$B$12, IF(NOT(AND(P436,S436&lt;&gt;0)), Constants!$B$13, IF(O436, Constants!$B$15, Constants!$B$14)))))</f>
        <v/>
      </c>
      <c r="W436" s="55" t="str">
        <f aca="false">IF(OR(ISBLANK($C436), SUMPRODUCT(--(P436:T436&lt;&gt;""))=0), "", IF(V436&lt;&gt;Constants!$B$14, V436, IF(AND(NOT(ISBLANK(J436)),P436,Q436,R436&lt;&gt;Constants!$B$2), Constants!$B$7, IF(AND(P436,OR(NOT(Q436),R436=Constants!$B$2)), Constants!$B$8, "Error"))))</f>
        <v/>
      </c>
      <c r="X436" s="56" t="str">
        <f aca="false">IF(OR(W436=Constants!$B$7,W436=Constants!$B$8), MAX(0, MIN(Constants!$B$6, S436))+IF(AND(R436=Constants!$B$4, NOT(U436)), Constants!$B$5, 0), "")</f>
        <v/>
      </c>
      <c r="Y436" s="55" t="str">
        <f aca="false">IF(ISBLANK($C436),"",IF(AND(ISNUMBER(X436),N436&gt;0),X436/N436, "") )</f>
        <v/>
      </c>
      <c r="Z436" s="55" t="str">
        <f aca="false">IF(AND(NOT(ISBLANK($C436)), W436=Constants!$B$7), Y436, "")</f>
        <v/>
      </c>
      <c r="AA436" s="55" t="str">
        <f aca="false">IF(ISNUMBER(Z436), RANK(Z436,Z$8:Z$507), "")</f>
        <v/>
      </c>
      <c r="AB436" s="55" t="str">
        <f aca="false">IF(AND(NOT(ISBLANK($C436)), W436=Constants!$B$8), Y436, "")</f>
        <v/>
      </c>
      <c r="AC436" s="55" t="str">
        <f aca="false">IF(ISNUMBER(AB436), RANK(AB436,AB$8:AB$507), "")</f>
        <v/>
      </c>
      <c r="AD436" s="55" t="str">
        <f aca="false">IF(ISBLANK($C436),"",IF(V436&lt;&gt;Constants!$B$14, V436, IF(W436=Constants!$B$7, AA436, IF(W436=Constants!$B$8, COUNT($AA$8:$AA$507) + AC436, ""))))</f>
        <v/>
      </c>
      <c r="AE436" s="55" t="str">
        <f aca="false">N436</f>
        <v/>
      </c>
      <c r="AF436" s="55" t="str">
        <f aca="false">IF(ISNUMBER(AE436), RANK(AE436,AE$8:AE$507,1), "")</f>
        <v/>
      </c>
      <c r="AG436" s="57" t="str">
        <f aca="false">IF(ISBLANK(C436), "", ABS(M436-S436))</f>
        <v/>
      </c>
      <c r="AH436" s="55" t="str">
        <f aca="false">IF(ISNUMBER(AG436), RANK(AG436,AG$8:AG$507,1), "")</f>
        <v/>
      </c>
      <c r="AI436" s="55" t="str">
        <f aca="false">IF(ISBLANK(C436),"",IF(V436&lt;&gt;Constants!$B$14, V436, RANK(AD436, AD$8:AD$507, 1)+ SUMPRODUCT(--(AD$8:AD$507=AD436),--(AF436&gt;AF$8:AF$507)) + SUMPRODUCT(--(AD$8:AD$507=AD436),--(AF436=AF$8:AF$507),--(AH436&gt;AH$8:AH$507))))</f>
        <v/>
      </c>
      <c r="AJ436" s="55" t="str">
        <f aca="false">IF(ISBLANK(C436),"",IF(V436&lt;&gt;Constants!$B$14, V436, AD436-AI436))</f>
        <v/>
      </c>
      <c r="AK436" s="59"/>
      <c r="AL436" s="60" t="str">
        <f aca="false">IF(ISBLANK($C436),"",IF($V436&lt;&gt;Constants!$B$14,$V436,X436))</f>
        <v/>
      </c>
      <c r="AM436" s="60" t="str">
        <f aca="false">IF(ISBLANK($C436),"",IF($V436&lt;&gt;Constants!$B$14,$V436,N436))</f>
        <v/>
      </c>
      <c r="AN436" s="62" t="str">
        <f aca="false">IF(ISBLANK(C436),"",IF(V436&lt;&gt;Constants!$B$14, V436, IF(W436=Constants!$B$7,Z436,IF(W436=Constants!$B$8,AB436,""))))</f>
        <v/>
      </c>
      <c r="AO436" s="63" t="str">
        <f aca="false">IF(ISBLANK(C436),"",W436)</f>
        <v/>
      </c>
      <c r="AP436" s="63" t="str">
        <f aca="false">IF(ISBLANK(C436),"",AJ436)</f>
        <v/>
      </c>
      <c r="AQ436" s="63" t="str">
        <f aca="false">IF(ISBLANK(C436),"",AI436)</f>
        <v/>
      </c>
      <c r="AR436" s="64" t="str">
        <f aca="false">IF(ISBLANK(C436),
  "",
IF(AQ436=Constants!$B$11,COUNTA($C$8:$C$507)+2,IF(AQ436=Constants!$B$12,COUNTA($C$8:$C$507)+1,IF(AQ436=Constants!$B$13,COUNTA($C$8:$C$507),AQ436))))</f>
        <v/>
      </c>
      <c r="AS436" s="3"/>
      <c r="AT436" s="65" t="n">
        <f aca="false">IF(OR(ISNUMBER(AQ436),AQ436="DQ",AQ436="P",AQ436="NS"),
    1,
    0
)</f>
        <v>0</v>
      </c>
      <c r="AU436" s="65" t="n">
        <v>429</v>
      </c>
      <c r="AV436" s="65" t="str">
        <f aca="false">IF(ISBLANK($C436),
    "",
   IF(ISNUMBER(AR436),AR436+ROW($B436)/1000,"")
)</f>
        <v/>
      </c>
      <c r="AW436" s="65" t="str">
        <f aca="false">IF(ISNUMBER(AV436), RANK(AV436,AV$8:AV$507,1), "")</f>
        <v/>
      </c>
      <c r="AX436" s="65" t="str">
        <f aca="false">IF(ISBLANK($C436),
    "",
    $B436
)</f>
        <v/>
      </c>
      <c r="AY436" s="65" t="str">
        <f aca="false">IF(ISBLANK($C436),
    "",
    $C436
)</f>
        <v/>
      </c>
      <c r="AZ436" s="65" t="str">
        <f aca="false">IF(ISBLANK($C436),
    "",
    $D436
)</f>
        <v/>
      </c>
      <c r="BA436" s="65" t="str">
        <f aca="false">AO436</f>
        <v/>
      </c>
      <c r="BB436" s="66" t="str">
        <f aca="false">AN436</f>
        <v/>
      </c>
      <c r="BC436" s="65" t="str">
        <f aca="false">IF(ISBLANK($C436),
    "",
    AQ436
)</f>
        <v/>
      </c>
      <c r="BD436" s="67" t="str">
        <f aca="false">IF(AU436&gt;AT$7,
    "",
    VLOOKUP(AU436,AW$8:BC$507,7,FALSE())
)</f>
        <v/>
      </c>
      <c r="BE436" s="68" t="str">
        <f aca="false">IF(AU436&gt;AT$7,
    "",
    VLOOKUP(AU436,AW$8:BC$507,2,FALSE())
)</f>
        <v/>
      </c>
      <c r="BF436" s="68" t="str">
        <f aca="false">IF(AU436&gt;AT$7,
    "",
    VLOOKUP(AU436,AW$8:BC$507,3,FALSE())
)</f>
        <v/>
      </c>
      <c r="BG436" s="68" t="str">
        <f aca="false">IF(AU436&gt;AT$7,
    "",
    VLOOKUP(AU436,AW$8:BC$507,4,FALSE())
)</f>
        <v/>
      </c>
      <c r="BH436" s="68" t="str">
        <f aca="false">IF(AU436&gt;AT$7,
    "",
    VLOOKUP(AU436,AW$8:BC$507,5,FALSE())
)</f>
        <v/>
      </c>
      <c r="BI436" s="69" t="str">
        <f aca="false">IF(AU436&gt;AT$7,
    "",
    VLOOKUP(AU436,AW$8:BC$507,6,FALSE())
)</f>
        <v/>
      </c>
      <c r="BJ436" s="46"/>
    </row>
    <row r="437" customFormat="false" ht="15.75" hidden="false" customHeight="false" outlineLevel="0" collapsed="false">
      <c r="A437" s="3"/>
      <c r="B437" s="105"/>
      <c r="C437" s="106"/>
      <c r="D437" s="99"/>
      <c r="E437" s="110"/>
      <c r="F437" s="107"/>
      <c r="G437" s="110"/>
      <c r="H437" s="103"/>
      <c r="I437" s="102"/>
      <c r="J437" s="103"/>
      <c r="K437" s="103"/>
      <c r="L437" s="85"/>
      <c r="M437" s="85" t="str">
        <f aca="false">IF(ISBLANK($C437),"",IF(ISBLANK(E437),0,E437))</f>
        <v/>
      </c>
      <c r="N437" s="85" t="str">
        <f aca="false">IF(ISBLANK($C437),"",IF(ISBLANK(F437),0,F437))</f>
        <v/>
      </c>
      <c r="O437" s="86" t="e">
        <f aca="false">IF(AND(NOT(ISBLANK($C437)),NOT($T437),COUNTA($E437:$K437)&gt;0),ISBLANK($F437),FALSE())</f>
        <v>#VALUE!</v>
      </c>
      <c r="P437" s="85" t="str">
        <f aca="false">IF(ISBLANK($C437),"",IF(G437=Constants!$B$9, TRUE(), IF(G437=Constants!$B$10, FALSE(), TRUE())))</f>
        <v/>
      </c>
      <c r="Q437" s="85" t="str">
        <f aca="false">IF(ISBLANK($C437),"",IF(H437=Constants!$B$9, TRUE(), IF(H437=Constants!$B$10, FALSE(), TRUE())))</f>
        <v/>
      </c>
      <c r="R437" s="85" t="str">
        <f aca="false">IF(ISBLANK($C437),"",IF(ISBLANK(I437),Constants!$B$3,I437))</f>
        <v/>
      </c>
      <c r="S437" s="85" t="str">
        <f aca="false">IF(ISBLANK($C437),"",IF(ISBLANK(J437),0,MIN(J437,Constants!$B$6)))</f>
        <v/>
      </c>
      <c r="T437" s="85" t="str">
        <f aca="false">IF(ISBLANK($C437),"",IF(K437=Constants!$B$9, TRUE(), IF(K437=Constants!$B$10, FALSE(),  FALSE())))</f>
        <v/>
      </c>
      <c r="U437" s="85" t="str">
        <f aca="false">IF(ISBLANK($C437),"",AND(R437=Constants!$B$4, S437&lt;Constants!$B$6))</f>
        <v/>
      </c>
      <c r="V437" s="85" t="str">
        <f aca="false">IF(ISBLANK(C437), "", IF(T437, Constants!$B$11, IF(COUNTA(E437:K437)=0, Constants!$B$12, IF(NOT(AND(P437,S437&lt;&gt;0)), Constants!$B$13, IF(O437, Constants!$B$15, Constants!$B$14)))))</f>
        <v/>
      </c>
      <c r="W437" s="85" t="str">
        <f aca="false">IF(OR(ISBLANK($C437), SUMPRODUCT(--(P437:T437&lt;&gt;""))=0), "", IF(V437&lt;&gt;Constants!$B$14, V437, IF(AND(NOT(ISBLANK(J437)),P437,Q437,R437&lt;&gt;Constants!$B$2), Constants!$B$7, IF(AND(P437,OR(NOT(Q437),R437=Constants!$B$2)), Constants!$B$8, "Error"))))</f>
        <v/>
      </c>
      <c r="X437" s="87" t="str">
        <f aca="false">IF(OR(W437=Constants!$B$7,W437=Constants!$B$8), MAX(0, MIN(Constants!$B$6, S437))+IF(AND(R437=Constants!$B$4, NOT(U437)), Constants!$B$5, 0), "")</f>
        <v/>
      </c>
      <c r="Y437" s="85" t="str">
        <f aca="false">IF(ISBLANK($C437),"",IF(AND(ISNUMBER(X437),N437&gt;0),X437/N437, "") )</f>
        <v/>
      </c>
      <c r="Z437" s="85" t="str">
        <f aca="false">IF(AND(NOT(ISBLANK($C437)), W437=Constants!$B$7), Y437, "")</f>
        <v/>
      </c>
      <c r="AA437" s="85" t="str">
        <f aca="false">IF(ISNUMBER(Z437), RANK(Z437,Z$8:Z$507), "")</f>
        <v/>
      </c>
      <c r="AB437" s="85" t="str">
        <f aca="false">IF(AND(NOT(ISBLANK($C437)), W437=Constants!$B$8), Y437, "")</f>
        <v/>
      </c>
      <c r="AC437" s="85" t="str">
        <f aca="false">IF(ISNUMBER(AB437), RANK(AB437,AB$8:AB$507), "")</f>
        <v/>
      </c>
      <c r="AD437" s="85" t="str">
        <f aca="false">IF(ISBLANK($C437),"",IF(V437&lt;&gt;Constants!$B$14, V437, IF(W437=Constants!$B$7, AA437, IF(W437=Constants!$B$8, COUNT($AA$8:$AA$507) + AC437, ""))))</f>
        <v/>
      </c>
      <c r="AE437" s="85" t="str">
        <f aca="false">N437</f>
        <v/>
      </c>
      <c r="AF437" s="85" t="str">
        <f aca="false">IF(ISNUMBER(AE437), RANK(AE437,AE$8:AE$507,1), "")</f>
        <v/>
      </c>
      <c r="AG437" s="88" t="str">
        <f aca="false">IF(ISBLANK(C437), "", ABS(M437-S437))</f>
        <v/>
      </c>
      <c r="AH437" s="85" t="str">
        <f aca="false">IF(ISNUMBER(AG437), RANK(AG437,AG$8:AG$507,1), "")</f>
        <v/>
      </c>
      <c r="AI437" s="85" t="str">
        <f aca="false">IF(ISBLANK(C437),"",IF(V437&lt;&gt;Constants!$B$14, V437, RANK(AD437, AD$8:AD$507, 1)+ SUMPRODUCT(--(AD$8:AD$507=AD437),--(AF437&gt;AF$8:AF$507)) + SUMPRODUCT(--(AD$8:AD$507=AD437),--(AF437=AF$8:AF$507),--(AH437&gt;AH$8:AH$507))))</f>
        <v/>
      </c>
      <c r="AJ437" s="85" t="str">
        <f aca="false">IF(ISBLANK(C437),"",IF(V437&lt;&gt;Constants!$B$14, V437, AD437-AI437))</f>
        <v/>
      </c>
      <c r="AK437" s="89"/>
      <c r="AL437" s="90" t="str">
        <f aca="false">IF(ISBLANK($C437),"",IF($V437&lt;&gt;Constants!$B$14,$V437,X437))</f>
        <v/>
      </c>
      <c r="AM437" s="90" t="str">
        <f aca="false">IF(ISBLANK($C437),"",IF($V437&lt;&gt;Constants!$B$14,$V437,N437))</f>
        <v/>
      </c>
      <c r="AN437" s="91" t="str">
        <f aca="false">IF(ISBLANK(C437),"",IF(V437&lt;&gt;Constants!$B$14, V437, IF(W437=Constants!$B$7,Z437,IF(W437=Constants!$B$8,AB437,""))))</f>
        <v/>
      </c>
      <c r="AO437" s="92" t="str">
        <f aca="false">IF(ISBLANK(C437),"",W437)</f>
        <v/>
      </c>
      <c r="AP437" s="92" t="str">
        <f aca="false">IF(ISBLANK(C437),"",AJ437)</f>
        <v/>
      </c>
      <c r="AQ437" s="92" t="str">
        <f aca="false">IF(ISBLANK(C437),"",AI437)</f>
        <v/>
      </c>
      <c r="AR437" s="93" t="str">
        <f aca="false">IF(ISBLANK(C437),
  "",
IF(AQ437=Constants!$B$11,COUNTA($C$8:$C$507)+2,IF(AQ437=Constants!$B$12,COUNTA($C$8:$C$507)+1,IF(AQ437=Constants!$B$13,COUNTA($C$8:$C$507),AQ437))))</f>
        <v/>
      </c>
      <c r="AS437" s="3"/>
      <c r="AT437" s="94" t="n">
        <f aca="false">IF(OR(ISNUMBER(AQ437),AQ437="DQ",AQ437="P",AQ437="NS"),
    1,
    0
)</f>
        <v>0</v>
      </c>
      <c r="AU437" s="94" t="n">
        <v>430</v>
      </c>
      <c r="AV437" s="94" t="str">
        <f aca="false">IF(ISBLANK($C437),
    "",
   IF(ISNUMBER(AR437),AR437+ROW($B437)/1000,"")
)</f>
        <v/>
      </c>
      <c r="AW437" s="94" t="str">
        <f aca="false">IF(ISNUMBER(AV437), RANK(AV437,AV$8:AV$507,1), "")</f>
        <v/>
      </c>
      <c r="AX437" s="94" t="str">
        <f aca="false">IF(ISBLANK($C437),
    "",
    $B437
)</f>
        <v/>
      </c>
      <c r="AY437" s="94" t="str">
        <f aca="false">IF(ISBLANK($C437),
    "",
    $C437
)</f>
        <v/>
      </c>
      <c r="AZ437" s="94" t="str">
        <f aca="false">IF(ISBLANK($C437),
    "",
    $D437
)</f>
        <v/>
      </c>
      <c r="BA437" s="94" t="str">
        <f aca="false">AO437</f>
        <v/>
      </c>
      <c r="BB437" s="95" t="str">
        <f aca="false">AN437</f>
        <v/>
      </c>
      <c r="BC437" s="94" t="str">
        <f aca="false">IF(ISBLANK($C437),
    "",
    AQ437
)</f>
        <v/>
      </c>
      <c r="BD437" s="96" t="str">
        <f aca="false">IF(AU437&gt;AT$7,
    "",
    VLOOKUP(AU437,AW$8:BC$507,7,FALSE())
)</f>
        <v/>
      </c>
      <c r="BE437" s="97" t="str">
        <f aca="false">IF(AU437&gt;AT$7,
    "",
    VLOOKUP(AU437,AW$8:BC$507,2,FALSE())
)</f>
        <v/>
      </c>
      <c r="BF437" s="97" t="str">
        <f aca="false">IF(AU437&gt;AT$7,
    "",
    VLOOKUP(AU437,AW$8:BC$507,3,FALSE())
)</f>
        <v/>
      </c>
      <c r="BG437" s="97" t="str">
        <f aca="false">IF(AU437&gt;AT$7,
    "",
    VLOOKUP(AU437,AW$8:BC$507,4,FALSE())
)</f>
        <v/>
      </c>
      <c r="BH437" s="97" t="str">
        <f aca="false">IF(AU437&gt;AT$7,
    "",
    VLOOKUP(AU437,AW$8:BC$507,5,FALSE())
)</f>
        <v/>
      </c>
      <c r="BI437" s="98" t="str">
        <f aca="false">IF(AU437&gt;AT$7,
    "",
    VLOOKUP(AU437,AW$8:BC$507,6,FALSE())
)</f>
        <v/>
      </c>
      <c r="BJ437" s="46"/>
    </row>
    <row r="438" customFormat="false" ht="15.75" hidden="false" customHeight="false" outlineLevel="0" collapsed="false">
      <c r="A438" s="3"/>
      <c r="B438" s="105"/>
      <c r="C438" s="106"/>
      <c r="D438" s="99"/>
      <c r="E438" s="110"/>
      <c r="F438" s="107"/>
      <c r="G438" s="110"/>
      <c r="H438" s="103"/>
      <c r="I438" s="102"/>
      <c r="J438" s="103"/>
      <c r="K438" s="103"/>
      <c r="L438" s="85"/>
      <c r="M438" s="85" t="str">
        <f aca="false">IF(ISBLANK($C438),"",IF(ISBLANK(E438),0,E438))</f>
        <v/>
      </c>
      <c r="N438" s="85" t="str">
        <f aca="false">IF(ISBLANK($C438),"",IF(ISBLANK(F438),0,F438))</f>
        <v/>
      </c>
      <c r="O438" s="86" t="e">
        <f aca="false">IF(AND(NOT(ISBLANK($C438)),NOT($T438),COUNTA($E438:$K438)&gt;0),ISBLANK($F438),FALSE())</f>
        <v>#VALUE!</v>
      </c>
      <c r="P438" s="85" t="str">
        <f aca="false">IF(ISBLANK($C438),"",IF(G438=Constants!$B$9, TRUE(), IF(G438=Constants!$B$10, FALSE(), TRUE())))</f>
        <v/>
      </c>
      <c r="Q438" s="85" t="str">
        <f aca="false">IF(ISBLANK($C438),"",IF(H438=Constants!$B$9, TRUE(), IF(H438=Constants!$B$10, FALSE(), TRUE())))</f>
        <v/>
      </c>
      <c r="R438" s="85" t="str">
        <f aca="false">IF(ISBLANK($C438),"",IF(ISBLANK(I438),Constants!$B$3,I438))</f>
        <v/>
      </c>
      <c r="S438" s="85" t="str">
        <f aca="false">IF(ISBLANK($C438),"",IF(ISBLANK(J438),0,MIN(J438,Constants!$B$6)))</f>
        <v/>
      </c>
      <c r="T438" s="85" t="str">
        <f aca="false">IF(ISBLANK($C438),"",IF(K438=Constants!$B$9, TRUE(), IF(K438=Constants!$B$10, FALSE(),  FALSE())))</f>
        <v/>
      </c>
      <c r="U438" s="85" t="str">
        <f aca="false">IF(ISBLANK($C438),"",AND(R438=Constants!$B$4, S438&lt;Constants!$B$6))</f>
        <v/>
      </c>
      <c r="V438" s="85" t="str">
        <f aca="false">IF(ISBLANK(C438), "", IF(T438, Constants!$B$11, IF(COUNTA(E438:K438)=0, Constants!$B$12, IF(NOT(AND(P438,S438&lt;&gt;0)), Constants!$B$13, IF(O438, Constants!$B$15, Constants!$B$14)))))</f>
        <v/>
      </c>
      <c r="W438" s="85" t="str">
        <f aca="false">IF(OR(ISBLANK($C438), SUMPRODUCT(--(P438:T438&lt;&gt;""))=0), "", IF(V438&lt;&gt;Constants!$B$14, V438, IF(AND(NOT(ISBLANK(J438)),P438,Q438,R438&lt;&gt;Constants!$B$2), Constants!$B$7, IF(AND(P438,OR(NOT(Q438),R438=Constants!$B$2)), Constants!$B$8, "Error"))))</f>
        <v/>
      </c>
      <c r="X438" s="87" t="str">
        <f aca="false">IF(OR(W438=Constants!$B$7,W438=Constants!$B$8), MAX(0, MIN(Constants!$B$6, S438))+IF(AND(R438=Constants!$B$4, NOT(U438)), Constants!$B$5, 0), "")</f>
        <v/>
      </c>
      <c r="Y438" s="85" t="str">
        <f aca="false">IF(ISBLANK($C438),"",IF(AND(ISNUMBER(X438),N438&gt;0),X438/N438, "") )</f>
        <v/>
      </c>
      <c r="Z438" s="85" t="str">
        <f aca="false">IF(AND(NOT(ISBLANK($C438)), W438=Constants!$B$7), Y438, "")</f>
        <v/>
      </c>
      <c r="AA438" s="85" t="str">
        <f aca="false">IF(ISNUMBER(Z438), RANK(Z438,Z$8:Z$507), "")</f>
        <v/>
      </c>
      <c r="AB438" s="85" t="str">
        <f aca="false">IF(AND(NOT(ISBLANK($C438)), W438=Constants!$B$8), Y438, "")</f>
        <v/>
      </c>
      <c r="AC438" s="85" t="str">
        <f aca="false">IF(ISNUMBER(AB438), RANK(AB438,AB$8:AB$507), "")</f>
        <v/>
      </c>
      <c r="AD438" s="85" t="str">
        <f aca="false">IF(ISBLANK($C438),"",IF(V438&lt;&gt;Constants!$B$14, V438, IF(W438=Constants!$B$7, AA438, IF(W438=Constants!$B$8, COUNT($AA$8:$AA$507) + AC438, ""))))</f>
        <v/>
      </c>
      <c r="AE438" s="85" t="str">
        <f aca="false">N438</f>
        <v/>
      </c>
      <c r="AF438" s="85" t="str">
        <f aca="false">IF(ISNUMBER(AE438), RANK(AE438,AE$8:AE$507,1), "")</f>
        <v/>
      </c>
      <c r="AG438" s="88" t="str">
        <f aca="false">IF(ISBLANK(C438), "", ABS(M438-S438))</f>
        <v/>
      </c>
      <c r="AH438" s="85" t="str">
        <f aca="false">IF(ISNUMBER(AG438), RANK(AG438,AG$8:AG$507,1), "")</f>
        <v/>
      </c>
      <c r="AI438" s="85" t="str">
        <f aca="false">IF(ISBLANK(C438),"",IF(V438&lt;&gt;Constants!$B$14, V438, RANK(AD438, AD$8:AD$507, 1)+ SUMPRODUCT(--(AD$8:AD$507=AD438),--(AF438&gt;AF$8:AF$507)) + SUMPRODUCT(--(AD$8:AD$507=AD438),--(AF438=AF$8:AF$507),--(AH438&gt;AH$8:AH$507))))</f>
        <v/>
      </c>
      <c r="AJ438" s="85" t="str">
        <f aca="false">IF(ISBLANK(C438),"",IF(V438&lt;&gt;Constants!$B$14, V438, AD438-AI438))</f>
        <v/>
      </c>
      <c r="AK438" s="89"/>
      <c r="AL438" s="90" t="str">
        <f aca="false">IF(ISBLANK($C438),"",IF($V438&lt;&gt;Constants!$B$14,$V438,X438))</f>
        <v/>
      </c>
      <c r="AM438" s="90" t="str">
        <f aca="false">IF(ISBLANK($C438),"",IF($V438&lt;&gt;Constants!$B$14,$V438,N438))</f>
        <v/>
      </c>
      <c r="AN438" s="91" t="str">
        <f aca="false">IF(ISBLANK(C438),"",IF(V438&lt;&gt;Constants!$B$14, V438, IF(W438=Constants!$B$7,Z438,IF(W438=Constants!$B$8,AB438,""))))</f>
        <v/>
      </c>
      <c r="AO438" s="92" t="str">
        <f aca="false">IF(ISBLANK(C438),"",W438)</f>
        <v/>
      </c>
      <c r="AP438" s="92" t="str">
        <f aca="false">IF(ISBLANK(C438),"",AJ438)</f>
        <v/>
      </c>
      <c r="AQ438" s="92" t="str">
        <f aca="false">IF(ISBLANK(C438),"",AI438)</f>
        <v/>
      </c>
      <c r="AR438" s="93" t="str">
        <f aca="false">IF(ISBLANK(C438),
  "",
IF(AQ438=Constants!$B$11,COUNTA($C$8:$C$507)+2,IF(AQ438=Constants!$B$12,COUNTA($C$8:$C$507)+1,IF(AQ438=Constants!$B$13,COUNTA($C$8:$C$507),AQ438))))</f>
        <v/>
      </c>
      <c r="AS438" s="3"/>
      <c r="AT438" s="94" t="n">
        <f aca="false">IF(OR(ISNUMBER(AQ438),AQ438="DQ",AQ438="P",AQ438="NS"),
    1,
    0
)</f>
        <v>0</v>
      </c>
      <c r="AU438" s="94" t="n">
        <v>431</v>
      </c>
      <c r="AV438" s="94" t="str">
        <f aca="false">IF(ISBLANK($C438),
    "",
   IF(ISNUMBER(AR438),AR438+ROW($B438)/1000,"")
)</f>
        <v/>
      </c>
      <c r="AW438" s="94" t="str">
        <f aca="false">IF(ISNUMBER(AV438), RANK(AV438,AV$8:AV$507,1), "")</f>
        <v/>
      </c>
      <c r="AX438" s="94" t="str">
        <f aca="false">IF(ISBLANK($C438),
    "",
    $B438
)</f>
        <v/>
      </c>
      <c r="AY438" s="94" t="str">
        <f aca="false">IF(ISBLANK($C438),
    "",
    $C438
)</f>
        <v/>
      </c>
      <c r="AZ438" s="94" t="str">
        <f aca="false">IF(ISBLANK($C438),
    "",
    $D438
)</f>
        <v/>
      </c>
      <c r="BA438" s="94" t="str">
        <f aca="false">AO438</f>
        <v/>
      </c>
      <c r="BB438" s="95" t="str">
        <f aca="false">AN438</f>
        <v/>
      </c>
      <c r="BC438" s="94" t="str">
        <f aca="false">IF(ISBLANK($C438),
    "",
    AQ438
)</f>
        <v/>
      </c>
      <c r="BD438" s="96" t="str">
        <f aca="false">IF(AU438&gt;AT$7,
    "",
    VLOOKUP(AU438,AW$8:BC$507,7,FALSE())
)</f>
        <v/>
      </c>
      <c r="BE438" s="97" t="str">
        <f aca="false">IF(AU438&gt;AT$7,
    "",
    VLOOKUP(AU438,AW$8:BC$507,2,FALSE())
)</f>
        <v/>
      </c>
      <c r="BF438" s="97" t="str">
        <f aca="false">IF(AU438&gt;AT$7,
    "",
    VLOOKUP(AU438,AW$8:BC$507,3,FALSE())
)</f>
        <v/>
      </c>
      <c r="BG438" s="97" t="str">
        <f aca="false">IF(AU438&gt;AT$7,
    "",
    VLOOKUP(AU438,AW$8:BC$507,4,FALSE())
)</f>
        <v/>
      </c>
      <c r="BH438" s="97" t="str">
        <f aca="false">IF(AU438&gt;AT$7,
    "",
    VLOOKUP(AU438,AW$8:BC$507,5,FALSE())
)</f>
        <v/>
      </c>
      <c r="BI438" s="98" t="str">
        <f aca="false">IF(AU438&gt;AT$7,
    "",
    VLOOKUP(AU438,AW$8:BC$507,6,FALSE())
)</f>
        <v/>
      </c>
      <c r="BJ438" s="46"/>
    </row>
    <row r="439" customFormat="false" ht="15.75" hidden="false" customHeight="false" outlineLevel="0" collapsed="false">
      <c r="A439" s="3"/>
      <c r="B439" s="105"/>
      <c r="C439" s="106"/>
      <c r="D439" s="99"/>
      <c r="E439" s="110"/>
      <c r="F439" s="107"/>
      <c r="G439" s="110"/>
      <c r="H439" s="103"/>
      <c r="I439" s="102"/>
      <c r="J439" s="103"/>
      <c r="K439" s="103"/>
      <c r="L439" s="85"/>
      <c r="M439" s="85" t="str">
        <f aca="false">IF(ISBLANK($C439),"",IF(ISBLANK(E439),0,E439))</f>
        <v/>
      </c>
      <c r="N439" s="85" t="str">
        <f aca="false">IF(ISBLANK($C439),"",IF(ISBLANK(F439),0,F439))</f>
        <v/>
      </c>
      <c r="O439" s="86" t="e">
        <f aca="false">IF(AND(NOT(ISBLANK($C439)),NOT($T439),COUNTA($E439:$K439)&gt;0),ISBLANK($F439),FALSE())</f>
        <v>#VALUE!</v>
      </c>
      <c r="P439" s="85" t="str">
        <f aca="false">IF(ISBLANK($C439),"",IF(G439=Constants!$B$9, TRUE(), IF(G439=Constants!$B$10, FALSE(), TRUE())))</f>
        <v/>
      </c>
      <c r="Q439" s="85" t="str">
        <f aca="false">IF(ISBLANK($C439),"",IF(H439=Constants!$B$9, TRUE(), IF(H439=Constants!$B$10, FALSE(), TRUE())))</f>
        <v/>
      </c>
      <c r="R439" s="85" t="str">
        <f aca="false">IF(ISBLANK($C439),"",IF(ISBLANK(I439),Constants!$B$3,I439))</f>
        <v/>
      </c>
      <c r="S439" s="85" t="str">
        <f aca="false">IF(ISBLANK($C439),"",IF(ISBLANK(J439),0,MIN(J439,Constants!$B$6)))</f>
        <v/>
      </c>
      <c r="T439" s="85" t="str">
        <f aca="false">IF(ISBLANK($C439),"",IF(K439=Constants!$B$9, TRUE(), IF(K439=Constants!$B$10, FALSE(),  FALSE())))</f>
        <v/>
      </c>
      <c r="U439" s="85" t="str">
        <f aca="false">IF(ISBLANK($C439),"",AND(R439=Constants!$B$4, S439&lt;Constants!$B$6))</f>
        <v/>
      </c>
      <c r="V439" s="85" t="str">
        <f aca="false">IF(ISBLANK(C439), "", IF(T439, Constants!$B$11, IF(COUNTA(E439:K439)=0, Constants!$B$12, IF(NOT(AND(P439,S439&lt;&gt;0)), Constants!$B$13, IF(O439, Constants!$B$15, Constants!$B$14)))))</f>
        <v/>
      </c>
      <c r="W439" s="85" t="str">
        <f aca="false">IF(OR(ISBLANK($C439), SUMPRODUCT(--(P439:T439&lt;&gt;""))=0), "", IF(V439&lt;&gt;Constants!$B$14, V439, IF(AND(NOT(ISBLANK(J439)),P439,Q439,R439&lt;&gt;Constants!$B$2), Constants!$B$7, IF(AND(P439,OR(NOT(Q439),R439=Constants!$B$2)), Constants!$B$8, "Error"))))</f>
        <v/>
      </c>
      <c r="X439" s="87" t="str">
        <f aca="false">IF(OR(W439=Constants!$B$7,W439=Constants!$B$8), MAX(0, MIN(Constants!$B$6, S439))+IF(AND(R439=Constants!$B$4, NOT(U439)), Constants!$B$5, 0), "")</f>
        <v/>
      </c>
      <c r="Y439" s="85" t="str">
        <f aca="false">IF(ISBLANK($C439),"",IF(AND(ISNUMBER(X439),N439&gt;0),X439/N439, "") )</f>
        <v/>
      </c>
      <c r="Z439" s="85" t="str">
        <f aca="false">IF(AND(NOT(ISBLANK($C439)), W439=Constants!$B$7), Y439, "")</f>
        <v/>
      </c>
      <c r="AA439" s="85" t="str">
        <f aca="false">IF(ISNUMBER(Z439), RANK(Z439,Z$8:Z$507), "")</f>
        <v/>
      </c>
      <c r="AB439" s="85" t="str">
        <f aca="false">IF(AND(NOT(ISBLANK($C439)), W439=Constants!$B$8), Y439, "")</f>
        <v/>
      </c>
      <c r="AC439" s="85" t="str">
        <f aca="false">IF(ISNUMBER(AB439), RANK(AB439,AB$8:AB$507), "")</f>
        <v/>
      </c>
      <c r="AD439" s="85" t="str">
        <f aca="false">IF(ISBLANK($C439),"",IF(V439&lt;&gt;Constants!$B$14, V439, IF(W439=Constants!$B$7, AA439, IF(W439=Constants!$B$8, COUNT($AA$8:$AA$507) + AC439, ""))))</f>
        <v/>
      </c>
      <c r="AE439" s="85" t="str">
        <f aca="false">N439</f>
        <v/>
      </c>
      <c r="AF439" s="85" t="str">
        <f aca="false">IF(ISNUMBER(AE439), RANK(AE439,AE$8:AE$507,1), "")</f>
        <v/>
      </c>
      <c r="AG439" s="88" t="str">
        <f aca="false">IF(ISBLANK(C439), "", ABS(M439-S439))</f>
        <v/>
      </c>
      <c r="AH439" s="85" t="str">
        <f aca="false">IF(ISNUMBER(AG439), RANK(AG439,AG$8:AG$507,1), "")</f>
        <v/>
      </c>
      <c r="AI439" s="85" t="str">
        <f aca="false">IF(ISBLANK(C439),"",IF(V439&lt;&gt;Constants!$B$14, V439, RANK(AD439, AD$8:AD$507, 1)+ SUMPRODUCT(--(AD$8:AD$507=AD439),--(AF439&gt;AF$8:AF$507)) + SUMPRODUCT(--(AD$8:AD$507=AD439),--(AF439=AF$8:AF$507),--(AH439&gt;AH$8:AH$507))))</f>
        <v/>
      </c>
      <c r="AJ439" s="85" t="str">
        <f aca="false">IF(ISBLANK(C439),"",IF(V439&lt;&gt;Constants!$B$14, V439, AD439-AI439))</f>
        <v/>
      </c>
      <c r="AK439" s="89"/>
      <c r="AL439" s="90" t="str">
        <f aca="false">IF(ISBLANK($C439),"",IF($V439&lt;&gt;Constants!$B$14,$V439,X439))</f>
        <v/>
      </c>
      <c r="AM439" s="90" t="str">
        <f aca="false">IF(ISBLANK($C439),"",IF($V439&lt;&gt;Constants!$B$14,$V439,N439))</f>
        <v/>
      </c>
      <c r="AN439" s="91" t="str">
        <f aca="false">IF(ISBLANK(C439),"",IF(V439&lt;&gt;Constants!$B$14, V439, IF(W439=Constants!$B$7,Z439,IF(W439=Constants!$B$8,AB439,""))))</f>
        <v/>
      </c>
      <c r="AO439" s="92" t="str">
        <f aca="false">IF(ISBLANK(C439),"",W439)</f>
        <v/>
      </c>
      <c r="AP439" s="92" t="str">
        <f aca="false">IF(ISBLANK(C439),"",AJ439)</f>
        <v/>
      </c>
      <c r="AQ439" s="92" t="str">
        <f aca="false">IF(ISBLANK(C439),"",AI439)</f>
        <v/>
      </c>
      <c r="AR439" s="93" t="str">
        <f aca="false">IF(ISBLANK(C439),
  "",
IF(AQ439=Constants!$B$11,COUNTA($C$8:$C$507)+2,IF(AQ439=Constants!$B$12,COUNTA($C$8:$C$507)+1,IF(AQ439=Constants!$B$13,COUNTA($C$8:$C$507),AQ439))))</f>
        <v/>
      </c>
      <c r="AS439" s="3"/>
      <c r="AT439" s="94" t="n">
        <f aca="false">IF(OR(ISNUMBER(AQ439),AQ439="DQ",AQ439="P",AQ439="NS"),
    1,
    0
)</f>
        <v>0</v>
      </c>
      <c r="AU439" s="94" t="n">
        <v>432</v>
      </c>
      <c r="AV439" s="94" t="str">
        <f aca="false">IF(ISBLANK($C439),
    "",
   IF(ISNUMBER(AR439),AR439+ROW($B439)/1000,"")
)</f>
        <v/>
      </c>
      <c r="AW439" s="94" t="str">
        <f aca="false">IF(ISNUMBER(AV439), RANK(AV439,AV$8:AV$507,1), "")</f>
        <v/>
      </c>
      <c r="AX439" s="94" t="str">
        <f aca="false">IF(ISBLANK($C439),
    "",
    $B439
)</f>
        <v/>
      </c>
      <c r="AY439" s="94" t="str">
        <f aca="false">IF(ISBLANK($C439),
    "",
    $C439
)</f>
        <v/>
      </c>
      <c r="AZ439" s="94" t="str">
        <f aca="false">IF(ISBLANK($C439),
    "",
    $D439
)</f>
        <v/>
      </c>
      <c r="BA439" s="94" t="str">
        <f aca="false">AO439</f>
        <v/>
      </c>
      <c r="BB439" s="95" t="str">
        <f aca="false">AN439</f>
        <v/>
      </c>
      <c r="BC439" s="94" t="str">
        <f aca="false">IF(ISBLANK($C439),
    "",
    AQ439
)</f>
        <v/>
      </c>
      <c r="BD439" s="96" t="str">
        <f aca="false">IF(AU439&gt;AT$7,
    "",
    VLOOKUP(AU439,AW$8:BC$507,7,FALSE())
)</f>
        <v/>
      </c>
      <c r="BE439" s="97" t="str">
        <f aca="false">IF(AU439&gt;AT$7,
    "",
    VLOOKUP(AU439,AW$8:BC$507,2,FALSE())
)</f>
        <v/>
      </c>
      <c r="BF439" s="97" t="str">
        <f aca="false">IF(AU439&gt;AT$7,
    "",
    VLOOKUP(AU439,AW$8:BC$507,3,FALSE())
)</f>
        <v/>
      </c>
      <c r="BG439" s="97" t="str">
        <f aca="false">IF(AU439&gt;AT$7,
    "",
    VLOOKUP(AU439,AW$8:BC$507,4,FALSE())
)</f>
        <v/>
      </c>
      <c r="BH439" s="97" t="str">
        <f aca="false">IF(AU439&gt;AT$7,
    "",
    VLOOKUP(AU439,AW$8:BC$507,5,FALSE())
)</f>
        <v/>
      </c>
      <c r="BI439" s="98" t="str">
        <f aca="false">IF(AU439&gt;AT$7,
    "",
    VLOOKUP(AU439,AW$8:BC$507,6,FALSE())
)</f>
        <v/>
      </c>
      <c r="BJ439" s="46"/>
    </row>
    <row r="440" customFormat="false" ht="15.75" hidden="false" customHeight="false" outlineLevel="0" collapsed="false">
      <c r="A440" s="3"/>
      <c r="B440" s="108"/>
      <c r="C440" s="70"/>
      <c r="D440" s="49"/>
      <c r="E440" s="109"/>
      <c r="F440" s="72"/>
      <c r="G440" s="109"/>
      <c r="H440" s="74"/>
      <c r="I440" s="104"/>
      <c r="J440" s="74"/>
      <c r="K440" s="74"/>
      <c r="L440" s="55"/>
      <c r="M440" s="55" t="str">
        <f aca="false">IF(ISBLANK($C440),"",IF(ISBLANK(E440),0,E440))</f>
        <v/>
      </c>
      <c r="N440" s="55" t="str">
        <f aca="false">IF(ISBLANK($C440),"",IF(ISBLANK(F440),0,F440))</f>
        <v/>
      </c>
      <c r="O440" s="55" t="e">
        <f aca="false">IF(AND(NOT(ISBLANK($C440)),NOT($T440),COUNTA($E440:$K440)&gt;0),ISBLANK($F440),FALSE())</f>
        <v>#VALUE!</v>
      </c>
      <c r="P440" s="55" t="str">
        <f aca="false">IF(ISBLANK($C440),"",IF(G440=Constants!$B$9, TRUE(), IF(G440=Constants!$B$10, FALSE(), TRUE())))</f>
        <v/>
      </c>
      <c r="Q440" s="55" t="str">
        <f aca="false">IF(ISBLANK($C440),"",IF(H440=Constants!$B$9, TRUE(), IF(H440=Constants!$B$10, FALSE(), TRUE())))</f>
        <v/>
      </c>
      <c r="R440" s="55" t="str">
        <f aca="false">IF(ISBLANK($C440),"",IF(ISBLANK(I440),Constants!$B$3,I440))</f>
        <v/>
      </c>
      <c r="S440" s="55" t="str">
        <f aca="false">IF(ISBLANK($C440),"",IF(ISBLANK(J440),0,MIN(J440,Constants!$B$6)))</f>
        <v/>
      </c>
      <c r="T440" s="55" t="str">
        <f aca="false">IF(ISBLANK($C440),"",IF(K440=Constants!$B$9, TRUE(), IF(K440=Constants!$B$10, FALSE(),  FALSE())))</f>
        <v/>
      </c>
      <c r="U440" s="55" t="str">
        <f aca="false">IF(ISBLANK($C440),"",AND(R440=Constants!$B$4, S440&lt;Constants!$B$6))</f>
        <v/>
      </c>
      <c r="V440" s="55" t="str">
        <f aca="false">IF(ISBLANK(C440), "", IF(T440, Constants!$B$11, IF(COUNTA(E440:K440)=0, Constants!$B$12, IF(NOT(AND(P440,S440&lt;&gt;0)), Constants!$B$13, IF(O440, Constants!$B$15, Constants!$B$14)))))</f>
        <v/>
      </c>
      <c r="W440" s="55" t="str">
        <f aca="false">IF(OR(ISBLANK($C440), SUMPRODUCT(--(P440:T440&lt;&gt;""))=0), "", IF(V440&lt;&gt;Constants!$B$14, V440, IF(AND(NOT(ISBLANK(J440)),P440,Q440,R440&lt;&gt;Constants!$B$2), Constants!$B$7, IF(AND(P440,OR(NOT(Q440),R440=Constants!$B$2)), Constants!$B$8, "Error"))))</f>
        <v/>
      </c>
      <c r="X440" s="56" t="str">
        <f aca="false">IF(OR(W440=Constants!$B$7,W440=Constants!$B$8), MAX(0, MIN(Constants!$B$6, S440))+IF(AND(R440=Constants!$B$4, NOT(U440)), Constants!$B$5, 0), "")</f>
        <v/>
      </c>
      <c r="Y440" s="55" t="str">
        <f aca="false">IF(ISBLANK($C440),"",IF(AND(ISNUMBER(X440),N440&gt;0),X440/N440, "") )</f>
        <v/>
      </c>
      <c r="Z440" s="55" t="str">
        <f aca="false">IF(AND(NOT(ISBLANK($C440)), W440=Constants!$B$7), Y440, "")</f>
        <v/>
      </c>
      <c r="AA440" s="55" t="str">
        <f aca="false">IF(ISNUMBER(Z440), RANK(Z440,Z$8:Z$507), "")</f>
        <v/>
      </c>
      <c r="AB440" s="55" t="str">
        <f aca="false">IF(AND(NOT(ISBLANK($C440)), W440=Constants!$B$8), Y440, "")</f>
        <v/>
      </c>
      <c r="AC440" s="55" t="str">
        <f aca="false">IF(ISNUMBER(AB440), RANK(AB440,AB$8:AB$507), "")</f>
        <v/>
      </c>
      <c r="AD440" s="55" t="str">
        <f aca="false">IF(ISBLANK($C440),"",IF(V440&lt;&gt;Constants!$B$14, V440, IF(W440=Constants!$B$7, AA440, IF(W440=Constants!$B$8, COUNT($AA$8:$AA$507) + AC440, ""))))</f>
        <v/>
      </c>
      <c r="AE440" s="55" t="str">
        <f aca="false">N440</f>
        <v/>
      </c>
      <c r="AF440" s="55" t="str">
        <f aca="false">IF(ISNUMBER(AE440), RANK(AE440,AE$8:AE$507,1), "")</f>
        <v/>
      </c>
      <c r="AG440" s="57" t="str">
        <f aca="false">IF(ISBLANK(C440), "", ABS(M440-S440))</f>
        <v/>
      </c>
      <c r="AH440" s="55" t="str">
        <f aca="false">IF(ISNUMBER(AG440), RANK(AG440,AG$8:AG$507,1), "")</f>
        <v/>
      </c>
      <c r="AI440" s="55" t="str">
        <f aca="false">IF(ISBLANK(C440),"",IF(V440&lt;&gt;Constants!$B$14, V440, RANK(AD440, AD$8:AD$507, 1)+ SUMPRODUCT(--(AD$8:AD$507=AD440),--(AF440&gt;AF$8:AF$507)) + SUMPRODUCT(--(AD$8:AD$507=AD440),--(AF440=AF$8:AF$507),--(AH440&gt;AH$8:AH$507))))</f>
        <v/>
      </c>
      <c r="AJ440" s="55" t="str">
        <f aca="false">IF(ISBLANK(C440),"",IF(V440&lt;&gt;Constants!$B$14, V440, AD440-AI440))</f>
        <v/>
      </c>
      <c r="AK440" s="59"/>
      <c r="AL440" s="60" t="str">
        <f aca="false">IF(ISBLANK($C440),"",IF($V440&lt;&gt;Constants!$B$14,$V440,X440))</f>
        <v/>
      </c>
      <c r="AM440" s="60" t="str">
        <f aca="false">IF(ISBLANK($C440),"",IF($V440&lt;&gt;Constants!$B$14,$V440,N440))</f>
        <v/>
      </c>
      <c r="AN440" s="62" t="str">
        <f aca="false">IF(ISBLANK(C440),"",IF(V440&lt;&gt;Constants!$B$14, V440, IF(W440=Constants!$B$7,Z440,IF(W440=Constants!$B$8,AB440,""))))</f>
        <v/>
      </c>
      <c r="AO440" s="63" t="str">
        <f aca="false">IF(ISBLANK(C440),"",W440)</f>
        <v/>
      </c>
      <c r="AP440" s="63" t="str">
        <f aca="false">IF(ISBLANK(C440),"",AJ440)</f>
        <v/>
      </c>
      <c r="AQ440" s="63" t="str">
        <f aca="false">IF(ISBLANK(C440),"",AI440)</f>
        <v/>
      </c>
      <c r="AR440" s="64" t="str">
        <f aca="false">IF(ISBLANK(C440),
  "",
IF(AQ440=Constants!$B$11,COUNTA($C$8:$C$507)+2,IF(AQ440=Constants!$B$12,COUNTA($C$8:$C$507)+1,IF(AQ440=Constants!$B$13,COUNTA($C$8:$C$507),AQ440))))</f>
        <v/>
      </c>
      <c r="AS440" s="3"/>
      <c r="AT440" s="65" t="n">
        <f aca="false">IF(OR(ISNUMBER(AQ440),AQ440="DQ",AQ440="P",AQ440="NS"),
    1,
    0
)</f>
        <v>0</v>
      </c>
      <c r="AU440" s="65" t="n">
        <v>433</v>
      </c>
      <c r="AV440" s="65" t="str">
        <f aca="false">IF(ISBLANK($C440),
    "",
   IF(ISNUMBER(AR440),AR440+ROW($B440)/1000,"")
)</f>
        <v/>
      </c>
      <c r="AW440" s="65" t="str">
        <f aca="false">IF(ISNUMBER(AV440), RANK(AV440,AV$8:AV$507,1), "")</f>
        <v/>
      </c>
      <c r="AX440" s="65" t="str">
        <f aca="false">IF(ISBLANK($C440),
    "",
    $B440
)</f>
        <v/>
      </c>
      <c r="AY440" s="65" t="str">
        <f aca="false">IF(ISBLANK($C440),
    "",
    $C440
)</f>
        <v/>
      </c>
      <c r="AZ440" s="65" t="str">
        <f aca="false">IF(ISBLANK($C440),
    "",
    $D440
)</f>
        <v/>
      </c>
      <c r="BA440" s="65" t="str">
        <f aca="false">AO440</f>
        <v/>
      </c>
      <c r="BB440" s="66" t="str">
        <f aca="false">AN440</f>
        <v/>
      </c>
      <c r="BC440" s="65" t="str">
        <f aca="false">IF(ISBLANK($C440),
    "",
    AQ440
)</f>
        <v/>
      </c>
      <c r="BD440" s="67" t="str">
        <f aca="false">IF(AU440&gt;AT$7,
    "",
    VLOOKUP(AU440,AW$8:BC$507,7,FALSE())
)</f>
        <v/>
      </c>
      <c r="BE440" s="68" t="str">
        <f aca="false">IF(AU440&gt;AT$7,
    "",
    VLOOKUP(AU440,AW$8:BC$507,2,FALSE())
)</f>
        <v/>
      </c>
      <c r="BF440" s="68" t="str">
        <f aca="false">IF(AU440&gt;AT$7,
    "",
    VLOOKUP(AU440,AW$8:BC$507,3,FALSE())
)</f>
        <v/>
      </c>
      <c r="BG440" s="68" t="str">
        <f aca="false">IF(AU440&gt;AT$7,
    "",
    VLOOKUP(AU440,AW$8:BC$507,4,FALSE())
)</f>
        <v/>
      </c>
      <c r="BH440" s="68" t="str">
        <f aca="false">IF(AU440&gt;AT$7,
    "",
    VLOOKUP(AU440,AW$8:BC$507,5,FALSE())
)</f>
        <v/>
      </c>
      <c r="BI440" s="69" t="str">
        <f aca="false">IF(AU440&gt;AT$7,
    "",
    VLOOKUP(AU440,AW$8:BC$507,6,FALSE())
)</f>
        <v/>
      </c>
      <c r="BJ440" s="46"/>
    </row>
    <row r="441" customFormat="false" ht="15.75" hidden="false" customHeight="false" outlineLevel="0" collapsed="false">
      <c r="A441" s="3"/>
      <c r="B441" s="108"/>
      <c r="C441" s="70"/>
      <c r="D441" s="49"/>
      <c r="E441" s="109"/>
      <c r="F441" s="72"/>
      <c r="G441" s="109"/>
      <c r="H441" s="74"/>
      <c r="I441" s="104"/>
      <c r="J441" s="74"/>
      <c r="K441" s="74"/>
      <c r="L441" s="55"/>
      <c r="M441" s="55" t="str">
        <f aca="false">IF(ISBLANK($C441),"",IF(ISBLANK(E441),0,E441))</f>
        <v/>
      </c>
      <c r="N441" s="55" t="str">
        <f aca="false">IF(ISBLANK($C441),"",IF(ISBLANK(F441),0,F441))</f>
        <v/>
      </c>
      <c r="O441" s="55" t="e">
        <f aca="false">IF(AND(NOT(ISBLANK($C441)),NOT($T441),COUNTA($E441:$K441)&gt;0),ISBLANK($F441),FALSE())</f>
        <v>#VALUE!</v>
      </c>
      <c r="P441" s="55" t="str">
        <f aca="false">IF(ISBLANK($C441),"",IF(G441=Constants!$B$9, TRUE(), IF(G441=Constants!$B$10, FALSE(), TRUE())))</f>
        <v/>
      </c>
      <c r="Q441" s="55" t="str">
        <f aca="false">IF(ISBLANK($C441),"",IF(H441=Constants!$B$9, TRUE(), IF(H441=Constants!$B$10, FALSE(), TRUE())))</f>
        <v/>
      </c>
      <c r="R441" s="55" t="str">
        <f aca="false">IF(ISBLANK($C441),"",IF(ISBLANK(I441),Constants!$B$3,I441))</f>
        <v/>
      </c>
      <c r="S441" s="55" t="str">
        <f aca="false">IF(ISBLANK($C441),"",IF(ISBLANK(J441),0,MIN(J441,Constants!$B$6)))</f>
        <v/>
      </c>
      <c r="T441" s="55" t="str">
        <f aca="false">IF(ISBLANK($C441),"",IF(K441=Constants!$B$9, TRUE(), IF(K441=Constants!$B$10, FALSE(),  FALSE())))</f>
        <v/>
      </c>
      <c r="U441" s="55" t="str">
        <f aca="false">IF(ISBLANK($C441),"",AND(R441=Constants!$B$4, S441&lt;Constants!$B$6))</f>
        <v/>
      </c>
      <c r="V441" s="55" t="str">
        <f aca="false">IF(ISBLANK(C441), "", IF(T441, Constants!$B$11, IF(COUNTA(E441:K441)=0, Constants!$B$12, IF(NOT(AND(P441,S441&lt;&gt;0)), Constants!$B$13, IF(O441, Constants!$B$15, Constants!$B$14)))))</f>
        <v/>
      </c>
      <c r="W441" s="55" t="str">
        <f aca="false">IF(OR(ISBLANK($C441), SUMPRODUCT(--(P441:T441&lt;&gt;""))=0), "", IF(V441&lt;&gt;Constants!$B$14, V441, IF(AND(NOT(ISBLANK(J441)),P441,Q441,R441&lt;&gt;Constants!$B$2), Constants!$B$7, IF(AND(P441,OR(NOT(Q441),R441=Constants!$B$2)), Constants!$B$8, "Error"))))</f>
        <v/>
      </c>
      <c r="X441" s="56" t="str">
        <f aca="false">IF(OR(W441=Constants!$B$7,W441=Constants!$B$8), MAX(0, MIN(Constants!$B$6, S441))+IF(AND(R441=Constants!$B$4, NOT(U441)), Constants!$B$5, 0), "")</f>
        <v/>
      </c>
      <c r="Y441" s="55" t="str">
        <f aca="false">IF(ISBLANK($C441),"",IF(AND(ISNUMBER(X441),N441&gt;0),X441/N441, "") )</f>
        <v/>
      </c>
      <c r="Z441" s="55" t="str">
        <f aca="false">IF(AND(NOT(ISBLANK($C441)), W441=Constants!$B$7), Y441, "")</f>
        <v/>
      </c>
      <c r="AA441" s="55" t="str">
        <f aca="false">IF(ISNUMBER(Z441), RANK(Z441,Z$8:Z$507), "")</f>
        <v/>
      </c>
      <c r="AB441" s="55" t="str">
        <f aca="false">IF(AND(NOT(ISBLANK($C441)), W441=Constants!$B$8), Y441, "")</f>
        <v/>
      </c>
      <c r="AC441" s="55" t="str">
        <f aca="false">IF(ISNUMBER(AB441), RANK(AB441,AB$8:AB$507), "")</f>
        <v/>
      </c>
      <c r="AD441" s="55" t="str">
        <f aca="false">IF(ISBLANK($C441),"",IF(V441&lt;&gt;Constants!$B$14, V441, IF(W441=Constants!$B$7, AA441, IF(W441=Constants!$B$8, COUNT($AA$8:$AA$507) + AC441, ""))))</f>
        <v/>
      </c>
      <c r="AE441" s="55" t="str">
        <f aca="false">N441</f>
        <v/>
      </c>
      <c r="AF441" s="55" t="str">
        <f aca="false">IF(ISNUMBER(AE441), RANK(AE441,AE$8:AE$507,1), "")</f>
        <v/>
      </c>
      <c r="AG441" s="57" t="str">
        <f aca="false">IF(ISBLANK(C441), "", ABS(M441-S441))</f>
        <v/>
      </c>
      <c r="AH441" s="55" t="str">
        <f aca="false">IF(ISNUMBER(AG441), RANK(AG441,AG$8:AG$507,1), "")</f>
        <v/>
      </c>
      <c r="AI441" s="55" t="str">
        <f aca="false">IF(ISBLANK(C441),"",IF(V441&lt;&gt;Constants!$B$14, V441, RANK(AD441, AD$8:AD$507, 1)+ SUMPRODUCT(--(AD$8:AD$507=AD441),--(AF441&gt;AF$8:AF$507)) + SUMPRODUCT(--(AD$8:AD$507=AD441),--(AF441=AF$8:AF$507),--(AH441&gt;AH$8:AH$507))))</f>
        <v/>
      </c>
      <c r="AJ441" s="55" t="str">
        <f aca="false">IF(ISBLANK(C441),"",IF(V441&lt;&gt;Constants!$B$14, V441, AD441-AI441))</f>
        <v/>
      </c>
      <c r="AK441" s="59"/>
      <c r="AL441" s="60" t="str">
        <f aca="false">IF(ISBLANK($C441),"",IF($V441&lt;&gt;Constants!$B$14,$V441,X441))</f>
        <v/>
      </c>
      <c r="AM441" s="60" t="str">
        <f aca="false">IF(ISBLANK($C441),"",IF($V441&lt;&gt;Constants!$B$14,$V441,N441))</f>
        <v/>
      </c>
      <c r="AN441" s="62" t="str">
        <f aca="false">IF(ISBLANK(C441),"",IF(V441&lt;&gt;Constants!$B$14, V441, IF(W441=Constants!$B$7,Z441,IF(W441=Constants!$B$8,AB441,""))))</f>
        <v/>
      </c>
      <c r="AO441" s="63" t="str">
        <f aca="false">IF(ISBLANK(C441),"",W441)</f>
        <v/>
      </c>
      <c r="AP441" s="63" t="str">
        <f aca="false">IF(ISBLANK(C441),"",AJ441)</f>
        <v/>
      </c>
      <c r="AQ441" s="63" t="str">
        <f aca="false">IF(ISBLANK(C441),"",AI441)</f>
        <v/>
      </c>
      <c r="AR441" s="64" t="str">
        <f aca="false">IF(ISBLANK(C441),
  "",
IF(AQ441=Constants!$B$11,COUNTA($C$8:$C$507)+2,IF(AQ441=Constants!$B$12,COUNTA($C$8:$C$507)+1,IF(AQ441=Constants!$B$13,COUNTA($C$8:$C$507),AQ441))))</f>
        <v/>
      </c>
      <c r="AS441" s="3"/>
      <c r="AT441" s="65" t="n">
        <f aca="false">IF(OR(ISNUMBER(AQ441),AQ441="DQ",AQ441="P",AQ441="NS"),
    1,
    0
)</f>
        <v>0</v>
      </c>
      <c r="AU441" s="65" t="n">
        <v>434</v>
      </c>
      <c r="AV441" s="65" t="str">
        <f aca="false">IF(ISBLANK($C441),
    "",
   IF(ISNUMBER(AR441),AR441+ROW($B441)/1000,"")
)</f>
        <v/>
      </c>
      <c r="AW441" s="65" t="str">
        <f aca="false">IF(ISNUMBER(AV441), RANK(AV441,AV$8:AV$507,1), "")</f>
        <v/>
      </c>
      <c r="AX441" s="65" t="str">
        <f aca="false">IF(ISBLANK($C441),
    "",
    $B441
)</f>
        <v/>
      </c>
      <c r="AY441" s="65" t="str">
        <f aca="false">IF(ISBLANK($C441),
    "",
    $C441
)</f>
        <v/>
      </c>
      <c r="AZ441" s="65" t="str">
        <f aca="false">IF(ISBLANK($C441),
    "",
    $D441
)</f>
        <v/>
      </c>
      <c r="BA441" s="65" t="str">
        <f aca="false">AO441</f>
        <v/>
      </c>
      <c r="BB441" s="66" t="str">
        <f aca="false">AN441</f>
        <v/>
      </c>
      <c r="BC441" s="65" t="str">
        <f aca="false">IF(ISBLANK($C441),
    "",
    AQ441
)</f>
        <v/>
      </c>
      <c r="BD441" s="67" t="str">
        <f aca="false">IF(AU441&gt;AT$7,
    "",
    VLOOKUP(AU441,AW$8:BC$507,7,FALSE())
)</f>
        <v/>
      </c>
      <c r="BE441" s="68" t="str">
        <f aca="false">IF(AU441&gt;AT$7,
    "",
    VLOOKUP(AU441,AW$8:BC$507,2,FALSE())
)</f>
        <v/>
      </c>
      <c r="BF441" s="68" t="str">
        <f aca="false">IF(AU441&gt;AT$7,
    "",
    VLOOKUP(AU441,AW$8:BC$507,3,FALSE())
)</f>
        <v/>
      </c>
      <c r="BG441" s="68" t="str">
        <f aca="false">IF(AU441&gt;AT$7,
    "",
    VLOOKUP(AU441,AW$8:BC$507,4,FALSE())
)</f>
        <v/>
      </c>
      <c r="BH441" s="68" t="str">
        <f aca="false">IF(AU441&gt;AT$7,
    "",
    VLOOKUP(AU441,AW$8:BC$507,5,FALSE())
)</f>
        <v/>
      </c>
      <c r="BI441" s="69" t="str">
        <f aca="false">IF(AU441&gt;AT$7,
    "",
    VLOOKUP(AU441,AW$8:BC$507,6,FALSE())
)</f>
        <v/>
      </c>
      <c r="BJ441" s="46"/>
    </row>
    <row r="442" customFormat="false" ht="15.75" hidden="false" customHeight="false" outlineLevel="0" collapsed="false">
      <c r="A442" s="3"/>
      <c r="B442" s="108"/>
      <c r="C442" s="70"/>
      <c r="D442" s="49"/>
      <c r="E442" s="109"/>
      <c r="F442" s="72"/>
      <c r="G442" s="109"/>
      <c r="H442" s="74"/>
      <c r="I442" s="104"/>
      <c r="J442" s="74"/>
      <c r="K442" s="74"/>
      <c r="L442" s="55"/>
      <c r="M442" s="55" t="str">
        <f aca="false">IF(ISBLANK($C442),"",IF(ISBLANK(E442),0,E442))</f>
        <v/>
      </c>
      <c r="N442" s="55" t="str">
        <f aca="false">IF(ISBLANK($C442),"",IF(ISBLANK(F442),0,F442))</f>
        <v/>
      </c>
      <c r="O442" s="55" t="e">
        <f aca="false">IF(AND(NOT(ISBLANK($C442)),NOT($T442),COUNTA($E442:$K442)&gt;0),ISBLANK($F442),FALSE())</f>
        <v>#VALUE!</v>
      </c>
      <c r="P442" s="55" t="str">
        <f aca="false">IF(ISBLANK($C442),"",IF(G442=Constants!$B$9, TRUE(), IF(G442=Constants!$B$10, FALSE(), TRUE())))</f>
        <v/>
      </c>
      <c r="Q442" s="55" t="str">
        <f aca="false">IF(ISBLANK($C442),"",IF(H442=Constants!$B$9, TRUE(), IF(H442=Constants!$B$10, FALSE(), TRUE())))</f>
        <v/>
      </c>
      <c r="R442" s="55" t="str">
        <f aca="false">IF(ISBLANK($C442),"",IF(ISBLANK(I442),Constants!$B$3,I442))</f>
        <v/>
      </c>
      <c r="S442" s="55" t="str">
        <f aca="false">IF(ISBLANK($C442),"",IF(ISBLANK(J442),0,MIN(J442,Constants!$B$6)))</f>
        <v/>
      </c>
      <c r="T442" s="55" t="str">
        <f aca="false">IF(ISBLANK($C442),"",IF(K442=Constants!$B$9, TRUE(), IF(K442=Constants!$B$10, FALSE(),  FALSE())))</f>
        <v/>
      </c>
      <c r="U442" s="55" t="str">
        <f aca="false">IF(ISBLANK($C442),"",AND(R442=Constants!$B$4, S442&lt;Constants!$B$6))</f>
        <v/>
      </c>
      <c r="V442" s="55" t="str">
        <f aca="false">IF(ISBLANK(C442), "", IF(T442, Constants!$B$11, IF(COUNTA(E442:K442)=0, Constants!$B$12, IF(NOT(AND(P442,S442&lt;&gt;0)), Constants!$B$13, IF(O442, Constants!$B$15, Constants!$B$14)))))</f>
        <v/>
      </c>
      <c r="W442" s="55" t="str">
        <f aca="false">IF(OR(ISBLANK($C442), SUMPRODUCT(--(P442:T442&lt;&gt;""))=0), "", IF(V442&lt;&gt;Constants!$B$14, V442, IF(AND(NOT(ISBLANK(J442)),P442,Q442,R442&lt;&gt;Constants!$B$2), Constants!$B$7, IF(AND(P442,OR(NOT(Q442),R442=Constants!$B$2)), Constants!$B$8, "Error"))))</f>
        <v/>
      </c>
      <c r="X442" s="56" t="str">
        <f aca="false">IF(OR(W442=Constants!$B$7,W442=Constants!$B$8), MAX(0, MIN(Constants!$B$6, S442))+IF(AND(R442=Constants!$B$4, NOT(U442)), Constants!$B$5, 0), "")</f>
        <v/>
      </c>
      <c r="Y442" s="55" t="str">
        <f aca="false">IF(ISBLANK($C442),"",IF(AND(ISNUMBER(X442),N442&gt;0),X442/N442, "") )</f>
        <v/>
      </c>
      <c r="Z442" s="55" t="str">
        <f aca="false">IF(AND(NOT(ISBLANK($C442)), W442=Constants!$B$7), Y442, "")</f>
        <v/>
      </c>
      <c r="AA442" s="55" t="str">
        <f aca="false">IF(ISNUMBER(Z442), RANK(Z442,Z$8:Z$507), "")</f>
        <v/>
      </c>
      <c r="AB442" s="55" t="str">
        <f aca="false">IF(AND(NOT(ISBLANK($C442)), W442=Constants!$B$8), Y442, "")</f>
        <v/>
      </c>
      <c r="AC442" s="55" t="str">
        <f aca="false">IF(ISNUMBER(AB442), RANK(AB442,AB$8:AB$507), "")</f>
        <v/>
      </c>
      <c r="AD442" s="55" t="str">
        <f aca="false">IF(ISBLANK($C442),"",IF(V442&lt;&gt;Constants!$B$14, V442, IF(W442=Constants!$B$7, AA442, IF(W442=Constants!$B$8, COUNT($AA$8:$AA$507) + AC442, ""))))</f>
        <v/>
      </c>
      <c r="AE442" s="55" t="str">
        <f aca="false">N442</f>
        <v/>
      </c>
      <c r="AF442" s="55" t="str">
        <f aca="false">IF(ISNUMBER(AE442), RANK(AE442,AE$8:AE$507,1), "")</f>
        <v/>
      </c>
      <c r="AG442" s="57" t="str">
        <f aca="false">IF(ISBLANK(C442), "", ABS(M442-S442))</f>
        <v/>
      </c>
      <c r="AH442" s="55" t="str">
        <f aca="false">IF(ISNUMBER(AG442), RANK(AG442,AG$8:AG$507,1), "")</f>
        <v/>
      </c>
      <c r="AI442" s="55" t="str">
        <f aca="false">IF(ISBLANK(C442),"",IF(V442&lt;&gt;Constants!$B$14, V442, RANK(AD442, AD$8:AD$507, 1)+ SUMPRODUCT(--(AD$8:AD$507=AD442),--(AF442&gt;AF$8:AF$507)) + SUMPRODUCT(--(AD$8:AD$507=AD442),--(AF442=AF$8:AF$507),--(AH442&gt;AH$8:AH$507))))</f>
        <v/>
      </c>
      <c r="AJ442" s="55" t="str">
        <f aca="false">IF(ISBLANK(C442),"",IF(V442&lt;&gt;Constants!$B$14, V442, AD442-AI442))</f>
        <v/>
      </c>
      <c r="AK442" s="59"/>
      <c r="AL442" s="60" t="str">
        <f aca="false">IF(ISBLANK($C442),"",IF($V442&lt;&gt;Constants!$B$14,$V442,X442))</f>
        <v/>
      </c>
      <c r="AM442" s="60" t="str">
        <f aca="false">IF(ISBLANK($C442),"",IF($V442&lt;&gt;Constants!$B$14,$V442,N442))</f>
        <v/>
      </c>
      <c r="AN442" s="62" t="str">
        <f aca="false">IF(ISBLANK(C442),"",IF(V442&lt;&gt;Constants!$B$14, V442, IF(W442=Constants!$B$7,Z442,IF(W442=Constants!$B$8,AB442,""))))</f>
        <v/>
      </c>
      <c r="AO442" s="63" t="str">
        <f aca="false">IF(ISBLANK(C442),"",W442)</f>
        <v/>
      </c>
      <c r="AP442" s="63" t="str">
        <f aca="false">IF(ISBLANK(C442),"",AJ442)</f>
        <v/>
      </c>
      <c r="AQ442" s="63" t="str">
        <f aca="false">IF(ISBLANK(C442),"",AI442)</f>
        <v/>
      </c>
      <c r="AR442" s="64" t="str">
        <f aca="false">IF(ISBLANK(C442),
  "",
IF(AQ442=Constants!$B$11,COUNTA($C$8:$C$507)+2,IF(AQ442=Constants!$B$12,COUNTA($C$8:$C$507)+1,IF(AQ442=Constants!$B$13,COUNTA($C$8:$C$507),AQ442))))</f>
        <v/>
      </c>
      <c r="AS442" s="3"/>
      <c r="AT442" s="65" t="n">
        <f aca="false">IF(OR(ISNUMBER(AQ442),AQ442="DQ",AQ442="P",AQ442="NS"),
    1,
    0
)</f>
        <v>0</v>
      </c>
      <c r="AU442" s="65" t="n">
        <v>435</v>
      </c>
      <c r="AV442" s="65" t="str">
        <f aca="false">IF(ISBLANK($C442),
    "",
   IF(ISNUMBER(AR442),AR442+ROW($B442)/1000,"")
)</f>
        <v/>
      </c>
      <c r="AW442" s="65" t="str">
        <f aca="false">IF(ISNUMBER(AV442), RANK(AV442,AV$8:AV$507,1), "")</f>
        <v/>
      </c>
      <c r="AX442" s="65" t="str">
        <f aca="false">IF(ISBLANK($C442),
    "",
    $B442
)</f>
        <v/>
      </c>
      <c r="AY442" s="65" t="str">
        <f aca="false">IF(ISBLANK($C442),
    "",
    $C442
)</f>
        <v/>
      </c>
      <c r="AZ442" s="65" t="str">
        <f aca="false">IF(ISBLANK($C442),
    "",
    $D442
)</f>
        <v/>
      </c>
      <c r="BA442" s="65" t="str">
        <f aca="false">AO442</f>
        <v/>
      </c>
      <c r="BB442" s="66" t="str">
        <f aca="false">AN442</f>
        <v/>
      </c>
      <c r="BC442" s="65" t="str">
        <f aca="false">IF(ISBLANK($C442),
    "",
    AQ442
)</f>
        <v/>
      </c>
      <c r="BD442" s="67" t="str">
        <f aca="false">IF(AU442&gt;AT$7,
    "",
    VLOOKUP(AU442,AW$8:BC$507,7,FALSE())
)</f>
        <v/>
      </c>
      <c r="BE442" s="68" t="str">
        <f aca="false">IF(AU442&gt;AT$7,
    "",
    VLOOKUP(AU442,AW$8:BC$507,2,FALSE())
)</f>
        <v/>
      </c>
      <c r="BF442" s="68" t="str">
        <f aca="false">IF(AU442&gt;AT$7,
    "",
    VLOOKUP(AU442,AW$8:BC$507,3,FALSE())
)</f>
        <v/>
      </c>
      <c r="BG442" s="68" t="str">
        <f aca="false">IF(AU442&gt;AT$7,
    "",
    VLOOKUP(AU442,AW$8:BC$507,4,FALSE())
)</f>
        <v/>
      </c>
      <c r="BH442" s="68" t="str">
        <f aca="false">IF(AU442&gt;AT$7,
    "",
    VLOOKUP(AU442,AW$8:BC$507,5,FALSE())
)</f>
        <v/>
      </c>
      <c r="BI442" s="69" t="str">
        <f aca="false">IF(AU442&gt;AT$7,
    "",
    VLOOKUP(AU442,AW$8:BC$507,6,FALSE())
)</f>
        <v/>
      </c>
      <c r="BJ442" s="46"/>
    </row>
    <row r="443" customFormat="false" ht="15.75" hidden="false" customHeight="false" outlineLevel="0" collapsed="false">
      <c r="A443" s="3"/>
      <c r="B443" s="105"/>
      <c r="C443" s="106"/>
      <c r="D443" s="99"/>
      <c r="E443" s="110"/>
      <c r="F443" s="107"/>
      <c r="G443" s="110"/>
      <c r="H443" s="103"/>
      <c r="I443" s="102"/>
      <c r="J443" s="103"/>
      <c r="K443" s="103"/>
      <c r="L443" s="85"/>
      <c r="M443" s="85" t="str">
        <f aca="false">IF(ISBLANK($C443),"",IF(ISBLANK(E443),0,E443))</f>
        <v/>
      </c>
      <c r="N443" s="85" t="str">
        <f aca="false">IF(ISBLANK($C443),"",IF(ISBLANK(F443),0,F443))</f>
        <v/>
      </c>
      <c r="O443" s="86" t="e">
        <f aca="false">IF(AND(NOT(ISBLANK($C443)),NOT($T443),COUNTA($E443:$K443)&gt;0),ISBLANK($F443),FALSE())</f>
        <v>#VALUE!</v>
      </c>
      <c r="P443" s="85" t="str">
        <f aca="false">IF(ISBLANK($C443),"",IF(G443=Constants!$B$9, TRUE(), IF(G443=Constants!$B$10, FALSE(), TRUE())))</f>
        <v/>
      </c>
      <c r="Q443" s="85" t="str">
        <f aca="false">IF(ISBLANK($C443),"",IF(H443=Constants!$B$9, TRUE(), IF(H443=Constants!$B$10, FALSE(), TRUE())))</f>
        <v/>
      </c>
      <c r="R443" s="85" t="str">
        <f aca="false">IF(ISBLANK($C443),"",IF(ISBLANK(I443),Constants!$B$3,I443))</f>
        <v/>
      </c>
      <c r="S443" s="85" t="str">
        <f aca="false">IF(ISBLANK($C443),"",IF(ISBLANK(J443),0,MIN(J443,Constants!$B$6)))</f>
        <v/>
      </c>
      <c r="T443" s="85" t="str">
        <f aca="false">IF(ISBLANK($C443),"",IF(K443=Constants!$B$9, TRUE(), IF(K443=Constants!$B$10, FALSE(),  FALSE())))</f>
        <v/>
      </c>
      <c r="U443" s="85" t="str">
        <f aca="false">IF(ISBLANK($C443),"",AND(R443=Constants!$B$4, S443&lt;Constants!$B$6))</f>
        <v/>
      </c>
      <c r="V443" s="85" t="str">
        <f aca="false">IF(ISBLANK(C443), "", IF(T443, Constants!$B$11, IF(COUNTA(E443:K443)=0, Constants!$B$12, IF(NOT(AND(P443,S443&lt;&gt;0)), Constants!$B$13, IF(O443, Constants!$B$15, Constants!$B$14)))))</f>
        <v/>
      </c>
      <c r="W443" s="85" t="str">
        <f aca="false">IF(OR(ISBLANK($C443), SUMPRODUCT(--(P443:T443&lt;&gt;""))=0), "", IF(V443&lt;&gt;Constants!$B$14, V443, IF(AND(NOT(ISBLANK(J443)),P443,Q443,R443&lt;&gt;Constants!$B$2), Constants!$B$7, IF(AND(P443,OR(NOT(Q443),R443=Constants!$B$2)), Constants!$B$8, "Error"))))</f>
        <v/>
      </c>
      <c r="X443" s="87" t="str">
        <f aca="false">IF(OR(W443=Constants!$B$7,W443=Constants!$B$8), MAX(0, MIN(Constants!$B$6, S443))+IF(AND(R443=Constants!$B$4, NOT(U443)), Constants!$B$5, 0), "")</f>
        <v/>
      </c>
      <c r="Y443" s="85" t="str">
        <f aca="false">IF(ISBLANK($C443),"",IF(AND(ISNUMBER(X443),N443&gt;0),X443/N443, "") )</f>
        <v/>
      </c>
      <c r="Z443" s="85" t="str">
        <f aca="false">IF(AND(NOT(ISBLANK($C443)), W443=Constants!$B$7), Y443, "")</f>
        <v/>
      </c>
      <c r="AA443" s="85" t="str">
        <f aca="false">IF(ISNUMBER(Z443), RANK(Z443,Z$8:Z$507), "")</f>
        <v/>
      </c>
      <c r="AB443" s="85" t="str">
        <f aca="false">IF(AND(NOT(ISBLANK($C443)), W443=Constants!$B$8), Y443, "")</f>
        <v/>
      </c>
      <c r="AC443" s="85" t="str">
        <f aca="false">IF(ISNUMBER(AB443), RANK(AB443,AB$8:AB$507), "")</f>
        <v/>
      </c>
      <c r="AD443" s="85" t="str">
        <f aca="false">IF(ISBLANK($C443),"",IF(V443&lt;&gt;Constants!$B$14, V443, IF(W443=Constants!$B$7, AA443, IF(W443=Constants!$B$8, COUNT($AA$8:$AA$507) + AC443, ""))))</f>
        <v/>
      </c>
      <c r="AE443" s="85" t="str">
        <f aca="false">N443</f>
        <v/>
      </c>
      <c r="AF443" s="85" t="str">
        <f aca="false">IF(ISNUMBER(AE443), RANK(AE443,AE$8:AE$507,1), "")</f>
        <v/>
      </c>
      <c r="AG443" s="88" t="str">
        <f aca="false">IF(ISBLANK(C443), "", ABS(M443-S443))</f>
        <v/>
      </c>
      <c r="AH443" s="85" t="str">
        <f aca="false">IF(ISNUMBER(AG443), RANK(AG443,AG$8:AG$507,1), "")</f>
        <v/>
      </c>
      <c r="AI443" s="85" t="str">
        <f aca="false">IF(ISBLANK(C443),"",IF(V443&lt;&gt;Constants!$B$14, V443, RANK(AD443, AD$8:AD$507, 1)+ SUMPRODUCT(--(AD$8:AD$507=AD443),--(AF443&gt;AF$8:AF$507)) + SUMPRODUCT(--(AD$8:AD$507=AD443),--(AF443=AF$8:AF$507),--(AH443&gt;AH$8:AH$507))))</f>
        <v/>
      </c>
      <c r="AJ443" s="85" t="str">
        <f aca="false">IF(ISBLANK(C443),"",IF(V443&lt;&gt;Constants!$B$14, V443, AD443-AI443))</f>
        <v/>
      </c>
      <c r="AK443" s="89"/>
      <c r="AL443" s="90" t="str">
        <f aca="false">IF(ISBLANK($C443),"",IF($V443&lt;&gt;Constants!$B$14,$V443,X443))</f>
        <v/>
      </c>
      <c r="AM443" s="90" t="str">
        <f aca="false">IF(ISBLANK($C443),"",IF($V443&lt;&gt;Constants!$B$14,$V443,N443))</f>
        <v/>
      </c>
      <c r="AN443" s="91" t="str">
        <f aca="false">IF(ISBLANK(C443),"",IF(V443&lt;&gt;Constants!$B$14, V443, IF(W443=Constants!$B$7,Z443,IF(W443=Constants!$B$8,AB443,""))))</f>
        <v/>
      </c>
      <c r="AO443" s="92" t="str">
        <f aca="false">IF(ISBLANK(C443),"",W443)</f>
        <v/>
      </c>
      <c r="AP443" s="92" t="str">
        <f aca="false">IF(ISBLANK(C443),"",AJ443)</f>
        <v/>
      </c>
      <c r="AQ443" s="92" t="str">
        <f aca="false">IF(ISBLANK(C443),"",AI443)</f>
        <v/>
      </c>
      <c r="AR443" s="93" t="str">
        <f aca="false">IF(ISBLANK(C443),
  "",
IF(AQ443=Constants!$B$11,COUNTA($C$8:$C$507)+2,IF(AQ443=Constants!$B$12,COUNTA($C$8:$C$507)+1,IF(AQ443=Constants!$B$13,COUNTA($C$8:$C$507),AQ443))))</f>
        <v/>
      </c>
      <c r="AS443" s="3"/>
      <c r="AT443" s="94" t="n">
        <f aca="false">IF(OR(ISNUMBER(AQ443),AQ443="DQ",AQ443="P",AQ443="NS"),
    1,
    0
)</f>
        <v>0</v>
      </c>
      <c r="AU443" s="94" t="n">
        <v>436</v>
      </c>
      <c r="AV443" s="94" t="str">
        <f aca="false">IF(ISBLANK($C443),
    "",
   IF(ISNUMBER(AR443),AR443+ROW($B443)/1000,"")
)</f>
        <v/>
      </c>
      <c r="AW443" s="94" t="str">
        <f aca="false">IF(ISNUMBER(AV443), RANK(AV443,AV$8:AV$507,1), "")</f>
        <v/>
      </c>
      <c r="AX443" s="94" t="str">
        <f aca="false">IF(ISBLANK($C443),
    "",
    $B443
)</f>
        <v/>
      </c>
      <c r="AY443" s="94" t="str">
        <f aca="false">IF(ISBLANK($C443),
    "",
    $C443
)</f>
        <v/>
      </c>
      <c r="AZ443" s="94" t="str">
        <f aca="false">IF(ISBLANK($C443),
    "",
    $D443
)</f>
        <v/>
      </c>
      <c r="BA443" s="94" t="str">
        <f aca="false">AO443</f>
        <v/>
      </c>
      <c r="BB443" s="95" t="str">
        <f aca="false">AN443</f>
        <v/>
      </c>
      <c r="BC443" s="94" t="str">
        <f aca="false">IF(ISBLANK($C443),
    "",
    AQ443
)</f>
        <v/>
      </c>
      <c r="BD443" s="96" t="str">
        <f aca="false">IF(AU443&gt;AT$7,
    "",
    VLOOKUP(AU443,AW$8:BC$507,7,FALSE())
)</f>
        <v/>
      </c>
      <c r="BE443" s="97" t="str">
        <f aca="false">IF(AU443&gt;AT$7,
    "",
    VLOOKUP(AU443,AW$8:BC$507,2,FALSE())
)</f>
        <v/>
      </c>
      <c r="BF443" s="97" t="str">
        <f aca="false">IF(AU443&gt;AT$7,
    "",
    VLOOKUP(AU443,AW$8:BC$507,3,FALSE())
)</f>
        <v/>
      </c>
      <c r="BG443" s="97" t="str">
        <f aca="false">IF(AU443&gt;AT$7,
    "",
    VLOOKUP(AU443,AW$8:BC$507,4,FALSE())
)</f>
        <v/>
      </c>
      <c r="BH443" s="97" t="str">
        <f aca="false">IF(AU443&gt;AT$7,
    "",
    VLOOKUP(AU443,AW$8:BC$507,5,FALSE())
)</f>
        <v/>
      </c>
      <c r="BI443" s="98" t="str">
        <f aca="false">IF(AU443&gt;AT$7,
    "",
    VLOOKUP(AU443,AW$8:BC$507,6,FALSE())
)</f>
        <v/>
      </c>
      <c r="BJ443" s="46"/>
    </row>
    <row r="444" customFormat="false" ht="15.75" hidden="false" customHeight="false" outlineLevel="0" collapsed="false">
      <c r="A444" s="3"/>
      <c r="B444" s="105"/>
      <c r="C444" s="106"/>
      <c r="D444" s="99"/>
      <c r="E444" s="110"/>
      <c r="F444" s="107"/>
      <c r="G444" s="110"/>
      <c r="H444" s="103"/>
      <c r="I444" s="102"/>
      <c r="J444" s="103"/>
      <c r="K444" s="103"/>
      <c r="L444" s="85"/>
      <c r="M444" s="85" t="str">
        <f aca="false">IF(ISBLANK($C444),"",IF(ISBLANK(E444),0,E444))</f>
        <v/>
      </c>
      <c r="N444" s="85" t="str">
        <f aca="false">IF(ISBLANK($C444),"",IF(ISBLANK(F444),0,F444))</f>
        <v/>
      </c>
      <c r="O444" s="86" t="e">
        <f aca="false">IF(AND(NOT(ISBLANK($C444)),NOT($T444),COUNTA($E444:$K444)&gt;0),ISBLANK($F444),FALSE())</f>
        <v>#VALUE!</v>
      </c>
      <c r="P444" s="85" t="str">
        <f aca="false">IF(ISBLANK($C444),"",IF(G444=Constants!$B$9, TRUE(), IF(G444=Constants!$B$10, FALSE(), TRUE())))</f>
        <v/>
      </c>
      <c r="Q444" s="85" t="str">
        <f aca="false">IF(ISBLANK($C444),"",IF(H444=Constants!$B$9, TRUE(), IF(H444=Constants!$B$10, FALSE(), TRUE())))</f>
        <v/>
      </c>
      <c r="R444" s="85" t="str">
        <f aca="false">IF(ISBLANK($C444),"",IF(ISBLANK(I444),Constants!$B$3,I444))</f>
        <v/>
      </c>
      <c r="S444" s="85" t="str">
        <f aca="false">IF(ISBLANK($C444),"",IF(ISBLANK(J444),0,MIN(J444,Constants!$B$6)))</f>
        <v/>
      </c>
      <c r="T444" s="85" t="str">
        <f aca="false">IF(ISBLANK($C444),"",IF(K444=Constants!$B$9, TRUE(), IF(K444=Constants!$B$10, FALSE(),  FALSE())))</f>
        <v/>
      </c>
      <c r="U444" s="85" t="str">
        <f aca="false">IF(ISBLANK($C444),"",AND(R444=Constants!$B$4, S444&lt;Constants!$B$6))</f>
        <v/>
      </c>
      <c r="V444" s="85" t="str">
        <f aca="false">IF(ISBLANK(C444), "", IF(T444, Constants!$B$11, IF(COUNTA(E444:K444)=0, Constants!$B$12, IF(NOT(AND(P444,S444&lt;&gt;0)), Constants!$B$13, IF(O444, Constants!$B$15, Constants!$B$14)))))</f>
        <v/>
      </c>
      <c r="W444" s="85" t="str">
        <f aca="false">IF(OR(ISBLANK($C444), SUMPRODUCT(--(P444:T444&lt;&gt;""))=0), "", IF(V444&lt;&gt;Constants!$B$14, V444, IF(AND(NOT(ISBLANK(J444)),P444,Q444,R444&lt;&gt;Constants!$B$2), Constants!$B$7, IF(AND(P444,OR(NOT(Q444),R444=Constants!$B$2)), Constants!$B$8, "Error"))))</f>
        <v/>
      </c>
      <c r="X444" s="87" t="str">
        <f aca="false">IF(OR(W444=Constants!$B$7,W444=Constants!$B$8), MAX(0, MIN(Constants!$B$6, S444))+IF(AND(R444=Constants!$B$4, NOT(U444)), Constants!$B$5, 0), "")</f>
        <v/>
      </c>
      <c r="Y444" s="85" t="str">
        <f aca="false">IF(ISBLANK($C444),"",IF(AND(ISNUMBER(X444),N444&gt;0),X444/N444, "") )</f>
        <v/>
      </c>
      <c r="Z444" s="85" t="str">
        <f aca="false">IF(AND(NOT(ISBLANK($C444)), W444=Constants!$B$7), Y444, "")</f>
        <v/>
      </c>
      <c r="AA444" s="85" t="str">
        <f aca="false">IF(ISNUMBER(Z444), RANK(Z444,Z$8:Z$507), "")</f>
        <v/>
      </c>
      <c r="AB444" s="85" t="str">
        <f aca="false">IF(AND(NOT(ISBLANK($C444)), W444=Constants!$B$8), Y444, "")</f>
        <v/>
      </c>
      <c r="AC444" s="85" t="str">
        <f aca="false">IF(ISNUMBER(AB444), RANK(AB444,AB$8:AB$507), "")</f>
        <v/>
      </c>
      <c r="AD444" s="85" t="str">
        <f aca="false">IF(ISBLANK($C444),"",IF(V444&lt;&gt;Constants!$B$14, V444, IF(W444=Constants!$B$7, AA444, IF(W444=Constants!$B$8, COUNT($AA$8:$AA$507) + AC444, ""))))</f>
        <v/>
      </c>
      <c r="AE444" s="85" t="str">
        <f aca="false">N444</f>
        <v/>
      </c>
      <c r="AF444" s="85" t="str">
        <f aca="false">IF(ISNUMBER(AE444), RANK(AE444,AE$8:AE$507,1), "")</f>
        <v/>
      </c>
      <c r="AG444" s="88" t="str">
        <f aca="false">IF(ISBLANK(C444), "", ABS(M444-S444))</f>
        <v/>
      </c>
      <c r="AH444" s="85" t="str">
        <f aca="false">IF(ISNUMBER(AG444), RANK(AG444,AG$8:AG$507,1), "")</f>
        <v/>
      </c>
      <c r="AI444" s="85" t="str">
        <f aca="false">IF(ISBLANK(C444),"",IF(V444&lt;&gt;Constants!$B$14, V444, RANK(AD444, AD$8:AD$507, 1)+ SUMPRODUCT(--(AD$8:AD$507=AD444),--(AF444&gt;AF$8:AF$507)) + SUMPRODUCT(--(AD$8:AD$507=AD444),--(AF444=AF$8:AF$507),--(AH444&gt;AH$8:AH$507))))</f>
        <v/>
      </c>
      <c r="AJ444" s="85" t="str">
        <f aca="false">IF(ISBLANK(C444),"",IF(V444&lt;&gt;Constants!$B$14, V444, AD444-AI444))</f>
        <v/>
      </c>
      <c r="AK444" s="89"/>
      <c r="AL444" s="90" t="str">
        <f aca="false">IF(ISBLANK($C444),"",IF($V444&lt;&gt;Constants!$B$14,$V444,X444))</f>
        <v/>
      </c>
      <c r="AM444" s="90" t="str">
        <f aca="false">IF(ISBLANK($C444),"",IF($V444&lt;&gt;Constants!$B$14,$V444,N444))</f>
        <v/>
      </c>
      <c r="AN444" s="91" t="str">
        <f aca="false">IF(ISBLANK(C444),"",IF(V444&lt;&gt;Constants!$B$14, V444, IF(W444=Constants!$B$7,Z444,IF(W444=Constants!$B$8,AB444,""))))</f>
        <v/>
      </c>
      <c r="AO444" s="92" t="str">
        <f aca="false">IF(ISBLANK(C444),"",W444)</f>
        <v/>
      </c>
      <c r="AP444" s="92" t="str">
        <f aca="false">IF(ISBLANK(C444),"",AJ444)</f>
        <v/>
      </c>
      <c r="AQ444" s="92" t="str">
        <f aca="false">IF(ISBLANK(C444),"",AI444)</f>
        <v/>
      </c>
      <c r="AR444" s="93" t="str">
        <f aca="false">IF(ISBLANK(C444),
  "",
IF(AQ444=Constants!$B$11,COUNTA($C$8:$C$507)+2,IF(AQ444=Constants!$B$12,COUNTA($C$8:$C$507)+1,IF(AQ444=Constants!$B$13,COUNTA($C$8:$C$507),AQ444))))</f>
        <v/>
      </c>
      <c r="AS444" s="3"/>
      <c r="AT444" s="94" t="n">
        <f aca="false">IF(OR(ISNUMBER(AQ444),AQ444="DQ",AQ444="P",AQ444="NS"),
    1,
    0
)</f>
        <v>0</v>
      </c>
      <c r="AU444" s="94" t="n">
        <v>437</v>
      </c>
      <c r="AV444" s="94" t="str">
        <f aca="false">IF(ISBLANK($C444),
    "",
   IF(ISNUMBER(AR444),AR444+ROW($B444)/1000,"")
)</f>
        <v/>
      </c>
      <c r="AW444" s="94" t="str">
        <f aca="false">IF(ISNUMBER(AV444), RANK(AV444,AV$8:AV$507,1), "")</f>
        <v/>
      </c>
      <c r="AX444" s="94" t="str">
        <f aca="false">IF(ISBLANK($C444),
    "",
    $B444
)</f>
        <v/>
      </c>
      <c r="AY444" s="94" t="str">
        <f aca="false">IF(ISBLANK($C444),
    "",
    $C444
)</f>
        <v/>
      </c>
      <c r="AZ444" s="94" t="str">
        <f aca="false">IF(ISBLANK($C444),
    "",
    $D444
)</f>
        <v/>
      </c>
      <c r="BA444" s="94" t="str">
        <f aca="false">AO444</f>
        <v/>
      </c>
      <c r="BB444" s="95" t="str">
        <f aca="false">AN444</f>
        <v/>
      </c>
      <c r="BC444" s="94" t="str">
        <f aca="false">IF(ISBLANK($C444),
    "",
    AQ444
)</f>
        <v/>
      </c>
      <c r="BD444" s="96" t="str">
        <f aca="false">IF(AU444&gt;AT$7,
    "",
    VLOOKUP(AU444,AW$8:BC$507,7,FALSE())
)</f>
        <v/>
      </c>
      <c r="BE444" s="97" t="str">
        <f aca="false">IF(AU444&gt;AT$7,
    "",
    VLOOKUP(AU444,AW$8:BC$507,2,FALSE())
)</f>
        <v/>
      </c>
      <c r="BF444" s="97" t="str">
        <f aca="false">IF(AU444&gt;AT$7,
    "",
    VLOOKUP(AU444,AW$8:BC$507,3,FALSE())
)</f>
        <v/>
      </c>
      <c r="BG444" s="97" t="str">
        <f aca="false">IF(AU444&gt;AT$7,
    "",
    VLOOKUP(AU444,AW$8:BC$507,4,FALSE())
)</f>
        <v/>
      </c>
      <c r="BH444" s="97" t="str">
        <f aca="false">IF(AU444&gt;AT$7,
    "",
    VLOOKUP(AU444,AW$8:BC$507,5,FALSE())
)</f>
        <v/>
      </c>
      <c r="BI444" s="98" t="str">
        <f aca="false">IF(AU444&gt;AT$7,
    "",
    VLOOKUP(AU444,AW$8:BC$507,6,FALSE())
)</f>
        <v/>
      </c>
      <c r="BJ444" s="46"/>
    </row>
    <row r="445" customFormat="false" ht="15.75" hidden="false" customHeight="false" outlineLevel="0" collapsed="false">
      <c r="A445" s="3"/>
      <c r="B445" s="105"/>
      <c r="C445" s="106"/>
      <c r="D445" s="99"/>
      <c r="E445" s="110"/>
      <c r="F445" s="107"/>
      <c r="G445" s="110"/>
      <c r="H445" s="103"/>
      <c r="I445" s="102"/>
      <c r="J445" s="103"/>
      <c r="K445" s="103"/>
      <c r="L445" s="85"/>
      <c r="M445" s="85" t="str">
        <f aca="false">IF(ISBLANK($C445),"",IF(ISBLANK(E445),0,E445))</f>
        <v/>
      </c>
      <c r="N445" s="85" t="str">
        <f aca="false">IF(ISBLANK($C445),"",IF(ISBLANK(F445),0,F445))</f>
        <v/>
      </c>
      <c r="O445" s="86" t="e">
        <f aca="false">IF(AND(NOT(ISBLANK($C445)),NOT($T445),COUNTA($E445:$K445)&gt;0),ISBLANK($F445),FALSE())</f>
        <v>#VALUE!</v>
      </c>
      <c r="P445" s="85" t="str">
        <f aca="false">IF(ISBLANK($C445),"",IF(G445=Constants!$B$9, TRUE(), IF(G445=Constants!$B$10, FALSE(), TRUE())))</f>
        <v/>
      </c>
      <c r="Q445" s="85" t="str">
        <f aca="false">IF(ISBLANK($C445),"",IF(H445=Constants!$B$9, TRUE(), IF(H445=Constants!$B$10, FALSE(), TRUE())))</f>
        <v/>
      </c>
      <c r="R445" s="85" t="str">
        <f aca="false">IF(ISBLANK($C445),"",IF(ISBLANK(I445),Constants!$B$3,I445))</f>
        <v/>
      </c>
      <c r="S445" s="85" t="str">
        <f aca="false">IF(ISBLANK($C445),"",IF(ISBLANK(J445),0,MIN(J445,Constants!$B$6)))</f>
        <v/>
      </c>
      <c r="T445" s="85" t="str">
        <f aca="false">IF(ISBLANK($C445),"",IF(K445=Constants!$B$9, TRUE(), IF(K445=Constants!$B$10, FALSE(),  FALSE())))</f>
        <v/>
      </c>
      <c r="U445" s="85" t="str">
        <f aca="false">IF(ISBLANK($C445),"",AND(R445=Constants!$B$4, S445&lt;Constants!$B$6))</f>
        <v/>
      </c>
      <c r="V445" s="85" t="str">
        <f aca="false">IF(ISBLANK(C445), "", IF(T445, Constants!$B$11, IF(COUNTA(E445:K445)=0, Constants!$B$12, IF(NOT(AND(P445,S445&lt;&gt;0)), Constants!$B$13, IF(O445, Constants!$B$15, Constants!$B$14)))))</f>
        <v/>
      </c>
      <c r="W445" s="85" t="str">
        <f aca="false">IF(OR(ISBLANK($C445), SUMPRODUCT(--(P445:T445&lt;&gt;""))=0), "", IF(V445&lt;&gt;Constants!$B$14, V445, IF(AND(NOT(ISBLANK(J445)),P445,Q445,R445&lt;&gt;Constants!$B$2), Constants!$B$7, IF(AND(P445,OR(NOT(Q445),R445=Constants!$B$2)), Constants!$B$8, "Error"))))</f>
        <v/>
      </c>
      <c r="X445" s="87" t="str">
        <f aca="false">IF(OR(W445=Constants!$B$7,W445=Constants!$B$8), MAX(0, MIN(Constants!$B$6, S445))+IF(AND(R445=Constants!$B$4, NOT(U445)), Constants!$B$5, 0), "")</f>
        <v/>
      </c>
      <c r="Y445" s="85" t="str">
        <f aca="false">IF(ISBLANK($C445),"",IF(AND(ISNUMBER(X445),N445&gt;0),X445/N445, "") )</f>
        <v/>
      </c>
      <c r="Z445" s="85" t="str">
        <f aca="false">IF(AND(NOT(ISBLANK($C445)), W445=Constants!$B$7), Y445, "")</f>
        <v/>
      </c>
      <c r="AA445" s="85" t="str">
        <f aca="false">IF(ISNUMBER(Z445), RANK(Z445,Z$8:Z$507), "")</f>
        <v/>
      </c>
      <c r="AB445" s="85" t="str">
        <f aca="false">IF(AND(NOT(ISBLANK($C445)), W445=Constants!$B$8), Y445, "")</f>
        <v/>
      </c>
      <c r="AC445" s="85" t="str">
        <f aca="false">IF(ISNUMBER(AB445), RANK(AB445,AB$8:AB$507), "")</f>
        <v/>
      </c>
      <c r="AD445" s="85" t="str">
        <f aca="false">IF(ISBLANK($C445),"",IF(V445&lt;&gt;Constants!$B$14, V445, IF(W445=Constants!$B$7, AA445, IF(W445=Constants!$B$8, COUNT($AA$8:$AA$507) + AC445, ""))))</f>
        <v/>
      </c>
      <c r="AE445" s="85" t="str">
        <f aca="false">N445</f>
        <v/>
      </c>
      <c r="AF445" s="85" t="str">
        <f aca="false">IF(ISNUMBER(AE445), RANK(AE445,AE$8:AE$507,1), "")</f>
        <v/>
      </c>
      <c r="AG445" s="88" t="str">
        <f aca="false">IF(ISBLANK(C445), "", ABS(M445-S445))</f>
        <v/>
      </c>
      <c r="AH445" s="85" t="str">
        <f aca="false">IF(ISNUMBER(AG445), RANK(AG445,AG$8:AG$507,1), "")</f>
        <v/>
      </c>
      <c r="AI445" s="85" t="str">
        <f aca="false">IF(ISBLANK(C445),"",IF(V445&lt;&gt;Constants!$B$14, V445, RANK(AD445, AD$8:AD$507, 1)+ SUMPRODUCT(--(AD$8:AD$507=AD445),--(AF445&gt;AF$8:AF$507)) + SUMPRODUCT(--(AD$8:AD$507=AD445),--(AF445=AF$8:AF$507),--(AH445&gt;AH$8:AH$507))))</f>
        <v/>
      </c>
      <c r="AJ445" s="85" t="str">
        <f aca="false">IF(ISBLANK(C445),"",IF(V445&lt;&gt;Constants!$B$14, V445, AD445-AI445))</f>
        <v/>
      </c>
      <c r="AK445" s="89"/>
      <c r="AL445" s="90" t="str">
        <f aca="false">IF(ISBLANK($C445),"",IF($V445&lt;&gt;Constants!$B$14,$V445,X445))</f>
        <v/>
      </c>
      <c r="AM445" s="90" t="str">
        <f aca="false">IF(ISBLANK($C445),"",IF($V445&lt;&gt;Constants!$B$14,$V445,N445))</f>
        <v/>
      </c>
      <c r="AN445" s="91" t="str">
        <f aca="false">IF(ISBLANK(C445),"",IF(V445&lt;&gt;Constants!$B$14, V445, IF(W445=Constants!$B$7,Z445,IF(W445=Constants!$B$8,AB445,""))))</f>
        <v/>
      </c>
      <c r="AO445" s="92" t="str">
        <f aca="false">IF(ISBLANK(C445),"",W445)</f>
        <v/>
      </c>
      <c r="AP445" s="92" t="str">
        <f aca="false">IF(ISBLANK(C445),"",AJ445)</f>
        <v/>
      </c>
      <c r="AQ445" s="92" t="str">
        <f aca="false">IF(ISBLANK(C445),"",AI445)</f>
        <v/>
      </c>
      <c r="AR445" s="93" t="str">
        <f aca="false">IF(ISBLANK(C445),
  "",
IF(AQ445=Constants!$B$11,COUNTA($C$8:$C$507)+2,IF(AQ445=Constants!$B$12,COUNTA($C$8:$C$507)+1,IF(AQ445=Constants!$B$13,COUNTA($C$8:$C$507),AQ445))))</f>
        <v/>
      </c>
      <c r="AS445" s="3"/>
      <c r="AT445" s="94" t="n">
        <f aca="false">IF(OR(ISNUMBER(AQ445),AQ445="DQ",AQ445="P",AQ445="NS"),
    1,
    0
)</f>
        <v>0</v>
      </c>
      <c r="AU445" s="94" t="n">
        <v>438</v>
      </c>
      <c r="AV445" s="94" t="str">
        <f aca="false">IF(ISBLANK($C445),
    "",
   IF(ISNUMBER(AR445),AR445+ROW($B445)/1000,"")
)</f>
        <v/>
      </c>
      <c r="AW445" s="94" t="str">
        <f aca="false">IF(ISNUMBER(AV445), RANK(AV445,AV$8:AV$507,1), "")</f>
        <v/>
      </c>
      <c r="AX445" s="94" t="str">
        <f aca="false">IF(ISBLANK($C445),
    "",
    $B445
)</f>
        <v/>
      </c>
      <c r="AY445" s="94" t="str">
        <f aca="false">IF(ISBLANK($C445),
    "",
    $C445
)</f>
        <v/>
      </c>
      <c r="AZ445" s="94" t="str">
        <f aca="false">IF(ISBLANK($C445),
    "",
    $D445
)</f>
        <v/>
      </c>
      <c r="BA445" s="94" t="str">
        <f aca="false">AO445</f>
        <v/>
      </c>
      <c r="BB445" s="95" t="str">
        <f aca="false">AN445</f>
        <v/>
      </c>
      <c r="BC445" s="94" t="str">
        <f aca="false">IF(ISBLANK($C445),
    "",
    AQ445
)</f>
        <v/>
      </c>
      <c r="BD445" s="96" t="str">
        <f aca="false">IF(AU445&gt;AT$7,
    "",
    VLOOKUP(AU445,AW$8:BC$507,7,FALSE())
)</f>
        <v/>
      </c>
      <c r="BE445" s="97" t="str">
        <f aca="false">IF(AU445&gt;AT$7,
    "",
    VLOOKUP(AU445,AW$8:BC$507,2,FALSE())
)</f>
        <v/>
      </c>
      <c r="BF445" s="97" t="str">
        <f aca="false">IF(AU445&gt;AT$7,
    "",
    VLOOKUP(AU445,AW$8:BC$507,3,FALSE())
)</f>
        <v/>
      </c>
      <c r="BG445" s="97" t="str">
        <f aca="false">IF(AU445&gt;AT$7,
    "",
    VLOOKUP(AU445,AW$8:BC$507,4,FALSE())
)</f>
        <v/>
      </c>
      <c r="BH445" s="97" t="str">
        <f aca="false">IF(AU445&gt;AT$7,
    "",
    VLOOKUP(AU445,AW$8:BC$507,5,FALSE())
)</f>
        <v/>
      </c>
      <c r="BI445" s="98" t="str">
        <f aca="false">IF(AU445&gt;AT$7,
    "",
    VLOOKUP(AU445,AW$8:BC$507,6,FALSE())
)</f>
        <v/>
      </c>
      <c r="BJ445" s="46"/>
    </row>
    <row r="446" customFormat="false" ht="15.75" hidden="false" customHeight="false" outlineLevel="0" collapsed="false">
      <c r="A446" s="3"/>
      <c r="B446" s="108"/>
      <c r="C446" s="70"/>
      <c r="D446" s="49"/>
      <c r="E446" s="109"/>
      <c r="F446" s="72"/>
      <c r="G446" s="109"/>
      <c r="H446" s="74"/>
      <c r="I446" s="104"/>
      <c r="J446" s="74"/>
      <c r="K446" s="74"/>
      <c r="L446" s="55"/>
      <c r="M446" s="55" t="str">
        <f aca="false">IF(ISBLANK($C446),"",IF(ISBLANK(E446),0,E446))</f>
        <v/>
      </c>
      <c r="N446" s="55" t="str">
        <f aca="false">IF(ISBLANK($C446),"",IF(ISBLANK(F446),0,F446))</f>
        <v/>
      </c>
      <c r="O446" s="55" t="e">
        <f aca="false">IF(AND(NOT(ISBLANK($C446)),NOT($T446),COUNTA($E446:$K446)&gt;0),ISBLANK($F446),FALSE())</f>
        <v>#VALUE!</v>
      </c>
      <c r="P446" s="55" t="str">
        <f aca="false">IF(ISBLANK($C446),"",IF(G446=Constants!$B$9, TRUE(), IF(G446=Constants!$B$10, FALSE(), TRUE())))</f>
        <v/>
      </c>
      <c r="Q446" s="55" t="str">
        <f aca="false">IF(ISBLANK($C446),"",IF(H446=Constants!$B$9, TRUE(), IF(H446=Constants!$B$10, FALSE(), TRUE())))</f>
        <v/>
      </c>
      <c r="R446" s="55" t="str">
        <f aca="false">IF(ISBLANK($C446),"",IF(ISBLANK(I446),Constants!$B$3,I446))</f>
        <v/>
      </c>
      <c r="S446" s="55" t="str">
        <f aca="false">IF(ISBLANK($C446),"",IF(ISBLANK(J446),0,MIN(J446,Constants!$B$6)))</f>
        <v/>
      </c>
      <c r="T446" s="55" t="str">
        <f aca="false">IF(ISBLANK($C446),"",IF(K446=Constants!$B$9, TRUE(), IF(K446=Constants!$B$10, FALSE(),  FALSE())))</f>
        <v/>
      </c>
      <c r="U446" s="55" t="str">
        <f aca="false">IF(ISBLANK($C446),"",AND(R446=Constants!$B$4, S446&lt;Constants!$B$6))</f>
        <v/>
      </c>
      <c r="V446" s="55" t="str">
        <f aca="false">IF(ISBLANK(C446), "", IF(T446, Constants!$B$11, IF(COUNTA(E446:K446)=0, Constants!$B$12, IF(NOT(AND(P446,S446&lt;&gt;0)), Constants!$B$13, IF(O446, Constants!$B$15, Constants!$B$14)))))</f>
        <v/>
      </c>
      <c r="W446" s="55" t="str">
        <f aca="false">IF(OR(ISBLANK($C446), SUMPRODUCT(--(P446:T446&lt;&gt;""))=0), "", IF(V446&lt;&gt;Constants!$B$14, V446, IF(AND(NOT(ISBLANK(J446)),P446,Q446,R446&lt;&gt;Constants!$B$2), Constants!$B$7, IF(AND(P446,OR(NOT(Q446),R446=Constants!$B$2)), Constants!$B$8, "Error"))))</f>
        <v/>
      </c>
      <c r="X446" s="56" t="str">
        <f aca="false">IF(OR(W446=Constants!$B$7,W446=Constants!$B$8), MAX(0, MIN(Constants!$B$6, S446))+IF(AND(R446=Constants!$B$4, NOT(U446)), Constants!$B$5, 0), "")</f>
        <v/>
      </c>
      <c r="Y446" s="55" t="str">
        <f aca="false">IF(ISBLANK($C446),"",IF(AND(ISNUMBER(X446),N446&gt;0),X446/N446, "") )</f>
        <v/>
      </c>
      <c r="Z446" s="55" t="str">
        <f aca="false">IF(AND(NOT(ISBLANK($C446)), W446=Constants!$B$7), Y446, "")</f>
        <v/>
      </c>
      <c r="AA446" s="55" t="str">
        <f aca="false">IF(ISNUMBER(Z446), RANK(Z446,Z$8:Z$507), "")</f>
        <v/>
      </c>
      <c r="AB446" s="55" t="str">
        <f aca="false">IF(AND(NOT(ISBLANK($C446)), W446=Constants!$B$8), Y446, "")</f>
        <v/>
      </c>
      <c r="AC446" s="55" t="str">
        <f aca="false">IF(ISNUMBER(AB446), RANK(AB446,AB$8:AB$507), "")</f>
        <v/>
      </c>
      <c r="AD446" s="55" t="str">
        <f aca="false">IF(ISBLANK($C446),"",IF(V446&lt;&gt;Constants!$B$14, V446, IF(W446=Constants!$B$7, AA446, IF(W446=Constants!$B$8, COUNT($AA$8:$AA$507) + AC446, ""))))</f>
        <v/>
      </c>
      <c r="AE446" s="55" t="str">
        <f aca="false">N446</f>
        <v/>
      </c>
      <c r="AF446" s="55" t="str">
        <f aca="false">IF(ISNUMBER(AE446), RANK(AE446,AE$8:AE$507,1), "")</f>
        <v/>
      </c>
      <c r="AG446" s="57" t="str">
        <f aca="false">IF(ISBLANK(C446), "", ABS(M446-S446))</f>
        <v/>
      </c>
      <c r="AH446" s="55" t="str">
        <f aca="false">IF(ISNUMBER(AG446), RANK(AG446,AG$8:AG$507,1), "")</f>
        <v/>
      </c>
      <c r="AI446" s="55" t="str">
        <f aca="false">IF(ISBLANK(C446),"",IF(V446&lt;&gt;Constants!$B$14, V446, RANK(AD446, AD$8:AD$507, 1)+ SUMPRODUCT(--(AD$8:AD$507=AD446),--(AF446&gt;AF$8:AF$507)) + SUMPRODUCT(--(AD$8:AD$507=AD446),--(AF446=AF$8:AF$507),--(AH446&gt;AH$8:AH$507))))</f>
        <v/>
      </c>
      <c r="AJ446" s="55" t="str">
        <f aca="false">IF(ISBLANK(C446),"",IF(V446&lt;&gt;Constants!$B$14, V446, AD446-AI446))</f>
        <v/>
      </c>
      <c r="AK446" s="59"/>
      <c r="AL446" s="60" t="str">
        <f aca="false">IF(ISBLANK($C446),"",IF($V446&lt;&gt;Constants!$B$14,$V446,X446))</f>
        <v/>
      </c>
      <c r="AM446" s="60" t="str">
        <f aca="false">IF(ISBLANK($C446),"",IF($V446&lt;&gt;Constants!$B$14,$V446,N446))</f>
        <v/>
      </c>
      <c r="AN446" s="62" t="str">
        <f aca="false">IF(ISBLANK(C446),"",IF(V446&lt;&gt;Constants!$B$14, V446, IF(W446=Constants!$B$7,Z446,IF(W446=Constants!$B$8,AB446,""))))</f>
        <v/>
      </c>
      <c r="AO446" s="63" t="str">
        <f aca="false">IF(ISBLANK(C446),"",W446)</f>
        <v/>
      </c>
      <c r="AP446" s="63" t="str">
        <f aca="false">IF(ISBLANK(C446),"",AJ446)</f>
        <v/>
      </c>
      <c r="AQ446" s="63" t="str">
        <f aca="false">IF(ISBLANK(C446),"",AI446)</f>
        <v/>
      </c>
      <c r="AR446" s="64" t="str">
        <f aca="false">IF(ISBLANK(C446),
  "",
IF(AQ446=Constants!$B$11,COUNTA($C$8:$C$507)+2,IF(AQ446=Constants!$B$12,COUNTA($C$8:$C$507)+1,IF(AQ446=Constants!$B$13,COUNTA($C$8:$C$507),AQ446))))</f>
        <v/>
      </c>
      <c r="AS446" s="3"/>
      <c r="AT446" s="65" t="n">
        <f aca="false">IF(OR(ISNUMBER(AQ446),AQ446="DQ",AQ446="P",AQ446="NS"),
    1,
    0
)</f>
        <v>0</v>
      </c>
      <c r="AU446" s="65" t="n">
        <v>439</v>
      </c>
      <c r="AV446" s="65" t="str">
        <f aca="false">IF(ISBLANK($C446),
    "",
   IF(ISNUMBER(AR446),AR446+ROW($B446)/1000,"")
)</f>
        <v/>
      </c>
      <c r="AW446" s="65" t="str">
        <f aca="false">IF(ISNUMBER(AV446), RANK(AV446,AV$8:AV$507,1), "")</f>
        <v/>
      </c>
      <c r="AX446" s="65" t="str">
        <f aca="false">IF(ISBLANK($C446),
    "",
    $B446
)</f>
        <v/>
      </c>
      <c r="AY446" s="65" t="str">
        <f aca="false">IF(ISBLANK($C446),
    "",
    $C446
)</f>
        <v/>
      </c>
      <c r="AZ446" s="65" t="str">
        <f aca="false">IF(ISBLANK($C446),
    "",
    $D446
)</f>
        <v/>
      </c>
      <c r="BA446" s="65" t="str">
        <f aca="false">AO446</f>
        <v/>
      </c>
      <c r="BB446" s="66" t="str">
        <f aca="false">AN446</f>
        <v/>
      </c>
      <c r="BC446" s="65" t="str">
        <f aca="false">IF(ISBLANK($C446),
    "",
    AQ446
)</f>
        <v/>
      </c>
      <c r="BD446" s="67" t="str">
        <f aca="false">IF(AU446&gt;AT$7,
    "",
    VLOOKUP(AU446,AW$8:BC$507,7,FALSE())
)</f>
        <v/>
      </c>
      <c r="BE446" s="68" t="str">
        <f aca="false">IF(AU446&gt;AT$7,
    "",
    VLOOKUP(AU446,AW$8:BC$507,2,FALSE())
)</f>
        <v/>
      </c>
      <c r="BF446" s="68" t="str">
        <f aca="false">IF(AU446&gt;AT$7,
    "",
    VLOOKUP(AU446,AW$8:BC$507,3,FALSE())
)</f>
        <v/>
      </c>
      <c r="BG446" s="68" t="str">
        <f aca="false">IF(AU446&gt;AT$7,
    "",
    VLOOKUP(AU446,AW$8:BC$507,4,FALSE())
)</f>
        <v/>
      </c>
      <c r="BH446" s="68" t="str">
        <f aca="false">IF(AU446&gt;AT$7,
    "",
    VLOOKUP(AU446,AW$8:BC$507,5,FALSE())
)</f>
        <v/>
      </c>
      <c r="BI446" s="69" t="str">
        <f aca="false">IF(AU446&gt;AT$7,
    "",
    VLOOKUP(AU446,AW$8:BC$507,6,FALSE())
)</f>
        <v/>
      </c>
      <c r="BJ446" s="46"/>
    </row>
    <row r="447" customFormat="false" ht="15.75" hidden="false" customHeight="false" outlineLevel="0" collapsed="false">
      <c r="A447" s="3"/>
      <c r="B447" s="108"/>
      <c r="C447" s="70"/>
      <c r="D447" s="49"/>
      <c r="E447" s="109"/>
      <c r="F447" s="72"/>
      <c r="G447" s="109"/>
      <c r="H447" s="74"/>
      <c r="I447" s="104"/>
      <c r="J447" s="74"/>
      <c r="K447" s="74"/>
      <c r="L447" s="55"/>
      <c r="M447" s="55" t="str">
        <f aca="false">IF(ISBLANK($C447),"",IF(ISBLANK(E447),0,E447))</f>
        <v/>
      </c>
      <c r="N447" s="55" t="str">
        <f aca="false">IF(ISBLANK($C447),"",IF(ISBLANK(F447),0,F447))</f>
        <v/>
      </c>
      <c r="O447" s="55" t="e">
        <f aca="false">IF(AND(NOT(ISBLANK($C447)),NOT($T447),COUNTA($E447:$K447)&gt;0),ISBLANK($F447),FALSE())</f>
        <v>#VALUE!</v>
      </c>
      <c r="P447" s="55" t="str">
        <f aca="false">IF(ISBLANK($C447),"",IF(G447=Constants!$B$9, TRUE(), IF(G447=Constants!$B$10, FALSE(), TRUE())))</f>
        <v/>
      </c>
      <c r="Q447" s="55" t="str">
        <f aca="false">IF(ISBLANK($C447),"",IF(H447=Constants!$B$9, TRUE(), IF(H447=Constants!$B$10, FALSE(), TRUE())))</f>
        <v/>
      </c>
      <c r="R447" s="55" t="str">
        <f aca="false">IF(ISBLANK($C447),"",IF(ISBLANK(I447),Constants!$B$3,I447))</f>
        <v/>
      </c>
      <c r="S447" s="55" t="str">
        <f aca="false">IF(ISBLANK($C447),"",IF(ISBLANK(J447),0,MIN(J447,Constants!$B$6)))</f>
        <v/>
      </c>
      <c r="T447" s="55" t="str">
        <f aca="false">IF(ISBLANK($C447),"",IF(K447=Constants!$B$9, TRUE(), IF(K447=Constants!$B$10, FALSE(),  FALSE())))</f>
        <v/>
      </c>
      <c r="U447" s="55" t="str">
        <f aca="false">IF(ISBLANK($C447),"",AND(R447=Constants!$B$4, S447&lt;Constants!$B$6))</f>
        <v/>
      </c>
      <c r="V447" s="55" t="str">
        <f aca="false">IF(ISBLANK(C447), "", IF(T447, Constants!$B$11, IF(COUNTA(E447:K447)=0, Constants!$B$12, IF(NOT(AND(P447,S447&lt;&gt;0)), Constants!$B$13, IF(O447, Constants!$B$15, Constants!$B$14)))))</f>
        <v/>
      </c>
      <c r="W447" s="55" t="str">
        <f aca="false">IF(OR(ISBLANK($C447), SUMPRODUCT(--(P447:T447&lt;&gt;""))=0), "", IF(V447&lt;&gt;Constants!$B$14, V447, IF(AND(NOT(ISBLANK(J447)),P447,Q447,R447&lt;&gt;Constants!$B$2), Constants!$B$7, IF(AND(P447,OR(NOT(Q447),R447=Constants!$B$2)), Constants!$B$8, "Error"))))</f>
        <v/>
      </c>
      <c r="X447" s="56" t="str">
        <f aca="false">IF(OR(W447=Constants!$B$7,W447=Constants!$B$8), MAX(0, MIN(Constants!$B$6, S447))+IF(AND(R447=Constants!$B$4, NOT(U447)), Constants!$B$5, 0), "")</f>
        <v/>
      </c>
      <c r="Y447" s="55" t="str">
        <f aca="false">IF(ISBLANK($C447),"",IF(AND(ISNUMBER(X447),N447&gt;0),X447/N447, "") )</f>
        <v/>
      </c>
      <c r="Z447" s="55" t="str">
        <f aca="false">IF(AND(NOT(ISBLANK($C447)), W447=Constants!$B$7), Y447, "")</f>
        <v/>
      </c>
      <c r="AA447" s="55" t="str">
        <f aca="false">IF(ISNUMBER(Z447), RANK(Z447,Z$8:Z$507), "")</f>
        <v/>
      </c>
      <c r="AB447" s="55" t="str">
        <f aca="false">IF(AND(NOT(ISBLANK($C447)), W447=Constants!$B$8), Y447, "")</f>
        <v/>
      </c>
      <c r="AC447" s="55" t="str">
        <f aca="false">IF(ISNUMBER(AB447), RANK(AB447,AB$8:AB$507), "")</f>
        <v/>
      </c>
      <c r="AD447" s="55" t="str">
        <f aca="false">IF(ISBLANK($C447),"",IF(V447&lt;&gt;Constants!$B$14, V447, IF(W447=Constants!$B$7, AA447, IF(W447=Constants!$B$8, COUNT($AA$8:$AA$507) + AC447, ""))))</f>
        <v/>
      </c>
      <c r="AE447" s="55" t="str">
        <f aca="false">N447</f>
        <v/>
      </c>
      <c r="AF447" s="55" t="str">
        <f aca="false">IF(ISNUMBER(AE447), RANK(AE447,AE$8:AE$507,1), "")</f>
        <v/>
      </c>
      <c r="AG447" s="57" t="str">
        <f aca="false">IF(ISBLANK(C447), "", ABS(M447-S447))</f>
        <v/>
      </c>
      <c r="AH447" s="55" t="str">
        <f aca="false">IF(ISNUMBER(AG447), RANK(AG447,AG$8:AG$507,1), "")</f>
        <v/>
      </c>
      <c r="AI447" s="55" t="str">
        <f aca="false">IF(ISBLANK(C447),"",IF(V447&lt;&gt;Constants!$B$14, V447, RANK(AD447, AD$8:AD$507, 1)+ SUMPRODUCT(--(AD$8:AD$507=AD447),--(AF447&gt;AF$8:AF$507)) + SUMPRODUCT(--(AD$8:AD$507=AD447),--(AF447=AF$8:AF$507),--(AH447&gt;AH$8:AH$507))))</f>
        <v/>
      </c>
      <c r="AJ447" s="55" t="str">
        <f aca="false">IF(ISBLANK(C447),"",IF(V447&lt;&gt;Constants!$B$14, V447, AD447-AI447))</f>
        <v/>
      </c>
      <c r="AK447" s="59"/>
      <c r="AL447" s="60" t="str">
        <f aca="false">IF(ISBLANK($C447),"",IF($V447&lt;&gt;Constants!$B$14,$V447,X447))</f>
        <v/>
      </c>
      <c r="AM447" s="60" t="str">
        <f aca="false">IF(ISBLANK($C447),"",IF($V447&lt;&gt;Constants!$B$14,$V447,N447))</f>
        <v/>
      </c>
      <c r="AN447" s="62" t="str">
        <f aca="false">IF(ISBLANK(C447),"",IF(V447&lt;&gt;Constants!$B$14, V447, IF(W447=Constants!$B$7,Z447,IF(W447=Constants!$B$8,AB447,""))))</f>
        <v/>
      </c>
      <c r="AO447" s="63" t="str">
        <f aca="false">IF(ISBLANK(C447),"",W447)</f>
        <v/>
      </c>
      <c r="AP447" s="63" t="str">
        <f aca="false">IF(ISBLANK(C447),"",AJ447)</f>
        <v/>
      </c>
      <c r="AQ447" s="63" t="str">
        <f aca="false">IF(ISBLANK(C447),"",AI447)</f>
        <v/>
      </c>
      <c r="AR447" s="64" t="str">
        <f aca="false">IF(ISBLANK(C447),
  "",
IF(AQ447=Constants!$B$11,COUNTA($C$8:$C$507)+2,IF(AQ447=Constants!$B$12,COUNTA($C$8:$C$507)+1,IF(AQ447=Constants!$B$13,COUNTA($C$8:$C$507),AQ447))))</f>
        <v/>
      </c>
      <c r="AS447" s="3"/>
      <c r="AT447" s="65" t="n">
        <f aca="false">IF(OR(ISNUMBER(AQ447),AQ447="DQ",AQ447="P",AQ447="NS"),
    1,
    0
)</f>
        <v>0</v>
      </c>
      <c r="AU447" s="65" t="n">
        <v>440</v>
      </c>
      <c r="AV447" s="65" t="str">
        <f aca="false">IF(ISBLANK($C447),
    "",
   IF(ISNUMBER(AR447),AR447+ROW($B447)/1000,"")
)</f>
        <v/>
      </c>
      <c r="AW447" s="65" t="str">
        <f aca="false">IF(ISNUMBER(AV447), RANK(AV447,AV$8:AV$507,1), "")</f>
        <v/>
      </c>
      <c r="AX447" s="65" t="str">
        <f aca="false">IF(ISBLANK($C447),
    "",
    $B447
)</f>
        <v/>
      </c>
      <c r="AY447" s="65" t="str">
        <f aca="false">IF(ISBLANK($C447),
    "",
    $C447
)</f>
        <v/>
      </c>
      <c r="AZ447" s="65" t="str">
        <f aca="false">IF(ISBLANK($C447),
    "",
    $D447
)</f>
        <v/>
      </c>
      <c r="BA447" s="65" t="str">
        <f aca="false">AO447</f>
        <v/>
      </c>
      <c r="BB447" s="66" t="str">
        <f aca="false">AN447</f>
        <v/>
      </c>
      <c r="BC447" s="65" t="str">
        <f aca="false">IF(ISBLANK($C447),
    "",
    AQ447
)</f>
        <v/>
      </c>
      <c r="BD447" s="67" t="str">
        <f aca="false">IF(AU447&gt;AT$7,
    "",
    VLOOKUP(AU447,AW$8:BC$507,7,FALSE())
)</f>
        <v/>
      </c>
      <c r="BE447" s="68" t="str">
        <f aca="false">IF(AU447&gt;AT$7,
    "",
    VLOOKUP(AU447,AW$8:BC$507,2,FALSE())
)</f>
        <v/>
      </c>
      <c r="BF447" s="68" t="str">
        <f aca="false">IF(AU447&gt;AT$7,
    "",
    VLOOKUP(AU447,AW$8:BC$507,3,FALSE())
)</f>
        <v/>
      </c>
      <c r="BG447" s="68" t="str">
        <f aca="false">IF(AU447&gt;AT$7,
    "",
    VLOOKUP(AU447,AW$8:BC$507,4,FALSE())
)</f>
        <v/>
      </c>
      <c r="BH447" s="68" t="str">
        <f aca="false">IF(AU447&gt;AT$7,
    "",
    VLOOKUP(AU447,AW$8:BC$507,5,FALSE())
)</f>
        <v/>
      </c>
      <c r="BI447" s="69" t="str">
        <f aca="false">IF(AU447&gt;AT$7,
    "",
    VLOOKUP(AU447,AW$8:BC$507,6,FALSE())
)</f>
        <v/>
      </c>
      <c r="BJ447" s="46"/>
    </row>
    <row r="448" customFormat="false" ht="15.75" hidden="false" customHeight="false" outlineLevel="0" collapsed="false">
      <c r="A448" s="3"/>
      <c r="B448" s="108"/>
      <c r="C448" s="70"/>
      <c r="D448" s="49"/>
      <c r="E448" s="109"/>
      <c r="F448" s="72"/>
      <c r="G448" s="109"/>
      <c r="H448" s="74"/>
      <c r="I448" s="104"/>
      <c r="J448" s="74"/>
      <c r="K448" s="74"/>
      <c r="L448" s="55"/>
      <c r="M448" s="55" t="str">
        <f aca="false">IF(ISBLANK($C448),"",IF(ISBLANK(E448),0,E448))</f>
        <v/>
      </c>
      <c r="N448" s="55" t="str">
        <f aca="false">IF(ISBLANK($C448),"",IF(ISBLANK(F448),0,F448))</f>
        <v/>
      </c>
      <c r="O448" s="55" t="e">
        <f aca="false">IF(AND(NOT(ISBLANK($C448)),NOT($T448),COUNTA($E448:$K448)&gt;0),ISBLANK($F448),FALSE())</f>
        <v>#VALUE!</v>
      </c>
      <c r="P448" s="55" t="str">
        <f aca="false">IF(ISBLANK($C448),"",IF(G448=Constants!$B$9, TRUE(), IF(G448=Constants!$B$10, FALSE(), TRUE())))</f>
        <v/>
      </c>
      <c r="Q448" s="55" t="str">
        <f aca="false">IF(ISBLANK($C448),"",IF(H448=Constants!$B$9, TRUE(), IF(H448=Constants!$B$10, FALSE(), TRUE())))</f>
        <v/>
      </c>
      <c r="R448" s="55" t="str">
        <f aca="false">IF(ISBLANK($C448),"",IF(ISBLANK(I448),Constants!$B$3,I448))</f>
        <v/>
      </c>
      <c r="S448" s="55" t="str">
        <f aca="false">IF(ISBLANK($C448),"",IF(ISBLANK(J448),0,MIN(J448,Constants!$B$6)))</f>
        <v/>
      </c>
      <c r="T448" s="55" t="str">
        <f aca="false">IF(ISBLANK($C448),"",IF(K448=Constants!$B$9, TRUE(), IF(K448=Constants!$B$10, FALSE(),  FALSE())))</f>
        <v/>
      </c>
      <c r="U448" s="55" t="str">
        <f aca="false">IF(ISBLANK($C448),"",AND(R448=Constants!$B$4, S448&lt;Constants!$B$6))</f>
        <v/>
      </c>
      <c r="V448" s="55" t="str">
        <f aca="false">IF(ISBLANK(C448), "", IF(T448, Constants!$B$11, IF(COUNTA(E448:K448)=0, Constants!$B$12, IF(NOT(AND(P448,S448&lt;&gt;0)), Constants!$B$13, IF(O448, Constants!$B$15, Constants!$B$14)))))</f>
        <v/>
      </c>
      <c r="W448" s="55" t="str">
        <f aca="false">IF(OR(ISBLANK($C448), SUMPRODUCT(--(P448:T448&lt;&gt;""))=0), "", IF(V448&lt;&gt;Constants!$B$14, V448, IF(AND(NOT(ISBLANK(J448)),P448,Q448,R448&lt;&gt;Constants!$B$2), Constants!$B$7, IF(AND(P448,OR(NOT(Q448),R448=Constants!$B$2)), Constants!$B$8, "Error"))))</f>
        <v/>
      </c>
      <c r="X448" s="56" t="str">
        <f aca="false">IF(OR(W448=Constants!$B$7,W448=Constants!$B$8), MAX(0, MIN(Constants!$B$6, S448))+IF(AND(R448=Constants!$B$4, NOT(U448)), Constants!$B$5, 0), "")</f>
        <v/>
      </c>
      <c r="Y448" s="55" t="str">
        <f aca="false">IF(ISBLANK($C448),"",IF(AND(ISNUMBER(X448),N448&gt;0),X448/N448, "") )</f>
        <v/>
      </c>
      <c r="Z448" s="55" t="str">
        <f aca="false">IF(AND(NOT(ISBLANK($C448)), W448=Constants!$B$7), Y448, "")</f>
        <v/>
      </c>
      <c r="AA448" s="55" t="str">
        <f aca="false">IF(ISNUMBER(Z448), RANK(Z448,Z$8:Z$507), "")</f>
        <v/>
      </c>
      <c r="AB448" s="55" t="str">
        <f aca="false">IF(AND(NOT(ISBLANK($C448)), W448=Constants!$B$8), Y448, "")</f>
        <v/>
      </c>
      <c r="AC448" s="55" t="str">
        <f aca="false">IF(ISNUMBER(AB448), RANK(AB448,AB$8:AB$507), "")</f>
        <v/>
      </c>
      <c r="AD448" s="55" t="str">
        <f aca="false">IF(ISBLANK($C448),"",IF(V448&lt;&gt;Constants!$B$14, V448, IF(W448=Constants!$B$7, AA448, IF(W448=Constants!$B$8, COUNT($AA$8:$AA$507) + AC448, ""))))</f>
        <v/>
      </c>
      <c r="AE448" s="55" t="str">
        <f aca="false">N448</f>
        <v/>
      </c>
      <c r="AF448" s="55" t="str">
        <f aca="false">IF(ISNUMBER(AE448), RANK(AE448,AE$8:AE$507,1), "")</f>
        <v/>
      </c>
      <c r="AG448" s="57" t="str">
        <f aca="false">IF(ISBLANK(C448), "", ABS(M448-S448))</f>
        <v/>
      </c>
      <c r="AH448" s="55" t="str">
        <f aca="false">IF(ISNUMBER(AG448), RANK(AG448,AG$8:AG$507,1), "")</f>
        <v/>
      </c>
      <c r="AI448" s="55" t="str">
        <f aca="false">IF(ISBLANK(C448),"",IF(V448&lt;&gt;Constants!$B$14, V448, RANK(AD448, AD$8:AD$507, 1)+ SUMPRODUCT(--(AD$8:AD$507=AD448),--(AF448&gt;AF$8:AF$507)) + SUMPRODUCT(--(AD$8:AD$507=AD448),--(AF448=AF$8:AF$507),--(AH448&gt;AH$8:AH$507))))</f>
        <v/>
      </c>
      <c r="AJ448" s="55" t="str">
        <f aca="false">IF(ISBLANK(C448),"",IF(V448&lt;&gt;Constants!$B$14, V448, AD448-AI448))</f>
        <v/>
      </c>
      <c r="AK448" s="59"/>
      <c r="AL448" s="60" t="str">
        <f aca="false">IF(ISBLANK($C448),"",IF($V448&lt;&gt;Constants!$B$14,$V448,X448))</f>
        <v/>
      </c>
      <c r="AM448" s="60" t="str">
        <f aca="false">IF(ISBLANK($C448),"",IF($V448&lt;&gt;Constants!$B$14,$V448,N448))</f>
        <v/>
      </c>
      <c r="AN448" s="62" t="str">
        <f aca="false">IF(ISBLANK(C448),"",IF(V448&lt;&gt;Constants!$B$14, V448, IF(W448=Constants!$B$7,Z448,IF(W448=Constants!$B$8,AB448,""))))</f>
        <v/>
      </c>
      <c r="AO448" s="63" t="str">
        <f aca="false">IF(ISBLANK(C448),"",W448)</f>
        <v/>
      </c>
      <c r="AP448" s="63" t="str">
        <f aca="false">IF(ISBLANK(C448),"",AJ448)</f>
        <v/>
      </c>
      <c r="AQ448" s="63" t="str">
        <f aca="false">IF(ISBLANK(C448),"",AI448)</f>
        <v/>
      </c>
      <c r="AR448" s="64" t="str">
        <f aca="false">IF(ISBLANK(C448),
  "",
IF(AQ448=Constants!$B$11,COUNTA($C$8:$C$507)+2,IF(AQ448=Constants!$B$12,COUNTA($C$8:$C$507)+1,IF(AQ448=Constants!$B$13,COUNTA($C$8:$C$507),AQ448))))</f>
        <v/>
      </c>
      <c r="AS448" s="3"/>
      <c r="AT448" s="65" t="n">
        <f aca="false">IF(OR(ISNUMBER(AQ448),AQ448="DQ",AQ448="P",AQ448="NS"),
    1,
    0
)</f>
        <v>0</v>
      </c>
      <c r="AU448" s="65" t="n">
        <v>441</v>
      </c>
      <c r="AV448" s="65" t="str">
        <f aca="false">IF(ISBLANK($C448),
    "",
   IF(ISNUMBER(AR448),AR448+ROW($B448)/1000,"")
)</f>
        <v/>
      </c>
      <c r="AW448" s="65" t="str">
        <f aca="false">IF(ISNUMBER(AV448), RANK(AV448,AV$8:AV$507,1), "")</f>
        <v/>
      </c>
      <c r="AX448" s="65" t="str">
        <f aca="false">IF(ISBLANK($C448),
    "",
    $B448
)</f>
        <v/>
      </c>
      <c r="AY448" s="65" t="str">
        <f aca="false">IF(ISBLANK($C448),
    "",
    $C448
)</f>
        <v/>
      </c>
      <c r="AZ448" s="65" t="str">
        <f aca="false">IF(ISBLANK($C448),
    "",
    $D448
)</f>
        <v/>
      </c>
      <c r="BA448" s="65" t="str">
        <f aca="false">AO448</f>
        <v/>
      </c>
      <c r="BB448" s="66" t="str">
        <f aca="false">AN448</f>
        <v/>
      </c>
      <c r="BC448" s="65" t="str">
        <f aca="false">IF(ISBLANK($C448),
    "",
    AQ448
)</f>
        <v/>
      </c>
      <c r="BD448" s="67" t="str">
        <f aca="false">IF(AU448&gt;AT$7,
    "",
    VLOOKUP(AU448,AW$8:BC$507,7,FALSE())
)</f>
        <v/>
      </c>
      <c r="BE448" s="68" t="str">
        <f aca="false">IF(AU448&gt;AT$7,
    "",
    VLOOKUP(AU448,AW$8:BC$507,2,FALSE())
)</f>
        <v/>
      </c>
      <c r="BF448" s="68" t="str">
        <f aca="false">IF(AU448&gt;AT$7,
    "",
    VLOOKUP(AU448,AW$8:BC$507,3,FALSE())
)</f>
        <v/>
      </c>
      <c r="BG448" s="68" t="str">
        <f aca="false">IF(AU448&gt;AT$7,
    "",
    VLOOKUP(AU448,AW$8:BC$507,4,FALSE())
)</f>
        <v/>
      </c>
      <c r="BH448" s="68" t="str">
        <f aca="false">IF(AU448&gt;AT$7,
    "",
    VLOOKUP(AU448,AW$8:BC$507,5,FALSE())
)</f>
        <v/>
      </c>
      <c r="BI448" s="69" t="str">
        <f aca="false">IF(AU448&gt;AT$7,
    "",
    VLOOKUP(AU448,AW$8:BC$507,6,FALSE())
)</f>
        <v/>
      </c>
      <c r="BJ448" s="46"/>
    </row>
    <row r="449" customFormat="false" ht="15.75" hidden="false" customHeight="false" outlineLevel="0" collapsed="false">
      <c r="A449" s="3"/>
      <c r="B449" s="105"/>
      <c r="C449" s="106"/>
      <c r="D449" s="99"/>
      <c r="E449" s="110"/>
      <c r="F449" s="107"/>
      <c r="G449" s="110"/>
      <c r="H449" s="103"/>
      <c r="I449" s="102"/>
      <c r="J449" s="103"/>
      <c r="K449" s="103"/>
      <c r="L449" s="85"/>
      <c r="M449" s="85" t="str">
        <f aca="false">IF(ISBLANK($C449),"",IF(ISBLANK(E449),0,E449))</f>
        <v/>
      </c>
      <c r="N449" s="85" t="str">
        <f aca="false">IF(ISBLANK($C449),"",IF(ISBLANK(F449),0,F449))</f>
        <v/>
      </c>
      <c r="O449" s="86" t="e">
        <f aca="false">IF(AND(NOT(ISBLANK($C449)),NOT($T449),COUNTA($E449:$K449)&gt;0),ISBLANK($F449),FALSE())</f>
        <v>#VALUE!</v>
      </c>
      <c r="P449" s="85" t="str">
        <f aca="false">IF(ISBLANK($C449),"",IF(G449=Constants!$B$9, TRUE(), IF(G449=Constants!$B$10, FALSE(), TRUE())))</f>
        <v/>
      </c>
      <c r="Q449" s="85" t="str">
        <f aca="false">IF(ISBLANK($C449),"",IF(H449=Constants!$B$9, TRUE(), IF(H449=Constants!$B$10, FALSE(), TRUE())))</f>
        <v/>
      </c>
      <c r="R449" s="85" t="str">
        <f aca="false">IF(ISBLANK($C449),"",IF(ISBLANK(I449),Constants!$B$3,I449))</f>
        <v/>
      </c>
      <c r="S449" s="85" t="str">
        <f aca="false">IF(ISBLANK($C449),"",IF(ISBLANK(J449),0,MIN(J449,Constants!$B$6)))</f>
        <v/>
      </c>
      <c r="T449" s="85" t="str">
        <f aca="false">IF(ISBLANK($C449),"",IF(K449=Constants!$B$9, TRUE(), IF(K449=Constants!$B$10, FALSE(),  FALSE())))</f>
        <v/>
      </c>
      <c r="U449" s="85" t="str">
        <f aca="false">IF(ISBLANK($C449),"",AND(R449=Constants!$B$4, S449&lt;Constants!$B$6))</f>
        <v/>
      </c>
      <c r="V449" s="85" t="str">
        <f aca="false">IF(ISBLANK(C449), "", IF(T449, Constants!$B$11, IF(COUNTA(E449:K449)=0, Constants!$B$12, IF(NOT(AND(P449,S449&lt;&gt;0)), Constants!$B$13, IF(O449, Constants!$B$15, Constants!$B$14)))))</f>
        <v/>
      </c>
      <c r="W449" s="85" t="str">
        <f aca="false">IF(OR(ISBLANK($C449), SUMPRODUCT(--(P449:T449&lt;&gt;""))=0), "", IF(V449&lt;&gt;Constants!$B$14, V449, IF(AND(NOT(ISBLANK(J449)),P449,Q449,R449&lt;&gt;Constants!$B$2), Constants!$B$7, IF(AND(P449,OR(NOT(Q449),R449=Constants!$B$2)), Constants!$B$8, "Error"))))</f>
        <v/>
      </c>
      <c r="X449" s="87" t="str">
        <f aca="false">IF(OR(W449=Constants!$B$7,W449=Constants!$B$8), MAX(0, MIN(Constants!$B$6, S449))+IF(AND(R449=Constants!$B$4, NOT(U449)), Constants!$B$5, 0), "")</f>
        <v/>
      </c>
      <c r="Y449" s="85" t="str">
        <f aca="false">IF(ISBLANK($C449),"",IF(AND(ISNUMBER(X449),N449&gt;0),X449/N449, "") )</f>
        <v/>
      </c>
      <c r="Z449" s="85" t="str">
        <f aca="false">IF(AND(NOT(ISBLANK($C449)), W449=Constants!$B$7), Y449, "")</f>
        <v/>
      </c>
      <c r="AA449" s="85" t="str">
        <f aca="false">IF(ISNUMBER(Z449), RANK(Z449,Z$8:Z$507), "")</f>
        <v/>
      </c>
      <c r="AB449" s="85" t="str">
        <f aca="false">IF(AND(NOT(ISBLANK($C449)), W449=Constants!$B$8), Y449, "")</f>
        <v/>
      </c>
      <c r="AC449" s="85" t="str">
        <f aca="false">IF(ISNUMBER(AB449), RANK(AB449,AB$8:AB$507), "")</f>
        <v/>
      </c>
      <c r="AD449" s="85" t="str">
        <f aca="false">IF(ISBLANK($C449),"",IF(V449&lt;&gt;Constants!$B$14, V449, IF(W449=Constants!$B$7, AA449, IF(W449=Constants!$B$8, COUNT($AA$8:$AA$507) + AC449, ""))))</f>
        <v/>
      </c>
      <c r="AE449" s="85" t="str">
        <f aca="false">N449</f>
        <v/>
      </c>
      <c r="AF449" s="85" t="str">
        <f aca="false">IF(ISNUMBER(AE449), RANK(AE449,AE$8:AE$507,1), "")</f>
        <v/>
      </c>
      <c r="AG449" s="88" t="str">
        <f aca="false">IF(ISBLANK(C449), "", ABS(M449-S449))</f>
        <v/>
      </c>
      <c r="AH449" s="85" t="str">
        <f aca="false">IF(ISNUMBER(AG449), RANK(AG449,AG$8:AG$507,1), "")</f>
        <v/>
      </c>
      <c r="AI449" s="85" t="str">
        <f aca="false">IF(ISBLANK(C449),"",IF(V449&lt;&gt;Constants!$B$14, V449, RANK(AD449, AD$8:AD$507, 1)+ SUMPRODUCT(--(AD$8:AD$507=AD449),--(AF449&gt;AF$8:AF$507)) + SUMPRODUCT(--(AD$8:AD$507=AD449),--(AF449=AF$8:AF$507),--(AH449&gt;AH$8:AH$507))))</f>
        <v/>
      </c>
      <c r="AJ449" s="85" t="str">
        <f aca="false">IF(ISBLANK(C449),"",IF(V449&lt;&gt;Constants!$B$14, V449, AD449-AI449))</f>
        <v/>
      </c>
      <c r="AK449" s="89"/>
      <c r="AL449" s="90" t="str">
        <f aca="false">IF(ISBLANK($C449),"",IF($V449&lt;&gt;Constants!$B$14,$V449,X449))</f>
        <v/>
      </c>
      <c r="AM449" s="90" t="str">
        <f aca="false">IF(ISBLANK($C449),"",IF($V449&lt;&gt;Constants!$B$14,$V449,N449))</f>
        <v/>
      </c>
      <c r="AN449" s="91" t="str">
        <f aca="false">IF(ISBLANK(C449),"",IF(V449&lt;&gt;Constants!$B$14, V449, IF(W449=Constants!$B$7,Z449,IF(W449=Constants!$B$8,AB449,""))))</f>
        <v/>
      </c>
      <c r="AO449" s="92" t="str">
        <f aca="false">IF(ISBLANK(C449),"",W449)</f>
        <v/>
      </c>
      <c r="AP449" s="92" t="str">
        <f aca="false">IF(ISBLANK(C449),"",AJ449)</f>
        <v/>
      </c>
      <c r="AQ449" s="92" t="str">
        <f aca="false">IF(ISBLANK(C449),"",AI449)</f>
        <v/>
      </c>
      <c r="AR449" s="93" t="str">
        <f aca="false">IF(ISBLANK(C449),
  "",
IF(AQ449=Constants!$B$11,COUNTA($C$8:$C$507)+2,IF(AQ449=Constants!$B$12,COUNTA($C$8:$C$507)+1,IF(AQ449=Constants!$B$13,COUNTA($C$8:$C$507),AQ449))))</f>
        <v/>
      </c>
      <c r="AS449" s="3"/>
      <c r="AT449" s="94" t="n">
        <f aca="false">IF(OR(ISNUMBER(AQ449),AQ449="DQ",AQ449="P",AQ449="NS"),
    1,
    0
)</f>
        <v>0</v>
      </c>
      <c r="AU449" s="94" t="n">
        <v>442</v>
      </c>
      <c r="AV449" s="94" t="str">
        <f aca="false">IF(ISBLANK($C449),
    "",
   IF(ISNUMBER(AR449),AR449+ROW($B449)/1000,"")
)</f>
        <v/>
      </c>
      <c r="AW449" s="94" t="str">
        <f aca="false">IF(ISNUMBER(AV449), RANK(AV449,AV$8:AV$507,1), "")</f>
        <v/>
      </c>
      <c r="AX449" s="94" t="str">
        <f aca="false">IF(ISBLANK($C449),
    "",
    $B449
)</f>
        <v/>
      </c>
      <c r="AY449" s="94" t="str">
        <f aca="false">IF(ISBLANK($C449),
    "",
    $C449
)</f>
        <v/>
      </c>
      <c r="AZ449" s="94" t="str">
        <f aca="false">IF(ISBLANK($C449),
    "",
    $D449
)</f>
        <v/>
      </c>
      <c r="BA449" s="94" t="str">
        <f aca="false">AO449</f>
        <v/>
      </c>
      <c r="BB449" s="95" t="str">
        <f aca="false">AN449</f>
        <v/>
      </c>
      <c r="BC449" s="94" t="str">
        <f aca="false">IF(ISBLANK($C449),
    "",
    AQ449
)</f>
        <v/>
      </c>
      <c r="BD449" s="96" t="str">
        <f aca="false">IF(AU449&gt;AT$7,
    "",
    VLOOKUP(AU449,AW$8:BC$507,7,FALSE())
)</f>
        <v/>
      </c>
      <c r="BE449" s="97" t="str">
        <f aca="false">IF(AU449&gt;AT$7,
    "",
    VLOOKUP(AU449,AW$8:BC$507,2,FALSE())
)</f>
        <v/>
      </c>
      <c r="BF449" s="97" t="str">
        <f aca="false">IF(AU449&gt;AT$7,
    "",
    VLOOKUP(AU449,AW$8:BC$507,3,FALSE())
)</f>
        <v/>
      </c>
      <c r="BG449" s="97" t="str">
        <f aca="false">IF(AU449&gt;AT$7,
    "",
    VLOOKUP(AU449,AW$8:BC$507,4,FALSE())
)</f>
        <v/>
      </c>
      <c r="BH449" s="97" t="str">
        <f aca="false">IF(AU449&gt;AT$7,
    "",
    VLOOKUP(AU449,AW$8:BC$507,5,FALSE())
)</f>
        <v/>
      </c>
      <c r="BI449" s="98" t="str">
        <f aca="false">IF(AU449&gt;AT$7,
    "",
    VLOOKUP(AU449,AW$8:BC$507,6,FALSE())
)</f>
        <v/>
      </c>
      <c r="BJ449" s="46"/>
    </row>
    <row r="450" customFormat="false" ht="15.75" hidden="false" customHeight="false" outlineLevel="0" collapsed="false">
      <c r="A450" s="3"/>
      <c r="B450" s="105"/>
      <c r="C450" s="106"/>
      <c r="D450" s="99"/>
      <c r="E450" s="110"/>
      <c r="F450" s="107"/>
      <c r="G450" s="110"/>
      <c r="H450" s="103"/>
      <c r="I450" s="102"/>
      <c r="J450" s="103"/>
      <c r="K450" s="103"/>
      <c r="L450" s="85"/>
      <c r="M450" s="85" t="str">
        <f aca="false">IF(ISBLANK($C450),"",IF(ISBLANK(E450),0,E450))</f>
        <v/>
      </c>
      <c r="N450" s="85" t="str">
        <f aca="false">IF(ISBLANK($C450),"",IF(ISBLANK(F450),0,F450))</f>
        <v/>
      </c>
      <c r="O450" s="86" t="e">
        <f aca="false">IF(AND(NOT(ISBLANK($C450)),NOT($T450),COUNTA($E450:$K450)&gt;0),ISBLANK($F450),FALSE())</f>
        <v>#VALUE!</v>
      </c>
      <c r="P450" s="85" t="str">
        <f aca="false">IF(ISBLANK($C450),"",IF(G450=Constants!$B$9, TRUE(), IF(G450=Constants!$B$10, FALSE(), TRUE())))</f>
        <v/>
      </c>
      <c r="Q450" s="85" t="str">
        <f aca="false">IF(ISBLANK($C450),"",IF(H450=Constants!$B$9, TRUE(), IF(H450=Constants!$B$10, FALSE(), TRUE())))</f>
        <v/>
      </c>
      <c r="R450" s="85" t="str">
        <f aca="false">IF(ISBLANK($C450),"",IF(ISBLANK(I450),Constants!$B$3,I450))</f>
        <v/>
      </c>
      <c r="S450" s="85" t="str">
        <f aca="false">IF(ISBLANK($C450),"",IF(ISBLANK(J450),0,MIN(J450,Constants!$B$6)))</f>
        <v/>
      </c>
      <c r="T450" s="85" t="str">
        <f aca="false">IF(ISBLANK($C450),"",IF(K450=Constants!$B$9, TRUE(), IF(K450=Constants!$B$10, FALSE(),  FALSE())))</f>
        <v/>
      </c>
      <c r="U450" s="85" t="str">
        <f aca="false">IF(ISBLANK($C450),"",AND(R450=Constants!$B$4, S450&lt;Constants!$B$6))</f>
        <v/>
      </c>
      <c r="V450" s="85" t="str">
        <f aca="false">IF(ISBLANK(C450), "", IF(T450, Constants!$B$11, IF(COUNTA(E450:K450)=0, Constants!$B$12, IF(NOT(AND(P450,S450&lt;&gt;0)), Constants!$B$13, IF(O450, Constants!$B$15, Constants!$B$14)))))</f>
        <v/>
      </c>
      <c r="W450" s="85" t="str">
        <f aca="false">IF(OR(ISBLANK($C450), SUMPRODUCT(--(P450:T450&lt;&gt;""))=0), "", IF(V450&lt;&gt;Constants!$B$14, V450, IF(AND(NOT(ISBLANK(J450)),P450,Q450,R450&lt;&gt;Constants!$B$2), Constants!$B$7, IF(AND(P450,OR(NOT(Q450),R450=Constants!$B$2)), Constants!$B$8, "Error"))))</f>
        <v/>
      </c>
      <c r="X450" s="87" t="str">
        <f aca="false">IF(OR(W450=Constants!$B$7,W450=Constants!$B$8), MAX(0, MIN(Constants!$B$6, S450))+IF(AND(R450=Constants!$B$4, NOT(U450)), Constants!$B$5, 0), "")</f>
        <v/>
      </c>
      <c r="Y450" s="85" t="str">
        <f aca="false">IF(ISBLANK($C450),"",IF(AND(ISNUMBER(X450),N450&gt;0),X450/N450, "") )</f>
        <v/>
      </c>
      <c r="Z450" s="85" t="str">
        <f aca="false">IF(AND(NOT(ISBLANK($C450)), W450=Constants!$B$7), Y450, "")</f>
        <v/>
      </c>
      <c r="AA450" s="85" t="str">
        <f aca="false">IF(ISNUMBER(Z450), RANK(Z450,Z$8:Z$507), "")</f>
        <v/>
      </c>
      <c r="AB450" s="85" t="str">
        <f aca="false">IF(AND(NOT(ISBLANK($C450)), W450=Constants!$B$8), Y450, "")</f>
        <v/>
      </c>
      <c r="AC450" s="85" t="str">
        <f aca="false">IF(ISNUMBER(AB450), RANK(AB450,AB$8:AB$507), "")</f>
        <v/>
      </c>
      <c r="AD450" s="85" t="str">
        <f aca="false">IF(ISBLANK($C450),"",IF(V450&lt;&gt;Constants!$B$14, V450, IF(W450=Constants!$B$7, AA450, IF(W450=Constants!$B$8, COUNT($AA$8:$AA$507) + AC450, ""))))</f>
        <v/>
      </c>
      <c r="AE450" s="85" t="str">
        <f aca="false">N450</f>
        <v/>
      </c>
      <c r="AF450" s="85" t="str">
        <f aca="false">IF(ISNUMBER(AE450), RANK(AE450,AE$8:AE$507,1), "")</f>
        <v/>
      </c>
      <c r="AG450" s="88" t="str">
        <f aca="false">IF(ISBLANK(C450), "", ABS(M450-S450))</f>
        <v/>
      </c>
      <c r="AH450" s="85" t="str">
        <f aca="false">IF(ISNUMBER(AG450), RANK(AG450,AG$8:AG$507,1), "")</f>
        <v/>
      </c>
      <c r="AI450" s="85" t="str">
        <f aca="false">IF(ISBLANK(C450),"",IF(V450&lt;&gt;Constants!$B$14, V450, RANK(AD450, AD$8:AD$507, 1)+ SUMPRODUCT(--(AD$8:AD$507=AD450),--(AF450&gt;AF$8:AF$507)) + SUMPRODUCT(--(AD$8:AD$507=AD450),--(AF450=AF$8:AF$507),--(AH450&gt;AH$8:AH$507))))</f>
        <v/>
      </c>
      <c r="AJ450" s="85" t="str">
        <f aca="false">IF(ISBLANK(C450),"",IF(V450&lt;&gt;Constants!$B$14, V450, AD450-AI450))</f>
        <v/>
      </c>
      <c r="AK450" s="89"/>
      <c r="AL450" s="90" t="str">
        <f aca="false">IF(ISBLANK($C450),"",IF($V450&lt;&gt;Constants!$B$14,$V450,X450))</f>
        <v/>
      </c>
      <c r="AM450" s="90" t="str">
        <f aca="false">IF(ISBLANK($C450),"",IF($V450&lt;&gt;Constants!$B$14,$V450,N450))</f>
        <v/>
      </c>
      <c r="AN450" s="91" t="str">
        <f aca="false">IF(ISBLANK(C450),"",IF(V450&lt;&gt;Constants!$B$14, V450, IF(W450=Constants!$B$7,Z450,IF(W450=Constants!$B$8,AB450,""))))</f>
        <v/>
      </c>
      <c r="AO450" s="92" t="str">
        <f aca="false">IF(ISBLANK(C450),"",W450)</f>
        <v/>
      </c>
      <c r="AP450" s="92" t="str">
        <f aca="false">IF(ISBLANK(C450),"",AJ450)</f>
        <v/>
      </c>
      <c r="AQ450" s="92" t="str">
        <f aca="false">IF(ISBLANK(C450),"",AI450)</f>
        <v/>
      </c>
      <c r="AR450" s="93" t="str">
        <f aca="false">IF(ISBLANK(C450),
  "",
IF(AQ450=Constants!$B$11,COUNTA($C$8:$C$507)+2,IF(AQ450=Constants!$B$12,COUNTA($C$8:$C$507)+1,IF(AQ450=Constants!$B$13,COUNTA($C$8:$C$507),AQ450))))</f>
        <v/>
      </c>
      <c r="AS450" s="3"/>
      <c r="AT450" s="94" t="n">
        <f aca="false">IF(OR(ISNUMBER(AQ450),AQ450="DQ",AQ450="P",AQ450="NS"),
    1,
    0
)</f>
        <v>0</v>
      </c>
      <c r="AU450" s="94" t="n">
        <v>443</v>
      </c>
      <c r="AV450" s="94" t="str">
        <f aca="false">IF(ISBLANK($C450),
    "",
   IF(ISNUMBER(AR450),AR450+ROW($B450)/1000,"")
)</f>
        <v/>
      </c>
      <c r="AW450" s="94" t="str">
        <f aca="false">IF(ISNUMBER(AV450), RANK(AV450,AV$8:AV$507,1), "")</f>
        <v/>
      </c>
      <c r="AX450" s="94" t="str">
        <f aca="false">IF(ISBLANK($C450),
    "",
    $B450
)</f>
        <v/>
      </c>
      <c r="AY450" s="94" t="str">
        <f aca="false">IF(ISBLANK($C450),
    "",
    $C450
)</f>
        <v/>
      </c>
      <c r="AZ450" s="94" t="str">
        <f aca="false">IF(ISBLANK($C450),
    "",
    $D450
)</f>
        <v/>
      </c>
      <c r="BA450" s="94" t="str">
        <f aca="false">AO450</f>
        <v/>
      </c>
      <c r="BB450" s="95" t="str">
        <f aca="false">AN450</f>
        <v/>
      </c>
      <c r="BC450" s="94" t="str">
        <f aca="false">IF(ISBLANK($C450),
    "",
    AQ450
)</f>
        <v/>
      </c>
      <c r="BD450" s="96" t="str">
        <f aca="false">IF(AU450&gt;AT$7,
    "",
    VLOOKUP(AU450,AW$8:BC$507,7,FALSE())
)</f>
        <v/>
      </c>
      <c r="BE450" s="97" t="str">
        <f aca="false">IF(AU450&gt;AT$7,
    "",
    VLOOKUP(AU450,AW$8:BC$507,2,FALSE())
)</f>
        <v/>
      </c>
      <c r="BF450" s="97" t="str">
        <f aca="false">IF(AU450&gt;AT$7,
    "",
    VLOOKUP(AU450,AW$8:BC$507,3,FALSE())
)</f>
        <v/>
      </c>
      <c r="BG450" s="97" t="str">
        <f aca="false">IF(AU450&gt;AT$7,
    "",
    VLOOKUP(AU450,AW$8:BC$507,4,FALSE())
)</f>
        <v/>
      </c>
      <c r="BH450" s="97" t="str">
        <f aca="false">IF(AU450&gt;AT$7,
    "",
    VLOOKUP(AU450,AW$8:BC$507,5,FALSE())
)</f>
        <v/>
      </c>
      <c r="BI450" s="98" t="str">
        <f aca="false">IF(AU450&gt;AT$7,
    "",
    VLOOKUP(AU450,AW$8:BC$507,6,FALSE())
)</f>
        <v/>
      </c>
      <c r="BJ450" s="46"/>
    </row>
    <row r="451" customFormat="false" ht="15.75" hidden="false" customHeight="false" outlineLevel="0" collapsed="false">
      <c r="A451" s="3"/>
      <c r="B451" s="105"/>
      <c r="C451" s="106"/>
      <c r="D451" s="99"/>
      <c r="E451" s="110"/>
      <c r="F451" s="107"/>
      <c r="G451" s="110"/>
      <c r="H451" s="103"/>
      <c r="I451" s="102"/>
      <c r="J451" s="103"/>
      <c r="K451" s="103"/>
      <c r="L451" s="85"/>
      <c r="M451" s="85" t="str">
        <f aca="false">IF(ISBLANK($C451),"",IF(ISBLANK(E451),0,E451))</f>
        <v/>
      </c>
      <c r="N451" s="85" t="str">
        <f aca="false">IF(ISBLANK($C451),"",IF(ISBLANK(F451),0,F451))</f>
        <v/>
      </c>
      <c r="O451" s="86" t="e">
        <f aca="false">IF(AND(NOT(ISBLANK($C451)),NOT($T451),COUNTA($E451:$K451)&gt;0),ISBLANK($F451),FALSE())</f>
        <v>#VALUE!</v>
      </c>
      <c r="P451" s="85" t="str">
        <f aca="false">IF(ISBLANK($C451),"",IF(G451=Constants!$B$9, TRUE(), IF(G451=Constants!$B$10, FALSE(), TRUE())))</f>
        <v/>
      </c>
      <c r="Q451" s="85" t="str">
        <f aca="false">IF(ISBLANK($C451),"",IF(H451=Constants!$B$9, TRUE(), IF(H451=Constants!$B$10, FALSE(), TRUE())))</f>
        <v/>
      </c>
      <c r="R451" s="85" t="str">
        <f aca="false">IF(ISBLANK($C451),"",IF(ISBLANK(I451),Constants!$B$3,I451))</f>
        <v/>
      </c>
      <c r="S451" s="85" t="str">
        <f aca="false">IF(ISBLANK($C451),"",IF(ISBLANK(J451),0,MIN(J451,Constants!$B$6)))</f>
        <v/>
      </c>
      <c r="T451" s="85" t="str">
        <f aca="false">IF(ISBLANK($C451),"",IF(K451=Constants!$B$9, TRUE(), IF(K451=Constants!$B$10, FALSE(),  FALSE())))</f>
        <v/>
      </c>
      <c r="U451" s="85" t="str">
        <f aca="false">IF(ISBLANK($C451),"",AND(R451=Constants!$B$4, S451&lt;Constants!$B$6))</f>
        <v/>
      </c>
      <c r="V451" s="85" t="str">
        <f aca="false">IF(ISBLANK(C451), "", IF(T451, Constants!$B$11, IF(COUNTA(E451:K451)=0, Constants!$B$12, IF(NOT(AND(P451,S451&lt;&gt;0)), Constants!$B$13, IF(O451, Constants!$B$15, Constants!$B$14)))))</f>
        <v/>
      </c>
      <c r="W451" s="85" t="str">
        <f aca="false">IF(OR(ISBLANK($C451), SUMPRODUCT(--(P451:T451&lt;&gt;""))=0), "", IF(V451&lt;&gt;Constants!$B$14, V451, IF(AND(NOT(ISBLANK(J451)),P451,Q451,R451&lt;&gt;Constants!$B$2), Constants!$B$7, IF(AND(P451,OR(NOT(Q451),R451=Constants!$B$2)), Constants!$B$8, "Error"))))</f>
        <v/>
      </c>
      <c r="X451" s="87" t="str">
        <f aca="false">IF(OR(W451=Constants!$B$7,W451=Constants!$B$8), MAX(0, MIN(Constants!$B$6, S451))+IF(AND(R451=Constants!$B$4, NOT(U451)), Constants!$B$5, 0), "")</f>
        <v/>
      </c>
      <c r="Y451" s="85" t="str">
        <f aca="false">IF(ISBLANK($C451),"",IF(AND(ISNUMBER(X451),N451&gt;0),X451/N451, "") )</f>
        <v/>
      </c>
      <c r="Z451" s="85" t="str">
        <f aca="false">IF(AND(NOT(ISBLANK($C451)), W451=Constants!$B$7), Y451, "")</f>
        <v/>
      </c>
      <c r="AA451" s="85" t="str">
        <f aca="false">IF(ISNUMBER(Z451), RANK(Z451,Z$8:Z$507), "")</f>
        <v/>
      </c>
      <c r="AB451" s="85" t="str">
        <f aca="false">IF(AND(NOT(ISBLANK($C451)), W451=Constants!$B$8), Y451, "")</f>
        <v/>
      </c>
      <c r="AC451" s="85" t="str">
        <f aca="false">IF(ISNUMBER(AB451), RANK(AB451,AB$8:AB$507), "")</f>
        <v/>
      </c>
      <c r="AD451" s="85" t="str">
        <f aca="false">IF(ISBLANK($C451),"",IF(V451&lt;&gt;Constants!$B$14, V451, IF(W451=Constants!$B$7, AA451, IF(W451=Constants!$B$8, COUNT($AA$8:$AA$507) + AC451, ""))))</f>
        <v/>
      </c>
      <c r="AE451" s="85" t="str">
        <f aca="false">N451</f>
        <v/>
      </c>
      <c r="AF451" s="85" t="str">
        <f aca="false">IF(ISNUMBER(AE451), RANK(AE451,AE$8:AE$507,1), "")</f>
        <v/>
      </c>
      <c r="AG451" s="88" t="str">
        <f aca="false">IF(ISBLANK(C451), "", ABS(M451-S451))</f>
        <v/>
      </c>
      <c r="AH451" s="85" t="str">
        <f aca="false">IF(ISNUMBER(AG451), RANK(AG451,AG$8:AG$507,1), "")</f>
        <v/>
      </c>
      <c r="AI451" s="85" t="str">
        <f aca="false">IF(ISBLANK(C451),"",IF(V451&lt;&gt;Constants!$B$14, V451, RANK(AD451, AD$8:AD$507, 1)+ SUMPRODUCT(--(AD$8:AD$507=AD451),--(AF451&gt;AF$8:AF$507)) + SUMPRODUCT(--(AD$8:AD$507=AD451),--(AF451=AF$8:AF$507),--(AH451&gt;AH$8:AH$507))))</f>
        <v/>
      </c>
      <c r="AJ451" s="85" t="str">
        <f aca="false">IF(ISBLANK(C451),"",IF(V451&lt;&gt;Constants!$B$14, V451, AD451-AI451))</f>
        <v/>
      </c>
      <c r="AK451" s="89"/>
      <c r="AL451" s="90" t="str">
        <f aca="false">IF(ISBLANK($C451),"",IF($V451&lt;&gt;Constants!$B$14,$V451,X451))</f>
        <v/>
      </c>
      <c r="AM451" s="90" t="str">
        <f aca="false">IF(ISBLANK($C451),"",IF($V451&lt;&gt;Constants!$B$14,$V451,N451))</f>
        <v/>
      </c>
      <c r="AN451" s="91" t="str">
        <f aca="false">IF(ISBLANK(C451),"",IF(V451&lt;&gt;Constants!$B$14, V451, IF(W451=Constants!$B$7,Z451,IF(W451=Constants!$B$8,AB451,""))))</f>
        <v/>
      </c>
      <c r="AO451" s="92" t="str">
        <f aca="false">IF(ISBLANK(C451),"",W451)</f>
        <v/>
      </c>
      <c r="AP451" s="92" t="str">
        <f aca="false">IF(ISBLANK(C451),"",AJ451)</f>
        <v/>
      </c>
      <c r="AQ451" s="92" t="str">
        <f aca="false">IF(ISBLANK(C451),"",AI451)</f>
        <v/>
      </c>
      <c r="AR451" s="93" t="str">
        <f aca="false">IF(ISBLANK(C451),
  "",
IF(AQ451=Constants!$B$11,COUNTA($C$8:$C$507)+2,IF(AQ451=Constants!$B$12,COUNTA($C$8:$C$507)+1,IF(AQ451=Constants!$B$13,COUNTA($C$8:$C$507),AQ451))))</f>
        <v/>
      </c>
      <c r="AS451" s="3"/>
      <c r="AT451" s="94" t="n">
        <f aca="false">IF(OR(ISNUMBER(AQ451),AQ451="DQ",AQ451="P",AQ451="NS"),
    1,
    0
)</f>
        <v>0</v>
      </c>
      <c r="AU451" s="94" t="n">
        <v>444</v>
      </c>
      <c r="AV451" s="94" t="str">
        <f aca="false">IF(ISBLANK($C451),
    "",
   IF(ISNUMBER(AR451),AR451+ROW($B451)/1000,"")
)</f>
        <v/>
      </c>
      <c r="AW451" s="94" t="str">
        <f aca="false">IF(ISNUMBER(AV451), RANK(AV451,AV$8:AV$507,1), "")</f>
        <v/>
      </c>
      <c r="AX451" s="94" t="str">
        <f aca="false">IF(ISBLANK($C451),
    "",
    $B451
)</f>
        <v/>
      </c>
      <c r="AY451" s="94" t="str">
        <f aca="false">IF(ISBLANK($C451),
    "",
    $C451
)</f>
        <v/>
      </c>
      <c r="AZ451" s="94" t="str">
        <f aca="false">IF(ISBLANK($C451),
    "",
    $D451
)</f>
        <v/>
      </c>
      <c r="BA451" s="94" t="str">
        <f aca="false">AO451</f>
        <v/>
      </c>
      <c r="BB451" s="95" t="str">
        <f aca="false">AN451</f>
        <v/>
      </c>
      <c r="BC451" s="94" t="str">
        <f aca="false">IF(ISBLANK($C451),
    "",
    AQ451
)</f>
        <v/>
      </c>
      <c r="BD451" s="96" t="str">
        <f aca="false">IF(AU451&gt;AT$7,
    "",
    VLOOKUP(AU451,AW$8:BC$507,7,FALSE())
)</f>
        <v/>
      </c>
      <c r="BE451" s="97" t="str">
        <f aca="false">IF(AU451&gt;AT$7,
    "",
    VLOOKUP(AU451,AW$8:BC$507,2,FALSE())
)</f>
        <v/>
      </c>
      <c r="BF451" s="97" t="str">
        <f aca="false">IF(AU451&gt;AT$7,
    "",
    VLOOKUP(AU451,AW$8:BC$507,3,FALSE())
)</f>
        <v/>
      </c>
      <c r="BG451" s="97" t="str">
        <f aca="false">IF(AU451&gt;AT$7,
    "",
    VLOOKUP(AU451,AW$8:BC$507,4,FALSE())
)</f>
        <v/>
      </c>
      <c r="BH451" s="97" t="str">
        <f aca="false">IF(AU451&gt;AT$7,
    "",
    VLOOKUP(AU451,AW$8:BC$507,5,FALSE())
)</f>
        <v/>
      </c>
      <c r="BI451" s="98" t="str">
        <f aca="false">IF(AU451&gt;AT$7,
    "",
    VLOOKUP(AU451,AW$8:BC$507,6,FALSE())
)</f>
        <v/>
      </c>
      <c r="BJ451" s="46"/>
    </row>
    <row r="452" customFormat="false" ht="15.75" hidden="false" customHeight="false" outlineLevel="0" collapsed="false">
      <c r="A452" s="3"/>
      <c r="B452" s="108"/>
      <c r="C452" s="70"/>
      <c r="D452" s="49"/>
      <c r="E452" s="109"/>
      <c r="F452" s="72"/>
      <c r="G452" s="109"/>
      <c r="H452" s="74"/>
      <c r="I452" s="104"/>
      <c r="J452" s="74"/>
      <c r="K452" s="74"/>
      <c r="L452" s="55"/>
      <c r="M452" s="55" t="str">
        <f aca="false">IF(ISBLANK($C452),"",IF(ISBLANK(E452),0,E452))</f>
        <v/>
      </c>
      <c r="N452" s="55" t="str">
        <f aca="false">IF(ISBLANK($C452),"",IF(ISBLANK(F452),0,F452))</f>
        <v/>
      </c>
      <c r="O452" s="55" t="e">
        <f aca="false">IF(AND(NOT(ISBLANK($C452)),NOT($T452),COUNTA($E452:$K452)&gt;0),ISBLANK($F452),FALSE())</f>
        <v>#VALUE!</v>
      </c>
      <c r="P452" s="55" t="str">
        <f aca="false">IF(ISBLANK($C452),"",IF(G452=Constants!$B$9, TRUE(), IF(G452=Constants!$B$10, FALSE(), TRUE())))</f>
        <v/>
      </c>
      <c r="Q452" s="55" t="str">
        <f aca="false">IF(ISBLANK($C452),"",IF(H452=Constants!$B$9, TRUE(), IF(H452=Constants!$B$10, FALSE(), TRUE())))</f>
        <v/>
      </c>
      <c r="R452" s="55" t="str">
        <f aca="false">IF(ISBLANK($C452),"",IF(ISBLANK(I452),Constants!$B$3,I452))</f>
        <v/>
      </c>
      <c r="S452" s="55" t="str">
        <f aca="false">IF(ISBLANK($C452),"",IF(ISBLANK(J452),0,MIN(J452,Constants!$B$6)))</f>
        <v/>
      </c>
      <c r="T452" s="55" t="str">
        <f aca="false">IF(ISBLANK($C452),"",IF(K452=Constants!$B$9, TRUE(), IF(K452=Constants!$B$10, FALSE(),  FALSE())))</f>
        <v/>
      </c>
      <c r="U452" s="55" t="str">
        <f aca="false">IF(ISBLANK($C452),"",AND(R452=Constants!$B$4, S452&lt;Constants!$B$6))</f>
        <v/>
      </c>
      <c r="V452" s="55" t="str">
        <f aca="false">IF(ISBLANK(C452), "", IF(T452, Constants!$B$11, IF(COUNTA(E452:K452)=0, Constants!$B$12, IF(NOT(AND(P452,S452&lt;&gt;0)), Constants!$B$13, IF(O452, Constants!$B$15, Constants!$B$14)))))</f>
        <v/>
      </c>
      <c r="W452" s="55" t="str">
        <f aca="false">IF(OR(ISBLANK($C452), SUMPRODUCT(--(P452:T452&lt;&gt;""))=0), "", IF(V452&lt;&gt;Constants!$B$14, V452, IF(AND(NOT(ISBLANK(J452)),P452,Q452,R452&lt;&gt;Constants!$B$2), Constants!$B$7, IF(AND(P452,OR(NOT(Q452),R452=Constants!$B$2)), Constants!$B$8, "Error"))))</f>
        <v/>
      </c>
      <c r="X452" s="56" t="str">
        <f aca="false">IF(OR(W452=Constants!$B$7,W452=Constants!$B$8), MAX(0, MIN(Constants!$B$6, S452))+IF(AND(R452=Constants!$B$4, NOT(U452)), Constants!$B$5, 0), "")</f>
        <v/>
      </c>
      <c r="Y452" s="55" t="str">
        <f aca="false">IF(ISBLANK($C452),"",IF(AND(ISNUMBER(X452),N452&gt;0),X452/N452, "") )</f>
        <v/>
      </c>
      <c r="Z452" s="55" t="str">
        <f aca="false">IF(AND(NOT(ISBLANK($C452)), W452=Constants!$B$7), Y452, "")</f>
        <v/>
      </c>
      <c r="AA452" s="55" t="str">
        <f aca="false">IF(ISNUMBER(Z452), RANK(Z452,Z$8:Z$507), "")</f>
        <v/>
      </c>
      <c r="AB452" s="55" t="str">
        <f aca="false">IF(AND(NOT(ISBLANK($C452)), W452=Constants!$B$8), Y452, "")</f>
        <v/>
      </c>
      <c r="AC452" s="55" t="str">
        <f aca="false">IF(ISNUMBER(AB452), RANK(AB452,AB$8:AB$507), "")</f>
        <v/>
      </c>
      <c r="AD452" s="55" t="str">
        <f aca="false">IF(ISBLANK($C452),"",IF(V452&lt;&gt;Constants!$B$14, V452, IF(W452=Constants!$B$7, AA452, IF(W452=Constants!$B$8, COUNT($AA$8:$AA$507) + AC452, ""))))</f>
        <v/>
      </c>
      <c r="AE452" s="55" t="str">
        <f aca="false">N452</f>
        <v/>
      </c>
      <c r="AF452" s="55" t="str">
        <f aca="false">IF(ISNUMBER(AE452), RANK(AE452,AE$8:AE$507,1), "")</f>
        <v/>
      </c>
      <c r="AG452" s="57" t="str">
        <f aca="false">IF(ISBLANK(C452), "", ABS(M452-S452))</f>
        <v/>
      </c>
      <c r="AH452" s="55" t="str">
        <f aca="false">IF(ISNUMBER(AG452), RANK(AG452,AG$8:AG$507,1), "")</f>
        <v/>
      </c>
      <c r="AI452" s="55" t="str">
        <f aca="false">IF(ISBLANK(C452),"",IF(V452&lt;&gt;Constants!$B$14, V452, RANK(AD452, AD$8:AD$507, 1)+ SUMPRODUCT(--(AD$8:AD$507=AD452),--(AF452&gt;AF$8:AF$507)) + SUMPRODUCT(--(AD$8:AD$507=AD452),--(AF452=AF$8:AF$507),--(AH452&gt;AH$8:AH$507))))</f>
        <v/>
      </c>
      <c r="AJ452" s="55" t="str">
        <f aca="false">IF(ISBLANK(C452),"",IF(V452&lt;&gt;Constants!$B$14, V452, AD452-AI452))</f>
        <v/>
      </c>
      <c r="AK452" s="59"/>
      <c r="AL452" s="60" t="str">
        <f aca="false">IF(ISBLANK($C452),"",IF($V452&lt;&gt;Constants!$B$14,$V452,X452))</f>
        <v/>
      </c>
      <c r="AM452" s="60" t="str">
        <f aca="false">IF(ISBLANK($C452),"",IF($V452&lt;&gt;Constants!$B$14,$V452,N452))</f>
        <v/>
      </c>
      <c r="AN452" s="62" t="str">
        <f aca="false">IF(ISBLANK(C452),"",IF(V452&lt;&gt;Constants!$B$14, V452, IF(W452=Constants!$B$7,Z452,IF(W452=Constants!$B$8,AB452,""))))</f>
        <v/>
      </c>
      <c r="AO452" s="63" t="str">
        <f aca="false">IF(ISBLANK(C452),"",W452)</f>
        <v/>
      </c>
      <c r="AP452" s="63" t="str">
        <f aca="false">IF(ISBLANK(C452),"",AJ452)</f>
        <v/>
      </c>
      <c r="AQ452" s="63" t="str">
        <f aca="false">IF(ISBLANK(C452),"",AI452)</f>
        <v/>
      </c>
      <c r="AR452" s="64" t="str">
        <f aca="false">IF(ISBLANK(C452),
  "",
IF(AQ452=Constants!$B$11,COUNTA($C$8:$C$507)+2,IF(AQ452=Constants!$B$12,COUNTA($C$8:$C$507)+1,IF(AQ452=Constants!$B$13,COUNTA($C$8:$C$507),AQ452))))</f>
        <v/>
      </c>
      <c r="AS452" s="3"/>
      <c r="AT452" s="65" t="n">
        <f aca="false">IF(OR(ISNUMBER(AQ452),AQ452="DQ",AQ452="P",AQ452="NS"),
    1,
    0
)</f>
        <v>0</v>
      </c>
      <c r="AU452" s="65" t="n">
        <v>445</v>
      </c>
      <c r="AV452" s="65" t="str">
        <f aca="false">IF(ISBLANK($C452),
    "",
   IF(ISNUMBER(AR452),AR452+ROW($B452)/1000,"")
)</f>
        <v/>
      </c>
      <c r="AW452" s="65" t="str">
        <f aca="false">IF(ISNUMBER(AV452), RANK(AV452,AV$8:AV$507,1), "")</f>
        <v/>
      </c>
      <c r="AX452" s="65" t="str">
        <f aca="false">IF(ISBLANK($C452),
    "",
    $B452
)</f>
        <v/>
      </c>
      <c r="AY452" s="65" t="str">
        <f aca="false">IF(ISBLANK($C452),
    "",
    $C452
)</f>
        <v/>
      </c>
      <c r="AZ452" s="65" t="str">
        <f aca="false">IF(ISBLANK($C452),
    "",
    $D452
)</f>
        <v/>
      </c>
      <c r="BA452" s="65" t="str">
        <f aca="false">AO452</f>
        <v/>
      </c>
      <c r="BB452" s="66" t="str">
        <f aca="false">AN452</f>
        <v/>
      </c>
      <c r="BC452" s="65" t="str">
        <f aca="false">IF(ISBLANK($C452),
    "",
    AQ452
)</f>
        <v/>
      </c>
      <c r="BD452" s="67" t="str">
        <f aca="false">IF(AU452&gt;AT$7,
    "",
    VLOOKUP(AU452,AW$8:BC$507,7,FALSE())
)</f>
        <v/>
      </c>
      <c r="BE452" s="68" t="str">
        <f aca="false">IF(AU452&gt;AT$7,
    "",
    VLOOKUP(AU452,AW$8:BC$507,2,FALSE())
)</f>
        <v/>
      </c>
      <c r="BF452" s="68" t="str">
        <f aca="false">IF(AU452&gt;AT$7,
    "",
    VLOOKUP(AU452,AW$8:BC$507,3,FALSE())
)</f>
        <v/>
      </c>
      <c r="BG452" s="68" t="str">
        <f aca="false">IF(AU452&gt;AT$7,
    "",
    VLOOKUP(AU452,AW$8:BC$507,4,FALSE())
)</f>
        <v/>
      </c>
      <c r="BH452" s="68" t="str">
        <f aca="false">IF(AU452&gt;AT$7,
    "",
    VLOOKUP(AU452,AW$8:BC$507,5,FALSE())
)</f>
        <v/>
      </c>
      <c r="BI452" s="69" t="str">
        <f aca="false">IF(AU452&gt;AT$7,
    "",
    VLOOKUP(AU452,AW$8:BC$507,6,FALSE())
)</f>
        <v/>
      </c>
      <c r="BJ452" s="46"/>
    </row>
    <row r="453" customFormat="false" ht="15.75" hidden="false" customHeight="false" outlineLevel="0" collapsed="false">
      <c r="A453" s="3"/>
      <c r="B453" s="108"/>
      <c r="C453" s="70"/>
      <c r="D453" s="49"/>
      <c r="E453" s="109"/>
      <c r="F453" s="72"/>
      <c r="G453" s="109"/>
      <c r="H453" s="74"/>
      <c r="I453" s="104"/>
      <c r="J453" s="74"/>
      <c r="K453" s="74"/>
      <c r="L453" s="55"/>
      <c r="M453" s="55" t="str">
        <f aca="false">IF(ISBLANK($C453),"",IF(ISBLANK(E453),0,E453))</f>
        <v/>
      </c>
      <c r="N453" s="55" t="str">
        <f aca="false">IF(ISBLANK($C453),"",IF(ISBLANK(F453),0,F453))</f>
        <v/>
      </c>
      <c r="O453" s="55" t="e">
        <f aca="false">IF(AND(NOT(ISBLANK($C453)),NOT($T453),COUNTA($E453:$K453)&gt;0),ISBLANK($F453),FALSE())</f>
        <v>#VALUE!</v>
      </c>
      <c r="P453" s="55" t="str">
        <f aca="false">IF(ISBLANK($C453),"",IF(G453=Constants!$B$9, TRUE(), IF(G453=Constants!$B$10, FALSE(), TRUE())))</f>
        <v/>
      </c>
      <c r="Q453" s="55" t="str">
        <f aca="false">IF(ISBLANK($C453),"",IF(H453=Constants!$B$9, TRUE(), IF(H453=Constants!$B$10, FALSE(), TRUE())))</f>
        <v/>
      </c>
      <c r="R453" s="55" t="str">
        <f aca="false">IF(ISBLANK($C453),"",IF(ISBLANK(I453),Constants!$B$3,I453))</f>
        <v/>
      </c>
      <c r="S453" s="55" t="str">
        <f aca="false">IF(ISBLANK($C453),"",IF(ISBLANK(J453),0,MIN(J453,Constants!$B$6)))</f>
        <v/>
      </c>
      <c r="T453" s="55" t="str">
        <f aca="false">IF(ISBLANK($C453),"",IF(K453=Constants!$B$9, TRUE(), IF(K453=Constants!$B$10, FALSE(),  FALSE())))</f>
        <v/>
      </c>
      <c r="U453" s="55" t="str">
        <f aca="false">IF(ISBLANK($C453),"",AND(R453=Constants!$B$4, S453&lt;Constants!$B$6))</f>
        <v/>
      </c>
      <c r="V453" s="55" t="str">
        <f aca="false">IF(ISBLANK(C453), "", IF(T453, Constants!$B$11, IF(COUNTA(E453:K453)=0, Constants!$B$12, IF(NOT(AND(P453,S453&lt;&gt;0)), Constants!$B$13, IF(O453, Constants!$B$15, Constants!$B$14)))))</f>
        <v/>
      </c>
      <c r="W453" s="55" t="str">
        <f aca="false">IF(OR(ISBLANK($C453), SUMPRODUCT(--(P453:T453&lt;&gt;""))=0), "", IF(V453&lt;&gt;Constants!$B$14, V453, IF(AND(NOT(ISBLANK(J453)),P453,Q453,R453&lt;&gt;Constants!$B$2), Constants!$B$7, IF(AND(P453,OR(NOT(Q453),R453=Constants!$B$2)), Constants!$B$8, "Error"))))</f>
        <v/>
      </c>
      <c r="X453" s="56" t="str">
        <f aca="false">IF(OR(W453=Constants!$B$7,W453=Constants!$B$8), MAX(0, MIN(Constants!$B$6, S453))+IF(AND(R453=Constants!$B$4, NOT(U453)), Constants!$B$5, 0), "")</f>
        <v/>
      </c>
      <c r="Y453" s="55" t="str">
        <f aca="false">IF(ISBLANK($C453),"",IF(AND(ISNUMBER(X453),N453&gt;0),X453/N453, "") )</f>
        <v/>
      </c>
      <c r="Z453" s="55" t="str">
        <f aca="false">IF(AND(NOT(ISBLANK($C453)), W453=Constants!$B$7), Y453, "")</f>
        <v/>
      </c>
      <c r="AA453" s="55" t="str">
        <f aca="false">IF(ISNUMBER(Z453), RANK(Z453,Z$8:Z$507), "")</f>
        <v/>
      </c>
      <c r="AB453" s="55" t="str">
        <f aca="false">IF(AND(NOT(ISBLANK($C453)), W453=Constants!$B$8), Y453, "")</f>
        <v/>
      </c>
      <c r="AC453" s="55" t="str">
        <f aca="false">IF(ISNUMBER(AB453), RANK(AB453,AB$8:AB$507), "")</f>
        <v/>
      </c>
      <c r="AD453" s="55" t="str">
        <f aca="false">IF(ISBLANK($C453),"",IF(V453&lt;&gt;Constants!$B$14, V453, IF(W453=Constants!$B$7, AA453, IF(W453=Constants!$B$8, COUNT($AA$8:$AA$507) + AC453, ""))))</f>
        <v/>
      </c>
      <c r="AE453" s="55" t="str">
        <f aca="false">N453</f>
        <v/>
      </c>
      <c r="AF453" s="55" t="str">
        <f aca="false">IF(ISNUMBER(AE453), RANK(AE453,AE$8:AE$507,1), "")</f>
        <v/>
      </c>
      <c r="AG453" s="57" t="str">
        <f aca="false">IF(ISBLANK(C453), "", ABS(M453-S453))</f>
        <v/>
      </c>
      <c r="AH453" s="55" t="str">
        <f aca="false">IF(ISNUMBER(AG453), RANK(AG453,AG$8:AG$507,1), "")</f>
        <v/>
      </c>
      <c r="AI453" s="55" t="str">
        <f aca="false">IF(ISBLANK(C453),"",IF(V453&lt;&gt;Constants!$B$14, V453, RANK(AD453, AD$8:AD$507, 1)+ SUMPRODUCT(--(AD$8:AD$507=AD453),--(AF453&gt;AF$8:AF$507)) + SUMPRODUCT(--(AD$8:AD$507=AD453),--(AF453=AF$8:AF$507),--(AH453&gt;AH$8:AH$507))))</f>
        <v/>
      </c>
      <c r="AJ453" s="55" t="str">
        <f aca="false">IF(ISBLANK(C453),"",IF(V453&lt;&gt;Constants!$B$14, V453, AD453-AI453))</f>
        <v/>
      </c>
      <c r="AK453" s="59"/>
      <c r="AL453" s="60" t="str">
        <f aca="false">IF(ISBLANK($C453),"",IF($V453&lt;&gt;Constants!$B$14,$V453,X453))</f>
        <v/>
      </c>
      <c r="AM453" s="60" t="str">
        <f aca="false">IF(ISBLANK($C453),"",IF($V453&lt;&gt;Constants!$B$14,$V453,N453))</f>
        <v/>
      </c>
      <c r="AN453" s="62" t="str">
        <f aca="false">IF(ISBLANK(C453),"",IF(V453&lt;&gt;Constants!$B$14, V453, IF(W453=Constants!$B$7,Z453,IF(W453=Constants!$B$8,AB453,""))))</f>
        <v/>
      </c>
      <c r="AO453" s="63" t="str">
        <f aca="false">IF(ISBLANK(C453),"",W453)</f>
        <v/>
      </c>
      <c r="AP453" s="63" t="str">
        <f aca="false">IF(ISBLANK(C453),"",AJ453)</f>
        <v/>
      </c>
      <c r="AQ453" s="63" t="str">
        <f aca="false">IF(ISBLANK(C453),"",AI453)</f>
        <v/>
      </c>
      <c r="AR453" s="64" t="str">
        <f aca="false">IF(ISBLANK(C453),
  "",
IF(AQ453=Constants!$B$11,COUNTA($C$8:$C$507)+2,IF(AQ453=Constants!$B$12,COUNTA($C$8:$C$507)+1,IF(AQ453=Constants!$B$13,COUNTA($C$8:$C$507),AQ453))))</f>
        <v/>
      </c>
      <c r="AS453" s="3"/>
      <c r="AT453" s="65" t="n">
        <f aca="false">IF(OR(ISNUMBER(AQ453),AQ453="DQ",AQ453="P",AQ453="NS"),
    1,
    0
)</f>
        <v>0</v>
      </c>
      <c r="AU453" s="65" t="n">
        <v>446</v>
      </c>
      <c r="AV453" s="65" t="str">
        <f aca="false">IF(ISBLANK($C453),
    "",
   IF(ISNUMBER(AR453),AR453+ROW($B453)/1000,"")
)</f>
        <v/>
      </c>
      <c r="AW453" s="65" t="str">
        <f aca="false">IF(ISNUMBER(AV453), RANK(AV453,AV$8:AV$507,1), "")</f>
        <v/>
      </c>
      <c r="AX453" s="65" t="str">
        <f aca="false">IF(ISBLANK($C453),
    "",
    $B453
)</f>
        <v/>
      </c>
      <c r="AY453" s="65" t="str">
        <f aca="false">IF(ISBLANK($C453),
    "",
    $C453
)</f>
        <v/>
      </c>
      <c r="AZ453" s="65" t="str">
        <f aca="false">IF(ISBLANK($C453),
    "",
    $D453
)</f>
        <v/>
      </c>
      <c r="BA453" s="65" t="str">
        <f aca="false">AO453</f>
        <v/>
      </c>
      <c r="BB453" s="66" t="str">
        <f aca="false">AN453</f>
        <v/>
      </c>
      <c r="BC453" s="65" t="str">
        <f aca="false">IF(ISBLANK($C453),
    "",
    AQ453
)</f>
        <v/>
      </c>
      <c r="BD453" s="67" t="str">
        <f aca="false">IF(AU453&gt;AT$7,
    "",
    VLOOKUP(AU453,AW$8:BC$507,7,FALSE())
)</f>
        <v/>
      </c>
      <c r="BE453" s="68" t="str">
        <f aca="false">IF(AU453&gt;AT$7,
    "",
    VLOOKUP(AU453,AW$8:BC$507,2,FALSE())
)</f>
        <v/>
      </c>
      <c r="BF453" s="68" t="str">
        <f aca="false">IF(AU453&gt;AT$7,
    "",
    VLOOKUP(AU453,AW$8:BC$507,3,FALSE())
)</f>
        <v/>
      </c>
      <c r="BG453" s="68" t="str">
        <f aca="false">IF(AU453&gt;AT$7,
    "",
    VLOOKUP(AU453,AW$8:BC$507,4,FALSE())
)</f>
        <v/>
      </c>
      <c r="BH453" s="68" t="str">
        <f aca="false">IF(AU453&gt;AT$7,
    "",
    VLOOKUP(AU453,AW$8:BC$507,5,FALSE())
)</f>
        <v/>
      </c>
      <c r="BI453" s="69" t="str">
        <f aca="false">IF(AU453&gt;AT$7,
    "",
    VLOOKUP(AU453,AW$8:BC$507,6,FALSE())
)</f>
        <v/>
      </c>
      <c r="BJ453" s="46"/>
    </row>
    <row r="454" customFormat="false" ht="15.75" hidden="false" customHeight="false" outlineLevel="0" collapsed="false">
      <c r="A454" s="3"/>
      <c r="B454" s="108"/>
      <c r="C454" s="70"/>
      <c r="D454" s="49"/>
      <c r="E454" s="109"/>
      <c r="F454" s="72"/>
      <c r="G454" s="109"/>
      <c r="H454" s="74"/>
      <c r="I454" s="104"/>
      <c r="J454" s="74"/>
      <c r="K454" s="74"/>
      <c r="L454" s="55"/>
      <c r="M454" s="55" t="str">
        <f aca="false">IF(ISBLANK($C454),"",IF(ISBLANK(E454),0,E454))</f>
        <v/>
      </c>
      <c r="N454" s="55" t="str">
        <f aca="false">IF(ISBLANK($C454),"",IF(ISBLANK(F454),0,F454))</f>
        <v/>
      </c>
      <c r="O454" s="55" t="e">
        <f aca="false">IF(AND(NOT(ISBLANK($C454)),NOT($T454),COUNTA($E454:$K454)&gt;0),ISBLANK($F454),FALSE())</f>
        <v>#VALUE!</v>
      </c>
      <c r="P454" s="55" t="str">
        <f aca="false">IF(ISBLANK($C454),"",IF(G454=Constants!$B$9, TRUE(), IF(G454=Constants!$B$10, FALSE(), TRUE())))</f>
        <v/>
      </c>
      <c r="Q454" s="55" t="str">
        <f aca="false">IF(ISBLANK($C454),"",IF(H454=Constants!$B$9, TRUE(), IF(H454=Constants!$B$10, FALSE(), TRUE())))</f>
        <v/>
      </c>
      <c r="R454" s="55" t="str">
        <f aca="false">IF(ISBLANK($C454),"",IF(ISBLANK(I454),Constants!$B$3,I454))</f>
        <v/>
      </c>
      <c r="S454" s="55" t="str">
        <f aca="false">IF(ISBLANK($C454),"",IF(ISBLANK(J454),0,MIN(J454,Constants!$B$6)))</f>
        <v/>
      </c>
      <c r="T454" s="55" t="str">
        <f aca="false">IF(ISBLANK($C454),"",IF(K454=Constants!$B$9, TRUE(), IF(K454=Constants!$B$10, FALSE(),  FALSE())))</f>
        <v/>
      </c>
      <c r="U454" s="55" t="str">
        <f aca="false">IF(ISBLANK($C454),"",AND(R454=Constants!$B$4, S454&lt;Constants!$B$6))</f>
        <v/>
      </c>
      <c r="V454" s="55" t="str">
        <f aca="false">IF(ISBLANK(C454), "", IF(T454, Constants!$B$11, IF(COUNTA(E454:K454)=0, Constants!$B$12, IF(NOT(AND(P454,S454&lt;&gt;0)), Constants!$B$13, IF(O454, Constants!$B$15, Constants!$B$14)))))</f>
        <v/>
      </c>
      <c r="W454" s="55" t="str">
        <f aca="false">IF(OR(ISBLANK($C454), SUMPRODUCT(--(P454:T454&lt;&gt;""))=0), "", IF(V454&lt;&gt;Constants!$B$14, V454, IF(AND(NOT(ISBLANK(J454)),P454,Q454,R454&lt;&gt;Constants!$B$2), Constants!$B$7, IF(AND(P454,OR(NOT(Q454),R454=Constants!$B$2)), Constants!$B$8, "Error"))))</f>
        <v/>
      </c>
      <c r="X454" s="56" t="str">
        <f aca="false">IF(OR(W454=Constants!$B$7,W454=Constants!$B$8), MAX(0, MIN(Constants!$B$6, S454))+IF(AND(R454=Constants!$B$4, NOT(U454)), Constants!$B$5, 0), "")</f>
        <v/>
      </c>
      <c r="Y454" s="55" t="str">
        <f aca="false">IF(ISBLANK($C454),"",IF(AND(ISNUMBER(X454),N454&gt;0),X454/N454, "") )</f>
        <v/>
      </c>
      <c r="Z454" s="55" t="str">
        <f aca="false">IF(AND(NOT(ISBLANK($C454)), W454=Constants!$B$7), Y454, "")</f>
        <v/>
      </c>
      <c r="AA454" s="55" t="str">
        <f aca="false">IF(ISNUMBER(Z454), RANK(Z454,Z$8:Z$507), "")</f>
        <v/>
      </c>
      <c r="AB454" s="55" t="str">
        <f aca="false">IF(AND(NOT(ISBLANK($C454)), W454=Constants!$B$8), Y454, "")</f>
        <v/>
      </c>
      <c r="AC454" s="55" t="str">
        <f aca="false">IF(ISNUMBER(AB454), RANK(AB454,AB$8:AB$507), "")</f>
        <v/>
      </c>
      <c r="AD454" s="55" t="str">
        <f aca="false">IF(ISBLANK($C454),"",IF(V454&lt;&gt;Constants!$B$14, V454, IF(W454=Constants!$B$7, AA454, IF(W454=Constants!$B$8, COUNT($AA$8:$AA$507) + AC454, ""))))</f>
        <v/>
      </c>
      <c r="AE454" s="55" t="str">
        <f aca="false">N454</f>
        <v/>
      </c>
      <c r="AF454" s="55" t="str">
        <f aca="false">IF(ISNUMBER(AE454), RANK(AE454,AE$8:AE$507,1), "")</f>
        <v/>
      </c>
      <c r="AG454" s="57" t="str">
        <f aca="false">IF(ISBLANK(C454), "", ABS(M454-S454))</f>
        <v/>
      </c>
      <c r="AH454" s="55" t="str">
        <f aca="false">IF(ISNUMBER(AG454), RANK(AG454,AG$8:AG$507,1), "")</f>
        <v/>
      </c>
      <c r="AI454" s="55" t="str">
        <f aca="false">IF(ISBLANK(C454),"",IF(V454&lt;&gt;Constants!$B$14, V454, RANK(AD454, AD$8:AD$507, 1)+ SUMPRODUCT(--(AD$8:AD$507=AD454),--(AF454&gt;AF$8:AF$507)) + SUMPRODUCT(--(AD$8:AD$507=AD454),--(AF454=AF$8:AF$507),--(AH454&gt;AH$8:AH$507))))</f>
        <v/>
      </c>
      <c r="AJ454" s="55" t="str">
        <f aca="false">IF(ISBLANK(C454),"",IF(V454&lt;&gt;Constants!$B$14, V454, AD454-AI454))</f>
        <v/>
      </c>
      <c r="AK454" s="59"/>
      <c r="AL454" s="60" t="str">
        <f aca="false">IF(ISBLANK($C454),"",IF($V454&lt;&gt;Constants!$B$14,$V454,X454))</f>
        <v/>
      </c>
      <c r="AM454" s="60" t="str">
        <f aca="false">IF(ISBLANK($C454),"",IF($V454&lt;&gt;Constants!$B$14,$V454,N454))</f>
        <v/>
      </c>
      <c r="AN454" s="62" t="str">
        <f aca="false">IF(ISBLANK(C454),"",IF(V454&lt;&gt;Constants!$B$14, V454, IF(W454=Constants!$B$7,Z454,IF(W454=Constants!$B$8,AB454,""))))</f>
        <v/>
      </c>
      <c r="AO454" s="63" t="str">
        <f aca="false">IF(ISBLANK(C454),"",W454)</f>
        <v/>
      </c>
      <c r="AP454" s="63" t="str">
        <f aca="false">IF(ISBLANK(C454),"",AJ454)</f>
        <v/>
      </c>
      <c r="AQ454" s="63" t="str">
        <f aca="false">IF(ISBLANK(C454),"",AI454)</f>
        <v/>
      </c>
      <c r="AR454" s="64" t="str">
        <f aca="false">IF(ISBLANK(C454),
  "",
IF(AQ454=Constants!$B$11,COUNTA($C$8:$C$507)+2,IF(AQ454=Constants!$B$12,COUNTA($C$8:$C$507)+1,IF(AQ454=Constants!$B$13,COUNTA($C$8:$C$507),AQ454))))</f>
        <v/>
      </c>
      <c r="AS454" s="3"/>
      <c r="AT454" s="65" t="n">
        <f aca="false">IF(OR(ISNUMBER(AQ454),AQ454="DQ",AQ454="P",AQ454="NS"),
    1,
    0
)</f>
        <v>0</v>
      </c>
      <c r="AU454" s="65" t="n">
        <v>447</v>
      </c>
      <c r="AV454" s="65" t="str">
        <f aca="false">IF(ISBLANK($C454),
    "",
   IF(ISNUMBER(AR454),AR454+ROW($B454)/1000,"")
)</f>
        <v/>
      </c>
      <c r="AW454" s="65" t="str">
        <f aca="false">IF(ISNUMBER(AV454), RANK(AV454,AV$8:AV$507,1), "")</f>
        <v/>
      </c>
      <c r="AX454" s="65" t="str">
        <f aca="false">IF(ISBLANK($C454),
    "",
    $B454
)</f>
        <v/>
      </c>
      <c r="AY454" s="65" t="str">
        <f aca="false">IF(ISBLANK($C454),
    "",
    $C454
)</f>
        <v/>
      </c>
      <c r="AZ454" s="65" t="str">
        <f aca="false">IF(ISBLANK($C454),
    "",
    $D454
)</f>
        <v/>
      </c>
      <c r="BA454" s="65" t="str">
        <f aca="false">AO454</f>
        <v/>
      </c>
      <c r="BB454" s="66" t="str">
        <f aca="false">AN454</f>
        <v/>
      </c>
      <c r="BC454" s="65" t="str">
        <f aca="false">IF(ISBLANK($C454),
    "",
    AQ454
)</f>
        <v/>
      </c>
      <c r="BD454" s="67" t="str">
        <f aca="false">IF(AU454&gt;AT$7,
    "",
    VLOOKUP(AU454,AW$8:BC$507,7,FALSE())
)</f>
        <v/>
      </c>
      <c r="BE454" s="68" t="str">
        <f aca="false">IF(AU454&gt;AT$7,
    "",
    VLOOKUP(AU454,AW$8:BC$507,2,FALSE())
)</f>
        <v/>
      </c>
      <c r="BF454" s="68" t="str">
        <f aca="false">IF(AU454&gt;AT$7,
    "",
    VLOOKUP(AU454,AW$8:BC$507,3,FALSE())
)</f>
        <v/>
      </c>
      <c r="BG454" s="68" t="str">
        <f aca="false">IF(AU454&gt;AT$7,
    "",
    VLOOKUP(AU454,AW$8:BC$507,4,FALSE())
)</f>
        <v/>
      </c>
      <c r="BH454" s="68" t="str">
        <f aca="false">IF(AU454&gt;AT$7,
    "",
    VLOOKUP(AU454,AW$8:BC$507,5,FALSE())
)</f>
        <v/>
      </c>
      <c r="BI454" s="69" t="str">
        <f aca="false">IF(AU454&gt;AT$7,
    "",
    VLOOKUP(AU454,AW$8:BC$507,6,FALSE())
)</f>
        <v/>
      </c>
      <c r="BJ454" s="46"/>
    </row>
    <row r="455" customFormat="false" ht="15.75" hidden="false" customHeight="false" outlineLevel="0" collapsed="false">
      <c r="A455" s="3"/>
      <c r="B455" s="105"/>
      <c r="C455" s="106"/>
      <c r="D455" s="99"/>
      <c r="E455" s="110"/>
      <c r="F455" s="107"/>
      <c r="G455" s="110"/>
      <c r="H455" s="103"/>
      <c r="I455" s="102"/>
      <c r="J455" s="103"/>
      <c r="K455" s="103"/>
      <c r="L455" s="85"/>
      <c r="M455" s="85" t="str">
        <f aca="false">IF(ISBLANK($C455),"",IF(ISBLANK(E455),0,E455))</f>
        <v/>
      </c>
      <c r="N455" s="85" t="str">
        <f aca="false">IF(ISBLANK($C455),"",IF(ISBLANK(F455),0,F455))</f>
        <v/>
      </c>
      <c r="O455" s="86" t="e">
        <f aca="false">IF(AND(NOT(ISBLANK($C455)),NOT($T455),COUNTA($E455:$K455)&gt;0),ISBLANK($F455),FALSE())</f>
        <v>#VALUE!</v>
      </c>
      <c r="P455" s="85" t="str">
        <f aca="false">IF(ISBLANK($C455),"",IF(G455=Constants!$B$9, TRUE(), IF(G455=Constants!$B$10, FALSE(), TRUE())))</f>
        <v/>
      </c>
      <c r="Q455" s="85" t="str">
        <f aca="false">IF(ISBLANK($C455),"",IF(H455=Constants!$B$9, TRUE(), IF(H455=Constants!$B$10, FALSE(), TRUE())))</f>
        <v/>
      </c>
      <c r="R455" s="85" t="str">
        <f aca="false">IF(ISBLANK($C455),"",IF(ISBLANK(I455),Constants!$B$3,I455))</f>
        <v/>
      </c>
      <c r="S455" s="85" t="str">
        <f aca="false">IF(ISBLANK($C455),"",IF(ISBLANK(J455),0,MIN(J455,Constants!$B$6)))</f>
        <v/>
      </c>
      <c r="T455" s="85" t="str">
        <f aca="false">IF(ISBLANK($C455),"",IF(K455=Constants!$B$9, TRUE(), IF(K455=Constants!$B$10, FALSE(),  FALSE())))</f>
        <v/>
      </c>
      <c r="U455" s="85" t="str">
        <f aca="false">IF(ISBLANK($C455),"",AND(R455=Constants!$B$4, S455&lt;Constants!$B$6))</f>
        <v/>
      </c>
      <c r="V455" s="85" t="str">
        <f aca="false">IF(ISBLANK(C455), "", IF(T455, Constants!$B$11, IF(COUNTA(E455:K455)=0, Constants!$B$12, IF(NOT(AND(P455,S455&lt;&gt;0)), Constants!$B$13, IF(O455, Constants!$B$15, Constants!$B$14)))))</f>
        <v/>
      </c>
      <c r="W455" s="85" t="str">
        <f aca="false">IF(OR(ISBLANK($C455), SUMPRODUCT(--(P455:T455&lt;&gt;""))=0), "", IF(V455&lt;&gt;Constants!$B$14, V455, IF(AND(NOT(ISBLANK(J455)),P455,Q455,R455&lt;&gt;Constants!$B$2), Constants!$B$7, IF(AND(P455,OR(NOT(Q455),R455=Constants!$B$2)), Constants!$B$8, "Error"))))</f>
        <v/>
      </c>
      <c r="X455" s="87" t="str">
        <f aca="false">IF(OR(W455=Constants!$B$7,W455=Constants!$B$8), MAX(0, MIN(Constants!$B$6, S455))+IF(AND(R455=Constants!$B$4, NOT(U455)), Constants!$B$5, 0), "")</f>
        <v/>
      </c>
      <c r="Y455" s="85" t="str">
        <f aca="false">IF(ISBLANK($C455),"",IF(AND(ISNUMBER(X455),N455&gt;0),X455/N455, "") )</f>
        <v/>
      </c>
      <c r="Z455" s="85" t="str">
        <f aca="false">IF(AND(NOT(ISBLANK($C455)), W455=Constants!$B$7), Y455, "")</f>
        <v/>
      </c>
      <c r="AA455" s="85" t="str">
        <f aca="false">IF(ISNUMBER(Z455), RANK(Z455,Z$8:Z$507), "")</f>
        <v/>
      </c>
      <c r="AB455" s="85" t="str">
        <f aca="false">IF(AND(NOT(ISBLANK($C455)), W455=Constants!$B$8), Y455, "")</f>
        <v/>
      </c>
      <c r="AC455" s="85" t="str">
        <f aca="false">IF(ISNUMBER(AB455), RANK(AB455,AB$8:AB$507), "")</f>
        <v/>
      </c>
      <c r="AD455" s="85" t="str">
        <f aca="false">IF(ISBLANK($C455),"",IF(V455&lt;&gt;Constants!$B$14, V455, IF(W455=Constants!$B$7, AA455, IF(W455=Constants!$B$8, COUNT($AA$8:$AA$507) + AC455, ""))))</f>
        <v/>
      </c>
      <c r="AE455" s="85" t="str">
        <f aca="false">N455</f>
        <v/>
      </c>
      <c r="AF455" s="85" t="str">
        <f aca="false">IF(ISNUMBER(AE455), RANK(AE455,AE$8:AE$507,1), "")</f>
        <v/>
      </c>
      <c r="AG455" s="88" t="str">
        <f aca="false">IF(ISBLANK(C455), "", ABS(M455-S455))</f>
        <v/>
      </c>
      <c r="AH455" s="85" t="str">
        <f aca="false">IF(ISNUMBER(AG455), RANK(AG455,AG$8:AG$507,1), "")</f>
        <v/>
      </c>
      <c r="AI455" s="85" t="str">
        <f aca="false">IF(ISBLANK(C455),"",IF(V455&lt;&gt;Constants!$B$14, V455, RANK(AD455, AD$8:AD$507, 1)+ SUMPRODUCT(--(AD$8:AD$507=AD455),--(AF455&gt;AF$8:AF$507)) + SUMPRODUCT(--(AD$8:AD$507=AD455),--(AF455=AF$8:AF$507),--(AH455&gt;AH$8:AH$507))))</f>
        <v/>
      </c>
      <c r="AJ455" s="85" t="str">
        <f aca="false">IF(ISBLANK(C455),"",IF(V455&lt;&gt;Constants!$B$14, V455, AD455-AI455))</f>
        <v/>
      </c>
      <c r="AK455" s="89"/>
      <c r="AL455" s="90" t="str">
        <f aca="false">IF(ISBLANK($C455),"",IF($V455&lt;&gt;Constants!$B$14,$V455,X455))</f>
        <v/>
      </c>
      <c r="AM455" s="90" t="str">
        <f aca="false">IF(ISBLANK($C455),"",IF($V455&lt;&gt;Constants!$B$14,$V455,N455))</f>
        <v/>
      </c>
      <c r="AN455" s="91" t="str">
        <f aca="false">IF(ISBLANK(C455),"",IF(V455&lt;&gt;Constants!$B$14, V455, IF(W455=Constants!$B$7,Z455,IF(W455=Constants!$B$8,AB455,""))))</f>
        <v/>
      </c>
      <c r="AO455" s="92" t="str">
        <f aca="false">IF(ISBLANK(C455),"",W455)</f>
        <v/>
      </c>
      <c r="AP455" s="92" t="str">
        <f aca="false">IF(ISBLANK(C455),"",AJ455)</f>
        <v/>
      </c>
      <c r="AQ455" s="92" t="str">
        <f aca="false">IF(ISBLANK(C455),"",AI455)</f>
        <v/>
      </c>
      <c r="AR455" s="93" t="str">
        <f aca="false">IF(ISBLANK(C455),
  "",
IF(AQ455=Constants!$B$11,COUNTA($C$8:$C$507)+2,IF(AQ455=Constants!$B$12,COUNTA($C$8:$C$507)+1,IF(AQ455=Constants!$B$13,COUNTA($C$8:$C$507),AQ455))))</f>
        <v/>
      </c>
      <c r="AS455" s="3"/>
      <c r="AT455" s="94" t="n">
        <f aca="false">IF(OR(ISNUMBER(AQ455),AQ455="DQ",AQ455="P",AQ455="NS"),
    1,
    0
)</f>
        <v>0</v>
      </c>
      <c r="AU455" s="94" t="n">
        <v>448</v>
      </c>
      <c r="AV455" s="94" t="str">
        <f aca="false">IF(ISBLANK($C455),
    "",
   IF(ISNUMBER(AR455),AR455+ROW($B455)/1000,"")
)</f>
        <v/>
      </c>
      <c r="AW455" s="94" t="str">
        <f aca="false">IF(ISNUMBER(AV455), RANK(AV455,AV$8:AV$507,1), "")</f>
        <v/>
      </c>
      <c r="AX455" s="94" t="str">
        <f aca="false">IF(ISBLANK($C455),
    "",
    $B455
)</f>
        <v/>
      </c>
      <c r="AY455" s="94" t="str">
        <f aca="false">IF(ISBLANK($C455),
    "",
    $C455
)</f>
        <v/>
      </c>
      <c r="AZ455" s="94" t="str">
        <f aca="false">IF(ISBLANK($C455),
    "",
    $D455
)</f>
        <v/>
      </c>
      <c r="BA455" s="94" t="str">
        <f aca="false">AO455</f>
        <v/>
      </c>
      <c r="BB455" s="95" t="str">
        <f aca="false">AN455</f>
        <v/>
      </c>
      <c r="BC455" s="94" t="str">
        <f aca="false">IF(ISBLANK($C455),
    "",
    AQ455
)</f>
        <v/>
      </c>
      <c r="BD455" s="96" t="str">
        <f aca="false">IF(AU455&gt;AT$7,
    "",
    VLOOKUP(AU455,AW$8:BC$507,7,FALSE())
)</f>
        <v/>
      </c>
      <c r="BE455" s="97" t="str">
        <f aca="false">IF(AU455&gt;AT$7,
    "",
    VLOOKUP(AU455,AW$8:BC$507,2,FALSE())
)</f>
        <v/>
      </c>
      <c r="BF455" s="97" t="str">
        <f aca="false">IF(AU455&gt;AT$7,
    "",
    VLOOKUP(AU455,AW$8:BC$507,3,FALSE())
)</f>
        <v/>
      </c>
      <c r="BG455" s="97" t="str">
        <f aca="false">IF(AU455&gt;AT$7,
    "",
    VLOOKUP(AU455,AW$8:BC$507,4,FALSE())
)</f>
        <v/>
      </c>
      <c r="BH455" s="97" t="str">
        <f aca="false">IF(AU455&gt;AT$7,
    "",
    VLOOKUP(AU455,AW$8:BC$507,5,FALSE())
)</f>
        <v/>
      </c>
      <c r="BI455" s="98" t="str">
        <f aca="false">IF(AU455&gt;AT$7,
    "",
    VLOOKUP(AU455,AW$8:BC$507,6,FALSE())
)</f>
        <v/>
      </c>
      <c r="BJ455" s="46"/>
    </row>
    <row r="456" customFormat="false" ht="15.75" hidden="false" customHeight="false" outlineLevel="0" collapsed="false">
      <c r="A456" s="3"/>
      <c r="B456" s="105"/>
      <c r="C456" s="106"/>
      <c r="D456" s="99"/>
      <c r="E456" s="110"/>
      <c r="F456" s="107"/>
      <c r="G456" s="110"/>
      <c r="H456" s="103"/>
      <c r="I456" s="102"/>
      <c r="J456" s="103"/>
      <c r="K456" s="103"/>
      <c r="L456" s="85"/>
      <c r="M456" s="85" t="str">
        <f aca="false">IF(ISBLANK($C456),"",IF(ISBLANK(E456),0,E456))</f>
        <v/>
      </c>
      <c r="N456" s="85" t="str">
        <f aca="false">IF(ISBLANK($C456),"",IF(ISBLANK(F456),0,F456))</f>
        <v/>
      </c>
      <c r="O456" s="86" t="e">
        <f aca="false">IF(AND(NOT(ISBLANK($C456)),NOT($T456),COUNTA($E456:$K456)&gt;0),ISBLANK($F456),FALSE())</f>
        <v>#VALUE!</v>
      </c>
      <c r="P456" s="85" t="str">
        <f aca="false">IF(ISBLANK($C456),"",IF(G456=Constants!$B$9, TRUE(), IF(G456=Constants!$B$10, FALSE(), TRUE())))</f>
        <v/>
      </c>
      <c r="Q456" s="85" t="str">
        <f aca="false">IF(ISBLANK($C456),"",IF(H456=Constants!$B$9, TRUE(), IF(H456=Constants!$B$10, FALSE(), TRUE())))</f>
        <v/>
      </c>
      <c r="R456" s="85" t="str">
        <f aca="false">IF(ISBLANK($C456),"",IF(ISBLANK(I456),Constants!$B$3,I456))</f>
        <v/>
      </c>
      <c r="S456" s="85" t="str">
        <f aca="false">IF(ISBLANK($C456),"",IF(ISBLANK(J456),0,MIN(J456,Constants!$B$6)))</f>
        <v/>
      </c>
      <c r="T456" s="85" t="str">
        <f aca="false">IF(ISBLANK($C456),"",IF(K456=Constants!$B$9, TRUE(), IF(K456=Constants!$B$10, FALSE(),  FALSE())))</f>
        <v/>
      </c>
      <c r="U456" s="85" t="str">
        <f aca="false">IF(ISBLANK($C456),"",AND(R456=Constants!$B$4, S456&lt;Constants!$B$6))</f>
        <v/>
      </c>
      <c r="V456" s="85" t="str">
        <f aca="false">IF(ISBLANK(C456), "", IF(T456, Constants!$B$11, IF(COUNTA(E456:K456)=0, Constants!$B$12, IF(NOT(AND(P456,S456&lt;&gt;0)), Constants!$B$13, IF(O456, Constants!$B$15, Constants!$B$14)))))</f>
        <v/>
      </c>
      <c r="W456" s="85" t="str">
        <f aca="false">IF(OR(ISBLANK($C456), SUMPRODUCT(--(P456:T456&lt;&gt;""))=0), "", IF(V456&lt;&gt;Constants!$B$14, V456, IF(AND(NOT(ISBLANK(J456)),P456,Q456,R456&lt;&gt;Constants!$B$2), Constants!$B$7, IF(AND(P456,OR(NOT(Q456),R456=Constants!$B$2)), Constants!$B$8, "Error"))))</f>
        <v/>
      </c>
      <c r="X456" s="87" t="str">
        <f aca="false">IF(OR(W456=Constants!$B$7,W456=Constants!$B$8), MAX(0, MIN(Constants!$B$6, S456))+IF(AND(R456=Constants!$B$4, NOT(U456)), Constants!$B$5, 0), "")</f>
        <v/>
      </c>
      <c r="Y456" s="85" t="str">
        <f aca="false">IF(ISBLANK($C456),"",IF(AND(ISNUMBER(X456),N456&gt;0),X456/N456, "") )</f>
        <v/>
      </c>
      <c r="Z456" s="85" t="str">
        <f aca="false">IF(AND(NOT(ISBLANK($C456)), W456=Constants!$B$7), Y456, "")</f>
        <v/>
      </c>
      <c r="AA456" s="85" t="str">
        <f aca="false">IF(ISNUMBER(Z456), RANK(Z456,Z$8:Z$507), "")</f>
        <v/>
      </c>
      <c r="AB456" s="85" t="str">
        <f aca="false">IF(AND(NOT(ISBLANK($C456)), W456=Constants!$B$8), Y456, "")</f>
        <v/>
      </c>
      <c r="AC456" s="85" t="str">
        <f aca="false">IF(ISNUMBER(AB456), RANK(AB456,AB$8:AB$507), "")</f>
        <v/>
      </c>
      <c r="AD456" s="85" t="str">
        <f aca="false">IF(ISBLANK($C456),"",IF(V456&lt;&gt;Constants!$B$14, V456, IF(W456=Constants!$B$7, AA456, IF(W456=Constants!$B$8, COUNT($AA$8:$AA$507) + AC456, ""))))</f>
        <v/>
      </c>
      <c r="AE456" s="85" t="str">
        <f aca="false">N456</f>
        <v/>
      </c>
      <c r="AF456" s="85" t="str">
        <f aca="false">IF(ISNUMBER(AE456), RANK(AE456,AE$8:AE$507,1), "")</f>
        <v/>
      </c>
      <c r="AG456" s="88" t="str">
        <f aca="false">IF(ISBLANK(C456), "", ABS(M456-S456))</f>
        <v/>
      </c>
      <c r="AH456" s="85" t="str">
        <f aca="false">IF(ISNUMBER(AG456), RANK(AG456,AG$8:AG$507,1), "")</f>
        <v/>
      </c>
      <c r="AI456" s="85" t="str">
        <f aca="false">IF(ISBLANK(C456),"",IF(V456&lt;&gt;Constants!$B$14, V456, RANK(AD456, AD$8:AD$507, 1)+ SUMPRODUCT(--(AD$8:AD$507=AD456),--(AF456&gt;AF$8:AF$507)) + SUMPRODUCT(--(AD$8:AD$507=AD456),--(AF456=AF$8:AF$507),--(AH456&gt;AH$8:AH$507))))</f>
        <v/>
      </c>
      <c r="AJ456" s="85" t="str">
        <f aca="false">IF(ISBLANK(C456),"",IF(V456&lt;&gt;Constants!$B$14, V456, AD456-AI456))</f>
        <v/>
      </c>
      <c r="AK456" s="89"/>
      <c r="AL456" s="90" t="str">
        <f aca="false">IF(ISBLANK($C456),"",IF($V456&lt;&gt;Constants!$B$14,$V456,X456))</f>
        <v/>
      </c>
      <c r="AM456" s="90" t="str">
        <f aca="false">IF(ISBLANK($C456),"",IF($V456&lt;&gt;Constants!$B$14,$V456,N456))</f>
        <v/>
      </c>
      <c r="AN456" s="91" t="str">
        <f aca="false">IF(ISBLANK(C456),"",IF(V456&lt;&gt;Constants!$B$14, V456, IF(W456=Constants!$B$7,Z456,IF(W456=Constants!$B$8,AB456,""))))</f>
        <v/>
      </c>
      <c r="AO456" s="92" t="str">
        <f aca="false">IF(ISBLANK(C456),"",W456)</f>
        <v/>
      </c>
      <c r="AP456" s="92" t="str">
        <f aca="false">IF(ISBLANK(C456),"",AJ456)</f>
        <v/>
      </c>
      <c r="AQ456" s="92" t="str">
        <f aca="false">IF(ISBLANK(C456),"",AI456)</f>
        <v/>
      </c>
      <c r="AR456" s="93" t="str">
        <f aca="false">IF(ISBLANK(C456),
  "",
IF(AQ456=Constants!$B$11,COUNTA($C$8:$C$507)+2,IF(AQ456=Constants!$B$12,COUNTA($C$8:$C$507)+1,IF(AQ456=Constants!$B$13,COUNTA($C$8:$C$507),AQ456))))</f>
        <v/>
      </c>
      <c r="AS456" s="3"/>
      <c r="AT456" s="94" t="n">
        <f aca="false">IF(OR(ISNUMBER(AQ456),AQ456="DQ",AQ456="P",AQ456="NS"),
    1,
    0
)</f>
        <v>0</v>
      </c>
      <c r="AU456" s="94" t="n">
        <v>449</v>
      </c>
      <c r="AV456" s="94" t="str">
        <f aca="false">IF(ISBLANK($C456),
    "",
   IF(ISNUMBER(AR456),AR456+ROW($B456)/1000,"")
)</f>
        <v/>
      </c>
      <c r="AW456" s="94" t="str">
        <f aca="false">IF(ISNUMBER(AV456), RANK(AV456,AV$8:AV$507,1), "")</f>
        <v/>
      </c>
      <c r="AX456" s="94" t="str">
        <f aca="false">IF(ISBLANK($C456),
    "",
    $B456
)</f>
        <v/>
      </c>
      <c r="AY456" s="94" t="str">
        <f aca="false">IF(ISBLANK($C456),
    "",
    $C456
)</f>
        <v/>
      </c>
      <c r="AZ456" s="94" t="str">
        <f aca="false">IF(ISBLANK($C456),
    "",
    $D456
)</f>
        <v/>
      </c>
      <c r="BA456" s="94" t="str">
        <f aca="false">AO456</f>
        <v/>
      </c>
      <c r="BB456" s="95" t="str">
        <f aca="false">AN456</f>
        <v/>
      </c>
      <c r="BC456" s="94" t="str">
        <f aca="false">IF(ISBLANK($C456),
    "",
    AQ456
)</f>
        <v/>
      </c>
      <c r="BD456" s="96" t="str">
        <f aca="false">IF(AU456&gt;AT$7,
    "",
    VLOOKUP(AU456,AW$8:BC$507,7,FALSE())
)</f>
        <v/>
      </c>
      <c r="BE456" s="97" t="str">
        <f aca="false">IF(AU456&gt;AT$7,
    "",
    VLOOKUP(AU456,AW$8:BC$507,2,FALSE())
)</f>
        <v/>
      </c>
      <c r="BF456" s="97" t="str">
        <f aca="false">IF(AU456&gt;AT$7,
    "",
    VLOOKUP(AU456,AW$8:BC$507,3,FALSE())
)</f>
        <v/>
      </c>
      <c r="BG456" s="97" t="str">
        <f aca="false">IF(AU456&gt;AT$7,
    "",
    VLOOKUP(AU456,AW$8:BC$507,4,FALSE())
)</f>
        <v/>
      </c>
      <c r="BH456" s="97" t="str">
        <f aca="false">IF(AU456&gt;AT$7,
    "",
    VLOOKUP(AU456,AW$8:BC$507,5,FALSE())
)</f>
        <v/>
      </c>
      <c r="BI456" s="98" t="str">
        <f aca="false">IF(AU456&gt;AT$7,
    "",
    VLOOKUP(AU456,AW$8:BC$507,6,FALSE())
)</f>
        <v/>
      </c>
      <c r="BJ456" s="46"/>
    </row>
    <row r="457" customFormat="false" ht="15.75" hidden="false" customHeight="false" outlineLevel="0" collapsed="false">
      <c r="A457" s="3"/>
      <c r="B457" s="105"/>
      <c r="C457" s="106"/>
      <c r="D457" s="99"/>
      <c r="E457" s="110"/>
      <c r="F457" s="107"/>
      <c r="G457" s="110"/>
      <c r="H457" s="103"/>
      <c r="I457" s="102"/>
      <c r="J457" s="103"/>
      <c r="K457" s="103"/>
      <c r="L457" s="85"/>
      <c r="M457" s="85" t="str">
        <f aca="false">IF(ISBLANK($C457),"",IF(ISBLANK(E457),0,E457))</f>
        <v/>
      </c>
      <c r="N457" s="85" t="str">
        <f aca="false">IF(ISBLANK($C457),"",IF(ISBLANK(F457),0,F457))</f>
        <v/>
      </c>
      <c r="O457" s="86" t="e">
        <f aca="false">IF(AND(NOT(ISBLANK($C457)),NOT($T457),COUNTA($E457:$K457)&gt;0),ISBLANK($F457),FALSE())</f>
        <v>#VALUE!</v>
      </c>
      <c r="P457" s="85" t="str">
        <f aca="false">IF(ISBLANK($C457),"",IF(G457=Constants!$B$9, TRUE(), IF(G457=Constants!$B$10, FALSE(), TRUE())))</f>
        <v/>
      </c>
      <c r="Q457" s="85" t="str">
        <f aca="false">IF(ISBLANK($C457),"",IF(H457=Constants!$B$9, TRUE(), IF(H457=Constants!$B$10, FALSE(), TRUE())))</f>
        <v/>
      </c>
      <c r="R457" s="85" t="str">
        <f aca="false">IF(ISBLANK($C457),"",IF(ISBLANK(I457),Constants!$B$3,I457))</f>
        <v/>
      </c>
      <c r="S457" s="85" t="str">
        <f aca="false">IF(ISBLANK($C457),"",IF(ISBLANK(J457),0,MIN(J457,Constants!$B$6)))</f>
        <v/>
      </c>
      <c r="T457" s="85" t="str">
        <f aca="false">IF(ISBLANK($C457),"",IF(K457=Constants!$B$9, TRUE(), IF(K457=Constants!$B$10, FALSE(),  FALSE())))</f>
        <v/>
      </c>
      <c r="U457" s="85" t="str">
        <f aca="false">IF(ISBLANK($C457),"",AND(R457=Constants!$B$4, S457&lt;Constants!$B$6))</f>
        <v/>
      </c>
      <c r="V457" s="85" t="str">
        <f aca="false">IF(ISBLANK(C457), "", IF(T457, Constants!$B$11, IF(COUNTA(E457:K457)=0, Constants!$B$12, IF(NOT(AND(P457,S457&lt;&gt;0)), Constants!$B$13, IF(O457, Constants!$B$15, Constants!$B$14)))))</f>
        <v/>
      </c>
      <c r="W457" s="85" t="str">
        <f aca="false">IF(OR(ISBLANK($C457), SUMPRODUCT(--(P457:T457&lt;&gt;""))=0), "", IF(V457&lt;&gt;Constants!$B$14, V457, IF(AND(NOT(ISBLANK(J457)),P457,Q457,R457&lt;&gt;Constants!$B$2), Constants!$B$7, IF(AND(P457,OR(NOT(Q457),R457=Constants!$B$2)), Constants!$B$8, "Error"))))</f>
        <v/>
      </c>
      <c r="X457" s="87" t="str">
        <f aca="false">IF(OR(W457=Constants!$B$7,W457=Constants!$B$8), MAX(0, MIN(Constants!$B$6, S457))+IF(AND(R457=Constants!$B$4, NOT(U457)), Constants!$B$5, 0), "")</f>
        <v/>
      </c>
      <c r="Y457" s="85" t="str">
        <f aca="false">IF(ISBLANK($C457),"",IF(AND(ISNUMBER(X457),N457&gt;0),X457/N457, "") )</f>
        <v/>
      </c>
      <c r="Z457" s="85" t="str">
        <f aca="false">IF(AND(NOT(ISBLANK($C457)), W457=Constants!$B$7), Y457, "")</f>
        <v/>
      </c>
      <c r="AA457" s="85" t="str">
        <f aca="false">IF(ISNUMBER(Z457), RANK(Z457,Z$8:Z$507), "")</f>
        <v/>
      </c>
      <c r="AB457" s="85" t="str">
        <f aca="false">IF(AND(NOT(ISBLANK($C457)), W457=Constants!$B$8), Y457, "")</f>
        <v/>
      </c>
      <c r="AC457" s="85" t="str">
        <f aca="false">IF(ISNUMBER(AB457), RANK(AB457,AB$8:AB$507), "")</f>
        <v/>
      </c>
      <c r="AD457" s="85" t="str">
        <f aca="false">IF(ISBLANK($C457),"",IF(V457&lt;&gt;Constants!$B$14, V457, IF(W457=Constants!$B$7, AA457, IF(W457=Constants!$B$8, COUNT($AA$8:$AA$507) + AC457, ""))))</f>
        <v/>
      </c>
      <c r="AE457" s="85" t="str">
        <f aca="false">N457</f>
        <v/>
      </c>
      <c r="AF457" s="85" t="str">
        <f aca="false">IF(ISNUMBER(AE457), RANK(AE457,AE$8:AE$507,1), "")</f>
        <v/>
      </c>
      <c r="AG457" s="88" t="str">
        <f aca="false">IF(ISBLANK(C457), "", ABS(M457-S457))</f>
        <v/>
      </c>
      <c r="AH457" s="85" t="str">
        <f aca="false">IF(ISNUMBER(AG457), RANK(AG457,AG$8:AG$507,1), "")</f>
        <v/>
      </c>
      <c r="AI457" s="85" t="str">
        <f aca="false">IF(ISBLANK(C457),"",IF(V457&lt;&gt;Constants!$B$14, V457, RANK(AD457, AD$8:AD$507, 1)+ SUMPRODUCT(--(AD$8:AD$507=AD457),--(AF457&gt;AF$8:AF$507)) + SUMPRODUCT(--(AD$8:AD$507=AD457),--(AF457=AF$8:AF$507),--(AH457&gt;AH$8:AH$507))))</f>
        <v/>
      </c>
      <c r="AJ457" s="85" t="str">
        <f aca="false">IF(ISBLANK(C457),"",IF(V457&lt;&gt;Constants!$B$14, V457, AD457-AI457))</f>
        <v/>
      </c>
      <c r="AK457" s="89"/>
      <c r="AL457" s="90" t="str">
        <f aca="false">IF(ISBLANK($C457),"",IF($V457&lt;&gt;Constants!$B$14,$V457,X457))</f>
        <v/>
      </c>
      <c r="AM457" s="90" t="str">
        <f aca="false">IF(ISBLANK($C457),"",IF($V457&lt;&gt;Constants!$B$14,$V457,N457))</f>
        <v/>
      </c>
      <c r="AN457" s="91" t="str">
        <f aca="false">IF(ISBLANK(C457),"",IF(V457&lt;&gt;Constants!$B$14, V457, IF(W457=Constants!$B$7,Z457,IF(W457=Constants!$B$8,AB457,""))))</f>
        <v/>
      </c>
      <c r="AO457" s="92" t="str">
        <f aca="false">IF(ISBLANK(C457),"",W457)</f>
        <v/>
      </c>
      <c r="AP457" s="92" t="str">
        <f aca="false">IF(ISBLANK(C457),"",AJ457)</f>
        <v/>
      </c>
      <c r="AQ457" s="92" t="str">
        <f aca="false">IF(ISBLANK(C457),"",AI457)</f>
        <v/>
      </c>
      <c r="AR457" s="93" t="str">
        <f aca="false">IF(ISBLANK(C457),
  "",
IF(AQ457=Constants!$B$11,COUNTA($C$8:$C$507)+2,IF(AQ457=Constants!$B$12,COUNTA($C$8:$C$507)+1,IF(AQ457=Constants!$B$13,COUNTA($C$8:$C$507),AQ457))))</f>
        <v/>
      </c>
      <c r="AS457" s="3"/>
      <c r="AT457" s="94" t="n">
        <f aca="false">IF(OR(ISNUMBER(AQ457),AQ457="DQ",AQ457="P",AQ457="NS"),
    1,
    0
)</f>
        <v>0</v>
      </c>
      <c r="AU457" s="94" t="n">
        <v>450</v>
      </c>
      <c r="AV457" s="94" t="str">
        <f aca="false">IF(ISBLANK($C457),
    "",
   IF(ISNUMBER(AR457),AR457+ROW($B457)/1000,"")
)</f>
        <v/>
      </c>
      <c r="AW457" s="94" t="str">
        <f aca="false">IF(ISNUMBER(AV457), RANK(AV457,AV$8:AV$507,1), "")</f>
        <v/>
      </c>
      <c r="AX457" s="94" t="str">
        <f aca="false">IF(ISBLANK($C457),
    "",
    $B457
)</f>
        <v/>
      </c>
      <c r="AY457" s="94" t="str">
        <f aca="false">IF(ISBLANK($C457),
    "",
    $C457
)</f>
        <v/>
      </c>
      <c r="AZ457" s="94" t="str">
        <f aca="false">IF(ISBLANK($C457),
    "",
    $D457
)</f>
        <v/>
      </c>
      <c r="BA457" s="94" t="str">
        <f aca="false">AO457</f>
        <v/>
      </c>
      <c r="BB457" s="95" t="str">
        <f aca="false">AN457</f>
        <v/>
      </c>
      <c r="BC457" s="94" t="str">
        <f aca="false">IF(ISBLANK($C457),
    "",
    AQ457
)</f>
        <v/>
      </c>
      <c r="BD457" s="96" t="str">
        <f aca="false">IF(AU457&gt;AT$7,
    "",
    VLOOKUP(AU457,AW$8:BC$507,7,FALSE())
)</f>
        <v/>
      </c>
      <c r="BE457" s="97" t="str">
        <f aca="false">IF(AU457&gt;AT$7,
    "",
    VLOOKUP(AU457,AW$8:BC$507,2,FALSE())
)</f>
        <v/>
      </c>
      <c r="BF457" s="97" t="str">
        <f aca="false">IF(AU457&gt;AT$7,
    "",
    VLOOKUP(AU457,AW$8:BC$507,3,FALSE())
)</f>
        <v/>
      </c>
      <c r="BG457" s="97" t="str">
        <f aca="false">IF(AU457&gt;AT$7,
    "",
    VLOOKUP(AU457,AW$8:BC$507,4,FALSE())
)</f>
        <v/>
      </c>
      <c r="BH457" s="97" t="str">
        <f aca="false">IF(AU457&gt;AT$7,
    "",
    VLOOKUP(AU457,AW$8:BC$507,5,FALSE())
)</f>
        <v/>
      </c>
      <c r="BI457" s="98" t="str">
        <f aca="false">IF(AU457&gt;AT$7,
    "",
    VLOOKUP(AU457,AW$8:BC$507,6,FALSE())
)</f>
        <v/>
      </c>
      <c r="BJ457" s="46"/>
    </row>
    <row r="458" customFormat="false" ht="15.75" hidden="false" customHeight="false" outlineLevel="0" collapsed="false">
      <c r="A458" s="3"/>
      <c r="B458" s="108"/>
      <c r="C458" s="70"/>
      <c r="D458" s="49"/>
      <c r="E458" s="109"/>
      <c r="F458" s="72"/>
      <c r="G458" s="109"/>
      <c r="H458" s="74"/>
      <c r="I458" s="104"/>
      <c r="J458" s="74"/>
      <c r="K458" s="74"/>
      <c r="L458" s="55"/>
      <c r="M458" s="55" t="str">
        <f aca="false">IF(ISBLANK($C458),"",IF(ISBLANK(E458),0,E458))</f>
        <v/>
      </c>
      <c r="N458" s="55" t="str">
        <f aca="false">IF(ISBLANK($C458),"",IF(ISBLANK(F458),0,F458))</f>
        <v/>
      </c>
      <c r="O458" s="55" t="e">
        <f aca="false">IF(AND(NOT(ISBLANK($C458)),NOT($T458),COUNTA($E458:$K458)&gt;0),ISBLANK($F458),FALSE())</f>
        <v>#VALUE!</v>
      </c>
      <c r="P458" s="55" t="str">
        <f aca="false">IF(ISBLANK($C458),"",IF(G458=Constants!$B$9, TRUE(), IF(G458=Constants!$B$10, FALSE(), TRUE())))</f>
        <v/>
      </c>
      <c r="Q458" s="55" t="str">
        <f aca="false">IF(ISBLANK($C458),"",IF(H458=Constants!$B$9, TRUE(), IF(H458=Constants!$B$10, FALSE(), TRUE())))</f>
        <v/>
      </c>
      <c r="R458" s="55" t="str">
        <f aca="false">IF(ISBLANK($C458),"",IF(ISBLANK(I458),Constants!$B$3,I458))</f>
        <v/>
      </c>
      <c r="S458" s="55" t="str">
        <f aca="false">IF(ISBLANK($C458),"",IF(ISBLANK(J458),0,MIN(J458,Constants!$B$6)))</f>
        <v/>
      </c>
      <c r="T458" s="55" t="str">
        <f aca="false">IF(ISBLANK($C458),"",IF(K458=Constants!$B$9, TRUE(), IF(K458=Constants!$B$10, FALSE(),  FALSE())))</f>
        <v/>
      </c>
      <c r="U458" s="55" t="str">
        <f aca="false">IF(ISBLANK($C458),"",AND(R458=Constants!$B$4, S458&lt;Constants!$B$6))</f>
        <v/>
      </c>
      <c r="V458" s="55" t="str">
        <f aca="false">IF(ISBLANK(C458), "", IF(T458, Constants!$B$11, IF(COUNTA(E458:K458)=0, Constants!$B$12, IF(NOT(AND(P458,S458&lt;&gt;0)), Constants!$B$13, IF(O458, Constants!$B$15, Constants!$B$14)))))</f>
        <v/>
      </c>
      <c r="W458" s="55" t="str">
        <f aca="false">IF(OR(ISBLANK($C458), SUMPRODUCT(--(P458:T458&lt;&gt;""))=0), "", IF(V458&lt;&gt;Constants!$B$14, V458, IF(AND(NOT(ISBLANK(J458)),P458,Q458,R458&lt;&gt;Constants!$B$2), Constants!$B$7, IF(AND(P458,OR(NOT(Q458),R458=Constants!$B$2)), Constants!$B$8, "Error"))))</f>
        <v/>
      </c>
      <c r="X458" s="56" t="str">
        <f aca="false">IF(OR(W458=Constants!$B$7,W458=Constants!$B$8), MAX(0, MIN(Constants!$B$6, S458))+IF(AND(R458=Constants!$B$4, NOT(U458)), Constants!$B$5, 0), "")</f>
        <v/>
      </c>
      <c r="Y458" s="55" t="str">
        <f aca="false">IF(ISBLANK($C458),"",IF(AND(ISNUMBER(X458),N458&gt;0),X458/N458, "") )</f>
        <v/>
      </c>
      <c r="Z458" s="55" t="str">
        <f aca="false">IF(AND(NOT(ISBLANK($C458)), W458=Constants!$B$7), Y458, "")</f>
        <v/>
      </c>
      <c r="AA458" s="55" t="str">
        <f aca="false">IF(ISNUMBER(Z458), RANK(Z458,Z$8:Z$507), "")</f>
        <v/>
      </c>
      <c r="AB458" s="55" t="str">
        <f aca="false">IF(AND(NOT(ISBLANK($C458)), W458=Constants!$B$8), Y458, "")</f>
        <v/>
      </c>
      <c r="AC458" s="55" t="str">
        <f aca="false">IF(ISNUMBER(AB458), RANK(AB458,AB$8:AB$507), "")</f>
        <v/>
      </c>
      <c r="AD458" s="55" t="str">
        <f aca="false">IF(ISBLANK($C458),"",IF(V458&lt;&gt;Constants!$B$14, V458, IF(W458=Constants!$B$7, AA458, IF(W458=Constants!$B$8, COUNT($AA$8:$AA$507) + AC458, ""))))</f>
        <v/>
      </c>
      <c r="AE458" s="55" t="str">
        <f aca="false">N458</f>
        <v/>
      </c>
      <c r="AF458" s="55" t="str">
        <f aca="false">IF(ISNUMBER(AE458), RANK(AE458,AE$8:AE$507,1), "")</f>
        <v/>
      </c>
      <c r="AG458" s="57" t="str">
        <f aca="false">IF(ISBLANK(C458), "", ABS(M458-S458))</f>
        <v/>
      </c>
      <c r="AH458" s="55" t="str">
        <f aca="false">IF(ISNUMBER(AG458), RANK(AG458,AG$8:AG$507,1), "")</f>
        <v/>
      </c>
      <c r="AI458" s="55" t="str">
        <f aca="false">IF(ISBLANK(C458),"",IF(V458&lt;&gt;Constants!$B$14, V458, RANK(AD458, AD$8:AD$507, 1)+ SUMPRODUCT(--(AD$8:AD$507=AD458),--(AF458&gt;AF$8:AF$507)) + SUMPRODUCT(--(AD$8:AD$507=AD458),--(AF458=AF$8:AF$507),--(AH458&gt;AH$8:AH$507))))</f>
        <v/>
      </c>
      <c r="AJ458" s="55" t="str">
        <f aca="false">IF(ISBLANK(C458),"",IF(V458&lt;&gt;Constants!$B$14, V458, AD458-AI458))</f>
        <v/>
      </c>
      <c r="AK458" s="59"/>
      <c r="AL458" s="60" t="str">
        <f aca="false">IF(ISBLANK($C458),"",IF($V458&lt;&gt;Constants!$B$14,$V458,X458))</f>
        <v/>
      </c>
      <c r="AM458" s="60" t="str">
        <f aca="false">IF(ISBLANK($C458),"",IF($V458&lt;&gt;Constants!$B$14,$V458,N458))</f>
        <v/>
      </c>
      <c r="AN458" s="62" t="str">
        <f aca="false">IF(ISBLANK(C458),"",IF(V458&lt;&gt;Constants!$B$14, V458, IF(W458=Constants!$B$7,Z458,IF(W458=Constants!$B$8,AB458,""))))</f>
        <v/>
      </c>
      <c r="AO458" s="63" t="str">
        <f aca="false">IF(ISBLANK(C458),"",W458)</f>
        <v/>
      </c>
      <c r="AP458" s="63" t="str">
        <f aca="false">IF(ISBLANK(C458),"",AJ458)</f>
        <v/>
      </c>
      <c r="AQ458" s="63" t="str">
        <f aca="false">IF(ISBLANK(C458),"",AI458)</f>
        <v/>
      </c>
      <c r="AR458" s="64" t="str">
        <f aca="false">IF(ISBLANK(C458),
  "",
IF(AQ458=Constants!$B$11,COUNTA($C$8:$C$507)+2,IF(AQ458=Constants!$B$12,COUNTA($C$8:$C$507)+1,IF(AQ458=Constants!$B$13,COUNTA($C$8:$C$507),AQ458))))</f>
        <v/>
      </c>
      <c r="AS458" s="3"/>
      <c r="AT458" s="65" t="n">
        <f aca="false">IF(OR(ISNUMBER(AQ458),AQ458="DQ",AQ458="P",AQ458="NS"),
    1,
    0
)</f>
        <v>0</v>
      </c>
      <c r="AU458" s="65" t="n">
        <v>451</v>
      </c>
      <c r="AV458" s="65" t="str">
        <f aca="false">IF(ISBLANK($C458),
    "",
   IF(ISNUMBER(AR458),AR458+ROW($B458)/1000,"")
)</f>
        <v/>
      </c>
      <c r="AW458" s="65" t="str">
        <f aca="false">IF(ISNUMBER(AV458), RANK(AV458,AV$8:AV$507,1), "")</f>
        <v/>
      </c>
      <c r="AX458" s="65" t="str">
        <f aca="false">IF(ISBLANK($C458),
    "",
    $B458
)</f>
        <v/>
      </c>
      <c r="AY458" s="65" t="str">
        <f aca="false">IF(ISBLANK($C458),
    "",
    $C458
)</f>
        <v/>
      </c>
      <c r="AZ458" s="65" t="str">
        <f aca="false">IF(ISBLANK($C458),
    "",
    $D458
)</f>
        <v/>
      </c>
      <c r="BA458" s="65" t="str">
        <f aca="false">AO458</f>
        <v/>
      </c>
      <c r="BB458" s="66" t="str">
        <f aca="false">AN458</f>
        <v/>
      </c>
      <c r="BC458" s="65" t="str">
        <f aca="false">IF(ISBLANK($C458),
    "",
    AQ458
)</f>
        <v/>
      </c>
      <c r="BD458" s="67" t="str">
        <f aca="false">IF(AU458&gt;AT$7,
    "",
    VLOOKUP(AU458,AW$8:BC$507,7,FALSE())
)</f>
        <v/>
      </c>
      <c r="BE458" s="68" t="str">
        <f aca="false">IF(AU458&gt;AT$7,
    "",
    VLOOKUP(AU458,AW$8:BC$507,2,FALSE())
)</f>
        <v/>
      </c>
      <c r="BF458" s="68" t="str">
        <f aca="false">IF(AU458&gt;AT$7,
    "",
    VLOOKUP(AU458,AW$8:BC$507,3,FALSE())
)</f>
        <v/>
      </c>
      <c r="BG458" s="68" t="str">
        <f aca="false">IF(AU458&gt;AT$7,
    "",
    VLOOKUP(AU458,AW$8:BC$507,4,FALSE())
)</f>
        <v/>
      </c>
      <c r="BH458" s="68" t="str">
        <f aca="false">IF(AU458&gt;AT$7,
    "",
    VLOOKUP(AU458,AW$8:BC$507,5,FALSE())
)</f>
        <v/>
      </c>
      <c r="BI458" s="69" t="str">
        <f aca="false">IF(AU458&gt;AT$7,
    "",
    VLOOKUP(AU458,AW$8:BC$507,6,FALSE())
)</f>
        <v/>
      </c>
      <c r="BJ458" s="46"/>
    </row>
    <row r="459" customFormat="false" ht="15.75" hidden="false" customHeight="false" outlineLevel="0" collapsed="false">
      <c r="A459" s="3"/>
      <c r="B459" s="108"/>
      <c r="C459" s="70"/>
      <c r="D459" s="49"/>
      <c r="E459" s="109"/>
      <c r="F459" s="72"/>
      <c r="G459" s="109"/>
      <c r="H459" s="74"/>
      <c r="I459" s="104"/>
      <c r="J459" s="74"/>
      <c r="K459" s="74"/>
      <c r="L459" s="55"/>
      <c r="M459" s="55" t="str">
        <f aca="false">IF(ISBLANK($C459),"",IF(ISBLANK(E459),0,E459))</f>
        <v/>
      </c>
      <c r="N459" s="55" t="str">
        <f aca="false">IF(ISBLANK($C459),"",IF(ISBLANK(F459),0,F459))</f>
        <v/>
      </c>
      <c r="O459" s="55" t="e">
        <f aca="false">IF(AND(NOT(ISBLANK($C459)),NOT($T459),COUNTA($E459:$K459)&gt;0),ISBLANK($F459),FALSE())</f>
        <v>#VALUE!</v>
      </c>
      <c r="P459" s="55" t="str">
        <f aca="false">IF(ISBLANK($C459),"",IF(G459=Constants!$B$9, TRUE(), IF(G459=Constants!$B$10, FALSE(), TRUE())))</f>
        <v/>
      </c>
      <c r="Q459" s="55" t="str">
        <f aca="false">IF(ISBLANK($C459),"",IF(H459=Constants!$B$9, TRUE(), IF(H459=Constants!$B$10, FALSE(), TRUE())))</f>
        <v/>
      </c>
      <c r="R459" s="55" t="str">
        <f aca="false">IF(ISBLANK($C459),"",IF(ISBLANK(I459),Constants!$B$3,I459))</f>
        <v/>
      </c>
      <c r="S459" s="55" t="str">
        <f aca="false">IF(ISBLANK($C459),"",IF(ISBLANK(J459),0,MIN(J459,Constants!$B$6)))</f>
        <v/>
      </c>
      <c r="T459" s="55" t="str">
        <f aca="false">IF(ISBLANK($C459),"",IF(K459=Constants!$B$9, TRUE(), IF(K459=Constants!$B$10, FALSE(),  FALSE())))</f>
        <v/>
      </c>
      <c r="U459" s="55" t="str">
        <f aca="false">IF(ISBLANK($C459),"",AND(R459=Constants!$B$4, S459&lt;Constants!$B$6))</f>
        <v/>
      </c>
      <c r="V459" s="55" t="str">
        <f aca="false">IF(ISBLANK(C459), "", IF(T459, Constants!$B$11, IF(COUNTA(E459:K459)=0, Constants!$B$12, IF(NOT(AND(P459,S459&lt;&gt;0)), Constants!$B$13, IF(O459, Constants!$B$15, Constants!$B$14)))))</f>
        <v/>
      </c>
      <c r="W459" s="55" t="str">
        <f aca="false">IF(OR(ISBLANK($C459), SUMPRODUCT(--(P459:T459&lt;&gt;""))=0), "", IF(V459&lt;&gt;Constants!$B$14, V459, IF(AND(NOT(ISBLANK(J459)),P459,Q459,R459&lt;&gt;Constants!$B$2), Constants!$B$7, IF(AND(P459,OR(NOT(Q459),R459=Constants!$B$2)), Constants!$B$8, "Error"))))</f>
        <v/>
      </c>
      <c r="X459" s="56" t="str">
        <f aca="false">IF(OR(W459=Constants!$B$7,W459=Constants!$B$8), MAX(0, MIN(Constants!$B$6, S459))+IF(AND(R459=Constants!$B$4, NOT(U459)), Constants!$B$5, 0), "")</f>
        <v/>
      </c>
      <c r="Y459" s="55" t="str">
        <f aca="false">IF(ISBLANK($C459),"",IF(AND(ISNUMBER(X459),N459&gt;0),X459/N459, "") )</f>
        <v/>
      </c>
      <c r="Z459" s="55" t="str">
        <f aca="false">IF(AND(NOT(ISBLANK($C459)), W459=Constants!$B$7), Y459, "")</f>
        <v/>
      </c>
      <c r="AA459" s="55" t="str">
        <f aca="false">IF(ISNUMBER(Z459), RANK(Z459,Z$8:Z$507), "")</f>
        <v/>
      </c>
      <c r="AB459" s="55" t="str">
        <f aca="false">IF(AND(NOT(ISBLANK($C459)), W459=Constants!$B$8), Y459, "")</f>
        <v/>
      </c>
      <c r="AC459" s="55" t="str">
        <f aca="false">IF(ISNUMBER(AB459), RANK(AB459,AB$8:AB$507), "")</f>
        <v/>
      </c>
      <c r="AD459" s="55" t="str">
        <f aca="false">IF(ISBLANK($C459),"",IF(V459&lt;&gt;Constants!$B$14, V459, IF(W459=Constants!$B$7, AA459, IF(W459=Constants!$B$8, COUNT($AA$8:$AA$507) + AC459, ""))))</f>
        <v/>
      </c>
      <c r="AE459" s="55" t="str">
        <f aca="false">N459</f>
        <v/>
      </c>
      <c r="AF459" s="55" t="str">
        <f aca="false">IF(ISNUMBER(AE459), RANK(AE459,AE$8:AE$507,1), "")</f>
        <v/>
      </c>
      <c r="AG459" s="57" t="str">
        <f aca="false">IF(ISBLANK(C459), "", ABS(M459-S459))</f>
        <v/>
      </c>
      <c r="AH459" s="55" t="str">
        <f aca="false">IF(ISNUMBER(AG459), RANK(AG459,AG$8:AG$507,1), "")</f>
        <v/>
      </c>
      <c r="AI459" s="55" t="str">
        <f aca="false">IF(ISBLANK(C459),"",IF(V459&lt;&gt;Constants!$B$14, V459, RANK(AD459, AD$8:AD$507, 1)+ SUMPRODUCT(--(AD$8:AD$507=AD459),--(AF459&gt;AF$8:AF$507)) + SUMPRODUCT(--(AD$8:AD$507=AD459),--(AF459=AF$8:AF$507),--(AH459&gt;AH$8:AH$507))))</f>
        <v/>
      </c>
      <c r="AJ459" s="55" t="str">
        <f aca="false">IF(ISBLANK(C459),"",IF(V459&lt;&gt;Constants!$B$14, V459, AD459-AI459))</f>
        <v/>
      </c>
      <c r="AK459" s="59"/>
      <c r="AL459" s="60" t="str">
        <f aca="false">IF(ISBLANK($C459),"",IF($V459&lt;&gt;Constants!$B$14,$V459,X459))</f>
        <v/>
      </c>
      <c r="AM459" s="60" t="str">
        <f aca="false">IF(ISBLANK($C459),"",IF($V459&lt;&gt;Constants!$B$14,$V459,N459))</f>
        <v/>
      </c>
      <c r="AN459" s="62" t="str">
        <f aca="false">IF(ISBLANK(C459),"",IF(V459&lt;&gt;Constants!$B$14, V459, IF(W459=Constants!$B$7,Z459,IF(W459=Constants!$B$8,AB459,""))))</f>
        <v/>
      </c>
      <c r="AO459" s="63" t="str">
        <f aca="false">IF(ISBLANK(C459),"",W459)</f>
        <v/>
      </c>
      <c r="AP459" s="63" t="str">
        <f aca="false">IF(ISBLANK(C459),"",AJ459)</f>
        <v/>
      </c>
      <c r="AQ459" s="63" t="str">
        <f aca="false">IF(ISBLANK(C459),"",AI459)</f>
        <v/>
      </c>
      <c r="AR459" s="64" t="str">
        <f aca="false">IF(ISBLANK(C459),
  "",
IF(AQ459=Constants!$B$11,COUNTA($C$8:$C$507)+2,IF(AQ459=Constants!$B$12,COUNTA($C$8:$C$507)+1,IF(AQ459=Constants!$B$13,COUNTA($C$8:$C$507),AQ459))))</f>
        <v/>
      </c>
      <c r="AS459" s="3"/>
      <c r="AT459" s="65" t="n">
        <f aca="false">IF(OR(ISNUMBER(AQ459),AQ459="DQ",AQ459="P",AQ459="NS"),
    1,
    0
)</f>
        <v>0</v>
      </c>
      <c r="AU459" s="65" t="n">
        <v>452</v>
      </c>
      <c r="AV459" s="65" t="str">
        <f aca="false">IF(ISBLANK($C459),
    "",
   IF(ISNUMBER(AR459),AR459+ROW($B459)/1000,"")
)</f>
        <v/>
      </c>
      <c r="AW459" s="65" t="str">
        <f aca="false">IF(ISNUMBER(AV459), RANK(AV459,AV$8:AV$507,1), "")</f>
        <v/>
      </c>
      <c r="AX459" s="65" t="str">
        <f aca="false">IF(ISBLANK($C459),
    "",
    $B459
)</f>
        <v/>
      </c>
      <c r="AY459" s="65" t="str">
        <f aca="false">IF(ISBLANK($C459),
    "",
    $C459
)</f>
        <v/>
      </c>
      <c r="AZ459" s="65" t="str">
        <f aca="false">IF(ISBLANK($C459),
    "",
    $D459
)</f>
        <v/>
      </c>
      <c r="BA459" s="65" t="str">
        <f aca="false">AO459</f>
        <v/>
      </c>
      <c r="BB459" s="66" t="str">
        <f aca="false">AN459</f>
        <v/>
      </c>
      <c r="BC459" s="65" t="str">
        <f aca="false">IF(ISBLANK($C459),
    "",
    AQ459
)</f>
        <v/>
      </c>
      <c r="BD459" s="67" t="str">
        <f aca="false">IF(AU459&gt;AT$7,
    "",
    VLOOKUP(AU459,AW$8:BC$507,7,FALSE())
)</f>
        <v/>
      </c>
      <c r="BE459" s="68" t="str">
        <f aca="false">IF(AU459&gt;AT$7,
    "",
    VLOOKUP(AU459,AW$8:BC$507,2,FALSE())
)</f>
        <v/>
      </c>
      <c r="BF459" s="68" t="str">
        <f aca="false">IF(AU459&gt;AT$7,
    "",
    VLOOKUP(AU459,AW$8:BC$507,3,FALSE())
)</f>
        <v/>
      </c>
      <c r="BG459" s="68" t="str">
        <f aca="false">IF(AU459&gt;AT$7,
    "",
    VLOOKUP(AU459,AW$8:BC$507,4,FALSE())
)</f>
        <v/>
      </c>
      <c r="BH459" s="68" t="str">
        <f aca="false">IF(AU459&gt;AT$7,
    "",
    VLOOKUP(AU459,AW$8:BC$507,5,FALSE())
)</f>
        <v/>
      </c>
      <c r="BI459" s="69" t="str">
        <f aca="false">IF(AU459&gt;AT$7,
    "",
    VLOOKUP(AU459,AW$8:BC$507,6,FALSE())
)</f>
        <v/>
      </c>
      <c r="BJ459" s="46"/>
    </row>
    <row r="460" customFormat="false" ht="15.75" hidden="false" customHeight="false" outlineLevel="0" collapsed="false">
      <c r="A460" s="3"/>
      <c r="B460" s="108"/>
      <c r="C460" s="70"/>
      <c r="D460" s="49"/>
      <c r="E460" s="109"/>
      <c r="F460" s="72"/>
      <c r="G460" s="109"/>
      <c r="H460" s="74"/>
      <c r="I460" s="104"/>
      <c r="J460" s="74"/>
      <c r="K460" s="74"/>
      <c r="L460" s="55"/>
      <c r="M460" s="55" t="str">
        <f aca="false">IF(ISBLANK($C460),"",IF(ISBLANK(E460),0,E460))</f>
        <v/>
      </c>
      <c r="N460" s="55" t="str">
        <f aca="false">IF(ISBLANK($C460),"",IF(ISBLANK(F460),0,F460))</f>
        <v/>
      </c>
      <c r="O460" s="55" t="e">
        <f aca="false">IF(AND(NOT(ISBLANK($C460)),NOT($T460),COUNTA($E460:$K460)&gt;0),ISBLANK($F460),FALSE())</f>
        <v>#VALUE!</v>
      </c>
      <c r="P460" s="55" t="str">
        <f aca="false">IF(ISBLANK($C460),"",IF(G460=Constants!$B$9, TRUE(), IF(G460=Constants!$B$10, FALSE(), TRUE())))</f>
        <v/>
      </c>
      <c r="Q460" s="55" t="str">
        <f aca="false">IF(ISBLANK($C460),"",IF(H460=Constants!$B$9, TRUE(), IF(H460=Constants!$B$10, FALSE(), TRUE())))</f>
        <v/>
      </c>
      <c r="R460" s="55" t="str">
        <f aca="false">IF(ISBLANK($C460),"",IF(ISBLANK(I460),Constants!$B$3,I460))</f>
        <v/>
      </c>
      <c r="S460" s="55" t="str">
        <f aca="false">IF(ISBLANK($C460),"",IF(ISBLANK(J460),0,MIN(J460,Constants!$B$6)))</f>
        <v/>
      </c>
      <c r="T460" s="55" t="str">
        <f aca="false">IF(ISBLANK($C460),"",IF(K460=Constants!$B$9, TRUE(), IF(K460=Constants!$B$10, FALSE(),  FALSE())))</f>
        <v/>
      </c>
      <c r="U460" s="55" t="str">
        <f aca="false">IF(ISBLANK($C460),"",AND(R460=Constants!$B$4, S460&lt;Constants!$B$6))</f>
        <v/>
      </c>
      <c r="V460" s="55" t="str">
        <f aca="false">IF(ISBLANK(C460), "", IF(T460, Constants!$B$11, IF(COUNTA(E460:K460)=0, Constants!$B$12, IF(NOT(AND(P460,S460&lt;&gt;0)), Constants!$B$13, IF(O460, Constants!$B$15, Constants!$B$14)))))</f>
        <v/>
      </c>
      <c r="W460" s="55" t="str">
        <f aca="false">IF(OR(ISBLANK($C460), SUMPRODUCT(--(P460:T460&lt;&gt;""))=0), "", IF(V460&lt;&gt;Constants!$B$14, V460, IF(AND(NOT(ISBLANK(J460)),P460,Q460,R460&lt;&gt;Constants!$B$2), Constants!$B$7, IF(AND(P460,OR(NOT(Q460),R460=Constants!$B$2)), Constants!$B$8, "Error"))))</f>
        <v/>
      </c>
      <c r="X460" s="56" t="str">
        <f aca="false">IF(OR(W460=Constants!$B$7,W460=Constants!$B$8), MAX(0, MIN(Constants!$B$6, S460))+IF(AND(R460=Constants!$B$4, NOT(U460)), Constants!$B$5, 0), "")</f>
        <v/>
      </c>
      <c r="Y460" s="55" t="str">
        <f aca="false">IF(ISBLANK($C460),"",IF(AND(ISNUMBER(X460),N460&gt;0),X460/N460, "") )</f>
        <v/>
      </c>
      <c r="Z460" s="55" t="str">
        <f aca="false">IF(AND(NOT(ISBLANK($C460)), W460=Constants!$B$7), Y460, "")</f>
        <v/>
      </c>
      <c r="AA460" s="55" t="str">
        <f aca="false">IF(ISNUMBER(Z460), RANK(Z460,Z$8:Z$507), "")</f>
        <v/>
      </c>
      <c r="AB460" s="55" t="str">
        <f aca="false">IF(AND(NOT(ISBLANK($C460)), W460=Constants!$B$8), Y460, "")</f>
        <v/>
      </c>
      <c r="AC460" s="55" t="str">
        <f aca="false">IF(ISNUMBER(AB460), RANK(AB460,AB$8:AB$507), "")</f>
        <v/>
      </c>
      <c r="AD460" s="55" t="str">
        <f aca="false">IF(ISBLANK($C460),"",IF(V460&lt;&gt;Constants!$B$14, V460, IF(W460=Constants!$B$7, AA460, IF(W460=Constants!$B$8, COUNT($AA$8:$AA$507) + AC460, ""))))</f>
        <v/>
      </c>
      <c r="AE460" s="55" t="str">
        <f aca="false">N460</f>
        <v/>
      </c>
      <c r="AF460" s="55" t="str">
        <f aca="false">IF(ISNUMBER(AE460), RANK(AE460,AE$8:AE$507,1), "")</f>
        <v/>
      </c>
      <c r="AG460" s="57" t="str">
        <f aca="false">IF(ISBLANK(C460), "", ABS(M460-S460))</f>
        <v/>
      </c>
      <c r="AH460" s="55" t="str">
        <f aca="false">IF(ISNUMBER(AG460), RANK(AG460,AG$8:AG$507,1), "")</f>
        <v/>
      </c>
      <c r="AI460" s="55" t="str">
        <f aca="false">IF(ISBLANK(C460),"",IF(V460&lt;&gt;Constants!$B$14, V460, RANK(AD460, AD$8:AD$507, 1)+ SUMPRODUCT(--(AD$8:AD$507=AD460),--(AF460&gt;AF$8:AF$507)) + SUMPRODUCT(--(AD$8:AD$507=AD460),--(AF460=AF$8:AF$507),--(AH460&gt;AH$8:AH$507))))</f>
        <v/>
      </c>
      <c r="AJ460" s="55" t="str">
        <f aca="false">IF(ISBLANK(C460),"",IF(V460&lt;&gt;Constants!$B$14, V460, AD460-AI460))</f>
        <v/>
      </c>
      <c r="AK460" s="59"/>
      <c r="AL460" s="60" t="str">
        <f aca="false">IF(ISBLANK($C460),"",IF($V460&lt;&gt;Constants!$B$14,$V460,X460))</f>
        <v/>
      </c>
      <c r="AM460" s="60" t="str">
        <f aca="false">IF(ISBLANK($C460),"",IF($V460&lt;&gt;Constants!$B$14,$V460,N460))</f>
        <v/>
      </c>
      <c r="AN460" s="62" t="str">
        <f aca="false">IF(ISBLANK(C460),"",IF(V460&lt;&gt;Constants!$B$14, V460, IF(W460=Constants!$B$7,Z460,IF(W460=Constants!$B$8,AB460,""))))</f>
        <v/>
      </c>
      <c r="AO460" s="63" t="str">
        <f aca="false">IF(ISBLANK(C460),"",W460)</f>
        <v/>
      </c>
      <c r="AP460" s="63" t="str">
        <f aca="false">IF(ISBLANK(C460),"",AJ460)</f>
        <v/>
      </c>
      <c r="AQ460" s="63" t="str">
        <f aca="false">IF(ISBLANK(C460),"",AI460)</f>
        <v/>
      </c>
      <c r="AR460" s="64" t="str">
        <f aca="false">IF(ISBLANK(C460),
  "",
IF(AQ460=Constants!$B$11,COUNTA($C$8:$C$507)+2,IF(AQ460=Constants!$B$12,COUNTA($C$8:$C$507)+1,IF(AQ460=Constants!$B$13,COUNTA($C$8:$C$507),AQ460))))</f>
        <v/>
      </c>
      <c r="AS460" s="3"/>
      <c r="AT460" s="65" t="n">
        <f aca="false">IF(OR(ISNUMBER(AQ460),AQ460="DQ",AQ460="P",AQ460="NS"),
    1,
    0
)</f>
        <v>0</v>
      </c>
      <c r="AU460" s="65" t="n">
        <v>453</v>
      </c>
      <c r="AV460" s="65" t="str">
        <f aca="false">IF(ISBLANK($C460),
    "",
   IF(ISNUMBER(AR460),AR460+ROW($B460)/1000,"")
)</f>
        <v/>
      </c>
      <c r="AW460" s="65" t="str">
        <f aca="false">IF(ISNUMBER(AV460), RANK(AV460,AV$8:AV$507,1), "")</f>
        <v/>
      </c>
      <c r="AX460" s="65" t="str">
        <f aca="false">IF(ISBLANK($C460),
    "",
    $B460
)</f>
        <v/>
      </c>
      <c r="AY460" s="65" t="str">
        <f aca="false">IF(ISBLANK($C460),
    "",
    $C460
)</f>
        <v/>
      </c>
      <c r="AZ460" s="65" t="str">
        <f aca="false">IF(ISBLANK($C460),
    "",
    $D460
)</f>
        <v/>
      </c>
      <c r="BA460" s="65" t="str">
        <f aca="false">AO460</f>
        <v/>
      </c>
      <c r="BB460" s="66" t="str">
        <f aca="false">AN460</f>
        <v/>
      </c>
      <c r="BC460" s="65" t="str">
        <f aca="false">IF(ISBLANK($C460),
    "",
    AQ460
)</f>
        <v/>
      </c>
      <c r="BD460" s="67" t="str">
        <f aca="false">IF(AU460&gt;AT$7,
    "",
    VLOOKUP(AU460,AW$8:BC$507,7,FALSE())
)</f>
        <v/>
      </c>
      <c r="BE460" s="68" t="str">
        <f aca="false">IF(AU460&gt;AT$7,
    "",
    VLOOKUP(AU460,AW$8:BC$507,2,FALSE())
)</f>
        <v/>
      </c>
      <c r="BF460" s="68" t="str">
        <f aca="false">IF(AU460&gt;AT$7,
    "",
    VLOOKUP(AU460,AW$8:BC$507,3,FALSE())
)</f>
        <v/>
      </c>
      <c r="BG460" s="68" t="str">
        <f aca="false">IF(AU460&gt;AT$7,
    "",
    VLOOKUP(AU460,AW$8:BC$507,4,FALSE())
)</f>
        <v/>
      </c>
      <c r="BH460" s="68" t="str">
        <f aca="false">IF(AU460&gt;AT$7,
    "",
    VLOOKUP(AU460,AW$8:BC$507,5,FALSE())
)</f>
        <v/>
      </c>
      <c r="BI460" s="69" t="str">
        <f aca="false">IF(AU460&gt;AT$7,
    "",
    VLOOKUP(AU460,AW$8:BC$507,6,FALSE())
)</f>
        <v/>
      </c>
      <c r="BJ460" s="46"/>
    </row>
    <row r="461" customFormat="false" ht="15.75" hidden="false" customHeight="false" outlineLevel="0" collapsed="false">
      <c r="A461" s="3"/>
      <c r="B461" s="105"/>
      <c r="C461" s="106"/>
      <c r="D461" s="99"/>
      <c r="E461" s="110"/>
      <c r="F461" s="107"/>
      <c r="G461" s="110"/>
      <c r="H461" s="103"/>
      <c r="I461" s="102"/>
      <c r="J461" s="103"/>
      <c r="K461" s="103"/>
      <c r="L461" s="85"/>
      <c r="M461" s="85" t="str">
        <f aca="false">IF(ISBLANK($C461),"",IF(ISBLANK(E461),0,E461))</f>
        <v/>
      </c>
      <c r="N461" s="85" t="str">
        <f aca="false">IF(ISBLANK($C461),"",IF(ISBLANK(F461),0,F461))</f>
        <v/>
      </c>
      <c r="O461" s="86" t="e">
        <f aca="false">IF(AND(NOT(ISBLANK($C461)),NOT($T461),COUNTA($E461:$K461)&gt;0),ISBLANK($F461),FALSE())</f>
        <v>#VALUE!</v>
      </c>
      <c r="P461" s="85" t="str">
        <f aca="false">IF(ISBLANK($C461),"",IF(G461=Constants!$B$9, TRUE(), IF(G461=Constants!$B$10, FALSE(), TRUE())))</f>
        <v/>
      </c>
      <c r="Q461" s="85" t="str">
        <f aca="false">IF(ISBLANK($C461),"",IF(H461=Constants!$B$9, TRUE(), IF(H461=Constants!$B$10, FALSE(), TRUE())))</f>
        <v/>
      </c>
      <c r="R461" s="85" t="str">
        <f aca="false">IF(ISBLANK($C461),"",IF(ISBLANK(I461),Constants!$B$3,I461))</f>
        <v/>
      </c>
      <c r="S461" s="85" t="str">
        <f aca="false">IF(ISBLANK($C461),"",IF(ISBLANK(J461),0,MIN(J461,Constants!$B$6)))</f>
        <v/>
      </c>
      <c r="T461" s="85" t="str">
        <f aca="false">IF(ISBLANK($C461),"",IF(K461=Constants!$B$9, TRUE(), IF(K461=Constants!$B$10, FALSE(),  FALSE())))</f>
        <v/>
      </c>
      <c r="U461" s="85" t="str">
        <f aca="false">IF(ISBLANK($C461),"",AND(R461=Constants!$B$4, S461&lt;Constants!$B$6))</f>
        <v/>
      </c>
      <c r="V461" s="85" t="str">
        <f aca="false">IF(ISBLANK(C461), "", IF(T461, Constants!$B$11, IF(COUNTA(E461:K461)=0, Constants!$B$12, IF(NOT(AND(P461,S461&lt;&gt;0)), Constants!$B$13, IF(O461, Constants!$B$15, Constants!$B$14)))))</f>
        <v/>
      </c>
      <c r="W461" s="85" t="str">
        <f aca="false">IF(OR(ISBLANK($C461), SUMPRODUCT(--(P461:T461&lt;&gt;""))=0), "", IF(V461&lt;&gt;Constants!$B$14, V461, IF(AND(NOT(ISBLANK(J461)),P461,Q461,R461&lt;&gt;Constants!$B$2), Constants!$B$7, IF(AND(P461,OR(NOT(Q461),R461=Constants!$B$2)), Constants!$B$8, "Error"))))</f>
        <v/>
      </c>
      <c r="X461" s="87" t="str">
        <f aca="false">IF(OR(W461=Constants!$B$7,W461=Constants!$B$8), MAX(0, MIN(Constants!$B$6, S461))+IF(AND(R461=Constants!$B$4, NOT(U461)), Constants!$B$5, 0), "")</f>
        <v/>
      </c>
      <c r="Y461" s="85" t="str">
        <f aca="false">IF(ISBLANK($C461),"",IF(AND(ISNUMBER(X461),N461&gt;0),X461/N461, "") )</f>
        <v/>
      </c>
      <c r="Z461" s="85" t="str">
        <f aca="false">IF(AND(NOT(ISBLANK($C461)), W461=Constants!$B$7), Y461, "")</f>
        <v/>
      </c>
      <c r="AA461" s="85" t="str">
        <f aca="false">IF(ISNUMBER(Z461), RANK(Z461,Z$8:Z$507), "")</f>
        <v/>
      </c>
      <c r="AB461" s="85" t="str">
        <f aca="false">IF(AND(NOT(ISBLANK($C461)), W461=Constants!$B$8), Y461, "")</f>
        <v/>
      </c>
      <c r="AC461" s="85" t="str">
        <f aca="false">IF(ISNUMBER(AB461), RANK(AB461,AB$8:AB$507), "")</f>
        <v/>
      </c>
      <c r="AD461" s="85" t="str">
        <f aca="false">IF(ISBLANK($C461),"",IF(V461&lt;&gt;Constants!$B$14, V461, IF(W461=Constants!$B$7, AA461, IF(W461=Constants!$B$8, COUNT($AA$8:$AA$507) + AC461, ""))))</f>
        <v/>
      </c>
      <c r="AE461" s="85" t="str">
        <f aca="false">N461</f>
        <v/>
      </c>
      <c r="AF461" s="85" t="str">
        <f aca="false">IF(ISNUMBER(AE461), RANK(AE461,AE$8:AE$507,1), "")</f>
        <v/>
      </c>
      <c r="AG461" s="88" t="str">
        <f aca="false">IF(ISBLANK(C461), "", ABS(M461-S461))</f>
        <v/>
      </c>
      <c r="AH461" s="85" t="str">
        <f aca="false">IF(ISNUMBER(AG461), RANK(AG461,AG$8:AG$507,1), "")</f>
        <v/>
      </c>
      <c r="AI461" s="85" t="str">
        <f aca="false">IF(ISBLANK(C461),"",IF(V461&lt;&gt;Constants!$B$14, V461, RANK(AD461, AD$8:AD$507, 1)+ SUMPRODUCT(--(AD$8:AD$507=AD461),--(AF461&gt;AF$8:AF$507)) + SUMPRODUCT(--(AD$8:AD$507=AD461),--(AF461=AF$8:AF$507),--(AH461&gt;AH$8:AH$507))))</f>
        <v/>
      </c>
      <c r="AJ461" s="85" t="str">
        <f aca="false">IF(ISBLANK(C461),"",IF(V461&lt;&gt;Constants!$B$14, V461, AD461-AI461))</f>
        <v/>
      </c>
      <c r="AK461" s="89"/>
      <c r="AL461" s="90" t="str">
        <f aca="false">IF(ISBLANK($C461),"",IF($V461&lt;&gt;Constants!$B$14,$V461,X461))</f>
        <v/>
      </c>
      <c r="AM461" s="90" t="str">
        <f aca="false">IF(ISBLANK($C461),"",IF($V461&lt;&gt;Constants!$B$14,$V461,N461))</f>
        <v/>
      </c>
      <c r="AN461" s="91" t="str">
        <f aca="false">IF(ISBLANK(C461),"",IF(V461&lt;&gt;Constants!$B$14, V461, IF(W461=Constants!$B$7,Z461,IF(W461=Constants!$B$8,AB461,""))))</f>
        <v/>
      </c>
      <c r="AO461" s="92" t="str">
        <f aca="false">IF(ISBLANK(C461),"",W461)</f>
        <v/>
      </c>
      <c r="AP461" s="92" t="str">
        <f aca="false">IF(ISBLANK(C461),"",AJ461)</f>
        <v/>
      </c>
      <c r="AQ461" s="92" t="str">
        <f aca="false">IF(ISBLANK(C461),"",AI461)</f>
        <v/>
      </c>
      <c r="AR461" s="93" t="str">
        <f aca="false">IF(ISBLANK(C461),
  "",
IF(AQ461=Constants!$B$11,COUNTA($C$8:$C$507)+2,IF(AQ461=Constants!$B$12,COUNTA($C$8:$C$507)+1,IF(AQ461=Constants!$B$13,COUNTA($C$8:$C$507),AQ461))))</f>
        <v/>
      </c>
      <c r="AS461" s="3"/>
      <c r="AT461" s="94" t="n">
        <f aca="false">IF(OR(ISNUMBER(AQ461),AQ461="DQ",AQ461="P",AQ461="NS"),
    1,
    0
)</f>
        <v>0</v>
      </c>
      <c r="AU461" s="94" t="n">
        <v>454</v>
      </c>
      <c r="AV461" s="94" t="str">
        <f aca="false">IF(ISBLANK($C461),
    "",
   IF(ISNUMBER(AR461),AR461+ROW($B461)/1000,"")
)</f>
        <v/>
      </c>
      <c r="AW461" s="94" t="str">
        <f aca="false">IF(ISNUMBER(AV461), RANK(AV461,AV$8:AV$507,1), "")</f>
        <v/>
      </c>
      <c r="AX461" s="94" t="str">
        <f aca="false">IF(ISBLANK($C461),
    "",
    $B461
)</f>
        <v/>
      </c>
      <c r="AY461" s="94" t="str">
        <f aca="false">IF(ISBLANK($C461),
    "",
    $C461
)</f>
        <v/>
      </c>
      <c r="AZ461" s="94" t="str">
        <f aca="false">IF(ISBLANK($C461),
    "",
    $D461
)</f>
        <v/>
      </c>
      <c r="BA461" s="94" t="str">
        <f aca="false">AO461</f>
        <v/>
      </c>
      <c r="BB461" s="95" t="str">
        <f aca="false">AN461</f>
        <v/>
      </c>
      <c r="BC461" s="94" t="str">
        <f aca="false">IF(ISBLANK($C461),
    "",
    AQ461
)</f>
        <v/>
      </c>
      <c r="BD461" s="96" t="str">
        <f aca="false">IF(AU461&gt;AT$7,
    "",
    VLOOKUP(AU461,AW$8:BC$507,7,FALSE())
)</f>
        <v/>
      </c>
      <c r="BE461" s="97" t="str">
        <f aca="false">IF(AU461&gt;AT$7,
    "",
    VLOOKUP(AU461,AW$8:BC$507,2,FALSE())
)</f>
        <v/>
      </c>
      <c r="BF461" s="97" t="str">
        <f aca="false">IF(AU461&gt;AT$7,
    "",
    VLOOKUP(AU461,AW$8:BC$507,3,FALSE())
)</f>
        <v/>
      </c>
      <c r="BG461" s="97" t="str">
        <f aca="false">IF(AU461&gt;AT$7,
    "",
    VLOOKUP(AU461,AW$8:BC$507,4,FALSE())
)</f>
        <v/>
      </c>
      <c r="BH461" s="97" t="str">
        <f aca="false">IF(AU461&gt;AT$7,
    "",
    VLOOKUP(AU461,AW$8:BC$507,5,FALSE())
)</f>
        <v/>
      </c>
      <c r="BI461" s="98" t="str">
        <f aca="false">IF(AU461&gt;AT$7,
    "",
    VLOOKUP(AU461,AW$8:BC$507,6,FALSE())
)</f>
        <v/>
      </c>
      <c r="BJ461" s="46"/>
    </row>
    <row r="462" customFormat="false" ht="15.75" hidden="false" customHeight="false" outlineLevel="0" collapsed="false">
      <c r="A462" s="3"/>
      <c r="B462" s="105"/>
      <c r="C462" s="106"/>
      <c r="D462" s="99"/>
      <c r="E462" s="110"/>
      <c r="F462" s="107"/>
      <c r="G462" s="110"/>
      <c r="H462" s="103"/>
      <c r="I462" s="102"/>
      <c r="J462" s="103"/>
      <c r="K462" s="103"/>
      <c r="L462" s="85"/>
      <c r="M462" s="85" t="str">
        <f aca="false">IF(ISBLANK($C462),"",IF(ISBLANK(E462),0,E462))</f>
        <v/>
      </c>
      <c r="N462" s="85" t="str">
        <f aca="false">IF(ISBLANK($C462),"",IF(ISBLANK(F462),0,F462))</f>
        <v/>
      </c>
      <c r="O462" s="86" t="e">
        <f aca="false">IF(AND(NOT(ISBLANK($C462)),NOT($T462),COUNTA($E462:$K462)&gt;0),ISBLANK($F462),FALSE())</f>
        <v>#VALUE!</v>
      </c>
      <c r="P462" s="85" t="str">
        <f aca="false">IF(ISBLANK($C462),"",IF(G462=Constants!$B$9, TRUE(), IF(G462=Constants!$B$10, FALSE(), TRUE())))</f>
        <v/>
      </c>
      <c r="Q462" s="85" t="str">
        <f aca="false">IF(ISBLANK($C462),"",IF(H462=Constants!$B$9, TRUE(), IF(H462=Constants!$B$10, FALSE(), TRUE())))</f>
        <v/>
      </c>
      <c r="R462" s="85" t="str">
        <f aca="false">IF(ISBLANK($C462),"",IF(ISBLANK(I462),Constants!$B$3,I462))</f>
        <v/>
      </c>
      <c r="S462" s="85" t="str">
        <f aca="false">IF(ISBLANK($C462),"",IF(ISBLANK(J462),0,MIN(J462,Constants!$B$6)))</f>
        <v/>
      </c>
      <c r="T462" s="85" t="str">
        <f aca="false">IF(ISBLANK($C462),"",IF(K462=Constants!$B$9, TRUE(), IF(K462=Constants!$B$10, FALSE(),  FALSE())))</f>
        <v/>
      </c>
      <c r="U462" s="85" t="str">
        <f aca="false">IF(ISBLANK($C462),"",AND(R462=Constants!$B$4, S462&lt;Constants!$B$6))</f>
        <v/>
      </c>
      <c r="V462" s="85" t="str">
        <f aca="false">IF(ISBLANK(C462), "", IF(T462, Constants!$B$11, IF(COUNTA(E462:K462)=0, Constants!$B$12, IF(NOT(AND(P462,S462&lt;&gt;0)), Constants!$B$13, IF(O462, Constants!$B$15, Constants!$B$14)))))</f>
        <v/>
      </c>
      <c r="W462" s="85" t="str">
        <f aca="false">IF(OR(ISBLANK($C462), SUMPRODUCT(--(P462:T462&lt;&gt;""))=0), "", IF(V462&lt;&gt;Constants!$B$14, V462, IF(AND(NOT(ISBLANK(J462)),P462,Q462,R462&lt;&gt;Constants!$B$2), Constants!$B$7, IF(AND(P462,OR(NOT(Q462),R462=Constants!$B$2)), Constants!$B$8, "Error"))))</f>
        <v/>
      </c>
      <c r="X462" s="87" t="str">
        <f aca="false">IF(OR(W462=Constants!$B$7,W462=Constants!$B$8), MAX(0, MIN(Constants!$B$6, S462))+IF(AND(R462=Constants!$B$4, NOT(U462)), Constants!$B$5, 0), "")</f>
        <v/>
      </c>
      <c r="Y462" s="85" t="str">
        <f aca="false">IF(ISBLANK($C462),"",IF(AND(ISNUMBER(X462),N462&gt;0),X462/N462, "") )</f>
        <v/>
      </c>
      <c r="Z462" s="85" t="str">
        <f aca="false">IF(AND(NOT(ISBLANK($C462)), W462=Constants!$B$7), Y462, "")</f>
        <v/>
      </c>
      <c r="AA462" s="85" t="str">
        <f aca="false">IF(ISNUMBER(Z462), RANK(Z462,Z$8:Z$507), "")</f>
        <v/>
      </c>
      <c r="AB462" s="85" t="str">
        <f aca="false">IF(AND(NOT(ISBLANK($C462)), W462=Constants!$B$8), Y462, "")</f>
        <v/>
      </c>
      <c r="AC462" s="85" t="str">
        <f aca="false">IF(ISNUMBER(AB462), RANK(AB462,AB$8:AB$507), "")</f>
        <v/>
      </c>
      <c r="AD462" s="85" t="str">
        <f aca="false">IF(ISBLANK($C462),"",IF(V462&lt;&gt;Constants!$B$14, V462, IF(W462=Constants!$B$7, AA462, IF(W462=Constants!$B$8, COUNT($AA$8:$AA$507) + AC462, ""))))</f>
        <v/>
      </c>
      <c r="AE462" s="85" t="str">
        <f aca="false">N462</f>
        <v/>
      </c>
      <c r="AF462" s="85" t="str">
        <f aca="false">IF(ISNUMBER(AE462), RANK(AE462,AE$8:AE$507,1), "")</f>
        <v/>
      </c>
      <c r="AG462" s="88" t="str">
        <f aca="false">IF(ISBLANK(C462), "", ABS(M462-S462))</f>
        <v/>
      </c>
      <c r="AH462" s="85" t="str">
        <f aca="false">IF(ISNUMBER(AG462), RANK(AG462,AG$8:AG$507,1), "")</f>
        <v/>
      </c>
      <c r="AI462" s="85" t="str">
        <f aca="false">IF(ISBLANK(C462),"",IF(V462&lt;&gt;Constants!$B$14, V462, RANK(AD462, AD$8:AD$507, 1)+ SUMPRODUCT(--(AD$8:AD$507=AD462),--(AF462&gt;AF$8:AF$507)) + SUMPRODUCT(--(AD$8:AD$507=AD462),--(AF462=AF$8:AF$507),--(AH462&gt;AH$8:AH$507))))</f>
        <v/>
      </c>
      <c r="AJ462" s="85" t="str">
        <f aca="false">IF(ISBLANK(C462),"",IF(V462&lt;&gt;Constants!$B$14, V462, AD462-AI462))</f>
        <v/>
      </c>
      <c r="AK462" s="89"/>
      <c r="AL462" s="90" t="str">
        <f aca="false">IF(ISBLANK($C462),"",IF($V462&lt;&gt;Constants!$B$14,$V462,X462))</f>
        <v/>
      </c>
      <c r="AM462" s="90" t="str">
        <f aca="false">IF(ISBLANK($C462),"",IF($V462&lt;&gt;Constants!$B$14,$V462,N462))</f>
        <v/>
      </c>
      <c r="AN462" s="91" t="str">
        <f aca="false">IF(ISBLANK(C462),"",IF(V462&lt;&gt;Constants!$B$14, V462, IF(W462=Constants!$B$7,Z462,IF(W462=Constants!$B$8,AB462,""))))</f>
        <v/>
      </c>
      <c r="AO462" s="92" t="str">
        <f aca="false">IF(ISBLANK(C462),"",W462)</f>
        <v/>
      </c>
      <c r="AP462" s="92" t="str">
        <f aca="false">IF(ISBLANK(C462),"",AJ462)</f>
        <v/>
      </c>
      <c r="AQ462" s="92" t="str">
        <f aca="false">IF(ISBLANK(C462),"",AI462)</f>
        <v/>
      </c>
      <c r="AR462" s="93" t="str">
        <f aca="false">IF(ISBLANK(C462),
  "",
IF(AQ462=Constants!$B$11,COUNTA($C$8:$C$507)+2,IF(AQ462=Constants!$B$12,COUNTA($C$8:$C$507)+1,IF(AQ462=Constants!$B$13,COUNTA($C$8:$C$507),AQ462))))</f>
        <v/>
      </c>
      <c r="AS462" s="3"/>
      <c r="AT462" s="94" t="n">
        <f aca="false">IF(OR(ISNUMBER(AQ462),AQ462="DQ",AQ462="P",AQ462="NS"),
    1,
    0
)</f>
        <v>0</v>
      </c>
      <c r="AU462" s="94" t="n">
        <v>455</v>
      </c>
      <c r="AV462" s="94" t="str">
        <f aca="false">IF(ISBLANK($C462),
    "",
   IF(ISNUMBER(AR462),AR462+ROW($B462)/1000,"")
)</f>
        <v/>
      </c>
      <c r="AW462" s="94" t="str">
        <f aca="false">IF(ISNUMBER(AV462), RANK(AV462,AV$8:AV$507,1), "")</f>
        <v/>
      </c>
      <c r="AX462" s="94" t="str">
        <f aca="false">IF(ISBLANK($C462),
    "",
    $B462
)</f>
        <v/>
      </c>
      <c r="AY462" s="94" t="str">
        <f aca="false">IF(ISBLANK($C462),
    "",
    $C462
)</f>
        <v/>
      </c>
      <c r="AZ462" s="94" t="str">
        <f aca="false">IF(ISBLANK($C462),
    "",
    $D462
)</f>
        <v/>
      </c>
      <c r="BA462" s="94" t="str">
        <f aca="false">AO462</f>
        <v/>
      </c>
      <c r="BB462" s="95" t="str">
        <f aca="false">AN462</f>
        <v/>
      </c>
      <c r="BC462" s="94" t="str">
        <f aca="false">IF(ISBLANK($C462),
    "",
    AQ462
)</f>
        <v/>
      </c>
      <c r="BD462" s="96" t="str">
        <f aca="false">IF(AU462&gt;AT$7,
    "",
    VLOOKUP(AU462,AW$8:BC$507,7,FALSE())
)</f>
        <v/>
      </c>
      <c r="BE462" s="97" t="str">
        <f aca="false">IF(AU462&gt;AT$7,
    "",
    VLOOKUP(AU462,AW$8:BC$507,2,FALSE())
)</f>
        <v/>
      </c>
      <c r="BF462" s="97" t="str">
        <f aca="false">IF(AU462&gt;AT$7,
    "",
    VLOOKUP(AU462,AW$8:BC$507,3,FALSE())
)</f>
        <v/>
      </c>
      <c r="BG462" s="97" t="str">
        <f aca="false">IF(AU462&gt;AT$7,
    "",
    VLOOKUP(AU462,AW$8:BC$507,4,FALSE())
)</f>
        <v/>
      </c>
      <c r="BH462" s="97" t="str">
        <f aca="false">IF(AU462&gt;AT$7,
    "",
    VLOOKUP(AU462,AW$8:BC$507,5,FALSE())
)</f>
        <v/>
      </c>
      <c r="BI462" s="98" t="str">
        <f aca="false">IF(AU462&gt;AT$7,
    "",
    VLOOKUP(AU462,AW$8:BC$507,6,FALSE())
)</f>
        <v/>
      </c>
      <c r="BJ462" s="46"/>
    </row>
    <row r="463" customFormat="false" ht="15.75" hidden="false" customHeight="false" outlineLevel="0" collapsed="false">
      <c r="A463" s="3"/>
      <c r="B463" s="105"/>
      <c r="C463" s="106"/>
      <c r="D463" s="99"/>
      <c r="E463" s="110"/>
      <c r="F463" s="107"/>
      <c r="G463" s="110"/>
      <c r="H463" s="103"/>
      <c r="I463" s="102"/>
      <c r="J463" s="103"/>
      <c r="K463" s="103"/>
      <c r="L463" s="85"/>
      <c r="M463" s="85" t="str">
        <f aca="false">IF(ISBLANK($C463),"",IF(ISBLANK(E463),0,E463))</f>
        <v/>
      </c>
      <c r="N463" s="85" t="str">
        <f aca="false">IF(ISBLANK($C463),"",IF(ISBLANK(F463),0,F463))</f>
        <v/>
      </c>
      <c r="O463" s="86" t="e">
        <f aca="false">IF(AND(NOT(ISBLANK($C463)),NOT($T463),COUNTA($E463:$K463)&gt;0),ISBLANK($F463),FALSE())</f>
        <v>#VALUE!</v>
      </c>
      <c r="P463" s="85" t="str">
        <f aca="false">IF(ISBLANK($C463),"",IF(G463=Constants!$B$9, TRUE(), IF(G463=Constants!$B$10, FALSE(), TRUE())))</f>
        <v/>
      </c>
      <c r="Q463" s="85" t="str">
        <f aca="false">IF(ISBLANK($C463),"",IF(H463=Constants!$B$9, TRUE(), IF(H463=Constants!$B$10, FALSE(), TRUE())))</f>
        <v/>
      </c>
      <c r="R463" s="85" t="str">
        <f aca="false">IF(ISBLANK($C463),"",IF(ISBLANK(I463),Constants!$B$3,I463))</f>
        <v/>
      </c>
      <c r="S463" s="85" t="str">
        <f aca="false">IF(ISBLANK($C463),"",IF(ISBLANK(J463),0,MIN(J463,Constants!$B$6)))</f>
        <v/>
      </c>
      <c r="T463" s="85" t="str">
        <f aca="false">IF(ISBLANK($C463),"",IF(K463=Constants!$B$9, TRUE(), IF(K463=Constants!$B$10, FALSE(),  FALSE())))</f>
        <v/>
      </c>
      <c r="U463" s="85" t="str">
        <f aca="false">IF(ISBLANK($C463),"",AND(R463=Constants!$B$4, S463&lt;Constants!$B$6))</f>
        <v/>
      </c>
      <c r="V463" s="85" t="str">
        <f aca="false">IF(ISBLANK(C463), "", IF(T463, Constants!$B$11, IF(COUNTA(E463:K463)=0, Constants!$B$12, IF(NOT(AND(P463,S463&lt;&gt;0)), Constants!$B$13, IF(O463, Constants!$B$15, Constants!$B$14)))))</f>
        <v/>
      </c>
      <c r="W463" s="85" t="str">
        <f aca="false">IF(OR(ISBLANK($C463), SUMPRODUCT(--(P463:T463&lt;&gt;""))=0), "", IF(V463&lt;&gt;Constants!$B$14, V463, IF(AND(NOT(ISBLANK(J463)),P463,Q463,R463&lt;&gt;Constants!$B$2), Constants!$B$7, IF(AND(P463,OR(NOT(Q463),R463=Constants!$B$2)), Constants!$B$8, "Error"))))</f>
        <v/>
      </c>
      <c r="X463" s="87" t="str">
        <f aca="false">IF(OR(W463=Constants!$B$7,W463=Constants!$B$8), MAX(0, MIN(Constants!$B$6, S463))+IF(AND(R463=Constants!$B$4, NOT(U463)), Constants!$B$5, 0), "")</f>
        <v/>
      </c>
      <c r="Y463" s="85" t="str">
        <f aca="false">IF(ISBLANK($C463),"",IF(AND(ISNUMBER(X463),N463&gt;0),X463/N463, "") )</f>
        <v/>
      </c>
      <c r="Z463" s="85" t="str">
        <f aca="false">IF(AND(NOT(ISBLANK($C463)), W463=Constants!$B$7), Y463, "")</f>
        <v/>
      </c>
      <c r="AA463" s="85" t="str">
        <f aca="false">IF(ISNUMBER(Z463), RANK(Z463,Z$8:Z$507), "")</f>
        <v/>
      </c>
      <c r="AB463" s="85" t="str">
        <f aca="false">IF(AND(NOT(ISBLANK($C463)), W463=Constants!$B$8), Y463, "")</f>
        <v/>
      </c>
      <c r="AC463" s="85" t="str">
        <f aca="false">IF(ISNUMBER(AB463), RANK(AB463,AB$8:AB$507), "")</f>
        <v/>
      </c>
      <c r="AD463" s="85" t="str">
        <f aca="false">IF(ISBLANK($C463),"",IF(V463&lt;&gt;Constants!$B$14, V463, IF(W463=Constants!$B$7, AA463, IF(W463=Constants!$B$8, COUNT($AA$8:$AA$507) + AC463, ""))))</f>
        <v/>
      </c>
      <c r="AE463" s="85" t="str">
        <f aca="false">N463</f>
        <v/>
      </c>
      <c r="AF463" s="85" t="str">
        <f aca="false">IF(ISNUMBER(AE463), RANK(AE463,AE$8:AE$507,1), "")</f>
        <v/>
      </c>
      <c r="AG463" s="88" t="str">
        <f aca="false">IF(ISBLANK(C463), "", ABS(M463-S463))</f>
        <v/>
      </c>
      <c r="AH463" s="85" t="str">
        <f aca="false">IF(ISNUMBER(AG463), RANK(AG463,AG$8:AG$507,1), "")</f>
        <v/>
      </c>
      <c r="AI463" s="85" t="str">
        <f aca="false">IF(ISBLANK(C463),"",IF(V463&lt;&gt;Constants!$B$14, V463, RANK(AD463, AD$8:AD$507, 1)+ SUMPRODUCT(--(AD$8:AD$507=AD463),--(AF463&gt;AF$8:AF$507)) + SUMPRODUCT(--(AD$8:AD$507=AD463),--(AF463=AF$8:AF$507),--(AH463&gt;AH$8:AH$507))))</f>
        <v/>
      </c>
      <c r="AJ463" s="85" t="str">
        <f aca="false">IF(ISBLANK(C463),"",IF(V463&lt;&gt;Constants!$B$14, V463, AD463-AI463))</f>
        <v/>
      </c>
      <c r="AK463" s="89"/>
      <c r="AL463" s="90" t="str">
        <f aca="false">IF(ISBLANK($C463),"",IF($V463&lt;&gt;Constants!$B$14,$V463,X463))</f>
        <v/>
      </c>
      <c r="AM463" s="90" t="str">
        <f aca="false">IF(ISBLANK($C463),"",IF($V463&lt;&gt;Constants!$B$14,$V463,N463))</f>
        <v/>
      </c>
      <c r="AN463" s="91" t="str">
        <f aca="false">IF(ISBLANK(C463),"",IF(V463&lt;&gt;Constants!$B$14, V463, IF(W463=Constants!$B$7,Z463,IF(W463=Constants!$B$8,AB463,""))))</f>
        <v/>
      </c>
      <c r="AO463" s="92" t="str">
        <f aca="false">IF(ISBLANK(C463),"",W463)</f>
        <v/>
      </c>
      <c r="AP463" s="92" t="str">
        <f aca="false">IF(ISBLANK(C463),"",AJ463)</f>
        <v/>
      </c>
      <c r="AQ463" s="92" t="str">
        <f aca="false">IF(ISBLANK(C463),"",AI463)</f>
        <v/>
      </c>
      <c r="AR463" s="93" t="str">
        <f aca="false">IF(ISBLANK(C463),
  "",
IF(AQ463=Constants!$B$11,COUNTA($C$8:$C$507)+2,IF(AQ463=Constants!$B$12,COUNTA($C$8:$C$507)+1,IF(AQ463=Constants!$B$13,COUNTA($C$8:$C$507),AQ463))))</f>
        <v/>
      </c>
      <c r="AS463" s="3"/>
      <c r="AT463" s="94" t="n">
        <f aca="false">IF(OR(ISNUMBER(AQ463),AQ463="DQ",AQ463="P",AQ463="NS"),
    1,
    0
)</f>
        <v>0</v>
      </c>
      <c r="AU463" s="94" t="n">
        <v>456</v>
      </c>
      <c r="AV463" s="94" t="str">
        <f aca="false">IF(ISBLANK($C463),
    "",
   IF(ISNUMBER(AR463),AR463+ROW($B463)/1000,"")
)</f>
        <v/>
      </c>
      <c r="AW463" s="94" t="str">
        <f aca="false">IF(ISNUMBER(AV463), RANK(AV463,AV$8:AV$507,1), "")</f>
        <v/>
      </c>
      <c r="AX463" s="94" t="str">
        <f aca="false">IF(ISBLANK($C463),
    "",
    $B463
)</f>
        <v/>
      </c>
      <c r="AY463" s="94" t="str">
        <f aca="false">IF(ISBLANK($C463),
    "",
    $C463
)</f>
        <v/>
      </c>
      <c r="AZ463" s="94" t="str">
        <f aca="false">IF(ISBLANK($C463),
    "",
    $D463
)</f>
        <v/>
      </c>
      <c r="BA463" s="94" t="str">
        <f aca="false">AO463</f>
        <v/>
      </c>
      <c r="BB463" s="95" t="str">
        <f aca="false">AN463</f>
        <v/>
      </c>
      <c r="BC463" s="94" t="str">
        <f aca="false">IF(ISBLANK($C463),
    "",
    AQ463
)</f>
        <v/>
      </c>
      <c r="BD463" s="96" t="str">
        <f aca="false">IF(AU463&gt;AT$7,
    "",
    VLOOKUP(AU463,AW$8:BC$507,7,FALSE())
)</f>
        <v/>
      </c>
      <c r="BE463" s="97" t="str">
        <f aca="false">IF(AU463&gt;AT$7,
    "",
    VLOOKUP(AU463,AW$8:BC$507,2,FALSE())
)</f>
        <v/>
      </c>
      <c r="BF463" s="97" t="str">
        <f aca="false">IF(AU463&gt;AT$7,
    "",
    VLOOKUP(AU463,AW$8:BC$507,3,FALSE())
)</f>
        <v/>
      </c>
      <c r="BG463" s="97" t="str">
        <f aca="false">IF(AU463&gt;AT$7,
    "",
    VLOOKUP(AU463,AW$8:BC$507,4,FALSE())
)</f>
        <v/>
      </c>
      <c r="BH463" s="97" t="str">
        <f aca="false">IF(AU463&gt;AT$7,
    "",
    VLOOKUP(AU463,AW$8:BC$507,5,FALSE())
)</f>
        <v/>
      </c>
      <c r="BI463" s="98" t="str">
        <f aca="false">IF(AU463&gt;AT$7,
    "",
    VLOOKUP(AU463,AW$8:BC$507,6,FALSE())
)</f>
        <v/>
      </c>
      <c r="BJ463" s="46"/>
    </row>
    <row r="464" customFormat="false" ht="15.75" hidden="false" customHeight="false" outlineLevel="0" collapsed="false">
      <c r="A464" s="3"/>
      <c r="B464" s="108"/>
      <c r="C464" s="70"/>
      <c r="D464" s="49"/>
      <c r="E464" s="109"/>
      <c r="F464" s="72"/>
      <c r="G464" s="109"/>
      <c r="H464" s="74"/>
      <c r="I464" s="104"/>
      <c r="J464" s="74"/>
      <c r="K464" s="74"/>
      <c r="L464" s="55"/>
      <c r="M464" s="55" t="str">
        <f aca="false">IF(ISBLANK($C464),"",IF(ISBLANK(E464),0,E464))</f>
        <v/>
      </c>
      <c r="N464" s="55" t="str">
        <f aca="false">IF(ISBLANK($C464),"",IF(ISBLANK(F464),0,F464))</f>
        <v/>
      </c>
      <c r="O464" s="55" t="e">
        <f aca="false">IF(AND(NOT(ISBLANK($C464)),NOT($T464),COUNTA($E464:$K464)&gt;0),ISBLANK($F464),FALSE())</f>
        <v>#VALUE!</v>
      </c>
      <c r="P464" s="55" t="str">
        <f aca="false">IF(ISBLANK($C464),"",IF(G464=Constants!$B$9, TRUE(), IF(G464=Constants!$B$10, FALSE(), TRUE())))</f>
        <v/>
      </c>
      <c r="Q464" s="55" t="str">
        <f aca="false">IF(ISBLANK($C464),"",IF(H464=Constants!$B$9, TRUE(), IF(H464=Constants!$B$10, FALSE(), TRUE())))</f>
        <v/>
      </c>
      <c r="R464" s="55" t="str">
        <f aca="false">IF(ISBLANK($C464),"",IF(ISBLANK(I464),Constants!$B$3,I464))</f>
        <v/>
      </c>
      <c r="S464" s="55" t="str">
        <f aca="false">IF(ISBLANK($C464),"",IF(ISBLANK(J464),0,MIN(J464,Constants!$B$6)))</f>
        <v/>
      </c>
      <c r="T464" s="55" t="str">
        <f aca="false">IF(ISBLANK($C464),"",IF(K464=Constants!$B$9, TRUE(), IF(K464=Constants!$B$10, FALSE(),  FALSE())))</f>
        <v/>
      </c>
      <c r="U464" s="55" t="str">
        <f aca="false">IF(ISBLANK($C464),"",AND(R464=Constants!$B$4, S464&lt;Constants!$B$6))</f>
        <v/>
      </c>
      <c r="V464" s="55" t="str">
        <f aca="false">IF(ISBLANK(C464), "", IF(T464, Constants!$B$11, IF(COUNTA(E464:K464)=0, Constants!$B$12, IF(NOT(AND(P464,S464&lt;&gt;0)), Constants!$B$13, IF(O464, Constants!$B$15, Constants!$B$14)))))</f>
        <v/>
      </c>
      <c r="W464" s="55" t="str">
        <f aca="false">IF(OR(ISBLANK($C464), SUMPRODUCT(--(P464:T464&lt;&gt;""))=0), "", IF(V464&lt;&gt;Constants!$B$14, V464, IF(AND(NOT(ISBLANK(J464)),P464,Q464,R464&lt;&gt;Constants!$B$2), Constants!$B$7, IF(AND(P464,OR(NOT(Q464),R464=Constants!$B$2)), Constants!$B$8, "Error"))))</f>
        <v/>
      </c>
      <c r="X464" s="56" t="str">
        <f aca="false">IF(OR(W464=Constants!$B$7,W464=Constants!$B$8), MAX(0, MIN(Constants!$B$6, S464))+IF(AND(R464=Constants!$B$4, NOT(U464)), Constants!$B$5, 0), "")</f>
        <v/>
      </c>
      <c r="Y464" s="55" t="str">
        <f aca="false">IF(ISBLANK($C464),"",IF(AND(ISNUMBER(X464),N464&gt;0),X464/N464, "") )</f>
        <v/>
      </c>
      <c r="Z464" s="55" t="str">
        <f aca="false">IF(AND(NOT(ISBLANK($C464)), W464=Constants!$B$7), Y464, "")</f>
        <v/>
      </c>
      <c r="AA464" s="55" t="str">
        <f aca="false">IF(ISNUMBER(Z464), RANK(Z464,Z$8:Z$507), "")</f>
        <v/>
      </c>
      <c r="AB464" s="55" t="str">
        <f aca="false">IF(AND(NOT(ISBLANK($C464)), W464=Constants!$B$8), Y464, "")</f>
        <v/>
      </c>
      <c r="AC464" s="55" t="str">
        <f aca="false">IF(ISNUMBER(AB464), RANK(AB464,AB$8:AB$507), "")</f>
        <v/>
      </c>
      <c r="AD464" s="55" t="str">
        <f aca="false">IF(ISBLANK($C464),"",IF(V464&lt;&gt;Constants!$B$14, V464, IF(W464=Constants!$B$7, AA464, IF(W464=Constants!$B$8, COUNT($AA$8:$AA$507) + AC464, ""))))</f>
        <v/>
      </c>
      <c r="AE464" s="55" t="str">
        <f aca="false">N464</f>
        <v/>
      </c>
      <c r="AF464" s="55" t="str">
        <f aca="false">IF(ISNUMBER(AE464), RANK(AE464,AE$8:AE$507,1), "")</f>
        <v/>
      </c>
      <c r="AG464" s="57" t="str">
        <f aca="false">IF(ISBLANK(C464), "", ABS(M464-S464))</f>
        <v/>
      </c>
      <c r="AH464" s="55" t="str">
        <f aca="false">IF(ISNUMBER(AG464), RANK(AG464,AG$8:AG$507,1), "")</f>
        <v/>
      </c>
      <c r="AI464" s="55" t="str">
        <f aca="false">IF(ISBLANK(C464),"",IF(V464&lt;&gt;Constants!$B$14, V464, RANK(AD464, AD$8:AD$507, 1)+ SUMPRODUCT(--(AD$8:AD$507=AD464),--(AF464&gt;AF$8:AF$507)) + SUMPRODUCT(--(AD$8:AD$507=AD464),--(AF464=AF$8:AF$507),--(AH464&gt;AH$8:AH$507))))</f>
        <v/>
      </c>
      <c r="AJ464" s="55" t="str">
        <f aca="false">IF(ISBLANK(C464),"",IF(V464&lt;&gt;Constants!$B$14, V464, AD464-AI464))</f>
        <v/>
      </c>
      <c r="AK464" s="59"/>
      <c r="AL464" s="60" t="str">
        <f aca="false">IF(ISBLANK($C464),"",IF($V464&lt;&gt;Constants!$B$14,$V464,X464))</f>
        <v/>
      </c>
      <c r="AM464" s="60" t="str">
        <f aca="false">IF(ISBLANK($C464),"",IF($V464&lt;&gt;Constants!$B$14,$V464,N464))</f>
        <v/>
      </c>
      <c r="AN464" s="62" t="str">
        <f aca="false">IF(ISBLANK(C464),"",IF(V464&lt;&gt;Constants!$B$14, V464, IF(W464=Constants!$B$7,Z464,IF(W464=Constants!$B$8,AB464,""))))</f>
        <v/>
      </c>
      <c r="AO464" s="63" t="str">
        <f aca="false">IF(ISBLANK(C464),"",W464)</f>
        <v/>
      </c>
      <c r="AP464" s="63" t="str">
        <f aca="false">IF(ISBLANK(C464),"",AJ464)</f>
        <v/>
      </c>
      <c r="AQ464" s="63" t="str">
        <f aca="false">IF(ISBLANK(C464),"",AI464)</f>
        <v/>
      </c>
      <c r="AR464" s="64" t="str">
        <f aca="false">IF(ISBLANK(C464),
  "",
IF(AQ464=Constants!$B$11,COUNTA($C$8:$C$507)+2,IF(AQ464=Constants!$B$12,COUNTA($C$8:$C$507)+1,IF(AQ464=Constants!$B$13,COUNTA($C$8:$C$507),AQ464))))</f>
        <v/>
      </c>
      <c r="AS464" s="3"/>
      <c r="AT464" s="65" t="n">
        <f aca="false">IF(OR(ISNUMBER(AQ464),AQ464="DQ",AQ464="P",AQ464="NS"),
    1,
    0
)</f>
        <v>0</v>
      </c>
      <c r="AU464" s="65" t="n">
        <v>457</v>
      </c>
      <c r="AV464" s="65" t="str">
        <f aca="false">IF(ISBLANK($C464),
    "",
   IF(ISNUMBER(AR464),AR464+ROW($B464)/1000,"")
)</f>
        <v/>
      </c>
      <c r="AW464" s="65" t="str">
        <f aca="false">IF(ISNUMBER(AV464), RANK(AV464,AV$8:AV$507,1), "")</f>
        <v/>
      </c>
      <c r="AX464" s="65" t="str">
        <f aca="false">IF(ISBLANK($C464),
    "",
    $B464
)</f>
        <v/>
      </c>
      <c r="AY464" s="65" t="str">
        <f aca="false">IF(ISBLANK($C464),
    "",
    $C464
)</f>
        <v/>
      </c>
      <c r="AZ464" s="65" t="str">
        <f aca="false">IF(ISBLANK($C464),
    "",
    $D464
)</f>
        <v/>
      </c>
      <c r="BA464" s="65" t="str">
        <f aca="false">AO464</f>
        <v/>
      </c>
      <c r="BB464" s="66" t="str">
        <f aca="false">AN464</f>
        <v/>
      </c>
      <c r="BC464" s="65" t="str">
        <f aca="false">IF(ISBLANK($C464),
    "",
    AQ464
)</f>
        <v/>
      </c>
      <c r="BD464" s="67" t="str">
        <f aca="false">IF(AU464&gt;AT$7,
    "",
    VLOOKUP(AU464,AW$8:BC$507,7,FALSE())
)</f>
        <v/>
      </c>
      <c r="BE464" s="68" t="str">
        <f aca="false">IF(AU464&gt;AT$7,
    "",
    VLOOKUP(AU464,AW$8:BC$507,2,FALSE())
)</f>
        <v/>
      </c>
      <c r="BF464" s="68" t="str">
        <f aca="false">IF(AU464&gt;AT$7,
    "",
    VLOOKUP(AU464,AW$8:BC$507,3,FALSE())
)</f>
        <v/>
      </c>
      <c r="BG464" s="68" t="str">
        <f aca="false">IF(AU464&gt;AT$7,
    "",
    VLOOKUP(AU464,AW$8:BC$507,4,FALSE())
)</f>
        <v/>
      </c>
      <c r="BH464" s="68" t="str">
        <f aca="false">IF(AU464&gt;AT$7,
    "",
    VLOOKUP(AU464,AW$8:BC$507,5,FALSE())
)</f>
        <v/>
      </c>
      <c r="BI464" s="69" t="str">
        <f aca="false">IF(AU464&gt;AT$7,
    "",
    VLOOKUP(AU464,AW$8:BC$507,6,FALSE())
)</f>
        <v/>
      </c>
      <c r="BJ464" s="46"/>
    </row>
    <row r="465" customFormat="false" ht="15.75" hidden="false" customHeight="false" outlineLevel="0" collapsed="false">
      <c r="A465" s="3"/>
      <c r="B465" s="108"/>
      <c r="C465" s="70"/>
      <c r="D465" s="49"/>
      <c r="E465" s="109"/>
      <c r="F465" s="72"/>
      <c r="G465" s="109"/>
      <c r="H465" s="74"/>
      <c r="I465" s="104"/>
      <c r="J465" s="74"/>
      <c r="K465" s="74"/>
      <c r="L465" s="55"/>
      <c r="M465" s="55" t="str">
        <f aca="false">IF(ISBLANK($C465),"",IF(ISBLANK(E465),0,E465))</f>
        <v/>
      </c>
      <c r="N465" s="55" t="str">
        <f aca="false">IF(ISBLANK($C465),"",IF(ISBLANK(F465),0,F465))</f>
        <v/>
      </c>
      <c r="O465" s="55" t="e">
        <f aca="false">IF(AND(NOT(ISBLANK($C465)),NOT($T465),COUNTA($E465:$K465)&gt;0),ISBLANK($F465),FALSE())</f>
        <v>#VALUE!</v>
      </c>
      <c r="P465" s="55" t="str">
        <f aca="false">IF(ISBLANK($C465),"",IF(G465=Constants!$B$9, TRUE(), IF(G465=Constants!$B$10, FALSE(), TRUE())))</f>
        <v/>
      </c>
      <c r="Q465" s="55" t="str">
        <f aca="false">IF(ISBLANK($C465),"",IF(H465=Constants!$B$9, TRUE(), IF(H465=Constants!$B$10, FALSE(), TRUE())))</f>
        <v/>
      </c>
      <c r="R465" s="55" t="str">
        <f aca="false">IF(ISBLANK($C465),"",IF(ISBLANK(I465),Constants!$B$3,I465))</f>
        <v/>
      </c>
      <c r="S465" s="55" t="str">
        <f aca="false">IF(ISBLANK($C465),"",IF(ISBLANK(J465),0,MIN(J465,Constants!$B$6)))</f>
        <v/>
      </c>
      <c r="T465" s="55" t="str">
        <f aca="false">IF(ISBLANK($C465),"",IF(K465=Constants!$B$9, TRUE(), IF(K465=Constants!$B$10, FALSE(),  FALSE())))</f>
        <v/>
      </c>
      <c r="U465" s="55" t="str">
        <f aca="false">IF(ISBLANK($C465),"",AND(R465=Constants!$B$4, S465&lt;Constants!$B$6))</f>
        <v/>
      </c>
      <c r="V465" s="55" t="str">
        <f aca="false">IF(ISBLANK(C465), "", IF(T465, Constants!$B$11, IF(COUNTA(E465:K465)=0, Constants!$B$12, IF(NOT(AND(P465,S465&lt;&gt;0)), Constants!$B$13, IF(O465, Constants!$B$15, Constants!$B$14)))))</f>
        <v/>
      </c>
      <c r="W465" s="55" t="str">
        <f aca="false">IF(OR(ISBLANK($C465), SUMPRODUCT(--(P465:T465&lt;&gt;""))=0), "", IF(V465&lt;&gt;Constants!$B$14, V465, IF(AND(NOT(ISBLANK(J465)),P465,Q465,R465&lt;&gt;Constants!$B$2), Constants!$B$7, IF(AND(P465,OR(NOT(Q465),R465=Constants!$B$2)), Constants!$B$8, "Error"))))</f>
        <v/>
      </c>
      <c r="X465" s="56" t="str">
        <f aca="false">IF(OR(W465=Constants!$B$7,W465=Constants!$B$8), MAX(0, MIN(Constants!$B$6, S465))+IF(AND(R465=Constants!$B$4, NOT(U465)), Constants!$B$5, 0), "")</f>
        <v/>
      </c>
      <c r="Y465" s="55" t="str">
        <f aca="false">IF(ISBLANK($C465),"",IF(AND(ISNUMBER(X465),N465&gt;0),X465/N465, "") )</f>
        <v/>
      </c>
      <c r="Z465" s="55" t="str">
        <f aca="false">IF(AND(NOT(ISBLANK($C465)), W465=Constants!$B$7), Y465, "")</f>
        <v/>
      </c>
      <c r="AA465" s="55" t="str">
        <f aca="false">IF(ISNUMBER(Z465), RANK(Z465,Z$8:Z$507), "")</f>
        <v/>
      </c>
      <c r="AB465" s="55" t="str">
        <f aca="false">IF(AND(NOT(ISBLANK($C465)), W465=Constants!$B$8), Y465, "")</f>
        <v/>
      </c>
      <c r="AC465" s="55" t="str">
        <f aca="false">IF(ISNUMBER(AB465), RANK(AB465,AB$8:AB$507), "")</f>
        <v/>
      </c>
      <c r="AD465" s="55" t="str">
        <f aca="false">IF(ISBLANK($C465),"",IF(V465&lt;&gt;Constants!$B$14, V465, IF(W465=Constants!$B$7, AA465, IF(W465=Constants!$B$8, COUNT($AA$8:$AA$507) + AC465, ""))))</f>
        <v/>
      </c>
      <c r="AE465" s="55" t="str">
        <f aca="false">N465</f>
        <v/>
      </c>
      <c r="AF465" s="55" t="str">
        <f aca="false">IF(ISNUMBER(AE465), RANK(AE465,AE$8:AE$507,1), "")</f>
        <v/>
      </c>
      <c r="AG465" s="57" t="str">
        <f aca="false">IF(ISBLANK(C465), "", ABS(M465-S465))</f>
        <v/>
      </c>
      <c r="AH465" s="55" t="str">
        <f aca="false">IF(ISNUMBER(AG465), RANK(AG465,AG$8:AG$507,1), "")</f>
        <v/>
      </c>
      <c r="AI465" s="55" t="str">
        <f aca="false">IF(ISBLANK(C465),"",IF(V465&lt;&gt;Constants!$B$14, V465, RANK(AD465, AD$8:AD$507, 1)+ SUMPRODUCT(--(AD$8:AD$507=AD465),--(AF465&gt;AF$8:AF$507)) + SUMPRODUCT(--(AD$8:AD$507=AD465),--(AF465=AF$8:AF$507),--(AH465&gt;AH$8:AH$507))))</f>
        <v/>
      </c>
      <c r="AJ465" s="55" t="str">
        <f aca="false">IF(ISBLANK(C465),"",IF(V465&lt;&gt;Constants!$B$14, V465, AD465-AI465))</f>
        <v/>
      </c>
      <c r="AK465" s="59"/>
      <c r="AL465" s="60" t="str">
        <f aca="false">IF(ISBLANK($C465),"",IF($V465&lt;&gt;Constants!$B$14,$V465,X465))</f>
        <v/>
      </c>
      <c r="AM465" s="60" t="str">
        <f aca="false">IF(ISBLANK($C465),"",IF($V465&lt;&gt;Constants!$B$14,$V465,N465))</f>
        <v/>
      </c>
      <c r="AN465" s="62" t="str">
        <f aca="false">IF(ISBLANK(C465),"",IF(V465&lt;&gt;Constants!$B$14, V465, IF(W465=Constants!$B$7,Z465,IF(W465=Constants!$B$8,AB465,""))))</f>
        <v/>
      </c>
      <c r="AO465" s="63" t="str">
        <f aca="false">IF(ISBLANK(C465),"",W465)</f>
        <v/>
      </c>
      <c r="AP465" s="63" t="str">
        <f aca="false">IF(ISBLANK(C465),"",AJ465)</f>
        <v/>
      </c>
      <c r="AQ465" s="63" t="str">
        <f aca="false">IF(ISBLANK(C465),"",AI465)</f>
        <v/>
      </c>
      <c r="AR465" s="64" t="str">
        <f aca="false">IF(ISBLANK(C465),
  "",
IF(AQ465=Constants!$B$11,COUNTA($C$8:$C$507)+2,IF(AQ465=Constants!$B$12,COUNTA($C$8:$C$507)+1,IF(AQ465=Constants!$B$13,COUNTA($C$8:$C$507),AQ465))))</f>
        <v/>
      </c>
      <c r="AS465" s="3"/>
      <c r="AT465" s="65" t="n">
        <f aca="false">IF(OR(ISNUMBER(AQ465),AQ465="DQ",AQ465="P",AQ465="NS"),
    1,
    0
)</f>
        <v>0</v>
      </c>
      <c r="AU465" s="65" t="n">
        <v>458</v>
      </c>
      <c r="AV465" s="65" t="str">
        <f aca="false">IF(ISBLANK($C465),
    "",
   IF(ISNUMBER(AR465),AR465+ROW($B465)/1000,"")
)</f>
        <v/>
      </c>
      <c r="AW465" s="65" t="str">
        <f aca="false">IF(ISNUMBER(AV465), RANK(AV465,AV$8:AV$507,1), "")</f>
        <v/>
      </c>
      <c r="AX465" s="65" t="str">
        <f aca="false">IF(ISBLANK($C465),
    "",
    $B465
)</f>
        <v/>
      </c>
      <c r="AY465" s="65" t="str">
        <f aca="false">IF(ISBLANK($C465),
    "",
    $C465
)</f>
        <v/>
      </c>
      <c r="AZ465" s="65" t="str">
        <f aca="false">IF(ISBLANK($C465),
    "",
    $D465
)</f>
        <v/>
      </c>
      <c r="BA465" s="65" t="str">
        <f aca="false">AO465</f>
        <v/>
      </c>
      <c r="BB465" s="66" t="str">
        <f aca="false">AN465</f>
        <v/>
      </c>
      <c r="BC465" s="65" t="str">
        <f aca="false">IF(ISBLANK($C465),
    "",
    AQ465
)</f>
        <v/>
      </c>
      <c r="BD465" s="67" t="str">
        <f aca="false">IF(AU465&gt;AT$7,
    "",
    VLOOKUP(AU465,AW$8:BC$507,7,FALSE())
)</f>
        <v/>
      </c>
      <c r="BE465" s="68" t="str">
        <f aca="false">IF(AU465&gt;AT$7,
    "",
    VLOOKUP(AU465,AW$8:BC$507,2,FALSE())
)</f>
        <v/>
      </c>
      <c r="BF465" s="68" t="str">
        <f aca="false">IF(AU465&gt;AT$7,
    "",
    VLOOKUP(AU465,AW$8:BC$507,3,FALSE())
)</f>
        <v/>
      </c>
      <c r="BG465" s="68" t="str">
        <f aca="false">IF(AU465&gt;AT$7,
    "",
    VLOOKUP(AU465,AW$8:BC$507,4,FALSE())
)</f>
        <v/>
      </c>
      <c r="BH465" s="68" t="str">
        <f aca="false">IF(AU465&gt;AT$7,
    "",
    VLOOKUP(AU465,AW$8:BC$507,5,FALSE())
)</f>
        <v/>
      </c>
      <c r="BI465" s="69" t="str">
        <f aca="false">IF(AU465&gt;AT$7,
    "",
    VLOOKUP(AU465,AW$8:BC$507,6,FALSE())
)</f>
        <v/>
      </c>
      <c r="BJ465" s="46"/>
    </row>
    <row r="466" customFormat="false" ht="15.75" hidden="false" customHeight="false" outlineLevel="0" collapsed="false">
      <c r="A466" s="3"/>
      <c r="B466" s="108"/>
      <c r="C466" s="70"/>
      <c r="D466" s="49"/>
      <c r="E466" s="109"/>
      <c r="F466" s="72"/>
      <c r="G466" s="109"/>
      <c r="H466" s="74"/>
      <c r="I466" s="104"/>
      <c r="J466" s="74"/>
      <c r="K466" s="74"/>
      <c r="L466" s="55"/>
      <c r="M466" s="55" t="str">
        <f aca="false">IF(ISBLANK($C466),"",IF(ISBLANK(E466),0,E466))</f>
        <v/>
      </c>
      <c r="N466" s="55" t="str">
        <f aca="false">IF(ISBLANK($C466),"",IF(ISBLANK(F466),0,F466))</f>
        <v/>
      </c>
      <c r="O466" s="55" t="e">
        <f aca="false">IF(AND(NOT(ISBLANK($C466)),NOT($T466),COUNTA($E466:$K466)&gt;0),ISBLANK($F466),FALSE())</f>
        <v>#VALUE!</v>
      </c>
      <c r="P466" s="55" t="str">
        <f aca="false">IF(ISBLANK($C466),"",IF(G466=Constants!$B$9, TRUE(), IF(G466=Constants!$B$10, FALSE(), TRUE())))</f>
        <v/>
      </c>
      <c r="Q466" s="55" t="str">
        <f aca="false">IF(ISBLANK($C466),"",IF(H466=Constants!$B$9, TRUE(), IF(H466=Constants!$B$10, FALSE(), TRUE())))</f>
        <v/>
      </c>
      <c r="R466" s="55" t="str">
        <f aca="false">IF(ISBLANK($C466),"",IF(ISBLANK(I466),Constants!$B$3,I466))</f>
        <v/>
      </c>
      <c r="S466" s="55" t="str">
        <f aca="false">IF(ISBLANK($C466),"",IF(ISBLANK(J466),0,MIN(J466,Constants!$B$6)))</f>
        <v/>
      </c>
      <c r="T466" s="55" t="str">
        <f aca="false">IF(ISBLANK($C466),"",IF(K466=Constants!$B$9, TRUE(), IF(K466=Constants!$B$10, FALSE(),  FALSE())))</f>
        <v/>
      </c>
      <c r="U466" s="55" t="str">
        <f aca="false">IF(ISBLANK($C466),"",AND(R466=Constants!$B$4, S466&lt;Constants!$B$6))</f>
        <v/>
      </c>
      <c r="V466" s="55" t="str">
        <f aca="false">IF(ISBLANK(C466), "", IF(T466, Constants!$B$11, IF(COUNTA(E466:K466)=0, Constants!$B$12, IF(NOT(AND(P466,S466&lt;&gt;0)), Constants!$B$13, IF(O466, Constants!$B$15, Constants!$B$14)))))</f>
        <v/>
      </c>
      <c r="W466" s="55" t="str">
        <f aca="false">IF(OR(ISBLANK($C466), SUMPRODUCT(--(P466:T466&lt;&gt;""))=0), "", IF(V466&lt;&gt;Constants!$B$14, V466, IF(AND(NOT(ISBLANK(J466)),P466,Q466,R466&lt;&gt;Constants!$B$2), Constants!$B$7, IF(AND(P466,OR(NOT(Q466),R466=Constants!$B$2)), Constants!$B$8, "Error"))))</f>
        <v/>
      </c>
      <c r="X466" s="56" t="str">
        <f aca="false">IF(OR(W466=Constants!$B$7,W466=Constants!$B$8), MAX(0, MIN(Constants!$B$6, S466))+IF(AND(R466=Constants!$B$4, NOT(U466)), Constants!$B$5, 0), "")</f>
        <v/>
      </c>
      <c r="Y466" s="55" t="str">
        <f aca="false">IF(ISBLANK($C466),"",IF(AND(ISNUMBER(X466),N466&gt;0),X466/N466, "") )</f>
        <v/>
      </c>
      <c r="Z466" s="55" t="str">
        <f aca="false">IF(AND(NOT(ISBLANK($C466)), W466=Constants!$B$7), Y466, "")</f>
        <v/>
      </c>
      <c r="AA466" s="55" t="str">
        <f aca="false">IF(ISNUMBER(Z466), RANK(Z466,Z$8:Z$507), "")</f>
        <v/>
      </c>
      <c r="AB466" s="55" t="str">
        <f aca="false">IF(AND(NOT(ISBLANK($C466)), W466=Constants!$B$8), Y466, "")</f>
        <v/>
      </c>
      <c r="AC466" s="55" t="str">
        <f aca="false">IF(ISNUMBER(AB466), RANK(AB466,AB$8:AB$507), "")</f>
        <v/>
      </c>
      <c r="AD466" s="55" t="str">
        <f aca="false">IF(ISBLANK($C466),"",IF(V466&lt;&gt;Constants!$B$14, V466, IF(W466=Constants!$B$7, AA466, IF(W466=Constants!$B$8, COUNT($AA$8:$AA$507) + AC466, ""))))</f>
        <v/>
      </c>
      <c r="AE466" s="55" t="str">
        <f aca="false">N466</f>
        <v/>
      </c>
      <c r="AF466" s="55" t="str">
        <f aca="false">IF(ISNUMBER(AE466), RANK(AE466,AE$8:AE$507,1), "")</f>
        <v/>
      </c>
      <c r="AG466" s="57" t="str">
        <f aca="false">IF(ISBLANK(C466), "", ABS(M466-S466))</f>
        <v/>
      </c>
      <c r="AH466" s="55" t="str">
        <f aca="false">IF(ISNUMBER(AG466), RANK(AG466,AG$8:AG$507,1), "")</f>
        <v/>
      </c>
      <c r="AI466" s="55" t="str">
        <f aca="false">IF(ISBLANK(C466),"",IF(V466&lt;&gt;Constants!$B$14, V466, RANK(AD466, AD$8:AD$507, 1)+ SUMPRODUCT(--(AD$8:AD$507=AD466),--(AF466&gt;AF$8:AF$507)) + SUMPRODUCT(--(AD$8:AD$507=AD466),--(AF466=AF$8:AF$507),--(AH466&gt;AH$8:AH$507))))</f>
        <v/>
      </c>
      <c r="AJ466" s="55" t="str">
        <f aca="false">IF(ISBLANK(C466),"",IF(V466&lt;&gt;Constants!$B$14, V466, AD466-AI466))</f>
        <v/>
      </c>
      <c r="AK466" s="59"/>
      <c r="AL466" s="60" t="str">
        <f aca="false">IF(ISBLANK($C466),"",IF($V466&lt;&gt;Constants!$B$14,$V466,X466))</f>
        <v/>
      </c>
      <c r="AM466" s="60" t="str">
        <f aca="false">IF(ISBLANK($C466),"",IF($V466&lt;&gt;Constants!$B$14,$V466,N466))</f>
        <v/>
      </c>
      <c r="AN466" s="62" t="str">
        <f aca="false">IF(ISBLANK(C466),"",IF(V466&lt;&gt;Constants!$B$14, V466, IF(W466=Constants!$B$7,Z466,IF(W466=Constants!$B$8,AB466,""))))</f>
        <v/>
      </c>
      <c r="AO466" s="63" t="str">
        <f aca="false">IF(ISBLANK(C466),"",W466)</f>
        <v/>
      </c>
      <c r="AP466" s="63" t="str">
        <f aca="false">IF(ISBLANK(C466),"",AJ466)</f>
        <v/>
      </c>
      <c r="AQ466" s="63" t="str">
        <f aca="false">IF(ISBLANK(C466),"",AI466)</f>
        <v/>
      </c>
      <c r="AR466" s="64" t="str">
        <f aca="false">IF(ISBLANK(C466),
  "",
IF(AQ466=Constants!$B$11,COUNTA($C$8:$C$507)+2,IF(AQ466=Constants!$B$12,COUNTA($C$8:$C$507)+1,IF(AQ466=Constants!$B$13,COUNTA($C$8:$C$507),AQ466))))</f>
        <v/>
      </c>
      <c r="AS466" s="3"/>
      <c r="AT466" s="65" t="n">
        <f aca="false">IF(OR(ISNUMBER(AQ466),AQ466="DQ",AQ466="P",AQ466="NS"),
    1,
    0
)</f>
        <v>0</v>
      </c>
      <c r="AU466" s="65" t="n">
        <v>459</v>
      </c>
      <c r="AV466" s="65" t="str">
        <f aca="false">IF(ISBLANK($C466),
    "",
   IF(ISNUMBER(AR466),AR466+ROW($B466)/1000,"")
)</f>
        <v/>
      </c>
      <c r="AW466" s="65" t="str">
        <f aca="false">IF(ISNUMBER(AV466), RANK(AV466,AV$8:AV$507,1), "")</f>
        <v/>
      </c>
      <c r="AX466" s="65" t="str">
        <f aca="false">IF(ISBLANK($C466),
    "",
    $B466
)</f>
        <v/>
      </c>
      <c r="AY466" s="65" t="str">
        <f aca="false">IF(ISBLANK($C466),
    "",
    $C466
)</f>
        <v/>
      </c>
      <c r="AZ466" s="65" t="str">
        <f aca="false">IF(ISBLANK($C466),
    "",
    $D466
)</f>
        <v/>
      </c>
      <c r="BA466" s="65" t="str">
        <f aca="false">AO466</f>
        <v/>
      </c>
      <c r="BB466" s="66" t="str">
        <f aca="false">AN466</f>
        <v/>
      </c>
      <c r="BC466" s="65" t="str">
        <f aca="false">IF(ISBLANK($C466),
    "",
    AQ466
)</f>
        <v/>
      </c>
      <c r="BD466" s="67" t="str">
        <f aca="false">IF(AU466&gt;AT$7,
    "",
    VLOOKUP(AU466,AW$8:BC$507,7,FALSE())
)</f>
        <v/>
      </c>
      <c r="BE466" s="68" t="str">
        <f aca="false">IF(AU466&gt;AT$7,
    "",
    VLOOKUP(AU466,AW$8:BC$507,2,FALSE())
)</f>
        <v/>
      </c>
      <c r="BF466" s="68" t="str">
        <f aca="false">IF(AU466&gt;AT$7,
    "",
    VLOOKUP(AU466,AW$8:BC$507,3,FALSE())
)</f>
        <v/>
      </c>
      <c r="BG466" s="68" t="str">
        <f aca="false">IF(AU466&gt;AT$7,
    "",
    VLOOKUP(AU466,AW$8:BC$507,4,FALSE())
)</f>
        <v/>
      </c>
      <c r="BH466" s="68" t="str">
        <f aca="false">IF(AU466&gt;AT$7,
    "",
    VLOOKUP(AU466,AW$8:BC$507,5,FALSE())
)</f>
        <v/>
      </c>
      <c r="BI466" s="69" t="str">
        <f aca="false">IF(AU466&gt;AT$7,
    "",
    VLOOKUP(AU466,AW$8:BC$507,6,FALSE())
)</f>
        <v/>
      </c>
      <c r="BJ466" s="46"/>
    </row>
    <row r="467" customFormat="false" ht="15.75" hidden="false" customHeight="false" outlineLevel="0" collapsed="false">
      <c r="A467" s="3"/>
      <c r="B467" s="105"/>
      <c r="C467" s="106"/>
      <c r="D467" s="99"/>
      <c r="E467" s="110"/>
      <c r="F467" s="107"/>
      <c r="G467" s="110"/>
      <c r="H467" s="103"/>
      <c r="I467" s="102"/>
      <c r="J467" s="103"/>
      <c r="K467" s="103"/>
      <c r="L467" s="85"/>
      <c r="M467" s="85" t="str">
        <f aca="false">IF(ISBLANK($C467),"",IF(ISBLANK(E467),0,E467))</f>
        <v/>
      </c>
      <c r="N467" s="85" t="str">
        <f aca="false">IF(ISBLANK($C467),"",IF(ISBLANK(F467),0,F467))</f>
        <v/>
      </c>
      <c r="O467" s="86" t="e">
        <f aca="false">IF(AND(NOT(ISBLANK($C467)),NOT($T467),COUNTA($E467:$K467)&gt;0),ISBLANK($F467),FALSE())</f>
        <v>#VALUE!</v>
      </c>
      <c r="P467" s="85" t="str">
        <f aca="false">IF(ISBLANK($C467),"",IF(G467=Constants!$B$9, TRUE(), IF(G467=Constants!$B$10, FALSE(), TRUE())))</f>
        <v/>
      </c>
      <c r="Q467" s="85" t="str">
        <f aca="false">IF(ISBLANK($C467),"",IF(H467=Constants!$B$9, TRUE(), IF(H467=Constants!$B$10, FALSE(), TRUE())))</f>
        <v/>
      </c>
      <c r="R467" s="85" t="str">
        <f aca="false">IF(ISBLANK($C467),"",IF(ISBLANK(I467),Constants!$B$3,I467))</f>
        <v/>
      </c>
      <c r="S467" s="85" t="str">
        <f aca="false">IF(ISBLANK($C467),"",IF(ISBLANK(J467),0,MIN(J467,Constants!$B$6)))</f>
        <v/>
      </c>
      <c r="T467" s="85" t="str">
        <f aca="false">IF(ISBLANK($C467),"",IF(K467=Constants!$B$9, TRUE(), IF(K467=Constants!$B$10, FALSE(),  FALSE())))</f>
        <v/>
      </c>
      <c r="U467" s="85" t="str">
        <f aca="false">IF(ISBLANK($C467),"",AND(R467=Constants!$B$4, S467&lt;Constants!$B$6))</f>
        <v/>
      </c>
      <c r="V467" s="85" t="str">
        <f aca="false">IF(ISBLANK(C467), "", IF(T467, Constants!$B$11, IF(COUNTA(E467:K467)=0, Constants!$B$12, IF(NOT(AND(P467,S467&lt;&gt;0)), Constants!$B$13, IF(O467, Constants!$B$15, Constants!$B$14)))))</f>
        <v/>
      </c>
      <c r="W467" s="85" t="str">
        <f aca="false">IF(OR(ISBLANK($C467), SUMPRODUCT(--(P467:T467&lt;&gt;""))=0), "", IF(V467&lt;&gt;Constants!$B$14, V467, IF(AND(NOT(ISBLANK(J467)),P467,Q467,R467&lt;&gt;Constants!$B$2), Constants!$B$7, IF(AND(P467,OR(NOT(Q467),R467=Constants!$B$2)), Constants!$B$8, "Error"))))</f>
        <v/>
      </c>
      <c r="X467" s="87" t="str">
        <f aca="false">IF(OR(W467=Constants!$B$7,W467=Constants!$B$8), MAX(0, MIN(Constants!$B$6, S467))+IF(AND(R467=Constants!$B$4, NOT(U467)), Constants!$B$5, 0), "")</f>
        <v/>
      </c>
      <c r="Y467" s="85" t="str">
        <f aca="false">IF(ISBLANK($C467),"",IF(AND(ISNUMBER(X467),N467&gt;0),X467/N467, "") )</f>
        <v/>
      </c>
      <c r="Z467" s="85" t="str">
        <f aca="false">IF(AND(NOT(ISBLANK($C467)), W467=Constants!$B$7), Y467, "")</f>
        <v/>
      </c>
      <c r="AA467" s="85" t="str">
        <f aca="false">IF(ISNUMBER(Z467), RANK(Z467,Z$8:Z$507), "")</f>
        <v/>
      </c>
      <c r="AB467" s="85" t="str">
        <f aca="false">IF(AND(NOT(ISBLANK($C467)), W467=Constants!$B$8), Y467, "")</f>
        <v/>
      </c>
      <c r="AC467" s="85" t="str">
        <f aca="false">IF(ISNUMBER(AB467), RANK(AB467,AB$8:AB$507), "")</f>
        <v/>
      </c>
      <c r="AD467" s="85" t="str">
        <f aca="false">IF(ISBLANK($C467),"",IF(V467&lt;&gt;Constants!$B$14, V467, IF(W467=Constants!$B$7, AA467, IF(W467=Constants!$B$8, COUNT($AA$8:$AA$507) + AC467, ""))))</f>
        <v/>
      </c>
      <c r="AE467" s="85" t="str">
        <f aca="false">N467</f>
        <v/>
      </c>
      <c r="AF467" s="85" t="str">
        <f aca="false">IF(ISNUMBER(AE467), RANK(AE467,AE$8:AE$507,1), "")</f>
        <v/>
      </c>
      <c r="AG467" s="88" t="str">
        <f aca="false">IF(ISBLANK(C467), "", ABS(M467-S467))</f>
        <v/>
      </c>
      <c r="AH467" s="85" t="str">
        <f aca="false">IF(ISNUMBER(AG467), RANK(AG467,AG$8:AG$507,1), "")</f>
        <v/>
      </c>
      <c r="AI467" s="85" t="str">
        <f aca="false">IF(ISBLANK(C467),"",IF(V467&lt;&gt;Constants!$B$14, V467, RANK(AD467, AD$8:AD$507, 1)+ SUMPRODUCT(--(AD$8:AD$507=AD467),--(AF467&gt;AF$8:AF$507)) + SUMPRODUCT(--(AD$8:AD$507=AD467),--(AF467=AF$8:AF$507),--(AH467&gt;AH$8:AH$507))))</f>
        <v/>
      </c>
      <c r="AJ467" s="85" t="str">
        <f aca="false">IF(ISBLANK(C467),"",IF(V467&lt;&gt;Constants!$B$14, V467, AD467-AI467))</f>
        <v/>
      </c>
      <c r="AK467" s="89"/>
      <c r="AL467" s="90" t="str">
        <f aca="false">IF(ISBLANK($C467),"",IF($V467&lt;&gt;Constants!$B$14,$V467,X467))</f>
        <v/>
      </c>
      <c r="AM467" s="90" t="str">
        <f aca="false">IF(ISBLANK($C467),"",IF($V467&lt;&gt;Constants!$B$14,$V467,N467))</f>
        <v/>
      </c>
      <c r="AN467" s="91" t="str">
        <f aca="false">IF(ISBLANK(C467),"",IF(V467&lt;&gt;Constants!$B$14, V467, IF(W467=Constants!$B$7,Z467,IF(W467=Constants!$B$8,AB467,""))))</f>
        <v/>
      </c>
      <c r="AO467" s="92" t="str">
        <f aca="false">IF(ISBLANK(C467),"",W467)</f>
        <v/>
      </c>
      <c r="AP467" s="92" t="str">
        <f aca="false">IF(ISBLANK(C467),"",AJ467)</f>
        <v/>
      </c>
      <c r="AQ467" s="92" t="str">
        <f aca="false">IF(ISBLANK(C467),"",AI467)</f>
        <v/>
      </c>
      <c r="AR467" s="93" t="str">
        <f aca="false">IF(ISBLANK(C467),
  "",
IF(AQ467=Constants!$B$11,COUNTA($C$8:$C$507)+2,IF(AQ467=Constants!$B$12,COUNTA($C$8:$C$507)+1,IF(AQ467=Constants!$B$13,COUNTA($C$8:$C$507),AQ467))))</f>
        <v/>
      </c>
      <c r="AS467" s="3"/>
      <c r="AT467" s="94" t="n">
        <f aca="false">IF(OR(ISNUMBER(AQ467),AQ467="DQ",AQ467="P",AQ467="NS"),
    1,
    0
)</f>
        <v>0</v>
      </c>
      <c r="AU467" s="94" t="n">
        <v>460</v>
      </c>
      <c r="AV467" s="94" t="str">
        <f aca="false">IF(ISBLANK($C467),
    "",
   IF(ISNUMBER(AR467),AR467+ROW($B467)/1000,"")
)</f>
        <v/>
      </c>
      <c r="AW467" s="94" t="str">
        <f aca="false">IF(ISNUMBER(AV467), RANK(AV467,AV$8:AV$507,1), "")</f>
        <v/>
      </c>
      <c r="AX467" s="94" t="str">
        <f aca="false">IF(ISBLANK($C467),
    "",
    $B467
)</f>
        <v/>
      </c>
      <c r="AY467" s="94" t="str">
        <f aca="false">IF(ISBLANK($C467),
    "",
    $C467
)</f>
        <v/>
      </c>
      <c r="AZ467" s="94" t="str">
        <f aca="false">IF(ISBLANK($C467),
    "",
    $D467
)</f>
        <v/>
      </c>
      <c r="BA467" s="94" t="str">
        <f aca="false">AO467</f>
        <v/>
      </c>
      <c r="BB467" s="95" t="str">
        <f aca="false">AN467</f>
        <v/>
      </c>
      <c r="BC467" s="94" t="str">
        <f aca="false">IF(ISBLANK($C467),
    "",
    AQ467
)</f>
        <v/>
      </c>
      <c r="BD467" s="96" t="str">
        <f aca="false">IF(AU467&gt;AT$7,
    "",
    VLOOKUP(AU467,AW$8:BC$507,7,FALSE())
)</f>
        <v/>
      </c>
      <c r="BE467" s="97" t="str">
        <f aca="false">IF(AU467&gt;AT$7,
    "",
    VLOOKUP(AU467,AW$8:BC$507,2,FALSE())
)</f>
        <v/>
      </c>
      <c r="BF467" s="97" t="str">
        <f aca="false">IF(AU467&gt;AT$7,
    "",
    VLOOKUP(AU467,AW$8:BC$507,3,FALSE())
)</f>
        <v/>
      </c>
      <c r="BG467" s="97" t="str">
        <f aca="false">IF(AU467&gt;AT$7,
    "",
    VLOOKUP(AU467,AW$8:BC$507,4,FALSE())
)</f>
        <v/>
      </c>
      <c r="BH467" s="97" t="str">
        <f aca="false">IF(AU467&gt;AT$7,
    "",
    VLOOKUP(AU467,AW$8:BC$507,5,FALSE())
)</f>
        <v/>
      </c>
      <c r="BI467" s="98" t="str">
        <f aca="false">IF(AU467&gt;AT$7,
    "",
    VLOOKUP(AU467,AW$8:BC$507,6,FALSE())
)</f>
        <v/>
      </c>
      <c r="BJ467" s="46"/>
    </row>
    <row r="468" customFormat="false" ht="15.75" hidden="false" customHeight="false" outlineLevel="0" collapsed="false">
      <c r="A468" s="3"/>
      <c r="B468" s="105"/>
      <c r="C468" s="106"/>
      <c r="D468" s="99"/>
      <c r="E468" s="110"/>
      <c r="F468" s="107"/>
      <c r="G468" s="110"/>
      <c r="H468" s="103"/>
      <c r="I468" s="102"/>
      <c r="J468" s="103"/>
      <c r="K468" s="103"/>
      <c r="L468" s="85"/>
      <c r="M468" s="85" t="str">
        <f aca="false">IF(ISBLANK($C468),"",IF(ISBLANK(E468),0,E468))</f>
        <v/>
      </c>
      <c r="N468" s="85" t="str">
        <f aca="false">IF(ISBLANK($C468),"",IF(ISBLANK(F468),0,F468))</f>
        <v/>
      </c>
      <c r="O468" s="86" t="e">
        <f aca="false">IF(AND(NOT(ISBLANK($C468)),NOT($T468),COUNTA($E468:$K468)&gt;0),ISBLANK($F468),FALSE())</f>
        <v>#VALUE!</v>
      </c>
      <c r="P468" s="85" t="str">
        <f aca="false">IF(ISBLANK($C468),"",IF(G468=Constants!$B$9, TRUE(), IF(G468=Constants!$B$10, FALSE(), TRUE())))</f>
        <v/>
      </c>
      <c r="Q468" s="85" t="str">
        <f aca="false">IF(ISBLANK($C468),"",IF(H468=Constants!$B$9, TRUE(), IF(H468=Constants!$B$10, FALSE(), TRUE())))</f>
        <v/>
      </c>
      <c r="R468" s="85" t="str">
        <f aca="false">IF(ISBLANK($C468),"",IF(ISBLANK(I468),Constants!$B$3,I468))</f>
        <v/>
      </c>
      <c r="S468" s="85" t="str">
        <f aca="false">IF(ISBLANK($C468),"",IF(ISBLANK(J468),0,MIN(J468,Constants!$B$6)))</f>
        <v/>
      </c>
      <c r="T468" s="85" t="str">
        <f aca="false">IF(ISBLANK($C468),"",IF(K468=Constants!$B$9, TRUE(), IF(K468=Constants!$B$10, FALSE(),  FALSE())))</f>
        <v/>
      </c>
      <c r="U468" s="85" t="str">
        <f aca="false">IF(ISBLANK($C468),"",AND(R468=Constants!$B$4, S468&lt;Constants!$B$6))</f>
        <v/>
      </c>
      <c r="V468" s="85" t="str">
        <f aca="false">IF(ISBLANK(C468), "", IF(T468, Constants!$B$11, IF(COUNTA(E468:K468)=0, Constants!$B$12, IF(NOT(AND(P468,S468&lt;&gt;0)), Constants!$B$13, IF(O468, Constants!$B$15, Constants!$B$14)))))</f>
        <v/>
      </c>
      <c r="W468" s="85" t="str">
        <f aca="false">IF(OR(ISBLANK($C468), SUMPRODUCT(--(P468:T468&lt;&gt;""))=0), "", IF(V468&lt;&gt;Constants!$B$14, V468, IF(AND(NOT(ISBLANK(J468)),P468,Q468,R468&lt;&gt;Constants!$B$2), Constants!$B$7, IF(AND(P468,OR(NOT(Q468),R468=Constants!$B$2)), Constants!$B$8, "Error"))))</f>
        <v/>
      </c>
      <c r="X468" s="87" t="str">
        <f aca="false">IF(OR(W468=Constants!$B$7,W468=Constants!$B$8), MAX(0, MIN(Constants!$B$6, S468))+IF(AND(R468=Constants!$B$4, NOT(U468)), Constants!$B$5, 0), "")</f>
        <v/>
      </c>
      <c r="Y468" s="85" t="str">
        <f aca="false">IF(ISBLANK($C468),"",IF(AND(ISNUMBER(X468),N468&gt;0),X468/N468, "") )</f>
        <v/>
      </c>
      <c r="Z468" s="85" t="str">
        <f aca="false">IF(AND(NOT(ISBLANK($C468)), W468=Constants!$B$7), Y468, "")</f>
        <v/>
      </c>
      <c r="AA468" s="85" t="str">
        <f aca="false">IF(ISNUMBER(Z468), RANK(Z468,Z$8:Z$507), "")</f>
        <v/>
      </c>
      <c r="AB468" s="85" t="str">
        <f aca="false">IF(AND(NOT(ISBLANK($C468)), W468=Constants!$B$8), Y468, "")</f>
        <v/>
      </c>
      <c r="AC468" s="85" t="str">
        <f aca="false">IF(ISNUMBER(AB468), RANK(AB468,AB$8:AB$507), "")</f>
        <v/>
      </c>
      <c r="AD468" s="85" t="str">
        <f aca="false">IF(ISBLANK($C468),"",IF(V468&lt;&gt;Constants!$B$14, V468, IF(W468=Constants!$B$7, AA468, IF(W468=Constants!$B$8, COUNT($AA$8:$AA$507) + AC468, ""))))</f>
        <v/>
      </c>
      <c r="AE468" s="85" t="str">
        <f aca="false">N468</f>
        <v/>
      </c>
      <c r="AF468" s="85" t="str">
        <f aca="false">IF(ISNUMBER(AE468), RANK(AE468,AE$8:AE$507,1), "")</f>
        <v/>
      </c>
      <c r="AG468" s="88" t="str">
        <f aca="false">IF(ISBLANK(C468), "", ABS(M468-S468))</f>
        <v/>
      </c>
      <c r="AH468" s="85" t="str">
        <f aca="false">IF(ISNUMBER(AG468), RANK(AG468,AG$8:AG$507,1), "")</f>
        <v/>
      </c>
      <c r="AI468" s="85" t="str">
        <f aca="false">IF(ISBLANK(C468),"",IF(V468&lt;&gt;Constants!$B$14, V468, RANK(AD468, AD$8:AD$507, 1)+ SUMPRODUCT(--(AD$8:AD$507=AD468),--(AF468&gt;AF$8:AF$507)) + SUMPRODUCT(--(AD$8:AD$507=AD468),--(AF468=AF$8:AF$507),--(AH468&gt;AH$8:AH$507))))</f>
        <v/>
      </c>
      <c r="AJ468" s="85" t="str">
        <f aca="false">IF(ISBLANK(C468),"",IF(V468&lt;&gt;Constants!$B$14, V468, AD468-AI468))</f>
        <v/>
      </c>
      <c r="AK468" s="89"/>
      <c r="AL468" s="90" t="str">
        <f aca="false">IF(ISBLANK($C468),"",IF($V468&lt;&gt;Constants!$B$14,$V468,X468))</f>
        <v/>
      </c>
      <c r="AM468" s="90" t="str">
        <f aca="false">IF(ISBLANK($C468),"",IF($V468&lt;&gt;Constants!$B$14,$V468,N468))</f>
        <v/>
      </c>
      <c r="AN468" s="91" t="str">
        <f aca="false">IF(ISBLANK(C468),"",IF(V468&lt;&gt;Constants!$B$14, V468, IF(W468=Constants!$B$7,Z468,IF(W468=Constants!$B$8,AB468,""))))</f>
        <v/>
      </c>
      <c r="AO468" s="92" t="str">
        <f aca="false">IF(ISBLANK(C468),"",W468)</f>
        <v/>
      </c>
      <c r="AP468" s="92" t="str">
        <f aca="false">IF(ISBLANK(C468),"",AJ468)</f>
        <v/>
      </c>
      <c r="AQ468" s="92" t="str">
        <f aca="false">IF(ISBLANK(C468),"",AI468)</f>
        <v/>
      </c>
      <c r="AR468" s="93" t="str">
        <f aca="false">IF(ISBLANK(C468),
  "",
IF(AQ468=Constants!$B$11,COUNTA($C$8:$C$507)+2,IF(AQ468=Constants!$B$12,COUNTA($C$8:$C$507)+1,IF(AQ468=Constants!$B$13,COUNTA($C$8:$C$507),AQ468))))</f>
        <v/>
      </c>
      <c r="AS468" s="3"/>
      <c r="AT468" s="94" t="n">
        <f aca="false">IF(OR(ISNUMBER(AQ468),AQ468="DQ",AQ468="P",AQ468="NS"),
    1,
    0
)</f>
        <v>0</v>
      </c>
      <c r="AU468" s="94" t="n">
        <v>461</v>
      </c>
      <c r="AV468" s="94" t="str">
        <f aca="false">IF(ISBLANK($C468),
    "",
   IF(ISNUMBER(AR468),AR468+ROW($B468)/1000,"")
)</f>
        <v/>
      </c>
      <c r="AW468" s="94" t="str">
        <f aca="false">IF(ISNUMBER(AV468), RANK(AV468,AV$8:AV$507,1), "")</f>
        <v/>
      </c>
      <c r="AX468" s="94" t="str">
        <f aca="false">IF(ISBLANK($C468),
    "",
    $B468
)</f>
        <v/>
      </c>
      <c r="AY468" s="94" t="str">
        <f aca="false">IF(ISBLANK($C468),
    "",
    $C468
)</f>
        <v/>
      </c>
      <c r="AZ468" s="94" t="str">
        <f aca="false">IF(ISBLANK($C468),
    "",
    $D468
)</f>
        <v/>
      </c>
      <c r="BA468" s="94" t="str">
        <f aca="false">AO468</f>
        <v/>
      </c>
      <c r="BB468" s="95" t="str">
        <f aca="false">AN468</f>
        <v/>
      </c>
      <c r="BC468" s="94" t="str">
        <f aca="false">IF(ISBLANK($C468),
    "",
    AQ468
)</f>
        <v/>
      </c>
      <c r="BD468" s="96" t="str">
        <f aca="false">IF(AU468&gt;AT$7,
    "",
    VLOOKUP(AU468,AW$8:BC$507,7,FALSE())
)</f>
        <v/>
      </c>
      <c r="BE468" s="97" t="str">
        <f aca="false">IF(AU468&gt;AT$7,
    "",
    VLOOKUP(AU468,AW$8:BC$507,2,FALSE())
)</f>
        <v/>
      </c>
      <c r="BF468" s="97" t="str">
        <f aca="false">IF(AU468&gt;AT$7,
    "",
    VLOOKUP(AU468,AW$8:BC$507,3,FALSE())
)</f>
        <v/>
      </c>
      <c r="BG468" s="97" t="str">
        <f aca="false">IF(AU468&gt;AT$7,
    "",
    VLOOKUP(AU468,AW$8:BC$507,4,FALSE())
)</f>
        <v/>
      </c>
      <c r="BH468" s="97" t="str">
        <f aca="false">IF(AU468&gt;AT$7,
    "",
    VLOOKUP(AU468,AW$8:BC$507,5,FALSE())
)</f>
        <v/>
      </c>
      <c r="BI468" s="98" t="str">
        <f aca="false">IF(AU468&gt;AT$7,
    "",
    VLOOKUP(AU468,AW$8:BC$507,6,FALSE())
)</f>
        <v/>
      </c>
      <c r="BJ468" s="46"/>
    </row>
    <row r="469" customFormat="false" ht="15.75" hidden="false" customHeight="false" outlineLevel="0" collapsed="false">
      <c r="A469" s="3"/>
      <c r="B469" s="105"/>
      <c r="C469" s="106"/>
      <c r="D469" s="99"/>
      <c r="E469" s="110"/>
      <c r="F469" s="107"/>
      <c r="G469" s="110"/>
      <c r="H469" s="103"/>
      <c r="I469" s="102"/>
      <c r="J469" s="103"/>
      <c r="K469" s="103"/>
      <c r="L469" s="85"/>
      <c r="M469" s="85" t="str">
        <f aca="false">IF(ISBLANK($C469),"",IF(ISBLANK(E469),0,E469))</f>
        <v/>
      </c>
      <c r="N469" s="85" t="str">
        <f aca="false">IF(ISBLANK($C469),"",IF(ISBLANK(F469),0,F469))</f>
        <v/>
      </c>
      <c r="O469" s="86" t="e">
        <f aca="false">IF(AND(NOT(ISBLANK($C469)),NOT($T469),COUNTA($E469:$K469)&gt;0),ISBLANK($F469),FALSE())</f>
        <v>#VALUE!</v>
      </c>
      <c r="P469" s="85" t="str">
        <f aca="false">IF(ISBLANK($C469),"",IF(G469=Constants!$B$9, TRUE(), IF(G469=Constants!$B$10, FALSE(), TRUE())))</f>
        <v/>
      </c>
      <c r="Q469" s="85" t="str">
        <f aca="false">IF(ISBLANK($C469),"",IF(H469=Constants!$B$9, TRUE(), IF(H469=Constants!$B$10, FALSE(), TRUE())))</f>
        <v/>
      </c>
      <c r="R469" s="85" t="str">
        <f aca="false">IF(ISBLANK($C469),"",IF(ISBLANK(I469),Constants!$B$3,I469))</f>
        <v/>
      </c>
      <c r="S469" s="85" t="str">
        <f aca="false">IF(ISBLANK($C469),"",IF(ISBLANK(J469),0,MIN(J469,Constants!$B$6)))</f>
        <v/>
      </c>
      <c r="T469" s="85" t="str">
        <f aca="false">IF(ISBLANK($C469),"",IF(K469=Constants!$B$9, TRUE(), IF(K469=Constants!$B$10, FALSE(),  FALSE())))</f>
        <v/>
      </c>
      <c r="U469" s="85" t="str">
        <f aca="false">IF(ISBLANK($C469),"",AND(R469=Constants!$B$4, S469&lt;Constants!$B$6))</f>
        <v/>
      </c>
      <c r="V469" s="85" t="str">
        <f aca="false">IF(ISBLANK(C469), "", IF(T469, Constants!$B$11, IF(COUNTA(E469:K469)=0, Constants!$B$12, IF(NOT(AND(P469,S469&lt;&gt;0)), Constants!$B$13, IF(O469, Constants!$B$15, Constants!$B$14)))))</f>
        <v/>
      </c>
      <c r="W469" s="85" t="str">
        <f aca="false">IF(OR(ISBLANK($C469), SUMPRODUCT(--(P469:T469&lt;&gt;""))=0), "", IF(V469&lt;&gt;Constants!$B$14, V469, IF(AND(NOT(ISBLANK(J469)),P469,Q469,R469&lt;&gt;Constants!$B$2), Constants!$B$7, IF(AND(P469,OR(NOT(Q469),R469=Constants!$B$2)), Constants!$B$8, "Error"))))</f>
        <v/>
      </c>
      <c r="X469" s="87" t="str">
        <f aca="false">IF(OR(W469=Constants!$B$7,W469=Constants!$B$8), MAX(0, MIN(Constants!$B$6, S469))+IF(AND(R469=Constants!$B$4, NOT(U469)), Constants!$B$5, 0), "")</f>
        <v/>
      </c>
      <c r="Y469" s="85" t="str">
        <f aca="false">IF(ISBLANK($C469),"",IF(AND(ISNUMBER(X469),N469&gt;0),X469/N469, "") )</f>
        <v/>
      </c>
      <c r="Z469" s="85" t="str">
        <f aca="false">IF(AND(NOT(ISBLANK($C469)), W469=Constants!$B$7), Y469, "")</f>
        <v/>
      </c>
      <c r="AA469" s="85" t="str">
        <f aca="false">IF(ISNUMBER(Z469), RANK(Z469,Z$8:Z$507), "")</f>
        <v/>
      </c>
      <c r="AB469" s="85" t="str">
        <f aca="false">IF(AND(NOT(ISBLANK($C469)), W469=Constants!$B$8), Y469, "")</f>
        <v/>
      </c>
      <c r="AC469" s="85" t="str">
        <f aca="false">IF(ISNUMBER(AB469), RANK(AB469,AB$8:AB$507), "")</f>
        <v/>
      </c>
      <c r="AD469" s="85" t="str">
        <f aca="false">IF(ISBLANK($C469),"",IF(V469&lt;&gt;Constants!$B$14, V469, IF(W469=Constants!$B$7, AA469, IF(W469=Constants!$B$8, COUNT($AA$8:$AA$507) + AC469, ""))))</f>
        <v/>
      </c>
      <c r="AE469" s="85" t="str">
        <f aca="false">N469</f>
        <v/>
      </c>
      <c r="AF469" s="85" t="str">
        <f aca="false">IF(ISNUMBER(AE469), RANK(AE469,AE$8:AE$507,1), "")</f>
        <v/>
      </c>
      <c r="AG469" s="88" t="str">
        <f aca="false">IF(ISBLANK(C469), "", ABS(M469-S469))</f>
        <v/>
      </c>
      <c r="AH469" s="85" t="str">
        <f aca="false">IF(ISNUMBER(AG469), RANK(AG469,AG$8:AG$507,1), "")</f>
        <v/>
      </c>
      <c r="AI469" s="85" t="str">
        <f aca="false">IF(ISBLANK(C469),"",IF(V469&lt;&gt;Constants!$B$14, V469, RANK(AD469, AD$8:AD$507, 1)+ SUMPRODUCT(--(AD$8:AD$507=AD469),--(AF469&gt;AF$8:AF$507)) + SUMPRODUCT(--(AD$8:AD$507=AD469),--(AF469=AF$8:AF$507),--(AH469&gt;AH$8:AH$507))))</f>
        <v/>
      </c>
      <c r="AJ469" s="85" t="str">
        <f aca="false">IF(ISBLANK(C469),"",IF(V469&lt;&gt;Constants!$B$14, V469, AD469-AI469))</f>
        <v/>
      </c>
      <c r="AK469" s="89"/>
      <c r="AL469" s="90" t="str">
        <f aca="false">IF(ISBLANK($C469),"",IF($V469&lt;&gt;Constants!$B$14,$V469,X469))</f>
        <v/>
      </c>
      <c r="AM469" s="90" t="str">
        <f aca="false">IF(ISBLANK($C469),"",IF($V469&lt;&gt;Constants!$B$14,$V469,N469))</f>
        <v/>
      </c>
      <c r="AN469" s="91" t="str">
        <f aca="false">IF(ISBLANK(C469),"",IF(V469&lt;&gt;Constants!$B$14, V469, IF(W469=Constants!$B$7,Z469,IF(W469=Constants!$B$8,AB469,""))))</f>
        <v/>
      </c>
      <c r="AO469" s="92" t="str">
        <f aca="false">IF(ISBLANK(C469),"",W469)</f>
        <v/>
      </c>
      <c r="AP469" s="92" t="str">
        <f aca="false">IF(ISBLANK(C469),"",AJ469)</f>
        <v/>
      </c>
      <c r="AQ469" s="92" t="str">
        <f aca="false">IF(ISBLANK(C469),"",AI469)</f>
        <v/>
      </c>
      <c r="AR469" s="93" t="str">
        <f aca="false">IF(ISBLANK(C469),
  "",
IF(AQ469=Constants!$B$11,COUNTA($C$8:$C$507)+2,IF(AQ469=Constants!$B$12,COUNTA($C$8:$C$507)+1,IF(AQ469=Constants!$B$13,COUNTA($C$8:$C$507),AQ469))))</f>
        <v/>
      </c>
      <c r="AS469" s="3"/>
      <c r="AT469" s="94" t="n">
        <f aca="false">IF(OR(ISNUMBER(AQ469),AQ469="DQ",AQ469="P",AQ469="NS"),
    1,
    0
)</f>
        <v>0</v>
      </c>
      <c r="AU469" s="94" t="n">
        <v>462</v>
      </c>
      <c r="AV469" s="94" t="str">
        <f aca="false">IF(ISBLANK($C469),
    "",
   IF(ISNUMBER(AR469),AR469+ROW($B469)/1000,"")
)</f>
        <v/>
      </c>
      <c r="AW469" s="94" t="str">
        <f aca="false">IF(ISNUMBER(AV469), RANK(AV469,AV$8:AV$507,1), "")</f>
        <v/>
      </c>
      <c r="AX469" s="94" t="str">
        <f aca="false">IF(ISBLANK($C469),
    "",
    $B469
)</f>
        <v/>
      </c>
      <c r="AY469" s="94" t="str">
        <f aca="false">IF(ISBLANK($C469),
    "",
    $C469
)</f>
        <v/>
      </c>
      <c r="AZ469" s="94" t="str">
        <f aca="false">IF(ISBLANK($C469),
    "",
    $D469
)</f>
        <v/>
      </c>
      <c r="BA469" s="94" t="str">
        <f aca="false">AO469</f>
        <v/>
      </c>
      <c r="BB469" s="95" t="str">
        <f aca="false">AN469</f>
        <v/>
      </c>
      <c r="BC469" s="94" t="str">
        <f aca="false">IF(ISBLANK($C469),
    "",
    AQ469
)</f>
        <v/>
      </c>
      <c r="BD469" s="96" t="str">
        <f aca="false">IF(AU469&gt;AT$7,
    "",
    VLOOKUP(AU469,AW$8:BC$507,7,FALSE())
)</f>
        <v/>
      </c>
      <c r="BE469" s="97" t="str">
        <f aca="false">IF(AU469&gt;AT$7,
    "",
    VLOOKUP(AU469,AW$8:BC$507,2,FALSE())
)</f>
        <v/>
      </c>
      <c r="BF469" s="97" t="str">
        <f aca="false">IF(AU469&gt;AT$7,
    "",
    VLOOKUP(AU469,AW$8:BC$507,3,FALSE())
)</f>
        <v/>
      </c>
      <c r="BG469" s="97" t="str">
        <f aca="false">IF(AU469&gt;AT$7,
    "",
    VLOOKUP(AU469,AW$8:BC$507,4,FALSE())
)</f>
        <v/>
      </c>
      <c r="BH469" s="97" t="str">
        <f aca="false">IF(AU469&gt;AT$7,
    "",
    VLOOKUP(AU469,AW$8:BC$507,5,FALSE())
)</f>
        <v/>
      </c>
      <c r="BI469" s="98" t="str">
        <f aca="false">IF(AU469&gt;AT$7,
    "",
    VLOOKUP(AU469,AW$8:BC$507,6,FALSE())
)</f>
        <v/>
      </c>
      <c r="BJ469" s="46"/>
    </row>
    <row r="470" customFormat="false" ht="15.75" hidden="false" customHeight="false" outlineLevel="0" collapsed="false">
      <c r="A470" s="3"/>
      <c r="B470" s="108"/>
      <c r="C470" s="70"/>
      <c r="D470" s="49"/>
      <c r="E470" s="109"/>
      <c r="F470" s="72"/>
      <c r="G470" s="109"/>
      <c r="H470" s="74"/>
      <c r="I470" s="104"/>
      <c r="J470" s="74"/>
      <c r="K470" s="74"/>
      <c r="L470" s="55"/>
      <c r="M470" s="55" t="str">
        <f aca="false">IF(ISBLANK($C470),"",IF(ISBLANK(E470),0,E470))</f>
        <v/>
      </c>
      <c r="N470" s="55" t="str">
        <f aca="false">IF(ISBLANK($C470),"",IF(ISBLANK(F470),0,F470))</f>
        <v/>
      </c>
      <c r="O470" s="55" t="e">
        <f aca="false">IF(AND(NOT(ISBLANK($C470)),NOT($T470),COUNTA($E470:$K470)&gt;0),ISBLANK($F470),FALSE())</f>
        <v>#VALUE!</v>
      </c>
      <c r="P470" s="55" t="str">
        <f aca="false">IF(ISBLANK($C470),"",IF(G470=Constants!$B$9, TRUE(), IF(G470=Constants!$B$10, FALSE(), TRUE())))</f>
        <v/>
      </c>
      <c r="Q470" s="55" t="str">
        <f aca="false">IF(ISBLANK($C470),"",IF(H470=Constants!$B$9, TRUE(), IF(H470=Constants!$B$10, FALSE(), TRUE())))</f>
        <v/>
      </c>
      <c r="R470" s="55" t="str">
        <f aca="false">IF(ISBLANK($C470),"",IF(ISBLANK(I470),Constants!$B$3,I470))</f>
        <v/>
      </c>
      <c r="S470" s="55" t="str">
        <f aca="false">IF(ISBLANK($C470),"",IF(ISBLANK(J470),0,MIN(J470,Constants!$B$6)))</f>
        <v/>
      </c>
      <c r="T470" s="55" t="str">
        <f aca="false">IF(ISBLANK($C470),"",IF(K470=Constants!$B$9, TRUE(), IF(K470=Constants!$B$10, FALSE(),  FALSE())))</f>
        <v/>
      </c>
      <c r="U470" s="55" t="str">
        <f aca="false">IF(ISBLANK($C470),"",AND(R470=Constants!$B$4, S470&lt;Constants!$B$6))</f>
        <v/>
      </c>
      <c r="V470" s="55" t="str">
        <f aca="false">IF(ISBLANK(C470), "", IF(T470, Constants!$B$11, IF(COUNTA(E470:K470)=0, Constants!$B$12, IF(NOT(AND(P470,S470&lt;&gt;0)), Constants!$B$13, IF(O470, Constants!$B$15, Constants!$B$14)))))</f>
        <v/>
      </c>
      <c r="W470" s="55" t="str">
        <f aca="false">IF(OR(ISBLANK($C470), SUMPRODUCT(--(P470:T470&lt;&gt;""))=0), "", IF(V470&lt;&gt;Constants!$B$14, V470, IF(AND(NOT(ISBLANK(J470)),P470,Q470,R470&lt;&gt;Constants!$B$2), Constants!$B$7, IF(AND(P470,OR(NOT(Q470),R470=Constants!$B$2)), Constants!$B$8, "Error"))))</f>
        <v/>
      </c>
      <c r="X470" s="56" t="str">
        <f aca="false">IF(OR(W470=Constants!$B$7,W470=Constants!$B$8), MAX(0, MIN(Constants!$B$6, S470))+IF(AND(R470=Constants!$B$4, NOT(U470)), Constants!$B$5, 0), "")</f>
        <v/>
      </c>
      <c r="Y470" s="55" t="str">
        <f aca="false">IF(ISBLANK($C470),"",IF(AND(ISNUMBER(X470),N470&gt;0),X470/N470, "") )</f>
        <v/>
      </c>
      <c r="Z470" s="55" t="str">
        <f aca="false">IF(AND(NOT(ISBLANK($C470)), W470=Constants!$B$7), Y470, "")</f>
        <v/>
      </c>
      <c r="AA470" s="55" t="str">
        <f aca="false">IF(ISNUMBER(Z470), RANK(Z470,Z$8:Z$507), "")</f>
        <v/>
      </c>
      <c r="AB470" s="55" t="str">
        <f aca="false">IF(AND(NOT(ISBLANK($C470)), W470=Constants!$B$8), Y470, "")</f>
        <v/>
      </c>
      <c r="AC470" s="55" t="str">
        <f aca="false">IF(ISNUMBER(AB470), RANK(AB470,AB$8:AB$507), "")</f>
        <v/>
      </c>
      <c r="AD470" s="55" t="str">
        <f aca="false">IF(ISBLANK($C470),"",IF(V470&lt;&gt;Constants!$B$14, V470, IF(W470=Constants!$B$7, AA470, IF(W470=Constants!$B$8, COUNT($AA$8:$AA$507) + AC470, ""))))</f>
        <v/>
      </c>
      <c r="AE470" s="55" t="str">
        <f aca="false">N470</f>
        <v/>
      </c>
      <c r="AF470" s="55" t="str">
        <f aca="false">IF(ISNUMBER(AE470), RANK(AE470,AE$8:AE$507,1), "")</f>
        <v/>
      </c>
      <c r="AG470" s="57" t="str">
        <f aca="false">IF(ISBLANK(C470), "", ABS(M470-S470))</f>
        <v/>
      </c>
      <c r="AH470" s="55" t="str">
        <f aca="false">IF(ISNUMBER(AG470), RANK(AG470,AG$8:AG$507,1), "")</f>
        <v/>
      </c>
      <c r="AI470" s="55" t="str">
        <f aca="false">IF(ISBLANK(C470),"",IF(V470&lt;&gt;Constants!$B$14, V470, RANK(AD470, AD$8:AD$507, 1)+ SUMPRODUCT(--(AD$8:AD$507=AD470),--(AF470&gt;AF$8:AF$507)) + SUMPRODUCT(--(AD$8:AD$507=AD470),--(AF470=AF$8:AF$507),--(AH470&gt;AH$8:AH$507))))</f>
        <v/>
      </c>
      <c r="AJ470" s="55" t="str">
        <f aca="false">IF(ISBLANK(C470),"",IF(V470&lt;&gt;Constants!$B$14, V470, AD470-AI470))</f>
        <v/>
      </c>
      <c r="AK470" s="59"/>
      <c r="AL470" s="60" t="str">
        <f aca="false">IF(ISBLANK($C470),"",IF($V470&lt;&gt;Constants!$B$14,$V470,X470))</f>
        <v/>
      </c>
      <c r="AM470" s="60" t="str">
        <f aca="false">IF(ISBLANK($C470),"",IF($V470&lt;&gt;Constants!$B$14,$V470,N470))</f>
        <v/>
      </c>
      <c r="AN470" s="62" t="str">
        <f aca="false">IF(ISBLANK(C470),"",IF(V470&lt;&gt;Constants!$B$14, V470, IF(W470=Constants!$B$7,Z470,IF(W470=Constants!$B$8,AB470,""))))</f>
        <v/>
      </c>
      <c r="AO470" s="63" t="str">
        <f aca="false">IF(ISBLANK(C470),"",W470)</f>
        <v/>
      </c>
      <c r="AP470" s="63" t="str">
        <f aca="false">IF(ISBLANK(C470),"",AJ470)</f>
        <v/>
      </c>
      <c r="AQ470" s="63" t="str">
        <f aca="false">IF(ISBLANK(C470),"",AI470)</f>
        <v/>
      </c>
      <c r="AR470" s="64" t="str">
        <f aca="false">IF(ISBLANK(C470),
  "",
IF(AQ470=Constants!$B$11,COUNTA($C$8:$C$507)+2,IF(AQ470=Constants!$B$12,COUNTA($C$8:$C$507)+1,IF(AQ470=Constants!$B$13,COUNTA($C$8:$C$507),AQ470))))</f>
        <v/>
      </c>
      <c r="AS470" s="3"/>
      <c r="AT470" s="65" t="n">
        <f aca="false">IF(OR(ISNUMBER(AQ470),AQ470="DQ",AQ470="P",AQ470="NS"),
    1,
    0
)</f>
        <v>0</v>
      </c>
      <c r="AU470" s="65" t="n">
        <v>463</v>
      </c>
      <c r="AV470" s="65" t="str">
        <f aca="false">IF(ISBLANK($C470),
    "",
   IF(ISNUMBER(AR470),AR470+ROW($B470)/1000,"")
)</f>
        <v/>
      </c>
      <c r="AW470" s="65" t="str">
        <f aca="false">IF(ISNUMBER(AV470), RANK(AV470,AV$8:AV$507,1), "")</f>
        <v/>
      </c>
      <c r="AX470" s="65" t="str">
        <f aca="false">IF(ISBLANK($C470),
    "",
    $B470
)</f>
        <v/>
      </c>
      <c r="AY470" s="65" t="str">
        <f aca="false">IF(ISBLANK($C470),
    "",
    $C470
)</f>
        <v/>
      </c>
      <c r="AZ470" s="65" t="str">
        <f aca="false">IF(ISBLANK($C470),
    "",
    $D470
)</f>
        <v/>
      </c>
      <c r="BA470" s="65" t="str">
        <f aca="false">AO470</f>
        <v/>
      </c>
      <c r="BB470" s="66" t="str">
        <f aca="false">AN470</f>
        <v/>
      </c>
      <c r="BC470" s="65" t="str">
        <f aca="false">IF(ISBLANK($C470),
    "",
    AQ470
)</f>
        <v/>
      </c>
      <c r="BD470" s="67" t="str">
        <f aca="false">IF(AU470&gt;AT$7,
    "",
    VLOOKUP(AU470,AW$8:BC$507,7,FALSE())
)</f>
        <v/>
      </c>
      <c r="BE470" s="68" t="str">
        <f aca="false">IF(AU470&gt;AT$7,
    "",
    VLOOKUP(AU470,AW$8:BC$507,2,FALSE())
)</f>
        <v/>
      </c>
      <c r="BF470" s="68" t="str">
        <f aca="false">IF(AU470&gt;AT$7,
    "",
    VLOOKUP(AU470,AW$8:BC$507,3,FALSE())
)</f>
        <v/>
      </c>
      <c r="BG470" s="68" t="str">
        <f aca="false">IF(AU470&gt;AT$7,
    "",
    VLOOKUP(AU470,AW$8:BC$507,4,FALSE())
)</f>
        <v/>
      </c>
      <c r="BH470" s="68" t="str">
        <f aca="false">IF(AU470&gt;AT$7,
    "",
    VLOOKUP(AU470,AW$8:BC$507,5,FALSE())
)</f>
        <v/>
      </c>
      <c r="BI470" s="69" t="str">
        <f aca="false">IF(AU470&gt;AT$7,
    "",
    VLOOKUP(AU470,AW$8:BC$507,6,FALSE())
)</f>
        <v/>
      </c>
      <c r="BJ470" s="46"/>
    </row>
    <row r="471" customFormat="false" ht="15.75" hidden="false" customHeight="false" outlineLevel="0" collapsed="false">
      <c r="A471" s="3"/>
      <c r="B471" s="108"/>
      <c r="C471" s="70"/>
      <c r="D471" s="49"/>
      <c r="E471" s="109"/>
      <c r="F471" s="72"/>
      <c r="G471" s="109"/>
      <c r="H471" s="74"/>
      <c r="I471" s="104"/>
      <c r="J471" s="74"/>
      <c r="K471" s="74"/>
      <c r="L471" s="55"/>
      <c r="M471" s="55" t="str">
        <f aca="false">IF(ISBLANK($C471),"",IF(ISBLANK(E471),0,E471))</f>
        <v/>
      </c>
      <c r="N471" s="55" t="str">
        <f aca="false">IF(ISBLANK($C471),"",IF(ISBLANK(F471),0,F471))</f>
        <v/>
      </c>
      <c r="O471" s="55" t="e">
        <f aca="false">IF(AND(NOT(ISBLANK($C471)),NOT($T471),COUNTA($E471:$K471)&gt;0),ISBLANK($F471),FALSE())</f>
        <v>#VALUE!</v>
      </c>
      <c r="P471" s="55" t="str">
        <f aca="false">IF(ISBLANK($C471),"",IF(G471=Constants!$B$9, TRUE(), IF(G471=Constants!$B$10, FALSE(), TRUE())))</f>
        <v/>
      </c>
      <c r="Q471" s="55" t="str">
        <f aca="false">IF(ISBLANK($C471),"",IF(H471=Constants!$B$9, TRUE(), IF(H471=Constants!$B$10, FALSE(), TRUE())))</f>
        <v/>
      </c>
      <c r="R471" s="55" t="str">
        <f aca="false">IF(ISBLANK($C471),"",IF(ISBLANK(I471),Constants!$B$3,I471))</f>
        <v/>
      </c>
      <c r="S471" s="55" t="str">
        <f aca="false">IF(ISBLANK($C471),"",IF(ISBLANK(J471),0,MIN(J471,Constants!$B$6)))</f>
        <v/>
      </c>
      <c r="T471" s="55" t="str">
        <f aca="false">IF(ISBLANK($C471),"",IF(K471=Constants!$B$9, TRUE(), IF(K471=Constants!$B$10, FALSE(),  FALSE())))</f>
        <v/>
      </c>
      <c r="U471" s="55" t="str">
        <f aca="false">IF(ISBLANK($C471),"",AND(R471=Constants!$B$4, S471&lt;Constants!$B$6))</f>
        <v/>
      </c>
      <c r="V471" s="55" t="str">
        <f aca="false">IF(ISBLANK(C471), "", IF(T471, Constants!$B$11, IF(COUNTA(E471:K471)=0, Constants!$B$12, IF(NOT(AND(P471,S471&lt;&gt;0)), Constants!$B$13, IF(O471, Constants!$B$15, Constants!$B$14)))))</f>
        <v/>
      </c>
      <c r="W471" s="55" t="str">
        <f aca="false">IF(OR(ISBLANK($C471), SUMPRODUCT(--(P471:T471&lt;&gt;""))=0), "", IF(V471&lt;&gt;Constants!$B$14, V471, IF(AND(NOT(ISBLANK(J471)),P471,Q471,R471&lt;&gt;Constants!$B$2), Constants!$B$7, IF(AND(P471,OR(NOT(Q471),R471=Constants!$B$2)), Constants!$B$8, "Error"))))</f>
        <v/>
      </c>
      <c r="X471" s="56" t="str">
        <f aca="false">IF(OR(W471=Constants!$B$7,W471=Constants!$B$8), MAX(0, MIN(Constants!$B$6, S471))+IF(AND(R471=Constants!$B$4, NOT(U471)), Constants!$B$5, 0), "")</f>
        <v/>
      </c>
      <c r="Y471" s="55" t="str">
        <f aca="false">IF(ISBLANK($C471),"",IF(AND(ISNUMBER(X471),N471&gt;0),X471/N471, "") )</f>
        <v/>
      </c>
      <c r="Z471" s="55" t="str">
        <f aca="false">IF(AND(NOT(ISBLANK($C471)), W471=Constants!$B$7), Y471, "")</f>
        <v/>
      </c>
      <c r="AA471" s="55" t="str">
        <f aca="false">IF(ISNUMBER(Z471), RANK(Z471,Z$8:Z$507), "")</f>
        <v/>
      </c>
      <c r="AB471" s="55" t="str">
        <f aca="false">IF(AND(NOT(ISBLANK($C471)), W471=Constants!$B$8), Y471, "")</f>
        <v/>
      </c>
      <c r="AC471" s="55" t="str">
        <f aca="false">IF(ISNUMBER(AB471), RANK(AB471,AB$8:AB$507), "")</f>
        <v/>
      </c>
      <c r="AD471" s="55" t="str">
        <f aca="false">IF(ISBLANK($C471),"",IF(V471&lt;&gt;Constants!$B$14, V471, IF(W471=Constants!$B$7, AA471, IF(W471=Constants!$B$8, COUNT($AA$8:$AA$507) + AC471, ""))))</f>
        <v/>
      </c>
      <c r="AE471" s="55" t="str">
        <f aca="false">N471</f>
        <v/>
      </c>
      <c r="AF471" s="55" t="str">
        <f aca="false">IF(ISNUMBER(AE471), RANK(AE471,AE$8:AE$507,1), "")</f>
        <v/>
      </c>
      <c r="AG471" s="57" t="str">
        <f aca="false">IF(ISBLANK(C471), "", ABS(M471-S471))</f>
        <v/>
      </c>
      <c r="AH471" s="55" t="str">
        <f aca="false">IF(ISNUMBER(AG471), RANK(AG471,AG$8:AG$507,1), "")</f>
        <v/>
      </c>
      <c r="AI471" s="55" t="str">
        <f aca="false">IF(ISBLANK(C471),"",IF(V471&lt;&gt;Constants!$B$14, V471, RANK(AD471, AD$8:AD$507, 1)+ SUMPRODUCT(--(AD$8:AD$507=AD471),--(AF471&gt;AF$8:AF$507)) + SUMPRODUCT(--(AD$8:AD$507=AD471),--(AF471=AF$8:AF$507),--(AH471&gt;AH$8:AH$507))))</f>
        <v/>
      </c>
      <c r="AJ471" s="55" t="str">
        <f aca="false">IF(ISBLANK(C471),"",IF(V471&lt;&gt;Constants!$B$14, V471, AD471-AI471))</f>
        <v/>
      </c>
      <c r="AK471" s="59"/>
      <c r="AL471" s="60" t="str">
        <f aca="false">IF(ISBLANK($C471),"",IF($V471&lt;&gt;Constants!$B$14,$V471,X471))</f>
        <v/>
      </c>
      <c r="AM471" s="60" t="str">
        <f aca="false">IF(ISBLANK($C471),"",IF($V471&lt;&gt;Constants!$B$14,$V471,N471))</f>
        <v/>
      </c>
      <c r="AN471" s="62" t="str">
        <f aca="false">IF(ISBLANK(C471),"",IF(V471&lt;&gt;Constants!$B$14, V471, IF(W471=Constants!$B$7,Z471,IF(W471=Constants!$B$8,AB471,""))))</f>
        <v/>
      </c>
      <c r="AO471" s="63" t="str">
        <f aca="false">IF(ISBLANK(C471),"",W471)</f>
        <v/>
      </c>
      <c r="AP471" s="63" t="str">
        <f aca="false">IF(ISBLANK(C471),"",AJ471)</f>
        <v/>
      </c>
      <c r="AQ471" s="63" t="str">
        <f aca="false">IF(ISBLANK(C471),"",AI471)</f>
        <v/>
      </c>
      <c r="AR471" s="64" t="str">
        <f aca="false">IF(ISBLANK(C471),
  "",
IF(AQ471=Constants!$B$11,COUNTA($C$8:$C$507)+2,IF(AQ471=Constants!$B$12,COUNTA($C$8:$C$507)+1,IF(AQ471=Constants!$B$13,COUNTA($C$8:$C$507),AQ471))))</f>
        <v/>
      </c>
      <c r="AS471" s="3"/>
      <c r="AT471" s="65" t="n">
        <f aca="false">IF(OR(ISNUMBER(AQ471),AQ471="DQ",AQ471="P",AQ471="NS"),
    1,
    0
)</f>
        <v>0</v>
      </c>
      <c r="AU471" s="65" t="n">
        <v>464</v>
      </c>
      <c r="AV471" s="65" t="str">
        <f aca="false">IF(ISBLANK($C471),
    "",
   IF(ISNUMBER(AR471),AR471+ROW($B471)/1000,"")
)</f>
        <v/>
      </c>
      <c r="AW471" s="65" t="str">
        <f aca="false">IF(ISNUMBER(AV471), RANK(AV471,AV$8:AV$507,1), "")</f>
        <v/>
      </c>
      <c r="AX471" s="65" t="str">
        <f aca="false">IF(ISBLANK($C471),
    "",
    $B471
)</f>
        <v/>
      </c>
      <c r="AY471" s="65" t="str">
        <f aca="false">IF(ISBLANK($C471),
    "",
    $C471
)</f>
        <v/>
      </c>
      <c r="AZ471" s="65" t="str">
        <f aca="false">IF(ISBLANK($C471),
    "",
    $D471
)</f>
        <v/>
      </c>
      <c r="BA471" s="65" t="str">
        <f aca="false">AO471</f>
        <v/>
      </c>
      <c r="BB471" s="66" t="str">
        <f aca="false">AN471</f>
        <v/>
      </c>
      <c r="BC471" s="65" t="str">
        <f aca="false">IF(ISBLANK($C471),
    "",
    AQ471
)</f>
        <v/>
      </c>
      <c r="BD471" s="67" t="str">
        <f aca="false">IF(AU471&gt;AT$7,
    "",
    VLOOKUP(AU471,AW$8:BC$507,7,FALSE())
)</f>
        <v/>
      </c>
      <c r="BE471" s="68" t="str">
        <f aca="false">IF(AU471&gt;AT$7,
    "",
    VLOOKUP(AU471,AW$8:BC$507,2,FALSE())
)</f>
        <v/>
      </c>
      <c r="BF471" s="68" t="str">
        <f aca="false">IF(AU471&gt;AT$7,
    "",
    VLOOKUP(AU471,AW$8:BC$507,3,FALSE())
)</f>
        <v/>
      </c>
      <c r="BG471" s="68" t="str">
        <f aca="false">IF(AU471&gt;AT$7,
    "",
    VLOOKUP(AU471,AW$8:BC$507,4,FALSE())
)</f>
        <v/>
      </c>
      <c r="BH471" s="68" t="str">
        <f aca="false">IF(AU471&gt;AT$7,
    "",
    VLOOKUP(AU471,AW$8:BC$507,5,FALSE())
)</f>
        <v/>
      </c>
      <c r="BI471" s="69" t="str">
        <f aca="false">IF(AU471&gt;AT$7,
    "",
    VLOOKUP(AU471,AW$8:BC$507,6,FALSE())
)</f>
        <v/>
      </c>
      <c r="BJ471" s="46"/>
    </row>
    <row r="472" customFormat="false" ht="15.75" hidden="false" customHeight="false" outlineLevel="0" collapsed="false">
      <c r="A472" s="3"/>
      <c r="B472" s="108"/>
      <c r="C472" s="70"/>
      <c r="D472" s="49"/>
      <c r="E472" s="109"/>
      <c r="F472" s="72"/>
      <c r="G472" s="109"/>
      <c r="H472" s="74"/>
      <c r="I472" s="104"/>
      <c r="J472" s="74"/>
      <c r="K472" s="74"/>
      <c r="L472" s="55"/>
      <c r="M472" s="55" t="str">
        <f aca="false">IF(ISBLANK($C472),"",IF(ISBLANK(E472),0,E472))</f>
        <v/>
      </c>
      <c r="N472" s="55" t="str">
        <f aca="false">IF(ISBLANK($C472),"",IF(ISBLANK(F472),0,F472))</f>
        <v/>
      </c>
      <c r="O472" s="55" t="e">
        <f aca="false">IF(AND(NOT(ISBLANK($C472)),NOT($T472),COUNTA($E472:$K472)&gt;0),ISBLANK($F472),FALSE())</f>
        <v>#VALUE!</v>
      </c>
      <c r="P472" s="55" t="str">
        <f aca="false">IF(ISBLANK($C472),"",IF(G472=Constants!$B$9, TRUE(), IF(G472=Constants!$B$10, FALSE(), TRUE())))</f>
        <v/>
      </c>
      <c r="Q472" s="55" t="str">
        <f aca="false">IF(ISBLANK($C472),"",IF(H472=Constants!$B$9, TRUE(), IF(H472=Constants!$B$10, FALSE(), TRUE())))</f>
        <v/>
      </c>
      <c r="R472" s="55" t="str">
        <f aca="false">IF(ISBLANK($C472),"",IF(ISBLANK(I472),Constants!$B$3,I472))</f>
        <v/>
      </c>
      <c r="S472" s="55" t="str">
        <f aca="false">IF(ISBLANK($C472),"",IF(ISBLANK(J472),0,MIN(J472,Constants!$B$6)))</f>
        <v/>
      </c>
      <c r="T472" s="55" t="str">
        <f aca="false">IF(ISBLANK($C472),"",IF(K472=Constants!$B$9, TRUE(), IF(K472=Constants!$B$10, FALSE(),  FALSE())))</f>
        <v/>
      </c>
      <c r="U472" s="55" t="str">
        <f aca="false">IF(ISBLANK($C472),"",AND(R472=Constants!$B$4, S472&lt;Constants!$B$6))</f>
        <v/>
      </c>
      <c r="V472" s="55" t="str">
        <f aca="false">IF(ISBLANK(C472), "", IF(T472, Constants!$B$11, IF(COUNTA(E472:K472)=0, Constants!$B$12, IF(NOT(AND(P472,S472&lt;&gt;0)), Constants!$B$13, IF(O472, Constants!$B$15, Constants!$B$14)))))</f>
        <v/>
      </c>
      <c r="W472" s="55" t="str">
        <f aca="false">IF(OR(ISBLANK($C472), SUMPRODUCT(--(P472:T472&lt;&gt;""))=0), "", IF(V472&lt;&gt;Constants!$B$14, V472, IF(AND(NOT(ISBLANK(J472)),P472,Q472,R472&lt;&gt;Constants!$B$2), Constants!$B$7, IF(AND(P472,OR(NOT(Q472),R472=Constants!$B$2)), Constants!$B$8, "Error"))))</f>
        <v/>
      </c>
      <c r="X472" s="56" t="str">
        <f aca="false">IF(OR(W472=Constants!$B$7,W472=Constants!$B$8), MAX(0, MIN(Constants!$B$6, S472))+IF(AND(R472=Constants!$B$4, NOT(U472)), Constants!$B$5, 0), "")</f>
        <v/>
      </c>
      <c r="Y472" s="55" t="str">
        <f aca="false">IF(ISBLANK($C472),"",IF(AND(ISNUMBER(X472),N472&gt;0),X472/N472, "") )</f>
        <v/>
      </c>
      <c r="Z472" s="55" t="str">
        <f aca="false">IF(AND(NOT(ISBLANK($C472)), W472=Constants!$B$7), Y472, "")</f>
        <v/>
      </c>
      <c r="AA472" s="55" t="str">
        <f aca="false">IF(ISNUMBER(Z472), RANK(Z472,Z$8:Z$507), "")</f>
        <v/>
      </c>
      <c r="AB472" s="55" t="str">
        <f aca="false">IF(AND(NOT(ISBLANK($C472)), W472=Constants!$B$8), Y472, "")</f>
        <v/>
      </c>
      <c r="AC472" s="55" t="str">
        <f aca="false">IF(ISNUMBER(AB472), RANK(AB472,AB$8:AB$507), "")</f>
        <v/>
      </c>
      <c r="AD472" s="55" t="str">
        <f aca="false">IF(ISBLANK($C472),"",IF(V472&lt;&gt;Constants!$B$14, V472, IF(W472=Constants!$B$7, AA472, IF(W472=Constants!$B$8, COUNT($AA$8:$AA$507) + AC472, ""))))</f>
        <v/>
      </c>
      <c r="AE472" s="55" t="str">
        <f aca="false">N472</f>
        <v/>
      </c>
      <c r="AF472" s="55" t="str">
        <f aca="false">IF(ISNUMBER(AE472), RANK(AE472,AE$8:AE$507,1), "")</f>
        <v/>
      </c>
      <c r="AG472" s="57" t="str">
        <f aca="false">IF(ISBLANK(C472), "", ABS(M472-S472))</f>
        <v/>
      </c>
      <c r="AH472" s="55" t="str">
        <f aca="false">IF(ISNUMBER(AG472), RANK(AG472,AG$8:AG$507,1), "")</f>
        <v/>
      </c>
      <c r="AI472" s="55" t="str">
        <f aca="false">IF(ISBLANK(C472),"",IF(V472&lt;&gt;Constants!$B$14, V472, RANK(AD472, AD$8:AD$507, 1)+ SUMPRODUCT(--(AD$8:AD$507=AD472),--(AF472&gt;AF$8:AF$507)) + SUMPRODUCT(--(AD$8:AD$507=AD472),--(AF472=AF$8:AF$507),--(AH472&gt;AH$8:AH$507))))</f>
        <v/>
      </c>
      <c r="AJ472" s="55" t="str">
        <f aca="false">IF(ISBLANK(C472),"",IF(V472&lt;&gt;Constants!$B$14, V472, AD472-AI472))</f>
        <v/>
      </c>
      <c r="AK472" s="59"/>
      <c r="AL472" s="60" t="str">
        <f aca="false">IF(ISBLANK($C472),"",IF($V472&lt;&gt;Constants!$B$14,$V472,X472))</f>
        <v/>
      </c>
      <c r="AM472" s="60" t="str">
        <f aca="false">IF(ISBLANK($C472),"",IF($V472&lt;&gt;Constants!$B$14,$V472,N472))</f>
        <v/>
      </c>
      <c r="AN472" s="62" t="str">
        <f aca="false">IF(ISBLANK(C472),"",IF(V472&lt;&gt;Constants!$B$14, V472, IF(W472=Constants!$B$7,Z472,IF(W472=Constants!$B$8,AB472,""))))</f>
        <v/>
      </c>
      <c r="AO472" s="63" t="str">
        <f aca="false">IF(ISBLANK(C472),"",W472)</f>
        <v/>
      </c>
      <c r="AP472" s="63" t="str">
        <f aca="false">IF(ISBLANK(C472),"",AJ472)</f>
        <v/>
      </c>
      <c r="AQ472" s="63" t="str">
        <f aca="false">IF(ISBLANK(C472),"",AI472)</f>
        <v/>
      </c>
      <c r="AR472" s="64" t="str">
        <f aca="false">IF(ISBLANK(C472),
  "",
IF(AQ472=Constants!$B$11,COUNTA($C$8:$C$507)+2,IF(AQ472=Constants!$B$12,COUNTA($C$8:$C$507)+1,IF(AQ472=Constants!$B$13,COUNTA($C$8:$C$507),AQ472))))</f>
        <v/>
      </c>
      <c r="AS472" s="3"/>
      <c r="AT472" s="65" t="n">
        <f aca="false">IF(OR(ISNUMBER(AQ472),AQ472="DQ",AQ472="P",AQ472="NS"),
    1,
    0
)</f>
        <v>0</v>
      </c>
      <c r="AU472" s="65" t="n">
        <v>465</v>
      </c>
      <c r="AV472" s="65" t="str">
        <f aca="false">IF(ISBLANK($C472),
    "",
   IF(ISNUMBER(AR472),AR472+ROW($B472)/1000,"")
)</f>
        <v/>
      </c>
      <c r="AW472" s="65" t="str">
        <f aca="false">IF(ISNUMBER(AV472), RANK(AV472,AV$8:AV$507,1), "")</f>
        <v/>
      </c>
      <c r="AX472" s="65" t="str">
        <f aca="false">IF(ISBLANK($C472),
    "",
    $B472
)</f>
        <v/>
      </c>
      <c r="AY472" s="65" t="str">
        <f aca="false">IF(ISBLANK($C472),
    "",
    $C472
)</f>
        <v/>
      </c>
      <c r="AZ472" s="65" t="str">
        <f aca="false">IF(ISBLANK($C472),
    "",
    $D472
)</f>
        <v/>
      </c>
      <c r="BA472" s="65" t="str">
        <f aca="false">AO472</f>
        <v/>
      </c>
      <c r="BB472" s="66" t="str">
        <f aca="false">AN472</f>
        <v/>
      </c>
      <c r="BC472" s="65" t="str">
        <f aca="false">IF(ISBLANK($C472),
    "",
    AQ472
)</f>
        <v/>
      </c>
      <c r="BD472" s="67" t="str">
        <f aca="false">IF(AU472&gt;AT$7,
    "",
    VLOOKUP(AU472,AW$8:BC$507,7,FALSE())
)</f>
        <v/>
      </c>
      <c r="BE472" s="68" t="str">
        <f aca="false">IF(AU472&gt;AT$7,
    "",
    VLOOKUP(AU472,AW$8:BC$507,2,FALSE())
)</f>
        <v/>
      </c>
      <c r="BF472" s="68" t="str">
        <f aca="false">IF(AU472&gt;AT$7,
    "",
    VLOOKUP(AU472,AW$8:BC$507,3,FALSE())
)</f>
        <v/>
      </c>
      <c r="BG472" s="68" t="str">
        <f aca="false">IF(AU472&gt;AT$7,
    "",
    VLOOKUP(AU472,AW$8:BC$507,4,FALSE())
)</f>
        <v/>
      </c>
      <c r="BH472" s="68" t="str">
        <f aca="false">IF(AU472&gt;AT$7,
    "",
    VLOOKUP(AU472,AW$8:BC$507,5,FALSE())
)</f>
        <v/>
      </c>
      <c r="BI472" s="69" t="str">
        <f aca="false">IF(AU472&gt;AT$7,
    "",
    VLOOKUP(AU472,AW$8:BC$507,6,FALSE())
)</f>
        <v/>
      </c>
      <c r="BJ472" s="46"/>
    </row>
    <row r="473" customFormat="false" ht="15.75" hidden="false" customHeight="false" outlineLevel="0" collapsed="false">
      <c r="A473" s="3"/>
      <c r="B473" s="105"/>
      <c r="C473" s="106"/>
      <c r="D473" s="99"/>
      <c r="E473" s="110"/>
      <c r="F473" s="107"/>
      <c r="G473" s="110"/>
      <c r="H473" s="103"/>
      <c r="I473" s="102"/>
      <c r="J473" s="103"/>
      <c r="K473" s="103"/>
      <c r="L473" s="85"/>
      <c r="M473" s="85" t="str">
        <f aca="false">IF(ISBLANK($C473),"",IF(ISBLANK(E473),0,E473))</f>
        <v/>
      </c>
      <c r="N473" s="85" t="str">
        <f aca="false">IF(ISBLANK($C473),"",IF(ISBLANK(F473),0,F473))</f>
        <v/>
      </c>
      <c r="O473" s="86" t="e">
        <f aca="false">IF(AND(NOT(ISBLANK($C473)),NOT($T473),COUNTA($E473:$K473)&gt;0),ISBLANK($F473),FALSE())</f>
        <v>#VALUE!</v>
      </c>
      <c r="P473" s="85" t="str">
        <f aca="false">IF(ISBLANK($C473),"",IF(G473=Constants!$B$9, TRUE(), IF(G473=Constants!$B$10, FALSE(), TRUE())))</f>
        <v/>
      </c>
      <c r="Q473" s="85" t="str">
        <f aca="false">IF(ISBLANK($C473),"",IF(H473=Constants!$B$9, TRUE(), IF(H473=Constants!$B$10, FALSE(), TRUE())))</f>
        <v/>
      </c>
      <c r="R473" s="85" t="str">
        <f aca="false">IF(ISBLANK($C473),"",IF(ISBLANK(I473),Constants!$B$3,I473))</f>
        <v/>
      </c>
      <c r="S473" s="85" t="str">
        <f aca="false">IF(ISBLANK($C473),"",IF(ISBLANK(J473),0,MIN(J473,Constants!$B$6)))</f>
        <v/>
      </c>
      <c r="T473" s="85" t="str">
        <f aca="false">IF(ISBLANK($C473),"",IF(K473=Constants!$B$9, TRUE(), IF(K473=Constants!$B$10, FALSE(),  FALSE())))</f>
        <v/>
      </c>
      <c r="U473" s="85" t="str">
        <f aca="false">IF(ISBLANK($C473),"",AND(R473=Constants!$B$4, S473&lt;Constants!$B$6))</f>
        <v/>
      </c>
      <c r="V473" s="85" t="str">
        <f aca="false">IF(ISBLANK(C473), "", IF(T473, Constants!$B$11, IF(COUNTA(E473:K473)=0, Constants!$B$12, IF(NOT(AND(P473,S473&lt;&gt;0)), Constants!$B$13, IF(O473, Constants!$B$15, Constants!$B$14)))))</f>
        <v/>
      </c>
      <c r="W473" s="85" t="str">
        <f aca="false">IF(OR(ISBLANK($C473), SUMPRODUCT(--(P473:T473&lt;&gt;""))=0), "", IF(V473&lt;&gt;Constants!$B$14, V473, IF(AND(NOT(ISBLANK(J473)),P473,Q473,R473&lt;&gt;Constants!$B$2), Constants!$B$7, IF(AND(P473,OR(NOT(Q473),R473=Constants!$B$2)), Constants!$B$8, "Error"))))</f>
        <v/>
      </c>
      <c r="X473" s="87" t="str">
        <f aca="false">IF(OR(W473=Constants!$B$7,W473=Constants!$B$8), MAX(0, MIN(Constants!$B$6, S473))+IF(AND(R473=Constants!$B$4, NOT(U473)), Constants!$B$5, 0), "")</f>
        <v/>
      </c>
      <c r="Y473" s="85" t="str">
        <f aca="false">IF(ISBLANK($C473),"",IF(AND(ISNUMBER(X473),N473&gt;0),X473/N473, "") )</f>
        <v/>
      </c>
      <c r="Z473" s="85" t="str">
        <f aca="false">IF(AND(NOT(ISBLANK($C473)), W473=Constants!$B$7), Y473, "")</f>
        <v/>
      </c>
      <c r="AA473" s="85" t="str">
        <f aca="false">IF(ISNUMBER(Z473), RANK(Z473,Z$8:Z$507), "")</f>
        <v/>
      </c>
      <c r="AB473" s="85" t="str">
        <f aca="false">IF(AND(NOT(ISBLANK($C473)), W473=Constants!$B$8), Y473, "")</f>
        <v/>
      </c>
      <c r="AC473" s="85" t="str">
        <f aca="false">IF(ISNUMBER(AB473), RANK(AB473,AB$8:AB$507), "")</f>
        <v/>
      </c>
      <c r="AD473" s="85" t="str">
        <f aca="false">IF(ISBLANK($C473),"",IF(V473&lt;&gt;Constants!$B$14, V473, IF(W473=Constants!$B$7, AA473, IF(W473=Constants!$B$8, COUNT($AA$8:$AA$507) + AC473, ""))))</f>
        <v/>
      </c>
      <c r="AE473" s="85" t="str">
        <f aca="false">N473</f>
        <v/>
      </c>
      <c r="AF473" s="85" t="str">
        <f aca="false">IF(ISNUMBER(AE473), RANK(AE473,AE$8:AE$507,1), "")</f>
        <v/>
      </c>
      <c r="AG473" s="88" t="str">
        <f aca="false">IF(ISBLANK(C473), "", ABS(M473-S473))</f>
        <v/>
      </c>
      <c r="AH473" s="85" t="str">
        <f aca="false">IF(ISNUMBER(AG473), RANK(AG473,AG$8:AG$507,1), "")</f>
        <v/>
      </c>
      <c r="AI473" s="85" t="str">
        <f aca="false">IF(ISBLANK(C473),"",IF(V473&lt;&gt;Constants!$B$14, V473, RANK(AD473, AD$8:AD$507, 1)+ SUMPRODUCT(--(AD$8:AD$507=AD473),--(AF473&gt;AF$8:AF$507)) + SUMPRODUCT(--(AD$8:AD$507=AD473),--(AF473=AF$8:AF$507),--(AH473&gt;AH$8:AH$507))))</f>
        <v/>
      </c>
      <c r="AJ473" s="85" t="str">
        <f aca="false">IF(ISBLANK(C473),"",IF(V473&lt;&gt;Constants!$B$14, V473, AD473-AI473))</f>
        <v/>
      </c>
      <c r="AK473" s="89"/>
      <c r="AL473" s="90" t="str">
        <f aca="false">IF(ISBLANK($C473),"",IF($V473&lt;&gt;Constants!$B$14,$V473,X473))</f>
        <v/>
      </c>
      <c r="AM473" s="90" t="str">
        <f aca="false">IF(ISBLANK($C473),"",IF($V473&lt;&gt;Constants!$B$14,$V473,N473))</f>
        <v/>
      </c>
      <c r="AN473" s="91" t="str">
        <f aca="false">IF(ISBLANK(C473),"",IF(V473&lt;&gt;Constants!$B$14, V473, IF(W473=Constants!$B$7,Z473,IF(W473=Constants!$B$8,AB473,""))))</f>
        <v/>
      </c>
      <c r="AO473" s="92" t="str">
        <f aca="false">IF(ISBLANK(C473),"",W473)</f>
        <v/>
      </c>
      <c r="AP473" s="92" t="str">
        <f aca="false">IF(ISBLANK(C473),"",AJ473)</f>
        <v/>
      </c>
      <c r="AQ473" s="92" t="str">
        <f aca="false">IF(ISBLANK(C473),"",AI473)</f>
        <v/>
      </c>
      <c r="AR473" s="93" t="str">
        <f aca="false">IF(ISBLANK(C473),
  "",
IF(AQ473=Constants!$B$11,COUNTA($C$8:$C$507)+2,IF(AQ473=Constants!$B$12,COUNTA($C$8:$C$507)+1,IF(AQ473=Constants!$B$13,COUNTA($C$8:$C$507),AQ473))))</f>
        <v/>
      </c>
      <c r="AS473" s="3"/>
      <c r="AT473" s="94" t="n">
        <f aca="false">IF(OR(ISNUMBER(AQ473),AQ473="DQ",AQ473="P",AQ473="NS"),
    1,
    0
)</f>
        <v>0</v>
      </c>
      <c r="AU473" s="94" t="n">
        <v>466</v>
      </c>
      <c r="AV473" s="94" t="str">
        <f aca="false">IF(ISBLANK($C473),
    "",
   IF(ISNUMBER(AR473),AR473+ROW($B473)/1000,"")
)</f>
        <v/>
      </c>
      <c r="AW473" s="94" t="str">
        <f aca="false">IF(ISNUMBER(AV473), RANK(AV473,AV$8:AV$507,1), "")</f>
        <v/>
      </c>
      <c r="AX473" s="94" t="str">
        <f aca="false">IF(ISBLANK($C473),
    "",
    $B473
)</f>
        <v/>
      </c>
      <c r="AY473" s="94" t="str">
        <f aca="false">IF(ISBLANK($C473),
    "",
    $C473
)</f>
        <v/>
      </c>
      <c r="AZ473" s="94" t="str">
        <f aca="false">IF(ISBLANK($C473),
    "",
    $D473
)</f>
        <v/>
      </c>
      <c r="BA473" s="94" t="str">
        <f aca="false">AO473</f>
        <v/>
      </c>
      <c r="BB473" s="95" t="str">
        <f aca="false">AN473</f>
        <v/>
      </c>
      <c r="BC473" s="94" t="str">
        <f aca="false">IF(ISBLANK($C473),
    "",
    AQ473
)</f>
        <v/>
      </c>
      <c r="BD473" s="96" t="str">
        <f aca="false">IF(AU473&gt;AT$7,
    "",
    VLOOKUP(AU473,AW$8:BC$507,7,FALSE())
)</f>
        <v/>
      </c>
      <c r="BE473" s="97" t="str">
        <f aca="false">IF(AU473&gt;AT$7,
    "",
    VLOOKUP(AU473,AW$8:BC$507,2,FALSE())
)</f>
        <v/>
      </c>
      <c r="BF473" s="97" t="str">
        <f aca="false">IF(AU473&gt;AT$7,
    "",
    VLOOKUP(AU473,AW$8:BC$507,3,FALSE())
)</f>
        <v/>
      </c>
      <c r="BG473" s="97" t="str">
        <f aca="false">IF(AU473&gt;AT$7,
    "",
    VLOOKUP(AU473,AW$8:BC$507,4,FALSE())
)</f>
        <v/>
      </c>
      <c r="BH473" s="97" t="str">
        <f aca="false">IF(AU473&gt;AT$7,
    "",
    VLOOKUP(AU473,AW$8:BC$507,5,FALSE())
)</f>
        <v/>
      </c>
      <c r="BI473" s="98" t="str">
        <f aca="false">IF(AU473&gt;AT$7,
    "",
    VLOOKUP(AU473,AW$8:BC$507,6,FALSE())
)</f>
        <v/>
      </c>
      <c r="BJ473" s="46"/>
    </row>
    <row r="474" customFormat="false" ht="15.75" hidden="false" customHeight="false" outlineLevel="0" collapsed="false">
      <c r="A474" s="3"/>
      <c r="B474" s="105"/>
      <c r="C474" s="106"/>
      <c r="D474" s="99"/>
      <c r="E474" s="110"/>
      <c r="F474" s="107"/>
      <c r="G474" s="110"/>
      <c r="H474" s="103"/>
      <c r="I474" s="102"/>
      <c r="J474" s="103"/>
      <c r="K474" s="103"/>
      <c r="L474" s="85"/>
      <c r="M474" s="85" t="str">
        <f aca="false">IF(ISBLANK($C474),"",IF(ISBLANK(E474),0,E474))</f>
        <v/>
      </c>
      <c r="N474" s="85" t="str">
        <f aca="false">IF(ISBLANK($C474),"",IF(ISBLANK(F474),0,F474))</f>
        <v/>
      </c>
      <c r="O474" s="86" t="e">
        <f aca="false">IF(AND(NOT(ISBLANK($C474)),NOT($T474),COUNTA($E474:$K474)&gt;0),ISBLANK($F474),FALSE())</f>
        <v>#VALUE!</v>
      </c>
      <c r="P474" s="85" t="str">
        <f aca="false">IF(ISBLANK($C474),"",IF(G474=Constants!$B$9, TRUE(), IF(G474=Constants!$B$10, FALSE(), TRUE())))</f>
        <v/>
      </c>
      <c r="Q474" s="85" t="str">
        <f aca="false">IF(ISBLANK($C474),"",IF(H474=Constants!$B$9, TRUE(), IF(H474=Constants!$B$10, FALSE(), TRUE())))</f>
        <v/>
      </c>
      <c r="R474" s="85" t="str">
        <f aca="false">IF(ISBLANK($C474),"",IF(ISBLANK(I474),Constants!$B$3,I474))</f>
        <v/>
      </c>
      <c r="S474" s="85" t="str">
        <f aca="false">IF(ISBLANK($C474),"",IF(ISBLANK(J474),0,MIN(J474,Constants!$B$6)))</f>
        <v/>
      </c>
      <c r="T474" s="85" t="str">
        <f aca="false">IF(ISBLANK($C474),"",IF(K474=Constants!$B$9, TRUE(), IF(K474=Constants!$B$10, FALSE(),  FALSE())))</f>
        <v/>
      </c>
      <c r="U474" s="85" t="str">
        <f aca="false">IF(ISBLANK($C474),"",AND(R474=Constants!$B$4, S474&lt;Constants!$B$6))</f>
        <v/>
      </c>
      <c r="V474" s="85" t="str">
        <f aca="false">IF(ISBLANK(C474), "", IF(T474, Constants!$B$11, IF(COUNTA(E474:K474)=0, Constants!$B$12, IF(NOT(AND(P474,S474&lt;&gt;0)), Constants!$B$13, IF(O474, Constants!$B$15, Constants!$B$14)))))</f>
        <v/>
      </c>
      <c r="W474" s="85" t="str">
        <f aca="false">IF(OR(ISBLANK($C474), SUMPRODUCT(--(P474:T474&lt;&gt;""))=0), "", IF(V474&lt;&gt;Constants!$B$14, V474, IF(AND(NOT(ISBLANK(J474)),P474,Q474,R474&lt;&gt;Constants!$B$2), Constants!$B$7, IF(AND(P474,OR(NOT(Q474),R474=Constants!$B$2)), Constants!$B$8, "Error"))))</f>
        <v/>
      </c>
      <c r="X474" s="87" t="str">
        <f aca="false">IF(OR(W474=Constants!$B$7,W474=Constants!$B$8), MAX(0, MIN(Constants!$B$6, S474))+IF(AND(R474=Constants!$B$4, NOT(U474)), Constants!$B$5, 0), "")</f>
        <v/>
      </c>
      <c r="Y474" s="85" t="str">
        <f aca="false">IF(ISBLANK($C474),"",IF(AND(ISNUMBER(X474),N474&gt;0),X474/N474, "") )</f>
        <v/>
      </c>
      <c r="Z474" s="85" t="str">
        <f aca="false">IF(AND(NOT(ISBLANK($C474)), W474=Constants!$B$7), Y474, "")</f>
        <v/>
      </c>
      <c r="AA474" s="85" t="str">
        <f aca="false">IF(ISNUMBER(Z474), RANK(Z474,Z$8:Z$507), "")</f>
        <v/>
      </c>
      <c r="AB474" s="85" t="str">
        <f aca="false">IF(AND(NOT(ISBLANK($C474)), W474=Constants!$B$8), Y474, "")</f>
        <v/>
      </c>
      <c r="AC474" s="85" t="str">
        <f aca="false">IF(ISNUMBER(AB474), RANK(AB474,AB$8:AB$507), "")</f>
        <v/>
      </c>
      <c r="AD474" s="85" t="str">
        <f aca="false">IF(ISBLANK($C474),"",IF(V474&lt;&gt;Constants!$B$14, V474, IF(W474=Constants!$B$7, AA474, IF(W474=Constants!$B$8, COUNT($AA$8:$AA$507) + AC474, ""))))</f>
        <v/>
      </c>
      <c r="AE474" s="85" t="str">
        <f aca="false">N474</f>
        <v/>
      </c>
      <c r="AF474" s="85" t="str">
        <f aca="false">IF(ISNUMBER(AE474), RANK(AE474,AE$8:AE$507,1), "")</f>
        <v/>
      </c>
      <c r="AG474" s="88" t="str">
        <f aca="false">IF(ISBLANK(C474), "", ABS(M474-S474))</f>
        <v/>
      </c>
      <c r="AH474" s="85" t="str">
        <f aca="false">IF(ISNUMBER(AG474), RANK(AG474,AG$8:AG$507,1), "")</f>
        <v/>
      </c>
      <c r="AI474" s="85" t="str">
        <f aca="false">IF(ISBLANK(C474),"",IF(V474&lt;&gt;Constants!$B$14, V474, RANK(AD474, AD$8:AD$507, 1)+ SUMPRODUCT(--(AD$8:AD$507=AD474),--(AF474&gt;AF$8:AF$507)) + SUMPRODUCT(--(AD$8:AD$507=AD474),--(AF474=AF$8:AF$507),--(AH474&gt;AH$8:AH$507))))</f>
        <v/>
      </c>
      <c r="AJ474" s="85" t="str">
        <f aca="false">IF(ISBLANK(C474),"",IF(V474&lt;&gt;Constants!$B$14, V474, AD474-AI474))</f>
        <v/>
      </c>
      <c r="AK474" s="89"/>
      <c r="AL474" s="90" t="str">
        <f aca="false">IF(ISBLANK($C474),"",IF($V474&lt;&gt;Constants!$B$14,$V474,X474))</f>
        <v/>
      </c>
      <c r="AM474" s="90" t="str">
        <f aca="false">IF(ISBLANK($C474),"",IF($V474&lt;&gt;Constants!$B$14,$V474,N474))</f>
        <v/>
      </c>
      <c r="AN474" s="91" t="str">
        <f aca="false">IF(ISBLANK(C474),"",IF(V474&lt;&gt;Constants!$B$14, V474, IF(W474=Constants!$B$7,Z474,IF(W474=Constants!$B$8,AB474,""))))</f>
        <v/>
      </c>
      <c r="AO474" s="92" t="str">
        <f aca="false">IF(ISBLANK(C474),"",W474)</f>
        <v/>
      </c>
      <c r="AP474" s="92" t="str">
        <f aca="false">IF(ISBLANK(C474),"",AJ474)</f>
        <v/>
      </c>
      <c r="AQ474" s="92" t="str">
        <f aca="false">IF(ISBLANK(C474),"",AI474)</f>
        <v/>
      </c>
      <c r="AR474" s="93" t="str">
        <f aca="false">IF(ISBLANK(C474),
  "",
IF(AQ474=Constants!$B$11,COUNTA($C$8:$C$507)+2,IF(AQ474=Constants!$B$12,COUNTA($C$8:$C$507)+1,IF(AQ474=Constants!$B$13,COUNTA($C$8:$C$507),AQ474))))</f>
        <v/>
      </c>
      <c r="AS474" s="3"/>
      <c r="AT474" s="94" t="n">
        <f aca="false">IF(OR(ISNUMBER(AQ474),AQ474="DQ",AQ474="P",AQ474="NS"),
    1,
    0
)</f>
        <v>0</v>
      </c>
      <c r="AU474" s="94" t="n">
        <v>467</v>
      </c>
      <c r="AV474" s="94" t="str">
        <f aca="false">IF(ISBLANK($C474),
    "",
   IF(ISNUMBER(AR474),AR474+ROW($B474)/1000,"")
)</f>
        <v/>
      </c>
      <c r="AW474" s="94" t="str">
        <f aca="false">IF(ISNUMBER(AV474), RANK(AV474,AV$8:AV$507,1), "")</f>
        <v/>
      </c>
      <c r="AX474" s="94" t="str">
        <f aca="false">IF(ISBLANK($C474),
    "",
    $B474
)</f>
        <v/>
      </c>
      <c r="AY474" s="94" t="str">
        <f aca="false">IF(ISBLANK($C474),
    "",
    $C474
)</f>
        <v/>
      </c>
      <c r="AZ474" s="94" t="str">
        <f aca="false">IF(ISBLANK($C474),
    "",
    $D474
)</f>
        <v/>
      </c>
      <c r="BA474" s="94" t="str">
        <f aca="false">AO474</f>
        <v/>
      </c>
      <c r="BB474" s="95" t="str">
        <f aca="false">AN474</f>
        <v/>
      </c>
      <c r="BC474" s="94" t="str">
        <f aca="false">IF(ISBLANK($C474),
    "",
    AQ474
)</f>
        <v/>
      </c>
      <c r="BD474" s="96" t="str">
        <f aca="false">IF(AU474&gt;AT$7,
    "",
    VLOOKUP(AU474,AW$8:BC$507,7,FALSE())
)</f>
        <v/>
      </c>
      <c r="BE474" s="97" t="str">
        <f aca="false">IF(AU474&gt;AT$7,
    "",
    VLOOKUP(AU474,AW$8:BC$507,2,FALSE())
)</f>
        <v/>
      </c>
      <c r="BF474" s="97" t="str">
        <f aca="false">IF(AU474&gt;AT$7,
    "",
    VLOOKUP(AU474,AW$8:BC$507,3,FALSE())
)</f>
        <v/>
      </c>
      <c r="BG474" s="97" t="str">
        <f aca="false">IF(AU474&gt;AT$7,
    "",
    VLOOKUP(AU474,AW$8:BC$507,4,FALSE())
)</f>
        <v/>
      </c>
      <c r="BH474" s="97" t="str">
        <f aca="false">IF(AU474&gt;AT$7,
    "",
    VLOOKUP(AU474,AW$8:BC$507,5,FALSE())
)</f>
        <v/>
      </c>
      <c r="BI474" s="98" t="str">
        <f aca="false">IF(AU474&gt;AT$7,
    "",
    VLOOKUP(AU474,AW$8:BC$507,6,FALSE())
)</f>
        <v/>
      </c>
      <c r="BJ474" s="46"/>
    </row>
    <row r="475" customFormat="false" ht="15.75" hidden="false" customHeight="false" outlineLevel="0" collapsed="false">
      <c r="A475" s="3"/>
      <c r="B475" s="105"/>
      <c r="C475" s="106"/>
      <c r="D475" s="99"/>
      <c r="E475" s="110"/>
      <c r="F475" s="107"/>
      <c r="G475" s="110"/>
      <c r="H475" s="103"/>
      <c r="I475" s="102"/>
      <c r="J475" s="103"/>
      <c r="K475" s="103"/>
      <c r="L475" s="85"/>
      <c r="M475" s="85" t="str">
        <f aca="false">IF(ISBLANK($C475),"",IF(ISBLANK(E475),0,E475))</f>
        <v/>
      </c>
      <c r="N475" s="85" t="str">
        <f aca="false">IF(ISBLANK($C475),"",IF(ISBLANK(F475),0,F475))</f>
        <v/>
      </c>
      <c r="O475" s="86" t="e">
        <f aca="false">IF(AND(NOT(ISBLANK($C475)),NOT($T475),COUNTA($E475:$K475)&gt;0),ISBLANK($F475),FALSE())</f>
        <v>#VALUE!</v>
      </c>
      <c r="P475" s="85" t="str">
        <f aca="false">IF(ISBLANK($C475),"",IF(G475=Constants!$B$9, TRUE(), IF(G475=Constants!$B$10, FALSE(), TRUE())))</f>
        <v/>
      </c>
      <c r="Q475" s="85" t="str">
        <f aca="false">IF(ISBLANK($C475),"",IF(H475=Constants!$B$9, TRUE(), IF(H475=Constants!$B$10, FALSE(), TRUE())))</f>
        <v/>
      </c>
      <c r="R475" s="85" t="str">
        <f aca="false">IF(ISBLANK($C475),"",IF(ISBLANK(I475),Constants!$B$3,I475))</f>
        <v/>
      </c>
      <c r="S475" s="85" t="str">
        <f aca="false">IF(ISBLANK($C475),"",IF(ISBLANK(J475),0,MIN(J475,Constants!$B$6)))</f>
        <v/>
      </c>
      <c r="T475" s="85" t="str">
        <f aca="false">IF(ISBLANK($C475),"",IF(K475=Constants!$B$9, TRUE(), IF(K475=Constants!$B$10, FALSE(),  FALSE())))</f>
        <v/>
      </c>
      <c r="U475" s="85" t="str">
        <f aca="false">IF(ISBLANK($C475),"",AND(R475=Constants!$B$4, S475&lt;Constants!$B$6))</f>
        <v/>
      </c>
      <c r="V475" s="85" t="str">
        <f aca="false">IF(ISBLANK(C475), "", IF(T475, Constants!$B$11, IF(COUNTA(E475:K475)=0, Constants!$B$12, IF(NOT(AND(P475,S475&lt;&gt;0)), Constants!$B$13, IF(O475, Constants!$B$15, Constants!$B$14)))))</f>
        <v/>
      </c>
      <c r="W475" s="85" t="str">
        <f aca="false">IF(OR(ISBLANK($C475), SUMPRODUCT(--(P475:T475&lt;&gt;""))=0), "", IF(V475&lt;&gt;Constants!$B$14, V475, IF(AND(NOT(ISBLANK(J475)),P475,Q475,R475&lt;&gt;Constants!$B$2), Constants!$B$7, IF(AND(P475,OR(NOT(Q475),R475=Constants!$B$2)), Constants!$B$8, "Error"))))</f>
        <v/>
      </c>
      <c r="X475" s="87" t="str">
        <f aca="false">IF(OR(W475=Constants!$B$7,W475=Constants!$B$8), MAX(0, MIN(Constants!$B$6, S475))+IF(AND(R475=Constants!$B$4, NOT(U475)), Constants!$B$5, 0), "")</f>
        <v/>
      </c>
      <c r="Y475" s="85" t="str">
        <f aca="false">IF(ISBLANK($C475),"",IF(AND(ISNUMBER(X475),N475&gt;0),X475/N475, "") )</f>
        <v/>
      </c>
      <c r="Z475" s="85" t="str">
        <f aca="false">IF(AND(NOT(ISBLANK($C475)), W475=Constants!$B$7), Y475, "")</f>
        <v/>
      </c>
      <c r="AA475" s="85" t="str">
        <f aca="false">IF(ISNUMBER(Z475), RANK(Z475,Z$8:Z$507), "")</f>
        <v/>
      </c>
      <c r="AB475" s="85" t="str">
        <f aca="false">IF(AND(NOT(ISBLANK($C475)), W475=Constants!$B$8), Y475, "")</f>
        <v/>
      </c>
      <c r="AC475" s="85" t="str">
        <f aca="false">IF(ISNUMBER(AB475), RANK(AB475,AB$8:AB$507), "")</f>
        <v/>
      </c>
      <c r="AD475" s="85" t="str">
        <f aca="false">IF(ISBLANK($C475),"",IF(V475&lt;&gt;Constants!$B$14, V475, IF(W475=Constants!$B$7, AA475, IF(W475=Constants!$B$8, COUNT($AA$8:$AA$507) + AC475, ""))))</f>
        <v/>
      </c>
      <c r="AE475" s="85" t="str">
        <f aca="false">N475</f>
        <v/>
      </c>
      <c r="AF475" s="85" t="str">
        <f aca="false">IF(ISNUMBER(AE475), RANK(AE475,AE$8:AE$507,1), "")</f>
        <v/>
      </c>
      <c r="AG475" s="88" t="str">
        <f aca="false">IF(ISBLANK(C475), "", ABS(M475-S475))</f>
        <v/>
      </c>
      <c r="AH475" s="85" t="str">
        <f aca="false">IF(ISNUMBER(AG475), RANK(AG475,AG$8:AG$507,1), "")</f>
        <v/>
      </c>
      <c r="AI475" s="85" t="str">
        <f aca="false">IF(ISBLANK(C475),"",IF(V475&lt;&gt;Constants!$B$14, V475, RANK(AD475, AD$8:AD$507, 1)+ SUMPRODUCT(--(AD$8:AD$507=AD475),--(AF475&gt;AF$8:AF$507)) + SUMPRODUCT(--(AD$8:AD$507=AD475),--(AF475=AF$8:AF$507),--(AH475&gt;AH$8:AH$507))))</f>
        <v/>
      </c>
      <c r="AJ475" s="85" t="str">
        <f aca="false">IF(ISBLANK(C475),"",IF(V475&lt;&gt;Constants!$B$14, V475, AD475-AI475))</f>
        <v/>
      </c>
      <c r="AK475" s="89"/>
      <c r="AL475" s="90" t="str">
        <f aca="false">IF(ISBLANK($C475),"",IF($V475&lt;&gt;Constants!$B$14,$V475,X475))</f>
        <v/>
      </c>
      <c r="AM475" s="90" t="str">
        <f aca="false">IF(ISBLANK($C475),"",IF($V475&lt;&gt;Constants!$B$14,$V475,N475))</f>
        <v/>
      </c>
      <c r="AN475" s="91" t="str">
        <f aca="false">IF(ISBLANK(C475),"",IF(V475&lt;&gt;Constants!$B$14, V475, IF(W475=Constants!$B$7,Z475,IF(W475=Constants!$B$8,AB475,""))))</f>
        <v/>
      </c>
      <c r="AO475" s="92" t="str">
        <f aca="false">IF(ISBLANK(C475),"",W475)</f>
        <v/>
      </c>
      <c r="AP475" s="92" t="str">
        <f aca="false">IF(ISBLANK(C475),"",AJ475)</f>
        <v/>
      </c>
      <c r="AQ475" s="92" t="str">
        <f aca="false">IF(ISBLANK(C475),"",AI475)</f>
        <v/>
      </c>
      <c r="AR475" s="93" t="str">
        <f aca="false">IF(ISBLANK(C475),
  "",
IF(AQ475=Constants!$B$11,COUNTA($C$8:$C$507)+2,IF(AQ475=Constants!$B$12,COUNTA($C$8:$C$507)+1,IF(AQ475=Constants!$B$13,COUNTA($C$8:$C$507),AQ475))))</f>
        <v/>
      </c>
      <c r="AS475" s="3"/>
      <c r="AT475" s="94" t="n">
        <f aca="false">IF(OR(ISNUMBER(AQ475),AQ475="DQ",AQ475="P",AQ475="NS"),
    1,
    0
)</f>
        <v>0</v>
      </c>
      <c r="AU475" s="94" t="n">
        <v>468</v>
      </c>
      <c r="AV475" s="94" t="str">
        <f aca="false">IF(ISBLANK($C475),
    "",
   IF(ISNUMBER(AR475),AR475+ROW($B475)/1000,"")
)</f>
        <v/>
      </c>
      <c r="AW475" s="94" t="str">
        <f aca="false">IF(ISNUMBER(AV475), RANK(AV475,AV$8:AV$507,1), "")</f>
        <v/>
      </c>
      <c r="AX475" s="94" t="str">
        <f aca="false">IF(ISBLANK($C475),
    "",
    $B475
)</f>
        <v/>
      </c>
      <c r="AY475" s="94" t="str">
        <f aca="false">IF(ISBLANK($C475),
    "",
    $C475
)</f>
        <v/>
      </c>
      <c r="AZ475" s="94" t="str">
        <f aca="false">IF(ISBLANK($C475),
    "",
    $D475
)</f>
        <v/>
      </c>
      <c r="BA475" s="94" t="str">
        <f aca="false">AO475</f>
        <v/>
      </c>
      <c r="BB475" s="95" t="str">
        <f aca="false">AN475</f>
        <v/>
      </c>
      <c r="BC475" s="94" t="str">
        <f aca="false">IF(ISBLANK($C475),
    "",
    AQ475
)</f>
        <v/>
      </c>
      <c r="BD475" s="96" t="str">
        <f aca="false">IF(AU475&gt;AT$7,
    "",
    VLOOKUP(AU475,AW$8:BC$507,7,FALSE())
)</f>
        <v/>
      </c>
      <c r="BE475" s="97" t="str">
        <f aca="false">IF(AU475&gt;AT$7,
    "",
    VLOOKUP(AU475,AW$8:BC$507,2,FALSE())
)</f>
        <v/>
      </c>
      <c r="BF475" s="97" t="str">
        <f aca="false">IF(AU475&gt;AT$7,
    "",
    VLOOKUP(AU475,AW$8:BC$507,3,FALSE())
)</f>
        <v/>
      </c>
      <c r="BG475" s="97" t="str">
        <f aca="false">IF(AU475&gt;AT$7,
    "",
    VLOOKUP(AU475,AW$8:BC$507,4,FALSE())
)</f>
        <v/>
      </c>
      <c r="BH475" s="97" t="str">
        <f aca="false">IF(AU475&gt;AT$7,
    "",
    VLOOKUP(AU475,AW$8:BC$507,5,FALSE())
)</f>
        <v/>
      </c>
      <c r="BI475" s="98" t="str">
        <f aca="false">IF(AU475&gt;AT$7,
    "",
    VLOOKUP(AU475,AW$8:BC$507,6,FALSE())
)</f>
        <v/>
      </c>
      <c r="BJ475" s="46"/>
    </row>
    <row r="476" customFormat="false" ht="15.75" hidden="false" customHeight="false" outlineLevel="0" collapsed="false">
      <c r="A476" s="3"/>
      <c r="B476" s="108"/>
      <c r="C476" s="70"/>
      <c r="D476" s="49"/>
      <c r="E476" s="109"/>
      <c r="F476" s="72"/>
      <c r="G476" s="109"/>
      <c r="H476" s="74"/>
      <c r="I476" s="104"/>
      <c r="J476" s="74"/>
      <c r="K476" s="74"/>
      <c r="L476" s="55"/>
      <c r="M476" s="55" t="str">
        <f aca="false">IF(ISBLANK($C476),"",IF(ISBLANK(E476),0,E476))</f>
        <v/>
      </c>
      <c r="N476" s="55" t="str">
        <f aca="false">IF(ISBLANK($C476),"",IF(ISBLANK(F476),0,F476))</f>
        <v/>
      </c>
      <c r="O476" s="55" t="e">
        <f aca="false">IF(AND(NOT(ISBLANK($C476)),NOT($T476),COUNTA($E476:$K476)&gt;0),ISBLANK($F476),FALSE())</f>
        <v>#VALUE!</v>
      </c>
      <c r="P476" s="55" t="str">
        <f aca="false">IF(ISBLANK($C476),"",IF(G476=Constants!$B$9, TRUE(), IF(G476=Constants!$B$10, FALSE(), TRUE())))</f>
        <v/>
      </c>
      <c r="Q476" s="55" t="str">
        <f aca="false">IF(ISBLANK($C476),"",IF(H476=Constants!$B$9, TRUE(), IF(H476=Constants!$B$10, FALSE(), TRUE())))</f>
        <v/>
      </c>
      <c r="R476" s="55" t="str">
        <f aca="false">IF(ISBLANK($C476),"",IF(ISBLANK(I476),Constants!$B$3,I476))</f>
        <v/>
      </c>
      <c r="S476" s="55" t="str">
        <f aca="false">IF(ISBLANK($C476),"",IF(ISBLANK(J476),0,MIN(J476,Constants!$B$6)))</f>
        <v/>
      </c>
      <c r="T476" s="55" t="str">
        <f aca="false">IF(ISBLANK($C476),"",IF(K476=Constants!$B$9, TRUE(), IF(K476=Constants!$B$10, FALSE(),  FALSE())))</f>
        <v/>
      </c>
      <c r="U476" s="55" t="str">
        <f aca="false">IF(ISBLANK($C476),"",AND(R476=Constants!$B$4, S476&lt;Constants!$B$6))</f>
        <v/>
      </c>
      <c r="V476" s="55" t="str">
        <f aca="false">IF(ISBLANK(C476), "", IF(T476, Constants!$B$11, IF(COUNTA(E476:K476)=0, Constants!$B$12, IF(NOT(AND(P476,S476&lt;&gt;0)), Constants!$B$13, IF(O476, Constants!$B$15, Constants!$B$14)))))</f>
        <v/>
      </c>
      <c r="W476" s="55" t="str">
        <f aca="false">IF(OR(ISBLANK($C476), SUMPRODUCT(--(P476:T476&lt;&gt;""))=0), "", IF(V476&lt;&gt;Constants!$B$14, V476, IF(AND(NOT(ISBLANK(J476)),P476,Q476,R476&lt;&gt;Constants!$B$2), Constants!$B$7, IF(AND(P476,OR(NOT(Q476),R476=Constants!$B$2)), Constants!$B$8, "Error"))))</f>
        <v/>
      </c>
      <c r="X476" s="56" t="str">
        <f aca="false">IF(OR(W476=Constants!$B$7,W476=Constants!$B$8), MAX(0, MIN(Constants!$B$6, S476))+IF(AND(R476=Constants!$B$4, NOT(U476)), Constants!$B$5, 0), "")</f>
        <v/>
      </c>
      <c r="Y476" s="55" t="str">
        <f aca="false">IF(ISBLANK($C476),"",IF(AND(ISNUMBER(X476),N476&gt;0),X476/N476, "") )</f>
        <v/>
      </c>
      <c r="Z476" s="55" t="str">
        <f aca="false">IF(AND(NOT(ISBLANK($C476)), W476=Constants!$B$7), Y476, "")</f>
        <v/>
      </c>
      <c r="AA476" s="55" t="str">
        <f aca="false">IF(ISNUMBER(Z476), RANK(Z476,Z$8:Z$507), "")</f>
        <v/>
      </c>
      <c r="AB476" s="55" t="str">
        <f aca="false">IF(AND(NOT(ISBLANK($C476)), W476=Constants!$B$8), Y476, "")</f>
        <v/>
      </c>
      <c r="AC476" s="55" t="str">
        <f aca="false">IF(ISNUMBER(AB476), RANK(AB476,AB$8:AB$507), "")</f>
        <v/>
      </c>
      <c r="AD476" s="55" t="str">
        <f aca="false">IF(ISBLANK($C476),"",IF(V476&lt;&gt;Constants!$B$14, V476, IF(W476=Constants!$B$7, AA476, IF(W476=Constants!$B$8, COUNT($AA$8:$AA$507) + AC476, ""))))</f>
        <v/>
      </c>
      <c r="AE476" s="55" t="str">
        <f aca="false">N476</f>
        <v/>
      </c>
      <c r="AF476" s="55" t="str">
        <f aca="false">IF(ISNUMBER(AE476), RANK(AE476,AE$8:AE$507,1), "")</f>
        <v/>
      </c>
      <c r="AG476" s="57" t="str">
        <f aca="false">IF(ISBLANK(C476), "", ABS(M476-S476))</f>
        <v/>
      </c>
      <c r="AH476" s="55" t="str">
        <f aca="false">IF(ISNUMBER(AG476), RANK(AG476,AG$8:AG$507,1), "")</f>
        <v/>
      </c>
      <c r="AI476" s="55" t="str">
        <f aca="false">IF(ISBLANK(C476),"",IF(V476&lt;&gt;Constants!$B$14, V476, RANK(AD476, AD$8:AD$507, 1)+ SUMPRODUCT(--(AD$8:AD$507=AD476),--(AF476&gt;AF$8:AF$507)) + SUMPRODUCT(--(AD$8:AD$507=AD476),--(AF476=AF$8:AF$507),--(AH476&gt;AH$8:AH$507))))</f>
        <v/>
      </c>
      <c r="AJ476" s="55" t="str">
        <f aca="false">IF(ISBLANK(C476),"",IF(V476&lt;&gt;Constants!$B$14, V476, AD476-AI476))</f>
        <v/>
      </c>
      <c r="AK476" s="59"/>
      <c r="AL476" s="60" t="str">
        <f aca="false">IF(ISBLANK($C476),"",IF($V476&lt;&gt;Constants!$B$14,$V476,X476))</f>
        <v/>
      </c>
      <c r="AM476" s="60" t="str">
        <f aca="false">IF(ISBLANK($C476),"",IF($V476&lt;&gt;Constants!$B$14,$V476,N476))</f>
        <v/>
      </c>
      <c r="AN476" s="62" t="str">
        <f aca="false">IF(ISBLANK(C476),"",IF(V476&lt;&gt;Constants!$B$14, V476, IF(W476=Constants!$B$7,Z476,IF(W476=Constants!$B$8,AB476,""))))</f>
        <v/>
      </c>
      <c r="AO476" s="63" t="str">
        <f aca="false">IF(ISBLANK(C476),"",W476)</f>
        <v/>
      </c>
      <c r="AP476" s="63" t="str">
        <f aca="false">IF(ISBLANK(C476),"",AJ476)</f>
        <v/>
      </c>
      <c r="AQ476" s="63" t="str">
        <f aca="false">IF(ISBLANK(C476),"",AI476)</f>
        <v/>
      </c>
      <c r="AR476" s="64" t="str">
        <f aca="false">IF(ISBLANK(C476),
  "",
IF(AQ476=Constants!$B$11,COUNTA($C$8:$C$507)+2,IF(AQ476=Constants!$B$12,COUNTA($C$8:$C$507)+1,IF(AQ476=Constants!$B$13,COUNTA($C$8:$C$507),AQ476))))</f>
        <v/>
      </c>
      <c r="AS476" s="3"/>
      <c r="AT476" s="65" t="n">
        <f aca="false">IF(OR(ISNUMBER(AQ476),AQ476="DQ",AQ476="P",AQ476="NS"),
    1,
    0
)</f>
        <v>0</v>
      </c>
      <c r="AU476" s="65" t="n">
        <v>469</v>
      </c>
      <c r="AV476" s="65" t="str">
        <f aca="false">IF(ISBLANK($C476),
    "",
   IF(ISNUMBER(AR476),AR476+ROW($B476)/1000,"")
)</f>
        <v/>
      </c>
      <c r="AW476" s="65" t="str">
        <f aca="false">IF(ISNUMBER(AV476), RANK(AV476,AV$8:AV$507,1), "")</f>
        <v/>
      </c>
      <c r="AX476" s="65" t="str">
        <f aca="false">IF(ISBLANK($C476),
    "",
    $B476
)</f>
        <v/>
      </c>
      <c r="AY476" s="65" t="str">
        <f aca="false">IF(ISBLANK($C476),
    "",
    $C476
)</f>
        <v/>
      </c>
      <c r="AZ476" s="65" t="str">
        <f aca="false">IF(ISBLANK($C476),
    "",
    $D476
)</f>
        <v/>
      </c>
      <c r="BA476" s="65" t="str">
        <f aca="false">AO476</f>
        <v/>
      </c>
      <c r="BB476" s="66" t="str">
        <f aca="false">AN476</f>
        <v/>
      </c>
      <c r="BC476" s="65" t="str">
        <f aca="false">IF(ISBLANK($C476),
    "",
    AQ476
)</f>
        <v/>
      </c>
      <c r="BD476" s="67" t="str">
        <f aca="false">IF(AU476&gt;AT$7,
    "",
    VLOOKUP(AU476,AW$8:BC$507,7,FALSE())
)</f>
        <v/>
      </c>
      <c r="BE476" s="68" t="str">
        <f aca="false">IF(AU476&gt;AT$7,
    "",
    VLOOKUP(AU476,AW$8:BC$507,2,FALSE())
)</f>
        <v/>
      </c>
      <c r="BF476" s="68" t="str">
        <f aca="false">IF(AU476&gt;AT$7,
    "",
    VLOOKUP(AU476,AW$8:BC$507,3,FALSE())
)</f>
        <v/>
      </c>
      <c r="BG476" s="68" t="str">
        <f aca="false">IF(AU476&gt;AT$7,
    "",
    VLOOKUP(AU476,AW$8:BC$507,4,FALSE())
)</f>
        <v/>
      </c>
      <c r="BH476" s="68" t="str">
        <f aca="false">IF(AU476&gt;AT$7,
    "",
    VLOOKUP(AU476,AW$8:BC$507,5,FALSE())
)</f>
        <v/>
      </c>
      <c r="BI476" s="69" t="str">
        <f aca="false">IF(AU476&gt;AT$7,
    "",
    VLOOKUP(AU476,AW$8:BC$507,6,FALSE())
)</f>
        <v/>
      </c>
      <c r="BJ476" s="46"/>
    </row>
    <row r="477" customFormat="false" ht="15.75" hidden="false" customHeight="false" outlineLevel="0" collapsed="false">
      <c r="A477" s="3"/>
      <c r="B477" s="108"/>
      <c r="C477" s="70"/>
      <c r="D477" s="49"/>
      <c r="E477" s="109"/>
      <c r="F477" s="72"/>
      <c r="G477" s="109"/>
      <c r="H477" s="74"/>
      <c r="I477" s="104"/>
      <c r="J477" s="74"/>
      <c r="K477" s="74"/>
      <c r="L477" s="55"/>
      <c r="M477" s="55" t="str">
        <f aca="false">IF(ISBLANK($C477),"",IF(ISBLANK(E477),0,E477))</f>
        <v/>
      </c>
      <c r="N477" s="55" t="str">
        <f aca="false">IF(ISBLANK($C477),"",IF(ISBLANK(F477),0,F477))</f>
        <v/>
      </c>
      <c r="O477" s="55" t="e">
        <f aca="false">IF(AND(NOT(ISBLANK($C477)),NOT($T477),COUNTA($E477:$K477)&gt;0),ISBLANK($F477),FALSE())</f>
        <v>#VALUE!</v>
      </c>
      <c r="P477" s="55" t="str">
        <f aca="false">IF(ISBLANK($C477),"",IF(G477=Constants!$B$9, TRUE(), IF(G477=Constants!$B$10, FALSE(), TRUE())))</f>
        <v/>
      </c>
      <c r="Q477" s="55" t="str">
        <f aca="false">IF(ISBLANK($C477),"",IF(H477=Constants!$B$9, TRUE(), IF(H477=Constants!$B$10, FALSE(), TRUE())))</f>
        <v/>
      </c>
      <c r="R477" s="55" t="str">
        <f aca="false">IF(ISBLANK($C477),"",IF(ISBLANK(I477),Constants!$B$3,I477))</f>
        <v/>
      </c>
      <c r="S477" s="55" t="str">
        <f aca="false">IF(ISBLANK($C477),"",IF(ISBLANK(J477),0,MIN(J477,Constants!$B$6)))</f>
        <v/>
      </c>
      <c r="T477" s="55" t="str">
        <f aca="false">IF(ISBLANK($C477),"",IF(K477=Constants!$B$9, TRUE(), IF(K477=Constants!$B$10, FALSE(),  FALSE())))</f>
        <v/>
      </c>
      <c r="U477" s="55" t="str">
        <f aca="false">IF(ISBLANK($C477),"",AND(R477=Constants!$B$4, S477&lt;Constants!$B$6))</f>
        <v/>
      </c>
      <c r="V477" s="55" t="str">
        <f aca="false">IF(ISBLANK(C477), "", IF(T477, Constants!$B$11, IF(COUNTA(E477:K477)=0, Constants!$B$12, IF(NOT(AND(P477,S477&lt;&gt;0)), Constants!$B$13, IF(O477, Constants!$B$15, Constants!$B$14)))))</f>
        <v/>
      </c>
      <c r="W477" s="55" t="str">
        <f aca="false">IF(OR(ISBLANK($C477), SUMPRODUCT(--(P477:T477&lt;&gt;""))=0), "", IF(V477&lt;&gt;Constants!$B$14, V477, IF(AND(NOT(ISBLANK(J477)),P477,Q477,R477&lt;&gt;Constants!$B$2), Constants!$B$7, IF(AND(P477,OR(NOT(Q477),R477=Constants!$B$2)), Constants!$B$8, "Error"))))</f>
        <v/>
      </c>
      <c r="X477" s="56" t="str">
        <f aca="false">IF(OR(W477=Constants!$B$7,W477=Constants!$B$8), MAX(0, MIN(Constants!$B$6, S477))+IF(AND(R477=Constants!$B$4, NOT(U477)), Constants!$B$5, 0), "")</f>
        <v/>
      </c>
      <c r="Y477" s="55" t="str">
        <f aca="false">IF(ISBLANK($C477),"",IF(AND(ISNUMBER(X477),N477&gt;0),X477/N477, "") )</f>
        <v/>
      </c>
      <c r="Z477" s="55" t="str">
        <f aca="false">IF(AND(NOT(ISBLANK($C477)), W477=Constants!$B$7), Y477, "")</f>
        <v/>
      </c>
      <c r="AA477" s="55" t="str">
        <f aca="false">IF(ISNUMBER(Z477), RANK(Z477,Z$8:Z$507), "")</f>
        <v/>
      </c>
      <c r="AB477" s="55" t="str">
        <f aca="false">IF(AND(NOT(ISBLANK($C477)), W477=Constants!$B$8), Y477, "")</f>
        <v/>
      </c>
      <c r="AC477" s="55" t="str">
        <f aca="false">IF(ISNUMBER(AB477), RANK(AB477,AB$8:AB$507), "")</f>
        <v/>
      </c>
      <c r="AD477" s="55" t="str">
        <f aca="false">IF(ISBLANK($C477),"",IF(V477&lt;&gt;Constants!$B$14, V477, IF(W477=Constants!$B$7, AA477, IF(W477=Constants!$B$8, COUNT($AA$8:$AA$507) + AC477, ""))))</f>
        <v/>
      </c>
      <c r="AE477" s="55" t="str">
        <f aca="false">N477</f>
        <v/>
      </c>
      <c r="AF477" s="55" t="str">
        <f aca="false">IF(ISNUMBER(AE477), RANK(AE477,AE$8:AE$507,1), "")</f>
        <v/>
      </c>
      <c r="AG477" s="57" t="str">
        <f aca="false">IF(ISBLANK(C477), "", ABS(M477-S477))</f>
        <v/>
      </c>
      <c r="AH477" s="55" t="str">
        <f aca="false">IF(ISNUMBER(AG477), RANK(AG477,AG$8:AG$507,1), "")</f>
        <v/>
      </c>
      <c r="AI477" s="55" t="str">
        <f aca="false">IF(ISBLANK(C477),"",IF(V477&lt;&gt;Constants!$B$14, V477, RANK(AD477, AD$8:AD$507, 1)+ SUMPRODUCT(--(AD$8:AD$507=AD477),--(AF477&gt;AF$8:AF$507)) + SUMPRODUCT(--(AD$8:AD$507=AD477),--(AF477=AF$8:AF$507),--(AH477&gt;AH$8:AH$507))))</f>
        <v/>
      </c>
      <c r="AJ477" s="55" t="str">
        <f aca="false">IF(ISBLANK(C477),"",IF(V477&lt;&gt;Constants!$B$14, V477, AD477-AI477))</f>
        <v/>
      </c>
      <c r="AK477" s="59"/>
      <c r="AL477" s="60" t="str">
        <f aca="false">IF(ISBLANK($C477),"",IF($V477&lt;&gt;Constants!$B$14,$V477,X477))</f>
        <v/>
      </c>
      <c r="AM477" s="60" t="str">
        <f aca="false">IF(ISBLANK($C477),"",IF($V477&lt;&gt;Constants!$B$14,$V477,N477))</f>
        <v/>
      </c>
      <c r="AN477" s="62" t="str">
        <f aca="false">IF(ISBLANK(C477),"",IF(V477&lt;&gt;Constants!$B$14, V477, IF(W477=Constants!$B$7,Z477,IF(W477=Constants!$B$8,AB477,""))))</f>
        <v/>
      </c>
      <c r="AO477" s="63" t="str">
        <f aca="false">IF(ISBLANK(C477),"",W477)</f>
        <v/>
      </c>
      <c r="AP477" s="63" t="str">
        <f aca="false">IF(ISBLANK(C477),"",AJ477)</f>
        <v/>
      </c>
      <c r="AQ477" s="63" t="str">
        <f aca="false">IF(ISBLANK(C477),"",AI477)</f>
        <v/>
      </c>
      <c r="AR477" s="64" t="str">
        <f aca="false">IF(ISBLANK(C477),
  "",
IF(AQ477=Constants!$B$11,COUNTA($C$8:$C$507)+2,IF(AQ477=Constants!$B$12,COUNTA($C$8:$C$507)+1,IF(AQ477=Constants!$B$13,COUNTA($C$8:$C$507),AQ477))))</f>
        <v/>
      </c>
      <c r="AS477" s="3"/>
      <c r="AT477" s="65" t="n">
        <f aca="false">IF(OR(ISNUMBER(AQ477),AQ477="DQ",AQ477="P",AQ477="NS"),
    1,
    0
)</f>
        <v>0</v>
      </c>
      <c r="AU477" s="65" t="n">
        <v>470</v>
      </c>
      <c r="AV477" s="65" t="str">
        <f aca="false">IF(ISBLANK($C477),
    "",
   IF(ISNUMBER(AR477),AR477+ROW($B477)/1000,"")
)</f>
        <v/>
      </c>
      <c r="AW477" s="65" t="str">
        <f aca="false">IF(ISNUMBER(AV477), RANK(AV477,AV$8:AV$507,1), "")</f>
        <v/>
      </c>
      <c r="AX477" s="65" t="str">
        <f aca="false">IF(ISBLANK($C477),
    "",
    $B477
)</f>
        <v/>
      </c>
      <c r="AY477" s="65" t="str">
        <f aca="false">IF(ISBLANK($C477),
    "",
    $C477
)</f>
        <v/>
      </c>
      <c r="AZ477" s="65" t="str">
        <f aca="false">IF(ISBLANK($C477),
    "",
    $D477
)</f>
        <v/>
      </c>
      <c r="BA477" s="65" t="str">
        <f aca="false">AO477</f>
        <v/>
      </c>
      <c r="BB477" s="66" t="str">
        <f aca="false">AN477</f>
        <v/>
      </c>
      <c r="BC477" s="65" t="str">
        <f aca="false">IF(ISBLANK($C477),
    "",
    AQ477
)</f>
        <v/>
      </c>
      <c r="BD477" s="67" t="str">
        <f aca="false">IF(AU477&gt;AT$7,
    "",
    VLOOKUP(AU477,AW$8:BC$507,7,FALSE())
)</f>
        <v/>
      </c>
      <c r="BE477" s="68" t="str">
        <f aca="false">IF(AU477&gt;AT$7,
    "",
    VLOOKUP(AU477,AW$8:BC$507,2,FALSE())
)</f>
        <v/>
      </c>
      <c r="BF477" s="68" t="str">
        <f aca="false">IF(AU477&gt;AT$7,
    "",
    VLOOKUP(AU477,AW$8:BC$507,3,FALSE())
)</f>
        <v/>
      </c>
      <c r="BG477" s="68" t="str">
        <f aca="false">IF(AU477&gt;AT$7,
    "",
    VLOOKUP(AU477,AW$8:BC$507,4,FALSE())
)</f>
        <v/>
      </c>
      <c r="BH477" s="68" t="str">
        <f aca="false">IF(AU477&gt;AT$7,
    "",
    VLOOKUP(AU477,AW$8:BC$507,5,FALSE())
)</f>
        <v/>
      </c>
      <c r="BI477" s="69" t="str">
        <f aca="false">IF(AU477&gt;AT$7,
    "",
    VLOOKUP(AU477,AW$8:BC$507,6,FALSE())
)</f>
        <v/>
      </c>
      <c r="BJ477" s="46"/>
    </row>
    <row r="478" customFormat="false" ht="15.75" hidden="false" customHeight="false" outlineLevel="0" collapsed="false">
      <c r="A478" s="3"/>
      <c r="B478" s="108"/>
      <c r="C478" s="70"/>
      <c r="D478" s="49"/>
      <c r="E478" s="109"/>
      <c r="F478" s="72"/>
      <c r="G478" s="109"/>
      <c r="H478" s="74"/>
      <c r="I478" s="104"/>
      <c r="J478" s="74"/>
      <c r="K478" s="74"/>
      <c r="L478" s="55"/>
      <c r="M478" s="55" t="str">
        <f aca="false">IF(ISBLANK($C478),"",IF(ISBLANK(E478),0,E478))</f>
        <v/>
      </c>
      <c r="N478" s="55" t="str">
        <f aca="false">IF(ISBLANK($C478),"",IF(ISBLANK(F478),0,F478))</f>
        <v/>
      </c>
      <c r="O478" s="55" t="e">
        <f aca="false">IF(AND(NOT(ISBLANK($C478)),NOT($T478),COUNTA($E478:$K478)&gt;0),ISBLANK($F478),FALSE())</f>
        <v>#VALUE!</v>
      </c>
      <c r="P478" s="55" t="str">
        <f aca="false">IF(ISBLANK($C478),"",IF(G478=Constants!$B$9, TRUE(), IF(G478=Constants!$B$10, FALSE(), TRUE())))</f>
        <v/>
      </c>
      <c r="Q478" s="55" t="str">
        <f aca="false">IF(ISBLANK($C478),"",IF(H478=Constants!$B$9, TRUE(), IF(H478=Constants!$B$10, FALSE(), TRUE())))</f>
        <v/>
      </c>
      <c r="R478" s="55" t="str">
        <f aca="false">IF(ISBLANK($C478),"",IF(ISBLANK(I478),Constants!$B$3,I478))</f>
        <v/>
      </c>
      <c r="S478" s="55" t="str">
        <f aca="false">IF(ISBLANK($C478),"",IF(ISBLANK(J478),0,MIN(J478,Constants!$B$6)))</f>
        <v/>
      </c>
      <c r="T478" s="55" t="str">
        <f aca="false">IF(ISBLANK($C478),"",IF(K478=Constants!$B$9, TRUE(), IF(K478=Constants!$B$10, FALSE(),  FALSE())))</f>
        <v/>
      </c>
      <c r="U478" s="55" t="str">
        <f aca="false">IF(ISBLANK($C478),"",AND(R478=Constants!$B$4, S478&lt;Constants!$B$6))</f>
        <v/>
      </c>
      <c r="V478" s="55" t="str">
        <f aca="false">IF(ISBLANK(C478), "", IF(T478, Constants!$B$11, IF(COUNTA(E478:K478)=0, Constants!$B$12, IF(NOT(AND(P478,S478&lt;&gt;0)), Constants!$B$13, IF(O478, Constants!$B$15, Constants!$B$14)))))</f>
        <v/>
      </c>
      <c r="W478" s="55" t="str">
        <f aca="false">IF(OR(ISBLANK($C478), SUMPRODUCT(--(P478:T478&lt;&gt;""))=0), "", IF(V478&lt;&gt;Constants!$B$14, V478, IF(AND(NOT(ISBLANK(J478)),P478,Q478,R478&lt;&gt;Constants!$B$2), Constants!$B$7, IF(AND(P478,OR(NOT(Q478),R478=Constants!$B$2)), Constants!$B$8, "Error"))))</f>
        <v/>
      </c>
      <c r="X478" s="56" t="str">
        <f aca="false">IF(OR(W478=Constants!$B$7,W478=Constants!$B$8), MAX(0, MIN(Constants!$B$6, S478))+IF(AND(R478=Constants!$B$4, NOT(U478)), Constants!$B$5, 0), "")</f>
        <v/>
      </c>
      <c r="Y478" s="55" t="str">
        <f aca="false">IF(ISBLANK($C478),"",IF(AND(ISNUMBER(X478),N478&gt;0),X478/N478, "") )</f>
        <v/>
      </c>
      <c r="Z478" s="55" t="str">
        <f aca="false">IF(AND(NOT(ISBLANK($C478)), W478=Constants!$B$7), Y478, "")</f>
        <v/>
      </c>
      <c r="AA478" s="55" t="str">
        <f aca="false">IF(ISNUMBER(Z478), RANK(Z478,Z$8:Z$507), "")</f>
        <v/>
      </c>
      <c r="AB478" s="55" t="str">
        <f aca="false">IF(AND(NOT(ISBLANK($C478)), W478=Constants!$B$8), Y478, "")</f>
        <v/>
      </c>
      <c r="AC478" s="55" t="str">
        <f aca="false">IF(ISNUMBER(AB478), RANK(AB478,AB$8:AB$507), "")</f>
        <v/>
      </c>
      <c r="AD478" s="55" t="str">
        <f aca="false">IF(ISBLANK($C478),"",IF(V478&lt;&gt;Constants!$B$14, V478, IF(W478=Constants!$B$7, AA478, IF(W478=Constants!$B$8, COUNT($AA$8:$AA$507) + AC478, ""))))</f>
        <v/>
      </c>
      <c r="AE478" s="55" t="str">
        <f aca="false">N478</f>
        <v/>
      </c>
      <c r="AF478" s="55" t="str">
        <f aca="false">IF(ISNUMBER(AE478), RANK(AE478,AE$8:AE$507,1), "")</f>
        <v/>
      </c>
      <c r="AG478" s="57" t="str">
        <f aca="false">IF(ISBLANK(C478), "", ABS(M478-S478))</f>
        <v/>
      </c>
      <c r="AH478" s="55" t="str">
        <f aca="false">IF(ISNUMBER(AG478), RANK(AG478,AG$8:AG$507,1), "")</f>
        <v/>
      </c>
      <c r="AI478" s="55" t="str">
        <f aca="false">IF(ISBLANK(C478),"",IF(V478&lt;&gt;Constants!$B$14, V478, RANK(AD478, AD$8:AD$507, 1)+ SUMPRODUCT(--(AD$8:AD$507=AD478),--(AF478&gt;AF$8:AF$507)) + SUMPRODUCT(--(AD$8:AD$507=AD478),--(AF478=AF$8:AF$507),--(AH478&gt;AH$8:AH$507))))</f>
        <v/>
      </c>
      <c r="AJ478" s="55" t="str">
        <f aca="false">IF(ISBLANK(C478),"",IF(V478&lt;&gt;Constants!$B$14, V478, AD478-AI478))</f>
        <v/>
      </c>
      <c r="AK478" s="59"/>
      <c r="AL478" s="60" t="str">
        <f aca="false">IF(ISBLANK($C478),"",IF($V478&lt;&gt;Constants!$B$14,$V478,X478))</f>
        <v/>
      </c>
      <c r="AM478" s="60" t="str">
        <f aca="false">IF(ISBLANK($C478),"",IF($V478&lt;&gt;Constants!$B$14,$V478,N478))</f>
        <v/>
      </c>
      <c r="AN478" s="62" t="str">
        <f aca="false">IF(ISBLANK(C478),"",IF(V478&lt;&gt;Constants!$B$14, V478, IF(W478=Constants!$B$7,Z478,IF(W478=Constants!$B$8,AB478,""))))</f>
        <v/>
      </c>
      <c r="AO478" s="63" t="str">
        <f aca="false">IF(ISBLANK(C478),"",W478)</f>
        <v/>
      </c>
      <c r="AP478" s="63" t="str">
        <f aca="false">IF(ISBLANK(C478),"",AJ478)</f>
        <v/>
      </c>
      <c r="AQ478" s="63" t="str">
        <f aca="false">IF(ISBLANK(C478),"",AI478)</f>
        <v/>
      </c>
      <c r="AR478" s="64" t="str">
        <f aca="false">IF(ISBLANK(C478),
  "",
IF(AQ478=Constants!$B$11,COUNTA($C$8:$C$507)+2,IF(AQ478=Constants!$B$12,COUNTA($C$8:$C$507)+1,IF(AQ478=Constants!$B$13,COUNTA($C$8:$C$507),AQ478))))</f>
        <v/>
      </c>
      <c r="AS478" s="3"/>
      <c r="AT478" s="65" t="n">
        <f aca="false">IF(OR(ISNUMBER(AQ478),AQ478="DQ",AQ478="P",AQ478="NS"),
    1,
    0
)</f>
        <v>0</v>
      </c>
      <c r="AU478" s="65" t="n">
        <v>471</v>
      </c>
      <c r="AV478" s="65" t="str">
        <f aca="false">IF(ISBLANK($C478),
    "",
   IF(ISNUMBER(AR478),AR478+ROW($B478)/1000,"")
)</f>
        <v/>
      </c>
      <c r="AW478" s="65" t="str">
        <f aca="false">IF(ISNUMBER(AV478), RANK(AV478,AV$8:AV$507,1), "")</f>
        <v/>
      </c>
      <c r="AX478" s="65" t="str">
        <f aca="false">IF(ISBLANK($C478),
    "",
    $B478
)</f>
        <v/>
      </c>
      <c r="AY478" s="65" t="str">
        <f aca="false">IF(ISBLANK($C478),
    "",
    $C478
)</f>
        <v/>
      </c>
      <c r="AZ478" s="65" t="str">
        <f aca="false">IF(ISBLANK($C478),
    "",
    $D478
)</f>
        <v/>
      </c>
      <c r="BA478" s="65" t="str">
        <f aca="false">AO478</f>
        <v/>
      </c>
      <c r="BB478" s="66" t="str">
        <f aca="false">AN478</f>
        <v/>
      </c>
      <c r="BC478" s="65" t="str">
        <f aca="false">IF(ISBLANK($C478),
    "",
    AQ478
)</f>
        <v/>
      </c>
      <c r="BD478" s="67" t="str">
        <f aca="false">IF(AU478&gt;AT$7,
    "",
    VLOOKUP(AU478,AW$8:BC$507,7,FALSE())
)</f>
        <v/>
      </c>
      <c r="BE478" s="68" t="str">
        <f aca="false">IF(AU478&gt;AT$7,
    "",
    VLOOKUP(AU478,AW$8:BC$507,2,FALSE())
)</f>
        <v/>
      </c>
      <c r="BF478" s="68" t="str">
        <f aca="false">IF(AU478&gt;AT$7,
    "",
    VLOOKUP(AU478,AW$8:BC$507,3,FALSE())
)</f>
        <v/>
      </c>
      <c r="BG478" s="68" t="str">
        <f aca="false">IF(AU478&gt;AT$7,
    "",
    VLOOKUP(AU478,AW$8:BC$507,4,FALSE())
)</f>
        <v/>
      </c>
      <c r="BH478" s="68" t="str">
        <f aca="false">IF(AU478&gt;AT$7,
    "",
    VLOOKUP(AU478,AW$8:BC$507,5,FALSE())
)</f>
        <v/>
      </c>
      <c r="BI478" s="69" t="str">
        <f aca="false">IF(AU478&gt;AT$7,
    "",
    VLOOKUP(AU478,AW$8:BC$507,6,FALSE())
)</f>
        <v/>
      </c>
      <c r="BJ478" s="46"/>
    </row>
    <row r="479" customFormat="false" ht="15.75" hidden="false" customHeight="false" outlineLevel="0" collapsed="false">
      <c r="A479" s="3"/>
      <c r="B479" s="105"/>
      <c r="C479" s="106"/>
      <c r="D479" s="99"/>
      <c r="E479" s="110"/>
      <c r="F479" s="107"/>
      <c r="G479" s="110"/>
      <c r="H479" s="103"/>
      <c r="I479" s="102"/>
      <c r="J479" s="103"/>
      <c r="K479" s="103"/>
      <c r="L479" s="85"/>
      <c r="M479" s="85" t="str">
        <f aca="false">IF(ISBLANK($C479),"",IF(ISBLANK(E479),0,E479))</f>
        <v/>
      </c>
      <c r="N479" s="85" t="str">
        <f aca="false">IF(ISBLANK($C479),"",IF(ISBLANK(F479),0,F479))</f>
        <v/>
      </c>
      <c r="O479" s="86" t="e">
        <f aca="false">IF(AND(NOT(ISBLANK($C479)),NOT($T479),COUNTA($E479:$K479)&gt;0),ISBLANK($F479),FALSE())</f>
        <v>#VALUE!</v>
      </c>
      <c r="P479" s="85" t="str">
        <f aca="false">IF(ISBLANK($C479),"",IF(G479=Constants!$B$9, TRUE(), IF(G479=Constants!$B$10, FALSE(), TRUE())))</f>
        <v/>
      </c>
      <c r="Q479" s="85" t="str">
        <f aca="false">IF(ISBLANK($C479),"",IF(H479=Constants!$B$9, TRUE(), IF(H479=Constants!$B$10, FALSE(), TRUE())))</f>
        <v/>
      </c>
      <c r="R479" s="85" t="str">
        <f aca="false">IF(ISBLANK($C479),"",IF(ISBLANK(I479),Constants!$B$3,I479))</f>
        <v/>
      </c>
      <c r="S479" s="85" t="str">
        <f aca="false">IF(ISBLANK($C479),"",IF(ISBLANK(J479),0,MIN(J479,Constants!$B$6)))</f>
        <v/>
      </c>
      <c r="T479" s="85" t="str">
        <f aca="false">IF(ISBLANK($C479),"",IF(K479=Constants!$B$9, TRUE(), IF(K479=Constants!$B$10, FALSE(),  FALSE())))</f>
        <v/>
      </c>
      <c r="U479" s="85" t="str">
        <f aca="false">IF(ISBLANK($C479),"",AND(R479=Constants!$B$4, S479&lt;Constants!$B$6))</f>
        <v/>
      </c>
      <c r="V479" s="85" t="str">
        <f aca="false">IF(ISBLANK(C479), "", IF(T479, Constants!$B$11, IF(COUNTA(E479:K479)=0, Constants!$B$12, IF(NOT(AND(P479,S479&lt;&gt;0)), Constants!$B$13, IF(O479, Constants!$B$15, Constants!$B$14)))))</f>
        <v/>
      </c>
      <c r="W479" s="85" t="str">
        <f aca="false">IF(OR(ISBLANK($C479), SUMPRODUCT(--(P479:T479&lt;&gt;""))=0), "", IF(V479&lt;&gt;Constants!$B$14, V479, IF(AND(NOT(ISBLANK(J479)),P479,Q479,R479&lt;&gt;Constants!$B$2), Constants!$B$7, IF(AND(P479,OR(NOT(Q479),R479=Constants!$B$2)), Constants!$B$8, "Error"))))</f>
        <v/>
      </c>
      <c r="X479" s="87" t="str">
        <f aca="false">IF(OR(W479=Constants!$B$7,W479=Constants!$B$8), MAX(0, MIN(Constants!$B$6, S479))+IF(AND(R479=Constants!$B$4, NOT(U479)), Constants!$B$5, 0), "")</f>
        <v/>
      </c>
      <c r="Y479" s="85" t="str">
        <f aca="false">IF(ISBLANK($C479),"",IF(AND(ISNUMBER(X479),N479&gt;0),X479/N479, "") )</f>
        <v/>
      </c>
      <c r="Z479" s="85" t="str">
        <f aca="false">IF(AND(NOT(ISBLANK($C479)), W479=Constants!$B$7), Y479, "")</f>
        <v/>
      </c>
      <c r="AA479" s="85" t="str">
        <f aca="false">IF(ISNUMBER(Z479), RANK(Z479,Z$8:Z$507), "")</f>
        <v/>
      </c>
      <c r="AB479" s="85" t="str">
        <f aca="false">IF(AND(NOT(ISBLANK($C479)), W479=Constants!$B$8), Y479, "")</f>
        <v/>
      </c>
      <c r="AC479" s="85" t="str">
        <f aca="false">IF(ISNUMBER(AB479), RANK(AB479,AB$8:AB$507), "")</f>
        <v/>
      </c>
      <c r="AD479" s="85" t="str">
        <f aca="false">IF(ISBLANK($C479),"",IF(V479&lt;&gt;Constants!$B$14, V479, IF(W479=Constants!$B$7, AA479, IF(W479=Constants!$B$8, COUNT($AA$8:$AA$507) + AC479, ""))))</f>
        <v/>
      </c>
      <c r="AE479" s="85" t="str">
        <f aca="false">N479</f>
        <v/>
      </c>
      <c r="AF479" s="85" t="str">
        <f aca="false">IF(ISNUMBER(AE479), RANK(AE479,AE$8:AE$507,1), "")</f>
        <v/>
      </c>
      <c r="AG479" s="88" t="str">
        <f aca="false">IF(ISBLANK(C479), "", ABS(M479-S479))</f>
        <v/>
      </c>
      <c r="AH479" s="85" t="str">
        <f aca="false">IF(ISNUMBER(AG479), RANK(AG479,AG$8:AG$507,1), "")</f>
        <v/>
      </c>
      <c r="AI479" s="85" t="str">
        <f aca="false">IF(ISBLANK(C479),"",IF(V479&lt;&gt;Constants!$B$14, V479, RANK(AD479, AD$8:AD$507, 1)+ SUMPRODUCT(--(AD$8:AD$507=AD479),--(AF479&gt;AF$8:AF$507)) + SUMPRODUCT(--(AD$8:AD$507=AD479),--(AF479=AF$8:AF$507),--(AH479&gt;AH$8:AH$507))))</f>
        <v/>
      </c>
      <c r="AJ479" s="85" t="str">
        <f aca="false">IF(ISBLANK(C479),"",IF(V479&lt;&gt;Constants!$B$14, V479, AD479-AI479))</f>
        <v/>
      </c>
      <c r="AK479" s="89"/>
      <c r="AL479" s="90" t="str">
        <f aca="false">IF(ISBLANK($C479),"",IF($V479&lt;&gt;Constants!$B$14,$V479,X479))</f>
        <v/>
      </c>
      <c r="AM479" s="90" t="str">
        <f aca="false">IF(ISBLANK($C479),"",IF($V479&lt;&gt;Constants!$B$14,$V479,N479))</f>
        <v/>
      </c>
      <c r="AN479" s="91" t="str">
        <f aca="false">IF(ISBLANK(C479),"",IF(V479&lt;&gt;Constants!$B$14, V479, IF(W479=Constants!$B$7,Z479,IF(W479=Constants!$B$8,AB479,""))))</f>
        <v/>
      </c>
      <c r="AO479" s="92" t="str">
        <f aca="false">IF(ISBLANK(C479),"",W479)</f>
        <v/>
      </c>
      <c r="AP479" s="92" t="str">
        <f aca="false">IF(ISBLANK(C479),"",AJ479)</f>
        <v/>
      </c>
      <c r="AQ479" s="92" t="str">
        <f aca="false">IF(ISBLANK(C479),"",AI479)</f>
        <v/>
      </c>
      <c r="AR479" s="93" t="str">
        <f aca="false">IF(ISBLANK(C479),
  "",
IF(AQ479=Constants!$B$11,COUNTA($C$8:$C$507)+2,IF(AQ479=Constants!$B$12,COUNTA($C$8:$C$507)+1,IF(AQ479=Constants!$B$13,COUNTA($C$8:$C$507),AQ479))))</f>
        <v/>
      </c>
      <c r="AS479" s="3"/>
      <c r="AT479" s="94" t="n">
        <f aca="false">IF(OR(ISNUMBER(AQ479),AQ479="DQ",AQ479="P",AQ479="NS"),
    1,
    0
)</f>
        <v>0</v>
      </c>
      <c r="AU479" s="94" t="n">
        <v>472</v>
      </c>
      <c r="AV479" s="94" t="str">
        <f aca="false">IF(ISBLANK($C479),
    "",
   IF(ISNUMBER(AR479),AR479+ROW($B479)/1000,"")
)</f>
        <v/>
      </c>
      <c r="AW479" s="94" t="str">
        <f aca="false">IF(ISNUMBER(AV479), RANK(AV479,AV$8:AV$507,1), "")</f>
        <v/>
      </c>
      <c r="AX479" s="94" t="str">
        <f aca="false">IF(ISBLANK($C479),
    "",
    $B479
)</f>
        <v/>
      </c>
      <c r="AY479" s="94" t="str">
        <f aca="false">IF(ISBLANK($C479),
    "",
    $C479
)</f>
        <v/>
      </c>
      <c r="AZ479" s="94" t="str">
        <f aca="false">IF(ISBLANK($C479),
    "",
    $D479
)</f>
        <v/>
      </c>
      <c r="BA479" s="94" t="str">
        <f aca="false">AO479</f>
        <v/>
      </c>
      <c r="BB479" s="95" t="str">
        <f aca="false">AN479</f>
        <v/>
      </c>
      <c r="BC479" s="94" t="str">
        <f aca="false">IF(ISBLANK($C479),
    "",
    AQ479
)</f>
        <v/>
      </c>
      <c r="BD479" s="96" t="str">
        <f aca="false">IF(AU479&gt;AT$7,
    "",
    VLOOKUP(AU479,AW$8:BC$507,7,FALSE())
)</f>
        <v/>
      </c>
      <c r="BE479" s="97" t="str">
        <f aca="false">IF(AU479&gt;AT$7,
    "",
    VLOOKUP(AU479,AW$8:BC$507,2,FALSE())
)</f>
        <v/>
      </c>
      <c r="BF479" s="97" t="str">
        <f aca="false">IF(AU479&gt;AT$7,
    "",
    VLOOKUP(AU479,AW$8:BC$507,3,FALSE())
)</f>
        <v/>
      </c>
      <c r="BG479" s="97" t="str">
        <f aca="false">IF(AU479&gt;AT$7,
    "",
    VLOOKUP(AU479,AW$8:BC$507,4,FALSE())
)</f>
        <v/>
      </c>
      <c r="BH479" s="97" t="str">
        <f aca="false">IF(AU479&gt;AT$7,
    "",
    VLOOKUP(AU479,AW$8:BC$507,5,FALSE())
)</f>
        <v/>
      </c>
      <c r="BI479" s="98" t="str">
        <f aca="false">IF(AU479&gt;AT$7,
    "",
    VLOOKUP(AU479,AW$8:BC$507,6,FALSE())
)</f>
        <v/>
      </c>
      <c r="BJ479" s="46"/>
    </row>
    <row r="480" customFormat="false" ht="15.75" hidden="false" customHeight="false" outlineLevel="0" collapsed="false">
      <c r="A480" s="3"/>
      <c r="B480" s="105"/>
      <c r="C480" s="106"/>
      <c r="D480" s="99"/>
      <c r="E480" s="110"/>
      <c r="F480" s="107"/>
      <c r="G480" s="110"/>
      <c r="H480" s="103"/>
      <c r="I480" s="102"/>
      <c r="J480" s="103"/>
      <c r="K480" s="103"/>
      <c r="L480" s="85"/>
      <c r="M480" s="85" t="str">
        <f aca="false">IF(ISBLANK($C480),"",IF(ISBLANK(E480),0,E480))</f>
        <v/>
      </c>
      <c r="N480" s="85" t="str">
        <f aca="false">IF(ISBLANK($C480),"",IF(ISBLANK(F480),0,F480))</f>
        <v/>
      </c>
      <c r="O480" s="86" t="e">
        <f aca="false">IF(AND(NOT(ISBLANK($C480)),NOT($T480),COUNTA($E480:$K480)&gt;0),ISBLANK($F480),FALSE())</f>
        <v>#VALUE!</v>
      </c>
      <c r="P480" s="85" t="str">
        <f aca="false">IF(ISBLANK($C480),"",IF(G480=Constants!$B$9, TRUE(), IF(G480=Constants!$B$10, FALSE(), TRUE())))</f>
        <v/>
      </c>
      <c r="Q480" s="85" t="str">
        <f aca="false">IF(ISBLANK($C480),"",IF(H480=Constants!$B$9, TRUE(), IF(H480=Constants!$B$10, FALSE(), TRUE())))</f>
        <v/>
      </c>
      <c r="R480" s="85" t="str">
        <f aca="false">IF(ISBLANK($C480),"",IF(ISBLANK(I480),Constants!$B$3,I480))</f>
        <v/>
      </c>
      <c r="S480" s="85" t="str">
        <f aca="false">IF(ISBLANK($C480),"",IF(ISBLANK(J480),0,MIN(J480,Constants!$B$6)))</f>
        <v/>
      </c>
      <c r="T480" s="85" t="str">
        <f aca="false">IF(ISBLANK($C480),"",IF(K480=Constants!$B$9, TRUE(), IF(K480=Constants!$B$10, FALSE(),  FALSE())))</f>
        <v/>
      </c>
      <c r="U480" s="85" t="str">
        <f aca="false">IF(ISBLANK($C480),"",AND(R480=Constants!$B$4, S480&lt;Constants!$B$6))</f>
        <v/>
      </c>
      <c r="V480" s="85" t="str">
        <f aca="false">IF(ISBLANK(C480), "", IF(T480, Constants!$B$11, IF(COUNTA(E480:K480)=0, Constants!$B$12, IF(NOT(AND(P480,S480&lt;&gt;0)), Constants!$B$13, IF(O480, Constants!$B$15, Constants!$B$14)))))</f>
        <v/>
      </c>
      <c r="W480" s="85" t="str">
        <f aca="false">IF(OR(ISBLANK($C480), SUMPRODUCT(--(P480:T480&lt;&gt;""))=0), "", IF(V480&lt;&gt;Constants!$B$14, V480, IF(AND(NOT(ISBLANK(J480)),P480,Q480,R480&lt;&gt;Constants!$B$2), Constants!$B$7, IF(AND(P480,OR(NOT(Q480),R480=Constants!$B$2)), Constants!$B$8, "Error"))))</f>
        <v/>
      </c>
      <c r="X480" s="87" t="str">
        <f aca="false">IF(OR(W480=Constants!$B$7,W480=Constants!$B$8), MAX(0, MIN(Constants!$B$6, S480))+IF(AND(R480=Constants!$B$4, NOT(U480)), Constants!$B$5, 0), "")</f>
        <v/>
      </c>
      <c r="Y480" s="85" t="str">
        <f aca="false">IF(ISBLANK($C480),"",IF(AND(ISNUMBER(X480),N480&gt;0),X480/N480, "") )</f>
        <v/>
      </c>
      <c r="Z480" s="85" t="str">
        <f aca="false">IF(AND(NOT(ISBLANK($C480)), W480=Constants!$B$7), Y480, "")</f>
        <v/>
      </c>
      <c r="AA480" s="85" t="str">
        <f aca="false">IF(ISNUMBER(Z480), RANK(Z480,Z$8:Z$507), "")</f>
        <v/>
      </c>
      <c r="AB480" s="85" t="str">
        <f aca="false">IF(AND(NOT(ISBLANK($C480)), W480=Constants!$B$8), Y480, "")</f>
        <v/>
      </c>
      <c r="AC480" s="85" t="str">
        <f aca="false">IF(ISNUMBER(AB480), RANK(AB480,AB$8:AB$507), "")</f>
        <v/>
      </c>
      <c r="AD480" s="85" t="str">
        <f aca="false">IF(ISBLANK($C480),"",IF(V480&lt;&gt;Constants!$B$14, V480, IF(W480=Constants!$B$7, AA480, IF(W480=Constants!$B$8, COUNT($AA$8:$AA$507) + AC480, ""))))</f>
        <v/>
      </c>
      <c r="AE480" s="85" t="str">
        <f aca="false">N480</f>
        <v/>
      </c>
      <c r="AF480" s="85" t="str">
        <f aca="false">IF(ISNUMBER(AE480), RANK(AE480,AE$8:AE$507,1), "")</f>
        <v/>
      </c>
      <c r="AG480" s="88" t="str">
        <f aca="false">IF(ISBLANK(C480), "", ABS(M480-S480))</f>
        <v/>
      </c>
      <c r="AH480" s="85" t="str">
        <f aca="false">IF(ISNUMBER(AG480), RANK(AG480,AG$8:AG$507,1), "")</f>
        <v/>
      </c>
      <c r="AI480" s="85" t="str">
        <f aca="false">IF(ISBLANK(C480),"",IF(V480&lt;&gt;Constants!$B$14, V480, RANK(AD480, AD$8:AD$507, 1)+ SUMPRODUCT(--(AD$8:AD$507=AD480),--(AF480&gt;AF$8:AF$507)) + SUMPRODUCT(--(AD$8:AD$507=AD480),--(AF480=AF$8:AF$507),--(AH480&gt;AH$8:AH$507))))</f>
        <v/>
      </c>
      <c r="AJ480" s="85" t="str">
        <f aca="false">IF(ISBLANK(C480),"",IF(V480&lt;&gt;Constants!$B$14, V480, AD480-AI480))</f>
        <v/>
      </c>
      <c r="AK480" s="89"/>
      <c r="AL480" s="90" t="str">
        <f aca="false">IF(ISBLANK($C480),"",IF($V480&lt;&gt;Constants!$B$14,$V480,X480))</f>
        <v/>
      </c>
      <c r="AM480" s="90" t="str">
        <f aca="false">IF(ISBLANK($C480),"",IF($V480&lt;&gt;Constants!$B$14,$V480,N480))</f>
        <v/>
      </c>
      <c r="AN480" s="91" t="str">
        <f aca="false">IF(ISBLANK(C480),"",IF(V480&lt;&gt;Constants!$B$14, V480, IF(W480=Constants!$B$7,Z480,IF(W480=Constants!$B$8,AB480,""))))</f>
        <v/>
      </c>
      <c r="AO480" s="92" t="str">
        <f aca="false">IF(ISBLANK(C480),"",W480)</f>
        <v/>
      </c>
      <c r="AP480" s="92" t="str">
        <f aca="false">IF(ISBLANK(C480),"",AJ480)</f>
        <v/>
      </c>
      <c r="AQ480" s="92" t="str">
        <f aca="false">IF(ISBLANK(C480),"",AI480)</f>
        <v/>
      </c>
      <c r="AR480" s="93" t="str">
        <f aca="false">IF(ISBLANK(C480),
  "",
IF(AQ480=Constants!$B$11,COUNTA($C$8:$C$507)+2,IF(AQ480=Constants!$B$12,COUNTA($C$8:$C$507)+1,IF(AQ480=Constants!$B$13,COUNTA($C$8:$C$507),AQ480))))</f>
        <v/>
      </c>
      <c r="AS480" s="3"/>
      <c r="AT480" s="94" t="n">
        <f aca="false">IF(OR(ISNUMBER(AQ480),AQ480="DQ",AQ480="P",AQ480="NS"),
    1,
    0
)</f>
        <v>0</v>
      </c>
      <c r="AU480" s="94" t="n">
        <v>473</v>
      </c>
      <c r="AV480" s="94" t="str">
        <f aca="false">IF(ISBLANK($C480),
    "",
   IF(ISNUMBER(AR480),AR480+ROW($B480)/1000,"")
)</f>
        <v/>
      </c>
      <c r="AW480" s="94" t="str">
        <f aca="false">IF(ISNUMBER(AV480), RANK(AV480,AV$8:AV$507,1), "")</f>
        <v/>
      </c>
      <c r="AX480" s="94" t="str">
        <f aca="false">IF(ISBLANK($C480),
    "",
    $B480
)</f>
        <v/>
      </c>
      <c r="AY480" s="94" t="str">
        <f aca="false">IF(ISBLANK($C480),
    "",
    $C480
)</f>
        <v/>
      </c>
      <c r="AZ480" s="94" t="str">
        <f aca="false">IF(ISBLANK($C480),
    "",
    $D480
)</f>
        <v/>
      </c>
      <c r="BA480" s="94" t="str">
        <f aca="false">AO480</f>
        <v/>
      </c>
      <c r="BB480" s="95" t="str">
        <f aca="false">AN480</f>
        <v/>
      </c>
      <c r="BC480" s="94" t="str">
        <f aca="false">IF(ISBLANK($C480),
    "",
    AQ480
)</f>
        <v/>
      </c>
      <c r="BD480" s="96" t="str">
        <f aca="false">IF(AU480&gt;AT$7,
    "",
    VLOOKUP(AU480,AW$8:BC$507,7,FALSE())
)</f>
        <v/>
      </c>
      <c r="BE480" s="97" t="str">
        <f aca="false">IF(AU480&gt;AT$7,
    "",
    VLOOKUP(AU480,AW$8:BC$507,2,FALSE())
)</f>
        <v/>
      </c>
      <c r="BF480" s="97" t="str">
        <f aca="false">IF(AU480&gt;AT$7,
    "",
    VLOOKUP(AU480,AW$8:BC$507,3,FALSE())
)</f>
        <v/>
      </c>
      <c r="BG480" s="97" t="str">
        <f aca="false">IF(AU480&gt;AT$7,
    "",
    VLOOKUP(AU480,AW$8:BC$507,4,FALSE())
)</f>
        <v/>
      </c>
      <c r="BH480" s="97" t="str">
        <f aca="false">IF(AU480&gt;AT$7,
    "",
    VLOOKUP(AU480,AW$8:BC$507,5,FALSE())
)</f>
        <v/>
      </c>
      <c r="BI480" s="98" t="str">
        <f aca="false">IF(AU480&gt;AT$7,
    "",
    VLOOKUP(AU480,AW$8:BC$507,6,FALSE())
)</f>
        <v/>
      </c>
      <c r="BJ480" s="46"/>
    </row>
    <row r="481" customFormat="false" ht="15.75" hidden="false" customHeight="false" outlineLevel="0" collapsed="false">
      <c r="A481" s="3"/>
      <c r="B481" s="105"/>
      <c r="C481" s="106"/>
      <c r="D481" s="99"/>
      <c r="E481" s="110"/>
      <c r="F481" s="107"/>
      <c r="G481" s="110"/>
      <c r="H481" s="103"/>
      <c r="I481" s="102"/>
      <c r="J481" s="103"/>
      <c r="K481" s="103"/>
      <c r="L481" s="85"/>
      <c r="M481" s="85" t="str">
        <f aca="false">IF(ISBLANK($C481),"",IF(ISBLANK(E481),0,E481))</f>
        <v/>
      </c>
      <c r="N481" s="85" t="str">
        <f aca="false">IF(ISBLANK($C481),"",IF(ISBLANK(F481),0,F481))</f>
        <v/>
      </c>
      <c r="O481" s="86" t="e">
        <f aca="false">IF(AND(NOT(ISBLANK($C481)),NOT($T481),COUNTA($E481:$K481)&gt;0),ISBLANK($F481),FALSE())</f>
        <v>#VALUE!</v>
      </c>
      <c r="P481" s="85" t="str">
        <f aca="false">IF(ISBLANK($C481),"",IF(G481=Constants!$B$9, TRUE(), IF(G481=Constants!$B$10, FALSE(), TRUE())))</f>
        <v/>
      </c>
      <c r="Q481" s="85" t="str">
        <f aca="false">IF(ISBLANK($C481),"",IF(H481=Constants!$B$9, TRUE(), IF(H481=Constants!$B$10, FALSE(), TRUE())))</f>
        <v/>
      </c>
      <c r="R481" s="85" t="str">
        <f aca="false">IF(ISBLANK($C481),"",IF(ISBLANK(I481),Constants!$B$3,I481))</f>
        <v/>
      </c>
      <c r="S481" s="85" t="str">
        <f aca="false">IF(ISBLANK($C481),"",IF(ISBLANK(J481),0,MIN(J481,Constants!$B$6)))</f>
        <v/>
      </c>
      <c r="T481" s="85" t="str">
        <f aca="false">IF(ISBLANK($C481),"",IF(K481=Constants!$B$9, TRUE(), IF(K481=Constants!$B$10, FALSE(),  FALSE())))</f>
        <v/>
      </c>
      <c r="U481" s="85" t="str">
        <f aca="false">IF(ISBLANK($C481),"",AND(R481=Constants!$B$4, S481&lt;Constants!$B$6))</f>
        <v/>
      </c>
      <c r="V481" s="85" t="str">
        <f aca="false">IF(ISBLANK(C481), "", IF(T481, Constants!$B$11, IF(COUNTA(E481:K481)=0, Constants!$B$12, IF(NOT(AND(P481,S481&lt;&gt;0)), Constants!$B$13, IF(O481, Constants!$B$15, Constants!$B$14)))))</f>
        <v/>
      </c>
      <c r="W481" s="85" t="str">
        <f aca="false">IF(OR(ISBLANK($C481), SUMPRODUCT(--(P481:T481&lt;&gt;""))=0), "", IF(V481&lt;&gt;Constants!$B$14, V481, IF(AND(NOT(ISBLANK(J481)),P481,Q481,R481&lt;&gt;Constants!$B$2), Constants!$B$7, IF(AND(P481,OR(NOT(Q481),R481=Constants!$B$2)), Constants!$B$8, "Error"))))</f>
        <v/>
      </c>
      <c r="X481" s="87" t="str">
        <f aca="false">IF(OR(W481=Constants!$B$7,W481=Constants!$B$8), MAX(0, MIN(Constants!$B$6, S481))+IF(AND(R481=Constants!$B$4, NOT(U481)), Constants!$B$5, 0), "")</f>
        <v/>
      </c>
      <c r="Y481" s="85" t="str">
        <f aca="false">IF(ISBLANK($C481),"",IF(AND(ISNUMBER(X481),N481&gt;0),X481/N481, "") )</f>
        <v/>
      </c>
      <c r="Z481" s="85" t="str">
        <f aca="false">IF(AND(NOT(ISBLANK($C481)), W481=Constants!$B$7), Y481, "")</f>
        <v/>
      </c>
      <c r="AA481" s="85" t="str">
        <f aca="false">IF(ISNUMBER(Z481), RANK(Z481,Z$8:Z$507), "")</f>
        <v/>
      </c>
      <c r="AB481" s="85" t="str">
        <f aca="false">IF(AND(NOT(ISBLANK($C481)), W481=Constants!$B$8), Y481, "")</f>
        <v/>
      </c>
      <c r="AC481" s="85" t="str">
        <f aca="false">IF(ISNUMBER(AB481), RANK(AB481,AB$8:AB$507), "")</f>
        <v/>
      </c>
      <c r="AD481" s="85" t="str">
        <f aca="false">IF(ISBLANK($C481),"",IF(V481&lt;&gt;Constants!$B$14, V481, IF(W481=Constants!$B$7, AA481, IF(W481=Constants!$B$8, COUNT($AA$8:$AA$507) + AC481, ""))))</f>
        <v/>
      </c>
      <c r="AE481" s="85" t="str">
        <f aca="false">N481</f>
        <v/>
      </c>
      <c r="AF481" s="85" t="str">
        <f aca="false">IF(ISNUMBER(AE481), RANK(AE481,AE$8:AE$507,1), "")</f>
        <v/>
      </c>
      <c r="AG481" s="88" t="str">
        <f aca="false">IF(ISBLANK(C481), "", ABS(M481-S481))</f>
        <v/>
      </c>
      <c r="AH481" s="85" t="str">
        <f aca="false">IF(ISNUMBER(AG481), RANK(AG481,AG$8:AG$507,1), "")</f>
        <v/>
      </c>
      <c r="AI481" s="85" t="str">
        <f aca="false">IF(ISBLANK(C481),"",IF(V481&lt;&gt;Constants!$B$14, V481, RANK(AD481, AD$8:AD$507, 1)+ SUMPRODUCT(--(AD$8:AD$507=AD481),--(AF481&gt;AF$8:AF$507)) + SUMPRODUCT(--(AD$8:AD$507=AD481),--(AF481=AF$8:AF$507),--(AH481&gt;AH$8:AH$507))))</f>
        <v/>
      </c>
      <c r="AJ481" s="85" t="str">
        <f aca="false">IF(ISBLANK(C481),"",IF(V481&lt;&gt;Constants!$B$14, V481, AD481-AI481))</f>
        <v/>
      </c>
      <c r="AK481" s="89"/>
      <c r="AL481" s="90" t="str">
        <f aca="false">IF(ISBLANK($C481),"",IF($V481&lt;&gt;Constants!$B$14,$V481,X481))</f>
        <v/>
      </c>
      <c r="AM481" s="90" t="str">
        <f aca="false">IF(ISBLANK($C481),"",IF($V481&lt;&gt;Constants!$B$14,$V481,N481))</f>
        <v/>
      </c>
      <c r="AN481" s="91" t="str">
        <f aca="false">IF(ISBLANK(C481),"",IF(V481&lt;&gt;Constants!$B$14, V481, IF(W481=Constants!$B$7,Z481,IF(W481=Constants!$B$8,AB481,""))))</f>
        <v/>
      </c>
      <c r="AO481" s="92" t="str">
        <f aca="false">IF(ISBLANK(C481),"",W481)</f>
        <v/>
      </c>
      <c r="AP481" s="92" t="str">
        <f aca="false">IF(ISBLANK(C481),"",AJ481)</f>
        <v/>
      </c>
      <c r="AQ481" s="92" t="str">
        <f aca="false">IF(ISBLANK(C481),"",AI481)</f>
        <v/>
      </c>
      <c r="AR481" s="93" t="str">
        <f aca="false">IF(ISBLANK(C481),
  "",
IF(AQ481=Constants!$B$11,COUNTA($C$8:$C$507)+2,IF(AQ481=Constants!$B$12,COUNTA($C$8:$C$507)+1,IF(AQ481=Constants!$B$13,COUNTA($C$8:$C$507),AQ481))))</f>
        <v/>
      </c>
      <c r="AS481" s="3"/>
      <c r="AT481" s="94" t="n">
        <f aca="false">IF(OR(ISNUMBER(AQ481),AQ481="DQ",AQ481="P",AQ481="NS"),
    1,
    0
)</f>
        <v>0</v>
      </c>
      <c r="AU481" s="94" t="n">
        <v>474</v>
      </c>
      <c r="AV481" s="94" t="str">
        <f aca="false">IF(ISBLANK($C481),
    "",
   IF(ISNUMBER(AR481),AR481+ROW($B481)/1000,"")
)</f>
        <v/>
      </c>
      <c r="AW481" s="94" t="str">
        <f aca="false">IF(ISNUMBER(AV481), RANK(AV481,AV$8:AV$507,1), "")</f>
        <v/>
      </c>
      <c r="AX481" s="94" t="str">
        <f aca="false">IF(ISBLANK($C481),
    "",
    $B481
)</f>
        <v/>
      </c>
      <c r="AY481" s="94" t="str">
        <f aca="false">IF(ISBLANK($C481),
    "",
    $C481
)</f>
        <v/>
      </c>
      <c r="AZ481" s="94" t="str">
        <f aca="false">IF(ISBLANK($C481),
    "",
    $D481
)</f>
        <v/>
      </c>
      <c r="BA481" s="94" t="str">
        <f aca="false">AO481</f>
        <v/>
      </c>
      <c r="BB481" s="95" t="str">
        <f aca="false">AN481</f>
        <v/>
      </c>
      <c r="BC481" s="94" t="str">
        <f aca="false">IF(ISBLANK($C481),
    "",
    AQ481
)</f>
        <v/>
      </c>
      <c r="BD481" s="96" t="str">
        <f aca="false">IF(AU481&gt;AT$7,
    "",
    VLOOKUP(AU481,AW$8:BC$507,7,FALSE())
)</f>
        <v/>
      </c>
      <c r="BE481" s="97" t="str">
        <f aca="false">IF(AU481&gt;AT$7,
    "",
    VLOOKUP(AU481,AW$8:BC$507,2,FALSE())
)</f>
        <v/>
      </c>
      <c r="BF481" s="97" t="str">
        <f aca="false">IF(AU481&gt;AT$7,
    "",
    VLOOKUP(AU481,AW$8:BC$507,3,FALSE())
)</f>
        <v/>
      </c>
      <c r="BG481" s="97" t="str">
        <f aca="false">IF(AU481&gt;AT$7,
    "",
    VLOOKUP(AU481,AW$8:BC$507,4,FALSE())
)</f>
        <v/>
      </c>
      <c r="BH481" s="97" t="str">
        <f aca="false">IF(AU481&gt;AT$7,
    "",
    VLOOKUP(AU481,AW$8:BC$507,5,FALSE())
)</f>
        <v/>
      </c>
      <c r="BI481" s="98" t="str">
        <f aca="false">IF(AU481&gt;AT$7,
    "",
    VLOOKUP(AU481,AW$8:BC$507,6,FALSE())
)</f>
        <v/>
      </c>
      <c r="BJ481" s="46"/>
    </row>
    <row r="482" customFormat="false" ht="15.75" hidden="false" customHeight="false" outlineLevel="0" collapsed="false">
      <c r="A482" s="3"/>
      <c r="B482" s="108"/>
      <c r="C482" s="70"/>
      <c r="D482" s="49"/>
      <c r="E482" s="109"/>
      <c r="F482" s="72"/>
      <c r="G482" s="109"/>
      <c r="H482" s="74"/>
      <c r="I482" s="104"/>
      <c r="J482" s="74"/>
      <c r="K482" s="74"/>
      <c r="L482" s="55"/>
      <c r="M482" s="55" t="str">
        <f aca="false">IF(ISBLANK($C482),"",IF(ISBLANK(E482),0,E482))</f>
        <v/>
      </c>
      <c r="N482" s="55" t="str">
        <f aca="false">IF(ISBLANK($C482),"",IF(ISBLANK(F482),0,F482))</f>
        <v/>
      </c>
      <c r="O482" s="55" t="e">
        <f aca="false">IF(AND(NOT(ISBLANK($C482)),NOT($T482),COUNTA($E482:$K482)&gt;0),ISBLANK($F482),FALSE())</f>
        <v>#VALUE!</v>
      </c>
      <c r="P482" s="55" t="str">
        <f aca="false">IF(ISBLANK($C482),"",IF(G482=Constants!$B$9, TRUE(), IF(G482=Constants!$B$10, FALSE(), TRUE())))</f>
        <v/>
      </c>
      <c r="Q482" s="55" t="str">
        <f aca="false">IF(ISBLANK($C482),"",IF(H482=Constants!$B$9, TRUE(), IF(H482=Constants!$B$10, FALSE(), TRUE())))</f>
        <v/>
      </c>
      <c r="R482" s="55" t="str">
        <f aca="false">IF(ISBLANK($C482),"",IF(ISBLANK(I482),Constants!$B$3,I482))</f>
        <v/>
      </c>
      <c r="S482" s="55" t="str">
        <f aca="false">IF(ISBLANK($C482),"",IF(ISBLANK(J482),0,MIN(J482,Constants!$B$6)))</f>
        <v/>
      </c>
      <c r="T482" s="55" t="str">
        <f aca="false">IF(ISBLANK($C482),"",IF(K482=Constants!$B$9, TRUE(), IF(K482=Constants!$B$10, FALSE(),  FALSE())))</f>
        <v/>
      </c>
      <c r="U482" s="55" t="str">
        <f aca="false">IF(ISBLANK($C482),"",AND(R482=Constants!$B$4, S482&lt;Constants!$B$6))</f>
        <v/>
      </c>
      <c r="V482" s="55" t="str">
        <f aca="false">IF(ISBLANK(C482), "", IF(T482, Constants!$B$11, IF(COUNTA(E482:K482)=0, Constants!$B$12, IF(NOT(AND(P482,S482&lt;&gt;0)), Constants!$B$13, IF(O482, Constants!$B$15, Constants!$B$14)))))</f>
        <v/>
      </c>
      <c r="W482" s="55" t="str">
        <f aca="false">IF(OR(ISBLANK($C482), SUMPRODUCT(--(P482:T482&lt;&gt;""))=0), "", IF(V482&lt;&gt;Constants!$B$14, V482, IF(AND(NOT(ISBLANK(J482)),P482,Q482,R482&lt;&gt;Constants!$B$2), Constants!$B$7, IF(AND(P482,OR(NOT(Q482),R482=Constants!$B$2)), Constants!$B$8, "Error"))))</f>
        <v/>
      </c>
      <c r="X482" s="56" t="str">
        <f aca="false">IF(OR(W482=Constants!$B$7,W482=Constants!$B$8), MAX(0, MIN(Constants!$B$6, S482))+IF(AND(R482=Constants!$B$4, NOT(U482)), Constants!$B$5, 0), "")</f>
        <v/>
      </c>
      <c r="Y482" s="55" t="str">
        <f aca="false">IF(ISBLANK($C482),"",IF(AND(ISNUMBER(X482),N482&gt;0),X482/N482, "") )</f>
        <v/>
      </c>
      <c r="Z482" s="55" t="str">
        <f aca="false">IF(AND(NOT(ISBLANK($C482)), W482=Constants!$B$7), Y482, "")</f>
        <v/>
      </c>
      <c r="AA482" s="55" t="str">
        <f aca="false">IF(ISNUMBER(Z482), RANK(Z482,Z$8:Z$507), "")</f>
        <v/>
      </c>
      <c r="AB482" s="55" t="str">
        <f aca="false">IF(AND(NOT(ISBLANK($C482)), W482=Constants!$B$8), Y482, "")</f>
        <v/>
      </c>
      <c r="AC482" s="55" t="str">
        <f aca="false">IF(ISNUMBER(AB482), RANK(AB482,AB$8:AB$507), "")</f>
        <v/>
      </c>
      <c r="AD482" s="55" t="str">
        <f aca="false">IF(ISBLANK($C482),"",IF(V482&lt;&gt;Constants!$B$14, V482, IF(W482=Constants!$B$7, AA482, IF(W482=Constants!$B$8, COUNT($AA$8:$AA$507) + AC482, ""))))</f>
        <v/>
      </c>
      <c r="AE482" s="55" t="str">
        <f aca="false">N482</f>
        <v/>
      </c>
      <c r="AF482" s="55" t="str">
        <f aca="false">IF(ISNUMBER(AE482), RANK(AE482,AE$8:AE$507,1), "")</f>
        <v/>
      </c>
      <c r="AG482" s="57" t="str">
        <f aca="false">IF(ISBLANK(C482), "", ABS(M482-S482))</f>
        <v/>
      </c>
      <c r="AH482" s="55" t="str">
        <f aca="false">IF(ISNUMBER(AG482), RANK(AG482,AG$8:AG$507,1), "")</f>
        <v/>
      </c>
      <c r="AI482" s="55" t="str">
        <f aca="false">IF(ISBLANK(C482),"",IF(V482&lt;&gt;Constants!$B$14, V482, RANK(AD482, AD$8:AD$507, 1)+ SUMPRODUCT(--(AD$8:AD$507=AD482),--(AF482&gt;AF$8:AF$507)) + SUMPRODUCT(--(AD$8:AD$507=AD482),--(AF482=AF$8:AF$507),--(AH482&gt;AH$8:AH$507))))</f>
        <v/>
      </c>
      <c r="AJ482" s="55" t="str">
        <f aca="false">IF(ISBLANK(C482),"",IF(V482&lt;&gt;Constants!$B$14, V482, AD482-AI482))</f>
        <v/>
      </c>
      <c r="AK482" s="59"/>
      <c r="AL482" s="60" t="str">
        <f aca="false">IF(ISBLANK($C482),"",IF($V482&lt;&gt;Constants!$B$14,$V482,X482))</f>
        <v/>
      </c>
      <c r="AM482" s="60" t="str">
        <f aca="false">IF(ISBLANK($C482),"",IF($V482&lt;&gt;Constants!$B$14,$V482,N482))</f>
        <v/>
      </c>
      <c r="AN482" s="62" t="str">
        <f aca="false">IF(ISBLANK(C482),"",IF(V482&lt;&gt;Constants!$B$14, V482, IF(W482=Constants!$B$7,Z482,IF(W482=Constants!$B$8,AB482,""))))</f>
        <v/>
      </c>
      <c r="AO482" s="63" t="str">
        <f aca="false">IF(ISBLANK(C482),"",W482)</f>
        <v/>
      </c>
      <c r="AP482" s="63" t="str">
        <f aca="false">IF(ISBLANK(C482),"",AJ482)</f>
        <v/>
      </c>
      <c r="AQ482" s="63" t="str">
        <f aca="false">IF(ISBLANK(C482),"",AI482)</f>
        <v/>
      </c>
      <c r="AR482" s="64" t="str">
        <f aca="false">IF(ISBLANK(C482),
  "",
IF(AQ482=Constants!$B$11,COUNTA($C$8:$C$507)+2,IF(AQ482=Constants!$B$12,COUNTA($C$8:$C$507)+1,IF(AQ482=Constants!$B$13,COUNTA($C$8:$C$507),AQ482))))</f>
        <v/>
      </c>
      <c r="AS482" s="3"/>
      <c r="AT482" s="65" t="n">
        <f aca="false">IF(OR(ISNUMBER(AQ482),AQ482="DQ",AQ482="P",AQ482="NS"),
    1,
    0
)</f>
        <v>0</v>
      </c>
      <c r="AU482" s="65" t="n">
        <v>475</v>
      </c>
      <c r="AV482" s="65" t="str">
        <f aca="false">IF(ISBLANK($C482),
    "",
   IF(ISNUMBER(AR482),AR482+ROW($B482)/1000,"")
)</f>
        <v/>
      </c>
      <c r="AW482" s="65" t="str">
        <f aca="false">IF(ISNUMBER(AV482), RANK(AV482,AV$8:AV$507,1), "")</f>
        <v/>
      </c>
      <c r="AX482" s="65" t="str">
        <f aca="false">IF(ISBLANK($C482),
    "",
    $B482
)</f>
        <v/>
      </c>
      <c r="AY482" s="65" t="str">
        <f aca="false">IF(ISBLANK($C482),
    "",
    $C482
)</f>
        <v/>
      </c>
      <c r="AZ482" s="65" t="str">
        <f aca="false">IF(ISBLANK($C482),
    "",
    $D482
)</f>
        <v/>
      </c>
      <c r="BA482" s="65" t="str">
        <f aca="false">AO482</f>
        <v/>
      </c>
      <c r="BB482" s="66" t="str">
        <f aca="false">AN482</f>
        <v/>
      </c>
      <c r="BC482" s="65" t="str">
        <f aca="false">IF(ISBLANK($C482),
    "",
    AQ482
)</f>
        <v/>
      </c>
      <c r="BD482" s="67" t="str">
        <f aca="false">IF(AU482&gt;AT$7,
    "",
    VLOOKUP(AU482,AW$8:BC$507,7,FALSE())
)</f>
        <v/>
      </c>
      <c r="BE482" s="68" t="str">
        <f aca="false">IF(AU482&gt;AT$7,
    "",
    VLOOKUP(AU482,AW$8:BC$507,2,FALSE())
)</f>
        <v/>
      </c>
      <c r="BF482" s="68" t="str">
        <f aca="false">IF(AU482&gt;AT$7,
    "",
    VLOOKUP(AU482,AW$8:BC$507,3,FALSE())
)</f>
        <v/>
      </c>
      <c r="BG482" s="68" t="str">
        <f aca="false">IF(AU482&gt;AT$7,
    "",
    VLOOKUP(AU482,AW$8:BC$507,4,FALSE())
)</f>
        <v/>
      </c>
      <c r="BH482" s="68" t="str">
        <f aca="false">IF(AU482&gt;AT$7,
    "",
    VLOOKUP(AU482,AW$8:BC$507,5,FALSE())
)</f>
        <v/>
      </c>
      <c r="BI482" s="69" t="str">
        <f aca="false">IF(AU482&gt;AT$7,
    "",
    VLOOKUP(AU482,AW$8:BC$507,6,FALSE())
)</f>
        <v/>
      </c>
      <c r="BJ482" s="46"/>
    </row>
    <row r="483" customFormat="false" ht="15.75" hidden="false" customHeight="false" outlineLevel="0" collapsed="false">
      <c r="A483" s="3"/>
      <c r="B483" s="108"/>
      <c r="C483" s="70"/>
      <c r="D483" s="49"/>
      <c r="E483" s="109"/>
      <c r="F483" s="72"/>
      <c r="G483" s="109"/>
      <c r="H483" s="74"/>
      <c r="I483" s="104"/>
      <c r="J483" s="74"/>
      <c r="K483" s="74"/>
      <c r="L483" s="55"/>
      <c r="M483" s="55" t="str">
        <f aca="false">IF(ISBLANK($C483),"",IF(ISBLANK(E483),0,E483))</f>
        <v/>
      </c>
      <c r="N483" s="55" t="str">
        <f aca="false">IF(ISBLANK($C483),"",IF(ISBLANK(F483),0,F483))</f>
        <v/>
      </c>
      <c r="O483" s="55" t="e">
        <f aca="false">IF(AND(NOT(ISBLANK($C483)),NOT($T483),COUNTA($E483:$K483)&gt;0),ISBLANK($F483),FALSE())</f>
        <v>#VALUE!</v>
      </c>
      <c r="P483" s="55" t="str">
        <f aca="false">IF(ISBLANK($C483),"",IF(G483=Constants!$B$9, TRUE(), IF(G483=Constants!$B$10, FALSE(), TRUE())))</f>
        <v/>
      </c>
      <c r="Q483" s="55" t="str">
        <f aca="false">IF(ISBLANK($C483),"",IF(H483=Constants!$B$9, TRUE(), IF(H483=Constants!$B$10, FALSE(), TRUE())))</f>
        <v/>
      </c>
      <c r="R483" s="55" t="str">
        <f aca="false">IF(ISBLANK($C483),"",IF(ISBLANK(I483),Constants!$B$3,I483))</f>
        <v/>
      </c>
      <c r="S483" s="55" t="str">
        <f aca="false">IF(ISBLANK($C483),"",IF(ISBLANK(J483),0,MIN(J483,Constants!$B$6)))</f>
        <v/>
      </c>
      <c r="T483" s="55" t="str">
        <f aca="false">IF(ISBLANK($C483),"",IF(K483=Constants!$B$9, TRUE(), IF(K483=Constants!$B$10, FALSE(),  FALSE())))</f>
        <v/>
      </c>
      <c r="U483" s="55" t="str">
        <f aca="false">IF(ISBLANK($C483),"",AND(R483=Constants!$B$4, S483&lt;Constants!$B$6))</f>
        <v/>
      </c>
      <c r="V483" s="55" t="str">
        <f aca="false">IF(ISBLANK(C483), "", IF(T483, Constants!$B$11, IF(COUNTA(E483:K483)=0, Constants!$B$12, IF(NOT(AND(P483,S483&lt;&gt;0)), Constants!$B$13, IF(O483, Constants!$B$15, Constants!$B$14)))))</f>
        <v/>
      </c>
      <c r="W483" s="55" t="str">
        <f aca="false">IF(OR(ISBLANK($C483), SUMPRODUCT(--(P483:T483&lt;&gt;""))=0), "", IF(V483&lt;&gt;Constants!$B$14, V483, IF(AND(NOT(ISBLANK(J483)),P483,Q483,R483&lt;&gt;Constants!$B$2), Constants!$B$7, IF(AND(P483,OR(NOT(Q483),R483=Constants!$B$2)), Constants!$B$8, "Error"))))</f>
        <v/>
      </c>
      <c r="X483" s="56" t="str">
        <f aca="false">IF(OR(W483=Constants!$B$7,W483=Constants!$B$8), MAX(0, MIN(Constants!$B$6, S483))+IF(AND(R483=Constants!$B$4, NOT(U483)), Constants!$B$5, 0), "")</f>
        <v/>
      </c>
      <c r="Y483" s="55" t="str">
        <f aca="false">IF(ISBLANK($C483),"",IF(AND(ISNUMBER(X483),N483&gt;0),X483/N483, "") )</f>
        <v/>
      </c>
      <c r="Z483" s="55" t="str">
        <f aca="false">IF(AND(NOT(ISBLANK($C483)), W483=Constants!$B$7), Y483, "")</f>
        <v/>
      </c>
      <c r="AA483" s="55" t="str">
        <f aca="false">IF(ISNUMBER(Z483), RANK(Z483,Z$8:Z$507), "")</f>
        <v/>
      </c>
      <c r="AB483" s="55" t="str">
        <f aca="false">IF(AND(NOT(ISBLANK($C483)), W483=Constants!$B$8), Y483, "")</f>
        <v/>
      </c>
      <c r="AC483" s="55" t="str">
        <f aca="false">IF(ISNUMBER(AB483), RANK(AB483,AB$8:AB$507), "")</f>
        <v/>
      </c>
      <c r="AD483" s="55" t="str">
        <f aca="false">IF(ISBLANK($C483),"",IF(V483&lt;&gt;Constants!$B$14, V483, IF(W483=Constants!$B$7, AA483, IF(W483=Constants!$B$8, COUNT($AA$8:$AA$507) + AC483, ""))))</f>
        <v/>
      </c>
      <c r="AE483" s="55" t="str">
        <f aca="false">N483</f>
        <v/>
      </c>
      <c r="AF483" s="55" t="str">
        <f aca="false">IF(ISNUMBER(AE483), RANK(AE483,AE$8:AE$507,1), "")</f>
        <v/>
      </c>
      <c r="AG483" s="57" t="str">
        <f aca="false">IF(ISBLANK(C483), "", ABS(M483-S483))</f>
        <v/>
      </c>
      <c r="AH483" s="55" t="str">
        <f aca="false">IF(ISNUMBER(AG483), RANK(AG483,AG$8:AG$507,1), "")</f>
        <v/>
      </c>
      <c r="AI483" s="55" t="str">
        <f aca="false">IF(ISBLANK(C483),"",IF(V483&lt;&gt;Constants!$B$14, V483, RANK(AD483, AD$8:AD$507, 1)+ SUMPRODUCT(--(AD$8:AD$507=AD483),--(AF483&gt;AF$8:AF$507)) + SUMPRODUCT(--(AD$8:AD$507=AD483),--(AF483=AF$8:AF$507),--(AH483&gt;AH$8:AH$507))))</f>
        <v/>
      </c>
      <c r="AJ483" s="55" t="str">
        <f aca="false">IF(ISBLANK(C483),"",IF(V483&lt;&gt;Constants!$B$14, V483, AD483-AI483))</f>
        <v/>
      </c>
      <c r="AK483" s="59"/>
      <c r="AL483" s="60" t="str">
        <f aca="false">IF(ISBLANK($C483),"",IF($V483&lt;&gt;Constants!$B$14,$V483,X483))</f>
        <v/>
      </c>
      <c r="AM483" s="60" t="str">
        <f aca="false">IF(ISBLANK($C483),"",IF($V483&lt;&gt;Constants!$B$14,$V483,N483))</f>
        <v/>
      </c>
      <c r="AN483" s="62" t="str">
        <f aca="false">IF(ISBLANK(C483),"",IF(V483&lt;&gt;Constants!$B$14, V483, IF(W483=Constants!$B$7,Z483,IF(W483=Constants!$B$8,AB483,""))))</f>
        <v/>
      </c>
      <c r="AO483" s="63" t="str">
        <f aca="false">IF(ISBLANK(C483),"",W483)</f>
        <v/>
      </c>
      <c r="AP483" s="63" t="str">
        <f aca="false">IF(ISBLANK(C483),"",AJ483)</f>
        <v/>
      </c>
      <c r="AQ483" s="63" t="str">
        <f aca="false">IF(ISBLANK(C483),"",AI483)</f>
        <v/>
      </c>
      <c r="AR483" s="64" t="str">
        <f aca="false">IF(ISBLANK(C483),
  "",
IF(AQ483=Constants!$B$11,COUNTA($C$8:$C$507)+2,IF(AQ483=Constants!$B$12,COUNTA($C$8:$C$507)+1,IF(AQ483=Constants!$B$13,COUNTA($C$8:$C$507),AQ483))))</f>
        <v/>
      </c>
      <c r="AS483" s="3"/>
      <c r="AT483" s="65" t="n">
        <f aca="false">IF(OR(ISNUMBER(AQ483),AQ483="DQ",AQ483="P",AQ483="NS"),
    1,
    0
)</f>
        <v>0</v>
      </c>
      <c r="AU483" s="65" t="n">
        <v>476</v>
      </c>
      <c r="AV483" s="65" t="str">
        <f aca="false">IF(ISBLANK($C483),
    "",
   IF(ISNUMBER(AR483),AR483+ROW($B483)/1000,"")
)</f>
        <v/>
      </c>
      <c r="AW483" s="65" t="str">
        <f aca="false">IF(ISNUMBER(AV483), RANK(AV483,AV$8:AV$507,1), "")</f>
        <v/>
      </c>
      <c r="AX483" s="65" t="str">
        <f aca="false">IF(ISBLANK($C483),
    "",
    $B483
)</f>
        <v/>
      </c>
      <c r="AY483" s="65" t="str">
        <f aca="false">IF(ISBLANK($C483),
    "",
    $C483
)</f>
        <v/>
      </c>
      <c r="AZ483" s="65" t="str">
        <f aca="false">IF(ISBLANK($C483),
    "",
    $D483
)</f>
        <v/>
      </c>
      <c r="BA483" s="65" t="str">
        <f aca="false">AO483</f>
        <v/>
      </c>
      <c r="BB483" s="66" t="str">
        <f aca="false">AN483</f>
        <v/>
      </c>
      <c r="BC483" s="65" t="str">
        <f aca="false">IF(ISBLANK($C483),
    "",
    AQ483
)</f>
        <v/>
      </c>
      <c r="BD483" s="67" t="str">
        <f aca="false">IF(AU483&gt;AT$7,
    "",
    VLOOKUP(AU483,AW$8:BC$507,7,FALSE())
)</f>
        <v/>
      </c>
      <c r="BE483" s="68" t="str">
        <f aca="false">IF(AU483&gt;AT$7,
    "",
    VLOOKUP(AU483,AW$8:BC$507,2,FALSE())
)</f>
        <v/>
      </c>
      <c r="BF483" s="68" t="str">
        <f aca="false">IF(AU483&gt;AT$7,
    "",
    VLOOKUP(AU483,AW$8:BC$507,3,FALSE())
)</f>
        <v/>
      </c>
      <c r="BG483" s="68" t="str">
        <f aca="false">IF(AU483&gt;AT$7,
    "",
    VLOOKUP(AU483,AW$8:BC$507,4,FALSE())
)</f>
        <v/>
      </c>
      <c r="BH483" s="68" t="str">
        <f aca="false">IF(AU483&gt;AT$7,
    "",
    VLOOKUP(AU483,AW$8:BC$507,5,FALSE())
)</f>
        <v/>
      </c>
      <c r="BI483" s="69" t="str">
        <f aca="false">IF(AU483&gt;AT$7,
    "",
    VLOOKUP(AU483,AW$8:BC$507,6,FALSE())
)</f>
        <v/>
      </c>
      <c r="BJ483" s="46"/>
    </row>
    <row r="484" customFormat="false" ht="15.75" hidden="false" customHeight="false" outlineLevel="0" collapsed="false">
      <c r="A484" s="3"/>
      <c r="B484" s="108"/>
      <c r="C484" s="70"/>
      <c r="D484" s="49"/>
      <c r="E484" s="109"/>
      <c r="F484" s="72"/>
      <c r="G484" s="109"/>
      <c r="H484" s="74"/>
      <c r="I484" s="104"/>
      <c r="J484" s="74"/>
      <c r="K484" s="74"/>
      <c r="L484" s="55"/>
      <c r="M484" s="55" t="str">
        <f aca="false">IF(ISBLANK($C484),"",IF(ISBLANK(E484),0,E484))</f>
        <v/>
      </c>
      <c r="N484" s="55" t="str">
        <f aca="false">IF(ISBLANK($C484),"",IF(ISBLANK(F484),0,F484))</f>
        <v/>
      </c>
      <c r="O484" s="55" t="e">
        <f aca="false">IF(AND(NOT(ISBLANK($C484)),NOT($T484),COUNTA($E484:$K484)&gt;0),ISBLANK($F484),FALSE())</f>
        <v>#VALUE!</v>
      </c>
      <c r="P484" s="55" t="str">
        <f aca="false">IF(ISBLANK($C484),"",IF(G484=Constants!$B$9, TRUE(), IF(G484=Constants!$B$10, FALSE(), TRUE())))</f>
        <v/>
      </c>
      <c r="Q484" s="55" t="str">
        <f aca="false">IF(ISBLANK($C484),"",IF(H484=Constants!$B$9, TRUE(), IF(H484=Constants!$B$10, FALSE(), TRUE())))</f>
        <v/>
      </c>
      <c r="R484" s="55" t="str">
        <f aca="false">IF(ISBLANK($C484),"",IF(ISBLANK(I484),Constants!$B$3,I484))</f>
        <v/>
      </c>
      <c r="S484" s="55" t="str">
        <f aca="false">IF(ISBLANK($C484),"",IF(ISBLANK(J484),0,MIN(J484,Constants!$B$6)))</f>
        <v/>
      </c>
      <c r="T484" s="55" t="str">
        <f aca="false">IF(ISBLANK($C484),"",IF(K484=Constants!$B$9, TRUE(), IF(K484=Constants!$B$10, FALSE(),  FALSE())))</f>
        <v/>
      </c>
      <c r="U484" s="55" t="str">
        <f aca="false">IF(ISBLANK($C484),"",AND(R484=Constants!$B$4, S484&lt;Constants!$B$6))</f>
        <v/>
      </c>
      <c r="V484" s="55" t="str">
        <f aca="false">IF(ISBLANK(C484), "", IF(T484, Constants!$B$11, IF(COUNTA(E484:K484)=0, Constants!$B$12, IF(NOT(AND(P484,S484&lt;&gt;0)), Constants!$B$13, IF(O484, Constants!$B$15, Constants!$B$14)))))</f>
        <v/>
      </c>
      <c r="W484" s="55" t="str">
        <f aca="false">IF(OR(ISBLANK($C484), SUMPRODUCT(--(P484:T484&lt;&gt;""))=0), "", IF(V484&lt;&gt;Constants!$B$14, V484, IF(AND(NOT(ISBLANK(J484)),P484,Q484,R484&lt;&gt;Constants!$B$2), Constants!$B$7, IF(AND(P484,OR(NOT(Q484),R484=Constants!$B$2)), Constants!$B$8, "Error"))))</f>
        <v/>
      </c>
      <c r="X484" s="56" t="str">
        <f aca="false">IF(OR(W484=Constants!$B$7,W484=Constants!$B$8), MAX(0, MIN(Constants!$B$6, S484))+IF(AND(R484=Constants!$B$4, NOT(U484)), Constants!$B$5, 0), "")</f>
        <v/>
      </c>
      <c r="Y484" s="55" t="str">
        <f aca="false">IF(ISBLANK($C484),"",IF(AND(ISNUMBER(X484),N484&gt;0),X484/N484, "") )</f>
        <v/>
      </c>
      <c r="Z484" s="55" t="str">
        <f aca="false">IF(AND(NOT(ISBLANK($C484)), W484=Constants!$B$7), Y484, "")</f>
        <v/>
      </c>
      <c r="AA484" s="55" t="str">
        <f aca="false">IF(ISNUMBER(Z484), RANK(Z484,Z$8:Z$507), "")</f>
        <v/>
      </c>
      <c r="AB484" s="55" t="str">
        <f aca="false">IF(AND(NOT(ISBLANK($C484)), W484=Constants!$B$8), Y484, "")</f>
        <v/>
      </c>
      <c r="AC484" s="55" t="str">
        <f aca="false">IF(ISNUMBER(AB484), RANK(AB484,AB$8:AB$507), "")</f>
        <v/>
      </c>
      <c r="AD484" s="55" t="str">
        <f aca="false">IF(ISBLANK($C484),"",IF(V484&lt;&gt;Constants!$B$14, V484, IF(W484=Constants!$B$7, AA484, IF(W484=Constants!$B$8, COUNT($AA$8:$AA$507) + AC484, ""))))</f>
        <v/>
      </c>
      <c r="AE484" s="55" t="str">
        <f aca="false">N484</f>
        <v/>
      </c>
      <c r="AF484" s="55" t="str">
        <f aca="false">IF(ISNUMBER(AE484), RANK(AE484,AE$8:AE$507,1), "")</f>
        <v/>
      </c>
      <c r="AG484" s="57" t="str">
        <f aca="false">IF(ISBLANK(C484), "", ABS(M484-S484))</f>
        <v/>
      </c>
      <c r="AH484" s="55" t="str">
        <f aca="false">IF(ISNUMBER(AG484), RANK(AG484,AG$8:AG$507,1), "")</f>
        <v/>
      </c>
      <c r="AI484" s="55" t="str">
        <f aca="false">IF(ISBLANK(C484),"",IF(V484&lt;&gt;Constants!$B$14, V484, RANK(AD484, AD$8:AD$507, 1)+ SUMPRODUCT(--(AD$8:AD$507=AD484),--(AF484&gt;AF$8:AF$507)) + SUMPRODUCT(--(AD$8:AD$507=AD484),--(AF484=AF$8:AF$507),--(AH484&gt;AH$8:AH$507))))</f>
        <v/>
      </c>
      <c r="AJ484" s="55" t="str">
        <f aca="false">IF(ISBLANK(C484),"",IF(V484&lt;&gt;Constants!$B$14, V484, AD484-AI484))</f>
        <v/>
      </c>
      <c r="AK484" s="59"/>
      <c r="AL484" s="60" t="str">
        <f aca="false">IF(ISBLANK($C484),"",IF($V484&lt;&gt;Constants!$B$14,$V484,X484))</f>
        <v/>
      </c>
      <c r="AM484" s="60" t="str">
        <f aca="false">IF(ISBLANK($C484),"",IF($V484&lt;&gt;Constants!$B$14,$V484,N484))</f>
        <v/>
      </c>
      <c r="AN484" s="62" t="str">
        <f aca="false">IF(ISBLANK(C484),"",IF(V484&lt;&gt;Constants!$B$14, V484, IF(W484=Constants!$B$7,Z484,IF(W484=Constants!$B$8,AB484,""))))</f>
        <v/>
      </c>
      <c r="AO484" s="63" t="str">
        <f aca="false">IF(ISBLANK(C484),"",W484)</f>
        <v/>
      </c>
      <c r="AP484" s="63" t="str">
        <f aca="false">IF(ISBLANK(C484),"",AJ484)</f>
        <v/>
      </c>
      <c r="AQ484" s="63" t="str">
        <f aca="false">IF(ISBLANK(C484),"",AI484)</f>
        <v/>
      </c>
      <c r="AR484" s="64" t="str">
        <f aca="false">IF(ISBLANK(C484),
  "",
IF(AQ484=Constants!$B$11,COUNTA($C$8:$C$507)+2,IF(AQ484=Constants!$B$12,COUNTA($C$8:$C$507)+1,IF(AQ484=Constants!$B$13,COUNTA($C$8:$C$507),AQ484))))</f>
        <v/>
      </c>
      <c r="AS484" s="3"/>
      <c r="AT484" s="65" t="n">
        <f aca="false">IF(OR(ISNUMBER(AQ484),AQ484="DQ",AQ484="P",AQ484="NS"),
    1,
    0
)</f>
        <v>0</v>
      </c>
      <c r="AU484" s="65" t="n">
        <v>477</v>
      </c>
      <c r="AV484" s="65" t="str">
        <f aca="false">IF(ISBLANK($C484),
    "",
   IF(ISNUMBER(AR484),AR484+ROW($B484)/1000,"")
)</f>
        <v/>
      </c>
      <c r="AW484" s="65" t="str">
        <f aca="false">IF(ISNUMBER(AV484), RANK(AV484,AV$8:AV$507,1), "")</f>
        <v/>
      </c>
      <c r="AX484" s="65" t="str">
        <f aca="false">IF(ISBLANK($C484),
    "",
    $B484
)</f>
        <v/>
      </c>
      <c r="AY484" s="65" t="str">
        <f aca="false">IF(ISBLANK($C484),
    "",
    $C484
)</f>
        <v/>
      </c>
      <c r="AZ484" s="65" t="str">
        <f aca="false">IF(ISBLANK($C484),
    "",
    $D484
)</f>
        <v/>
      </c>
      <c r="BA484" s="65" t="str">
        <f aca="false">AO484</f>
        <v/>
      </c>
      <c r="BB484" s="66" t="str">
        <f aca="false">AN484</f>
        <v/>
      </c>
      <c r="BC484" s="65" t="str">
        <f aca="false">IF(ISBLANK($C484),
    "",
    AQ484
)</f>
        <v/>
      </c>
      <c r="BD484" s="67" t="str">
        <f aca="false">IF(AU484&gt;AT$7,
    "",
    VLOOKUP(AU484,AW$8:BC$507,7,FALSE())
)</f>
        <v/>
      </c>
      <c r="BE484" s="68" t="str">
        <f aca="false">IF(AU484&gt;AT$7,
    "",
    VLOOKUP(AU484,AW$8:BC$507,2,FALSE())
)</f>
        <v/>
      </c>
      <c r="BF484" s="68" t="str">
        <f aca="false">IF(AU484&gt;AT$7,
    "",
    VLOOKUP(AU484,AW$8:BC$507,3,FALSE())
)</f>
        <v/>
      </c>
      <c r="BG484" s="68" t="str">
        <f aca="false">IF(AU484&gt;AT$7,
    "",
    VLOOKUP(AU484,AW$8:BC$507,4,FALSE())
)</f>
        <v/>
      </c>
      <c r="BH484" s="68" t="str">
        <f aca="false">IF(AU484&gt;AT$7,
    "",
    VLOOKUP(AU484,AW$8:BC$507,5,FALSE())
)</f>
        <v/>
      </c>
      <c r="BI484" s="69" t="str">
        <f aca="false">IF(AU484&gt;AT$7,
    "",
    VLOOKUP(AU484,AW$8:BC$507,6,FALSE())
)</f>
        <v/>
      </c>
      <c r="BJ484" s="46"/>
    </row>
    <row r="485" customFormat="false" ht="15.75" hidden="false" customHeight="false" outlineLevel="0" collapsed="false">
      <c r="A485" s="3"/>
      <c r="B485" s="105"/>
      <c r="C485" s="106"/>
      <c r="D485" s="99"/>
      <c r="E485" s="110"/>
      <c r="F485" s="107"/>
      <c r="G485" s="110"/>
      <c r="H485" s="103"/>
      <c r="I485" s="102"/>
      <c r="J485" s="103"/>
      <c r="K485" s="103"/>
      <c r="L485" s="85"/>
      <c r="M485" s="85" t="str">
        <f aca="false">IF(ISBLANK($C485),"",IF(ISBLANK(E485),0,E485))</f>
        <v/>
      </c>
      <c r="N485" s="85" t="str">
        <f aca="false">IF(ISBLANK($C485),"",IF(ISBLANK(F485),0,F485))</f>
        <v/>
      </c>
      <c r="O485" s="86" t="e">
        <f aca="false">IF(AND(NOT(ISBLANK($C485)),NOT($T485),COUNTA($E485:$K485)&gt;0),ISBLANK($F485),FALSE())</f>
        <v>#VALUE!</v>
      </c>
      <c r="P485" s="85" t="str">
        <f aca="false">IF(ISBLANK($C485),"",IF(G485=Constants!$B$9, TRUE(), IF(G485=Constants!$B$10, FALSE(), TRUE())))</f>
        <v/>
      </c>
      <c r="Q485" s="85" t="str">
        <f aca="false">IF(ISBLANK($C485),"",IF(H485=Constants!$B$9, TRUE(), IF(H485=Constants!$B$10, FALSE(), TRUE())))</f>
        <v/>
      </c>
      <c r="R485" s="85" t="str">
        <f aca="false">IF(ISBLANK($C485),"",IF(ISBLANK(I485),Constants!$B$3,I485))</f>
        <v/>
      </c>
      <c r="S485" s="85" t="str">
        <f aca="false">IF(ISBLANK($C485),"",IF(ISBLANK(J485),0,MIN(J485,Constants!$B$6)))</f>
        <v/>
      </c>
      <c r="T485" s="85" t="str">
        <f aca="false">IF(ISBLANK($C485),"",IF(K485=Constants!$B$9, TRUE(), IF(K485=Constants!$B$10, FALSE(),  FALSE())))</f>
        <v/>
      </c>
      <c r="U485" s="85" t="str">
        <f aca="false">IF(ISBLANK($C485),"",AND(R485=Constants!$B$4, S485&lt;Constants!$B$6))</f>
        <v/>
      </c>
      <c r="V485" s="85" t="str">
        <f aca="false">IF(ISBLANK(C485), "", IF(T485, Constants!$B$11, IF(COUNTA(E485:K485)=0, Constants!$B$12, IF(NOT(AND(P485,S485&lt;&gt;0)), Constants!$B$13, IF(O485, Constants!$B$15, Constants!$B$14)))))</f>
        <v/>
      </c>
      <c r="W485" s="85" t="str">
        <f aca="false">IF(OR(ISBLANK($C485), SUMPRODUCT(--(P485:T485&lt;&gt;""))=0), "", IF(V485&lt;&gt;Constants!$B$14, V485, IF(AND(NOT(ISBLANK(J485)),P485,Q485,R485&lt;&gt;Constants!$B$2), Constants!$B$7, IF(AND(P485,OR(NOT(Q485),R485=Constants!$B$2)), Constants!$B$8, "Error"))))</f>
        <v/>
      </c>
      <c r="X485" s="87" t="str">
        <f aca="false">IF(OR(W485=Constants!$B$7,W485=Constants!$B$8), MAX(0, MIN(Constants!$B$6, S485))+IF(AND(R485=Constants!$B$4, NOT(U485)), Constants!$B$5, 0), "")</f>
        <v/>
      </c>
      <c r="Y485" s="85" t="str">
        <f aca="false">IF(ISBLANK($C485),"",IF(AND(ISNUMBER(X485),N485&gt;0),X485/N485, "") )</f>
        <v/>
      </c>
      <c r="Z485" s="85" t="str">
        <f aca="false">IF(AND(NOT(ISBLANK($C485)), W485=Constants!$B$7), Y485, "")</f>
        <v/>
      </c>
      <c r="AA485" s="85" t="str">
        <f aca="false">IF(ISNUMBER(Z485), RANK(Z485,Z$8:Z$507), "")</f>
        <v/>
      </c>
      <c r="AB485" s="85" t="str">
        <f aca="false">IF(AND(NOT(ISBLANK($C485)), W485=Constants!$B$8), Y485, "")</f>
        <v/>
      </c>
      <c r="AC485" s="85" t="str">
        <f aca="false">IF(ISNUMBER(AB485), RANK(AB485,AB$8:AB$507), "")</f>
        <v/>
      </c>
      <c r="AD485" s="85" t="str">
        <f aca="false">IF(ISBLANK($C485),"",IF(V485&lt;&gt;Constants!$B$14, V485, IF(W485=Constants!$B$7, AA485, IF(W485=Constants!$B$8, COUNT($AA$8:$AA$507) + AC485, ""))))</f>
        <v/>
      </c>
      <c r="AE485" s="85" t="str">
        <f aca="false">N485</f>
        <v/>
      </c>
      <c r="AF485" s="85" t="str">
        <f aca="false">IF(ISNUMBER(AE485), RANK(AE485,AE$8:AE$507,1), "")</f>
        <v/>
      </c>
      <c r="AG485" s="88" t="str">
        <f aca="false">IF(ISBLANK(C485), "", ABS(M485-S485))</f>
        <v/>
      </c>
      <c r="AH485" s="85" t="str">
        <f aca="false">IF(ISNUMBER(AG485), RANK(AG485,AG$8:AG$507,1), "")</f>
        <v/>
      </c>
      <c r="AI485" s="85" t="str">
        <f aca="false">IF(ISBLANK(C485),"",IF(V485&lt;&gt;Constants!$B$14, V485, RANK(AD485, AD$8:AD$507, 1)+ SUMPRODUCT(--(AD$8:AD$507=AD485),--(AF485&gt;AF$8:AF$507)) + SUMPRODUCT(--(AD$8:AD$507=AD485),--(AF485=AF$8:AF$507),--(AH485&gt;AH$8:AH$507))))</f>
        <v/>
      </c>
      <c r="AJ485" s="85" t="str">
        <f aca="false">IF(ISBLANK(C485),"",IF(V485&lt;&gt;Constants!$B$14, V485, AD485-AI485))</f>
        <v/>
      </c>
      <c r="AK485" s="89"/>
      <c r="AL485" s="90" t="str">
        <f aca="false">IF(ISBLANK($C485),"",IF($V485&lt;&gt;Constants!$B$14,$V485,X485))</f>
        <v/>
      </c>
      <c r="AM485" s="90" t="str">
        <f aca="false">IF(ISBLANK($C485),"",IF($V485&lt;&gt;Constants!$B$14,$V485,N485))</f>
        <v/>
      </c>
      <c r="AN485" s="91" t="str">
        <f aca="false">IF(ISBLANK(C485),"",IF(V485&lt;&gt;Constants!$B$14, V485, IF(W485=Constants!$B$7,Z485,IF(W485=Constants!$B$8,AB485,""))))</f>
        <v/>
      </c>
      <c r="AO485" s="92" t="str">
        <f aca="false">IF(ISBLANK(C485),"",W485)</f>
        <v/>
      </c>
      <c r="AP485" s="92" t="str">
        <f aca="false">IF(ISBLANK(C485),"",AJ485)</f>
        <v/>
      </c>
      <c r="AQ485" s="92" t="str">
        <f aca="false">IF(ISBLANK(C485),"",AI485)</f>
        <v/>
      </c>
      <c r="AR485" s="93" t="str">
        <f aca="false">IF(ISBLANK(C485),
  "",
IF(AQ485=Constants!$B$11,COUNTA($C$8:$C$507)+2,IF(AQ485=Constants!$B$12,COUNTA($C$8:$C$507)+1,IF(AQ485=Constants!$B$13,COUNTA($C$8:$C$507),AQ485))))</f>
        <v/>
      </c>
      <c r="AS485" s="3"/>
      <c r="AT485" s="94" t="n">
        <f aca="false">IF(OR(ISNUMBER(AQ485),AQ485="DQ",AQ485="P",AQ485="NS"),
    1,
    0
)</f>
        <v>0</v>
      </c>
      <c r="AU485" s="94" t="n">
        <v>478</v>
      </c>
      <c r="AV485" s="94" t="str">
        <f aca="false">IF(ISBLANK($C485),
    "",
   IF(ISNUMBER(AR485),AR485+ROW($B485)/1000,"")
)</f>
        <v/>
      </c>
      <c r="AW485" s="94" t="str">
        <f aca="false">IF(ISNUMBER(AV485), RANK(AV485,AV$8:AV$507,1), "")</f>
        <v/>
      </c>
      <c r="AX485" s="94" t="str">
        <f aca="false">IF(ISBLANK($C485),
    "",
    $B485
)</f>
        <v/>
      </c>
      <c r="AY485" s="94" t="str">
        <f aca="false">IF(ISBLANK($C485),
    "",
    $C485
)</f>
        <v/>
      </c>
      <c r="AZ485" s="94" t="str">
        <f aca="false">IF(ISBLANK($C485),
    "",
    $D485
)</f>
        <v/>
      </c>
      <c r="BA485" s="94" t="str">
        <f aca="false">AO485</f>
        <v/>
      </c>
      <c r="BB485" s="95" t="str">
        <f aca="false">AN485</f>
        <v/>
      </c>
      <c r="BC485" s="94" t="str">
        <f aca="false">IF(ISBLANK($C485),
    "",
    AQ485
)</f>
        <v/>
      </c>
      <c r="BD485" s="96" t="str">
        <f aca="false">IF(AU485&gt;AT$7,
    "",
    VLOOKUP(AU485,AW$8:BC$507,7,FALSE())
)</f>
        <v/>
      </c>
      <c r="BE485" s="97" t="str">
        <f aca="false">IF(AU485&gt;AT$7,
    "",
    VLOOKUP(AU485,AW$8:BC$507,2,FALSE())
)</f>
        <v/>
      </c>
      <c r="BF485" s="97" t="str">
        <f aca="false">IF(AU485&gt;AT$7,
    "",
    VLOOKUP(AU485,AW$8:BC$507,3,FALSE())
)</f>
        <v/>
      </c>
      <c r="BG485" s="97" t="str">
        <f aca="false">IF(AU485&gt;AT$7,
    "",
    VLOOKUP(AU485,AW$8:BC$507,4,FALSE())
)</f>
        <v/>
      </c>
      <c r="BH485" s="97" t="str">
        <f aca="false">IF(AU485&gt;AT$7,
    "",
    VLOOKUP(AU485,AW$8:BC$507,5,FALSE())
)</f>
        <v/>
      </c>
      <c r="BI485" s="98" t="str">
        <f aca="false">IF(AU485&gt;AT$7,
    "",
    VLOOKUP(AU485,AW$8:BC$507,6,FALSE())
)</f>
        <v/>
      </c>
      <c r="BJ485" s="46"/>
    </row>
    <row r="486" customFormat="false" ht="15.75" hidden="false" customHeight="false" outlineLevel="0" collapsed="false">
      <c r="A486" s="3"/>
      <c r="B486" s="105"/>
      <c r="C486" s="106"/>
      <c r="D486" s="99"/>
      <c r="E486" s="110"/>
      <c r="F486" s="107"/>
      <c r="G486" s="110"/>
      <c r="H486" s="103"/>
      <c r="I486" s="102"/>
      <c r="J486" s="103"/>
      <c r="K486" s="103"/>
      <c r="L486" s="85"/>
      <c r="M486" s="85" t="str">
        <f aca="false">IF(ISBLANK($C486),"",IF(ISBLANK(E486),0,E486))</f>
        <v/>
      </c>
      <c r="N486" s="85" t="str">
        <f aca="false">IF(ISBLANK($C486),"",IF(ISBLANK(F486),0,F486))</f>
        <v/>
      </c>
      <c r="O486" s="86" t="e">
        <f aca="false">IF(AND(NOT(ISBLANK($C486)),NOT($T486),COUNTA($E486:$K486)&gt;0),ISBLANK($F486),FALSE())</f>
        <v>#VALUE!</v>
      </c>
      <c r="P486" s="85" t="str">
        <f aca="false">IF(ISBLANK($C486),"",IF(G486=Constants!$B$9, TRUE(), IF(G486=Constants!$B$10, FALSE(), TRUE())))</f>
        <v/>
      </c>
      <c r="Q486" s="85" t="str">
        <f aca="false">IF(ISBLANK($C486),"",IF(H486=Constants!$B$9, TRUE(), IF(H486=Constants!$B$10, FALSE(), TRUE())))</f>
        <v/>
      </c>
      <c r="R486" s="85" t="str">
        <f aca="false">IF(ISBLANK($C486),"",IF(ISBLANK(I486),Constants!$B$3,I486))</f>
        <v/>
      </c>
      <c r="S486" s="85" t="str">
        <f aca="false">IF(ISBLANK($C486),"",IF(ISBLANK(J486),0,MIN(J486,Constants!$B$6)))</f>
        <v/>
      </c>
      <c r="T486" s="85" t="str">
        <f aca="false">IF(ISBLANK($C486),"",IF(K486=Constants!$B$9, TRUE(), IF(K486=Constants!$B$10, FALSE(),  FALSE())))</f>
        <v/>
      </c>
      <c r="U486" s="85" t="str">
        <f aca="false">IF(ISBLANK($C486),"",AND(R486=Constants!$B$4, S486&lt;Constants!$B$6))</f>
        <v/>
      </c>
      <c r="V486" s="85" t="str">
        <f aca="false">IF(ISBLANK(C486), "", IF(T486, Constants!$B$11, IF(COUNTA(E486:K486)=0, Constants!$B$12, IF(NOT(AND(P486,S486&lt;&gt;0)), Constants!$B$13, IF(O486, Constants!$B$15, Constants!$B$14)))))</f>
        <v/>
      </c>
      <c r="W486" s="85" t="str">
        <f aca="false">IF(OR(ISBLANK($C486), SUMPRODUCT(--(P486:T486&lt;&gt;""))=0), "", IF(V486&lt;&gt;Constants!$B$14, V486, IF(AND(NOT(ISBLANK(J486)),P486,Q486,R486&lt;&gt;Constants!$B$2), Constants!$B$7, IF(AND(P486,OR(NOT(Q486),R486=Constants!$B$2)), Constants!$B$8, "Error"))))</f>
        <v/>
      </c>
      <c r="X486" s="87" t="str">
        <f aca="false">IF(OR(W486=Constants!$B$7,W486=Constants!$B$8), MAX(0, MIN(Constants!$B$6, S486))+IF(AND(R486=Constants!$B$4, NOT(U486)), Constants!$B$5, 0), "")</f>
        <v/>
      </c>
      <c r="Y486" s="85" t="str">
        <f aca="false">IF(ISBLANK($C486),"",IF(AND(ISNUMBER(X486),N486&gt;0),X486/N486, "") )</f>
        <v/>
      </c>
      <c r="Z486" s="85" t="str">
        <f aca="false">IF(AND(NOT(ISBLANK($C486)), W486=Constants!$B$7), Y486, "")</f>
        <v/>
      </c>
      <c r="AA486" s="85" t="str">
        <f aca="false">IF(ISNUMBER(Z486), RANK(Z486,Z$8:Z$507), "")</f>
        <v/>
      </c>
      <c r="AB486" s="85" t="str">
        <f aca="false">IF(AND(NOT(ISBLANK($C486)), W486=Constants!$B$8), Y486, "")</f>
        <v/>
      </c>
      <c r="AC486" s="85" t="str">
        <f aca="false">IF(ISNUMBER(AB486), RANK(AB486,AB$8:AB$507), "")</f>
        <v/>
      </c>
      <c r="AD486" s="85" t="str">
        <f aca="false">IF(ISBLANK($C486),"",IF(V486&lt;&gt;Constants!$B$14, V486, IF(W486=Constants!$B$7, AA486, IF(W486=Constants!$B$8, COUNT($AA$8:$AA$507) + AC486, ""))))</f>
        <v/>
      </c>
      <c r="AE486" s="85" t="str">
        <f aca="false">N486</f>
        <v/>
      </c>
      <c r="AF486" s="85" t="str">
        <f aca="false">IF(ISNUMBER(AE486), RANK(AE486,AE$8:AE$507,1), "")</f>
        <v/>
      </c>
      <c r="AG486" s="88" t="str">
        <f aca="false">IF(ISBLANK(C486), "", ABS(M486-S486))</f>
        <v/>
      </c>
      <c r="AH486" s="85" t="str">
        <f aca="false">IF(ISNUMBER(AG486), RANK(AG486,AG$8:AG$507,1), "")</f>
        <v/>
      </c>
      <c r="AI486" s="85" t="str">
        <f aca="false">IF(ISBLANK(C486),"",IF(V486&lt;&gt;Constants!$B$14, V486, RANK(AD486, AD$8:AD$507, 1)+ SUMPRODUCT(--(AD$8:AD$507=AD486),--(AF486&gt;AF$8:AF$507)) + SUMPRODUCT(--(AD$8:AD$507=AD486),--(AF486=AF$8:AF$507),--(AH486&gt;AH$8:AH$507))))</f>
        <v/>
      </c>
      <c r="AJ486" s="85" t="str">
        <f aca="false">IF(ISBLANK(C486),"",IF(V486&lt;&gt;Constants!$B$14, V486, AD486-AI486))</f>
        <v/>
      </c>
      <c r="AK486" s="89"/>
      <c r="AL486" s="90" t="str">
        <f aca="false">IF(ISBLANK($C486),"",IF($V486&lt;&gt;Constants!$B$14,$V486,X486))</f>
        <v/>
      </c>
      <c r="AM486" s="90" t="str">
        <f aca="false">IF(ISBLANK($C486),"",IF($V486&lt;&gt;Constants!$B$14,$V486,N486))</f>
        <v/>
      </c>
      <c r="AN486" s="91" t="str">
        <f aca="false">IF(ISBLANK(C486),"",IF(V486&lt;&gt;Constants!$B$14, V486, IF(W486=Constants!$B$7,Z486,IF(W486=Constants!$B$8,AB486,""))))</f>
        <v/>
      </c>
      <c r="AO486" s="92" t="str">
        <f aca="false">IF(ISBLANK(C486),"",W486)</f>
        <v/>
      </c>
      <c r="AP486" s="92" t="str">
        <f aca="false">IF(ISBLANK(C486),"",AJ486)</f>
        <v/>
      </c>
      <c r="AQ486" s="92" t="str">
        <f aca="false">IF(ISBLANK(C486),"",AI486)</f>
        <v/>
      </c>
      <c r="AR486" s="93" t="str">
        <f aca="false">IF(ISBLANK(C486),
  "",
IF(AQ486=Constants!$B$11,COUNTA($C$8:$C$507)+2,IF(AQ486=Constants!$B$12,COUNTA($C$8:$C$507)+1,IF(AQ486=Constants!$B$13,COUNTA($C$8:$C$507),AQ486))))</f>
        <v/>
      </c>
      <c r="AS486" s="3"/>
      <c r="AT486" s="94" t="n">
        <f aca="false">IF(OR(ISNUMBER(AQ486),AQ486="DQ",AQ486="P",AQ486="NS"),
    1,
    0
)</f>
        <v>0</v>
      </c>
      <c r="AU486" s="94" t="n">
        <v>479</v>
      </c>
      <c r="AV486" s="94" t="str">
        <f aca="false">IF(ISBLANK($C486),
    "",
   IF(ISNUMBER(AR486),AR486+ROW($B486)/1000,"")
)</f>
        <v/>
      </c>
      <c r="AW486" s="94" t="str">
        <f aca="false">IF(ISNUMBER(AV486), RANK(AV486,AV$8:AV$507,1), "")</f>
        <v/>
      </c>
      <c r="AX486" s="94" t="str">
        <f aca="false">IF(ISBLANK($C486),
    "",
    $B486
)</f>
        <v/>
      </c>
      <c r="AY486" s="94" t="str">
        <f aca="false">IF(ISBLANK($C486),
    "",
    $C486
)</f>
        <v/>
      </c>
      <c r="AZ486" s="94" t="str">
        <f aca="false">IF(ISBLANK($C486),
    "",
    $D486
)</f>
        <v/>
      </c>
      <c r="BA486" s="94" t="str">
        <f aca="false">AO486</f>
        <v/>
      </c>
      <c r="BB486" s="95" t="str">
        <f aca="false">AN486</f>
        <v/>
      </c>
      <c r="BC486" s="94" t="str">
        <f aca="false">IF(ISBLANK($C486),
    "",
    AQ486
)</f>
        <v/>
      </c>
      <c r="BD486" s="96" t="str">
        <f aca="false">IF(AU486&gt;AT$7,
    "",
    VLOOKUP(AU486,AW$8:BC$507,7,FALSE())
)</f>
        <v/>
      </c>
      <c r="BE486" s="97" t="str">
        <f aca="false">IF(AU486&gt;AT$7,
    "",
    VLOOKUP(AU486,AW$8:BC$507,2,FALSE())
)</f>
        <v/>
      </c>
      <c r="BF486" s="97" t="str">
        <f aca="false">IF(AU486&gt;AT$7,
    "",
    VLOOKUP(AU486,AW$8:BC$507,3,FALSE())
)</f>
        <v/>
      </c>
      <c r="BG486" s="97" t="str">
        <f aca="false">IF(AU486&gt;AT$7,
    "",
    VLOOKUP(AU486,AW$8:BC$507,4,FALSE())
)</f>
        <v/>
      </c>
      <c r="BH486" s="97" t="str">
        <f aca="false">IF(AU486&gt;AT$7,
    "",
    VLOOKUP(AU486,AW$8:BC$507,5,FALSE())
)</f>
        <v/>
      </c>
      <c r="BI486" s="98" t="str">
        <f aca="false">IF(AU486&gt;AT$7,
    "",
    VLOOKUP(AU486,AW$8:BC$507,6,FALSE())
)</f>
        <v/>
      </c>
      <c r="BJ486" s="46"/>
    </row>
    <row r="487" customFormat="false" ht="15.75" hidden="false" customHeight="false" outlineLevel="0" collapsed="false">
      <c r="A487" s="3"/>
      <c r="B487" s="105"/>
      <c r="C487" s="106"/>
      <c r="D487" s="99"/>
      <c r="E487" s="110"/>
      <c r="F487" s="107"/>
      <c r="G487" s="110"/>
      <c r="H487" s="103"/>
      <c r="I487" s="102"/>
      <c r="J487" s="103"/>
      <c r="K487" s="103"/>
      <c r="L487" s="85"/>
      <c r="M487" s="85" t="str">
        <f aca="false">IF(ISBLANK($C487),"",IF(ISBLANK(E487),0,E487))</f>
        <v/>
      </c>
      <c r="N487" s="85" t="str">
        <f aca="false">IF(ISBLANK($C487),"",IF(ISBLANK(F487),0,F487))</f>
        <v/>
      </c>
      <c r="O487" s="86" t="e">
        <f aca="false">IF(AND(NOT(ISBLANK($C487)),NOT($T487),COUNTA($E487:$K487)&gt;0),ISBLANK($F487),FALSE())</f>
        <v>#VALUE!</v>
      </c>
      <c r="P487" s="85" t="str">
        <f aca="false">IF(ISBLANK($C487),"",IF(G487=Constants!$B$9, TRUE(), IF(G487=Constants!$B$10, FALSE(), TRUE())))</f>
        <v/>
      </c>
      <c r="Q487" s="85" t="str">
        <f aca="false">IF(ISBLANK($C487),"",IF(H487=Constants!$B$9, TRUE(), IF(H487=Constants!$B$10, FALSE(), TRUE())))</f>
        <v/>
      </c>
      <c r="R487" s="85" t="str">
        <f aca="false">IF(ISBLANK($C487),"",IF(ISBLANK(I487),Constants!$B$3,I487))</f>
        <v/>
      </c>
      <c r="S487" s="85" t="str">
        <f aca="false">IF(ISBLANK($C487),"",IF(ISBLANK(J487),0,MIN(J487,Constants!$B$6)))</f>
        <v/>
      </c>
      <c r="T487" s="85" t="str">
        <f aca="false">IF(ISBLANK($C487),"",IF(K487=Constants!$B$9, TRUE(), IF(K487=Constants!$B$10, FALSE(),  FALSE())))</f>
        <v/>
      </c>
      <c r="U487" s="85" t="str">
        <f aca="false">IF(ISBLANK($C487),"",AND(R487=Constants!$B$4, S487&lt;Constants!$B$6))</f>
        <v/>
      </c>
      <c r="V487" s="85" t="str">
        <f aca="false">IF(ISBLANK(C487), "", IF(T487, Constants!$B$11, IF(COUNTA(E487:K487)=0, Constants!$B$12, IF(NOT(AND(P487,S487&lt;&gt;0)), Constants!$B$13, IF(O487, Constants!$B$15, Constants!$B$14)))))</f>
        <v/>
      </c>
      <c r="W487" s="85" t="str">
        <f aca="false">IF(OR(ISBLANK($C487), SUMPRODUCT(--(P487:T487&lt;&gt;""))=0), "", IF(V487&lt;&gt;Constants!$B$14, V487, IF(AND(NOT(ISBLANK(J487)),P487,Q487,R487&lt;&gt;Constants!$B$2), Constants!$B$7, IF(AND(P487,OR(NOT(Q487),R487=Constants!$B$2)), Constants!$B$8, "Error"))))</f>
        <v/>
      </c>
      <c r="X487" s="87" t="str">
        <f aca="false">IF(OR(W487=Constants!$B$7,W487=Constants!$B$8), MAX(0, MIN(Constants!$B$6, S487))+IF(AND(R487=Constants!$B$4, NOT(U487)), Constants!$B$5, 0), "")</f>
        <v/>
      </c>
      <c r="Y487" s="85" t="str">
        <f aca="false">IF(ISBLANK($C487),"",IF(AND(ISNUMBER(X487),N487&gt;0),X487/N487, "") )</f>
        <v/>
      </c>
      <c r="Z487" s="85" t="str">
        <f aca="false">IF(AND(NOT(ISBLANK($C487)), W487=Constants!$B$7), Y487, "")</f>
        <v/>
      </c>
      <c r="AA487" s="85" t="str">
        <f aca="false">IF(ISNUMBER(Z487), RANK(Z487,Z$8:Z$507), "")</f>
        <v/>
      </c>
      <c r="AB487" s="85" t="str">
        <f aca="false">IF(AND(NOT(ISBLANK($C487)), W487=Constants!$B$8), Y487, "")</f>
        <v/>
      </c>
      <c r="AC487" s="85" t="str">
        <f aca="false">IF(ISNUMBER(AB487), RANK(AB487,AB$8:AB$507), "")</f>
        <v/>
      </c>
      <c r="AD487" s="85" t="str">
        <f aca="false">IF(ISBLANK($C487),"",IF(V487&lt;&gt;Constants!$B$14, V487, IF(W487=Constants!$B$7, AA487, IF(W487=Constants!$B$8, COUNT($AA$8:$AA$507) + AC487, ""))))</f>
        <v/>
      </c>
      <c r="AE487" s="85" t="str">
        <f aca="false">N487</f>
        <v/>
      </c>
      <c r="AF487" s="85" t="str">
        <f aca="false">IF(ISNUMBER(AE487), RANK(AE487,AE$8:AE$507,1), "")</f>
        <v/>
      </c>
      <c r="AG487" s="88" t="str">
        <f aca="false">IF(ISBLANK(C487), "", ABS(M487-S487))</f>
        <v/>
      </c>
      <c r="AH487" s="85" t="str">
        <f aca="false">IF(ISNUMBER(AG487), RANK(AG487,AG$8:AG$507,1), "")</f>
        <v/>
      </c>
      <c r="AI487" s="85" t="str">
        <f aca="false">IF(ISBLANK(C487),"",IF(V487&lt;&gt;Constants!$B$14, V487, RANK(AD487, AD$8:AD$507, 1)+ SUMPRODUCT(--(AD$8:AD$507=AD487),--(AF487&gt;AF$8:AF$507)) + SUMPRODUCT(--(AD$8:AD$507=AD487),--(AF487=AF$8:AF$507),--(AH487&gt;AH$8:AH$507))))</f>
        <v/>
      </c>
      <c r="AJ487" s="85" t="str">
        <f aca="false">IF(ISBLANK(C487),"",IF(V487&lt;&gt;Constants!$B$14, V487, AD487-AI487))</f>
        <v/>
      </c>
      <c r="AK487" s="89"/>
      <c r="AL487" s="90" t="str">
        <f aca="false">IF(ISBLANK($C487),"",IF($V487&lt;&gt;Constants!$B$14,$V487,X487))</f>
        <v/>
      </c>
      <c r="AM487" s="90" t="str">
        <f aca="false">IF(ISBLANK($C487),"",IF($V487&lt;&gt;Constants!$B$14,$V487,N487))</f>
        <v/>
      </c>
      <c r="AN487" s="91" t="str">
        <f aca="false">IF(ISBLANK(C487),"",IF(V487&lt;&gt;Constants!$B$14, V487, IF(W487=Constants!$B$7,Z487,IF(W487=Constants!$B$8,AB487,""))))</f>
        <v/>
      </c>
      <c r="AO487" s="92" t="str">
        <f aca="false">IF(ISBLANK(C487),"",W487)</f>
        <v/>
      </c>
      <c r="AP487" s="92" t="str">
        <f aca="false">IF(ISBLANK(C487),"",AJ487)</f>
        <v/>
      </c>
      <c r="AQ487" s="92" t="str">
        <f aca="false">IF(ISBLANK(C487),"",AI487)</f>
        <v/>
      </c>
      <c r="AR487" s="93" t="str">
        <f aca="false">IF(ISBLANK(C487),
  "",
IF(AQ487=Constants!$B$11,COUNTA($C$8:$C$507)+2,IF(AQ487=Constants!$B$12,COUNTA($C$8:$C$507)+1,IF(AQ487=Constants!$B$13,COUNTA($C$8:$C$507),AQ487))))</f>
        <v/>
      </c>
      <c r="AS487" s="3"/>
      <c r="AT487" s="94" t="n">
        <f aca="false">IF(OR(ISNUMBER(AQ487),AQ487="DQ",AQ487="P",AQ487="NS"),
    1,
    0
)</f>
        <v>0</v>
      </c>
      <c r="AU487" s="94" t="n">
        <v>480</v>
      </c>
      <c r="AV487" s="94" t="str">
        <f aca="false">IF(ISBLANK($C487),
    "",
   IF(ISNUMBER(AR487),AR487+ROW($B487)/1000,"")
)</f>
        <v/>
      </c>
      <c r="AW487" s="94" t="str">
        <f aca="false">IF(ISNUMBER(AV487), RANK(AV487,AV$8:AV$507,1), "")</f>
        <v/>
      </c>
      <c r="AX487" s="94" t="str">
        <f aca="false">IF(ISBLANK($C487),
    "",
    $B487
)</f>
        <v/>
      </c>
      <c r="AY487" s="94" t="str">
        <f aca="false">IF(ISBLANK($C487),
    "",
    $C487
)</f>
        <v/>
      </c>
      <c r="AZ487" s="94" t="str">
        <f aca="false">IF(ISBLANK($C487),
    "",
    $D487
)</f>
        <v/>
      </c>
      <c r="BA487" s="94" t="str">
        <f aca="false">AO487</f>
        <v/>
      </c>
      <c r="BB487" s="95" t="str">
        <f aca="false">AN487</f>
        <v/>
      </c>
      <c r="BC487" s="94" t="str">
        <f aca="false">IF(ISBLANK($C487),
    "",
    AQ487
)</f>
        <v/>
      </c>
      <c r="BD487" s="96" t="str">
        <f aca="false">IF(AU487&gt;AT$7,
    "",
    VLOOKUP(AU487,AW$8:BC$507,7,FALSE())
)</f>
        <v/>
      </c>
      <c r="BE487" s="97" t="str">
        <f aca="false">IF(AU487&gt;AT$7,
    "",
    VLOOKUP(AU487,AW$8:BC$507,2,FALSE())
)</f>
        <v/>
      </c>
      <c r="BF487" s="97" t="str">
        <f aca="false">IF(AU487&gt;AT$7,
    "",
    VLOOKUP(AU487,AW$8:BC$507,3,FALSE())
)</f>
        <v/>
      </c>
      <c r="BG487" s="97" t="str">
        <f aca="false">IF(AU487&gt;AT$7,
    "",
    VLOOKUP(AU487,AW$8:BC$507,4,FALSE())
)</f>
        <v/>
      </c>
      <c r="BH487" s="97" t="str">
        <f aca="false">IF(AU487&gt;AT$7,
    "",
    VLOOKUP(AU487,AW$8:BC$507,5,FALSE())
)</f>
        <v/>
      </c>
      <c r="BI487" s="98" t="str">
        <f aca="false">IF(AU487&gt;AT$7,
    "",
    VLOOKUP(AU487,AW$8:BC$507,6,FALSE())
)</f>
        <v/>
      </c>
      <c r="BJ487" s="46"/>
    </row>
    <row r="488" customFormat="false" ht="15.75" hidden="false" customHeight="false" outlineLevel="0" collapsed="false">
      <c r="A488" s="3"/>
      <c r="B488" s="108"/>
      <c r="C488" s="70"/>
      <c r="D488" s="49"/>
      <c r="E488" s="109"/>
      <c r="F488" s="72"/>
      <c r="G488" s="109"/>
      <c r="H488" s="74"/>
      <c r="I488" s="104"/>
      <c r="J488" s="74"/>
      <c r="K488" s="74"/>
      <c r="L488" s="55"/>
      <c r="M488" s="55" t="str">
        <f aca="false">IF(ISBLANK($C488),"",IF(ISBLANK(E488),0,E488))</f>
        <v/>
      </c>
      <c r="N488" s="55" t="str">
        <f aca="false">IF(ISBLANK($C488),"",IF(ISBLANK(F488),0,F488))</f>
        <v/>
      </c>
      <c r="O488" s="55" t="e">
        <f aca="false">IF(AND(NOT(ISBLANK($C488)),NOT($T488),COUNTA($E488:$K488)&gt;0),ISBLANK($F488),FALSE())</f>
        <v>#VALUE!</v>
      </c>
      <c r="P488" s="55" t="str">
        <f aca="false">IF(ISBLANK($C488),"",IF(G488=Constants!$B$9, TRUE(), IF(G488=Constants!$B$10, FALSE(), TRUE())))</f>
        <v/>
      </c>
      <c r="Q488" s="55" t="str">
        <f aca="false">IF(ISBLANK($C488),"",IF(H488=Constants!$B$9, TRUE(), IF(H488=Constants!$B$10, FALSE(), TRUE())))</f>
        <v/>
      </c>
      <c r="R488" s="55" t="str">
        <f aca="false">IF(ISBLANK($C488),"",IF(ISBLANK(I488),Constants!$B$3,I488))</f>
        <v/>
      </c>
      <c r="S488" s="55" t="str">
        <f aca="false">IF(ISBLANK($C488),"",IF(ISBLANK(J488),0,MIN(J488,Constants!$B$6)))</f>
        <v/>
      </c>
      <c r="T488" s="55" t="str">
        <f aca="false">IF(ISBLANK($C488),"",IF(K488=Constants!$B$9, TRUE(), IF(K488=Constants!$B$10, FALSE(),  FALSE())))</f>
        <v/>
      </c>
      <c r="U488" s="55" t="str">
        <f aca="false">IF(ISBLANK($C488),"",AND(R488=Constants!$B$4, S488&lt;Constants!$B$6))</f>
        <v/>
      </c>
      <c r="V488" s="55" t="str">
        <f aca="false">IF(ISBLANK(C488), "", IF(T488, Constants!$B$11, IF(COUNTA(E488:K488)=0, Constants!$B$12, IF(NOT(AND(P488,S488&lt;&gt;0)), Constants!$B$13, IF(O488, Constants!$B$15, Constants!$B$14)))))</f>
        <v/>
      </c>
      <c r="W488" s="55" t="str">
        <f aca="false">IF(OR(ISBLANK($C488), SUMPRODUCT(--(P488:T488&lt;&gt;""))=0), "", IF(V488&lt;&gt;Constants!$B$14, V488, IF(AND(NOT(ISBLANK(J488)),P488,Q488,R488&lt;&gt;Constants!$B$2), Constants!$B$7, IF(AND(P488,OR(NOT(Q488),R488=Constants!$B$2)), Constants!$B$8, "Error"))))</f>
        <v/>
      </c>
      <c r="X488" s="56" t="str">
        <f aca="false">IF(OR(W488=Constants!$B$7,W488=Constants!$B$8), MAX(0, MIN(Constants!$B$6, S488))+IF(AND(R488=Constants!$B$4, NOT(U488)), Constants!$B$5, 0), "")</f>
        <v/>
      </c>
      <c r="Y488" s="55" t="str">
        <f aca="false">IF(ISBLANK($C488),"",IF(AND(ISNUMBER(X488),N488&gt;0),X488/N488, "") )</f>
        <v/>
      </c>
      <c r="Z488" s="55" t="str">
        <f aca="false">IF(AND(NOT(ISBLANK($C488)), W488=Constants!$B$7), Y488, "")</f>
        <v/>
      </c>
      <c r="AA488" s="55" t="str">
        <f aca="false">IF(ISNUMBER(Z488), RANK(Z488,Z$8:Z$507), "")</f>
        <v/>
      </c>
      <c r="AB488" s="55" t="str">
        <f aca="false">IF(AND(NOT(ISBLANK($C488)), W488=Constants!$B$8), Y488, "")</f>
        <v/>
      </c>
      <c r="AC488" s="55" t="str">
        <f aca="false">IF(ISNUMBER(AB488), RANK(AB488,AB$8:AB$507), "")</f>
        <v/>
      </c>
      <c r="AD488" s="55" t="str">
        <f aca="false">IF(ISBLANK($C488),"",IF(V488&lt;&gt;Constants!$B$14, V488, IF(W488=Constants!$B$7, AA488, IF(W488=Constants!$B$8, COUNT($AA$8:$AA$507) + AC488, ""))))</f>
        <v/>
      </c>
      <c r="AE488" s="55" t="str">
        <f aca="false">N488</f>
        <v/>
      </c>
      <c r="AF488" s="55" t="str">
        <f aca="false">IF(ISNUMBER(AE488), RANK(AE488,AE$8:AE$507,1), "")</f>
        <v/>
      </c>
      <c r="AG488" s="57" t="str">
        <f aca="false">IF(ISBLANK(C488), "", ABS(M488-S488))</f>
        <v/>
      </c>
      <c r="AH488" s="55" t="str">
        <f aca="false">IF(ISNUMBER(AG488), RANK(AG488,AG$8:AG$507,1), "")</f>
        <v/>
      </c>
      <c r="AI488" s="55" t="str">
        <f aca="false">IF(ISBLANK(C488),"",IF(V488&lt;&gt;Constants!$B$14, V488, RANK(AD488, AD$8:AD$507, 1)+ SUMPRODUCT(--(AD$8:AD$507=AD488),--(AF488&gt;AF$8:AF$507)) + SUMPRODUCT(--(AD$8:AD$507=AD488),--(AF488=AF$8:AF$507),--(AH488&gt;AH$8:AH$507))))</f>
        <v/>
      </c>
      <c r="AJ488" s="55" t="str">
        <f aca="false">IF(ISBLANK(C488),"",IF(V488&lt;&gt;Constants!$B$14, V488, AD488-AI488))</f>
        <v/>
      </c>
      <c r="AK488" s="59"/>
      <c r="AL488" s="60" t="str">
        <f aca="false">IF(ISBLANK($C488),"",IF($V488&lt;&gt;Constants!$B$14,$V488,X488))</f>
        <v/>
      </c>
      <c r="AM488" s="60" t="str">
        <f aca="false">IF(ISBLANK($C488),"",IF($V488&lt;&gt;Constants!$B$14,$V488,N488))</f>
        <v/>
      </c>
      <c r="AN488" s="62" t="str">
        <f aca="false">IF(ISBLANK(C488),"",IF(V488&lt;&gt;Constants!$B$14, V488, IF(W488=Constants!$B$7,Z488,IF(W488=Constants!$B$8,AB488,""))))</f>
        <v/>
      </c>
      <c r="AO488" s="63" t="str">
        <f aca="false">IF(ISBLANK(C488),"",W488)</f>
        <v/>
      </c>
      <c r="AP488" s="63" t="str">
        <f aca="false">IF(ISBLANK(C488),"",AJ488)</f>
        <v/>
      </c>
      <c r="AQ488" s="63" t="str">
        <f aca="false">IF(ISBLANK(C488),"",AI488)</f>
        <v/>
      </c>
      <c r="AR488" s="64" t="str">
        <f aca="false">IF(ISBLANK(C488),
  "",
IF(AQ488=Constants!$B$11,COUNTA($C$8:$C$507)+2,IF(AQ488=Constants!$B$12,COUNTA($C$8:$C$507)+1,IF(AQ488=Constants!$B$13,COUNTA($C$8:$C$507),AQ488))))</f>
        <v/>
      </c>
      <c r="AS488" s="3"/>
      <c r="AT488" s="65" t="n">
        <f aca="false">IF(OR(ISNUMBER(AQ488),AQ488="DQ",AQ488="P",AQ488="NS"),
    1,
    0
)</f>
        <v>0</v>
      </c>
      <c r="AU488" s="65" t="n">
        <v>481</v>
      </c>
      <c r="AV488" s="65" t="str">
        <f aca="false">IF(ISBLANK($C488),
    "",
   IF(ISNUMBER(AR488),AR488+ROW($B488)/1000,"")
)</f>
        <v/>
      </c>
      <c r="AW488" s="65" t="str">
        <f aca="false">IF(ISNUMBER(AV488), RANK(AV488,AV$8:AV$507,1), "")</f>
        <v/>
      </c>
      <c r="AX488" s="65" t="str">
        <f aca="false">IF(ISBLANK($C488),
    "",
    $B488
)</f>
        <v/>
      </c>
      <c r="AY488" s="65" t="str">
        <f aca="false">IF(ISBLANK($C488),
    "",
    $C488
)</f>
        <v/>
      </c>
      <c r="AZ488" s="65" t="str">
        <f aca="false">IF(ISBLANK($C488),
    "",
    $D488
)</f>
        <v/>
      </c>
      <c r="BA488" s="65" t="str">
        <f aca="false">AO488</f>
        <v/>
      </c>
      <c r="BB488" s="66" t="str">
        <f aca="false">AN488</f>
        <v/>
      </c>
      <c r="BC488" s="65" t="str">
        <f aca="false">IF(ISBLANK($C488),
    "",
    AQ488
)</f>
        <v/>
      </c>
      <c r="BD488" s="67" t="str">
        <f aca="false">IF(AU488&gt;AT$7,
    "",
    VLOOKUP(AU488,AW$8:BC$507,7,FALSE())
)</f>
        <v/>
      </c>
      <c r="BE488" s="68" t="str">
        <f aca="false">IF(AU488&gt;AT$7,
    "",
    VLOOKUP(AU488,AW$8:BC$507,2,FALSE())
)</f>
        <v/>
      </c>
      <c r="BF488" s="68" t="str">
        <f aca="false">IF(AU488&gt;AT$7,
    "",
    VLOOKUP(AU488,AW$8:BC$507,3,FALSE())
)</f>
        <v/>
      </c>
      <c r="BG488" s="68" t="str">
        <f aca="false">IF(AU488&gt;AT$7,
    "",
    VLOOKUP(AU488,AW$8:BC$507,4,FALSE())
)</f>
        <v/>
      </c>
      <c r="BH488" s="68" t="str">
        <f aca="false">IF(AU488&gt;AT$7,
    "",
    VLOOKUP(AU488,AW$8:BC$507,5,FALSE())
)</f>
        <v/>
      </c>
      <c r="BI488" s="69" t="str">
        <f aca="false">IF(AU488&gt;AT$7,
    "",
    VLOOKUP(AU488,AW$8:BC$507,6,FALSE())
)</f>
        <v/>
      </c>
      <c r="BJ488" s="46"/>
    </row>
    <row r="489" customFormat="false" ht="15.75" hidden="false" customHeight="false" outlineLevel="0" collapsed="false">
      <c r="A489" s="3"/>
      <c r="B489" s="108"/>
      <c r="C489" s="70"/>
      <c r="D489" s="49"/>
      <c r="E489" s="109"/>
      <c r="F489" s="72"/>
      <c r="G489" s="109"/>
      <c r="H489" s="74"/>
      <c r="I489" s="104"/>
      <c r="J489" s="74"/>
      <c r="K489" s="74"/>
      <c r="L489" s="55"/>
      <c r="M489" s="55" t="str">
        <f aca="false">IF(ISBLANK($C489),"",IF(ISBLANK(E489),0,E489))</f>
        <v/>
      </c>
      <c r="N489" s="55" t="str">
        <f aca="false">IF(ISBLANK($C489),"",IF(ISBLANK(F489),0,F489))</f>
        <v/>
      </c>
      <c r="O489" s="55" t="e">
        <f aca="false">IF(AND(NOT(ISBLANK($C489)),NOT($T489),COUNTA($E489:$K489)&gt;0),ISBLANK($F489),FALSE())</f>
        <v>#VALUE!</v>
      </c>
      <c r="P489" s="55" t="str">
        <f aca="false">IF(ISBLANK($C489),"",IF(G489=Constants!$B$9, TRUE(), IF(G489=Constants!$B$10, FALSE(), TRUE())))</f>
        <v/>
      </c>
      <c r="Q489" s="55" t="str">
        <f aca="false">IF(ISBLANK($C489),"",IF(H489=Constants!$B$9, TRUE(), IF(H489=Constants!$B$10, FALSE(), TRUE())))</f>
        <v/>
      </c>
      <c r="R489" s="55" t="str">
        <f aca="false">IF(ISBLANK($C489),"",IF(ISBLANK(I489),Constants!$B$3,I489))</f>
        <v/>
      </c>
      <c r="S489" s="55" t="str">
        <f aca="false">IF(ISBLANK($C489),"",IF(ISBLANK(J489),0,MIN(J489,Constants!$B$6)))</f>
        <v/>
      </c>
      <c r="T489" s="55" t="str">
        <f aca="false">IF(ISBLANK($C489),"",IF(K489=Constants!$B$9, TRUE(), IF(K489=Constants!$B$10, FALSE(),  FALSE())))</f>
        <v/>
      </c>
      <c r="U489" s="55" t="str">
        <f aca="false">IF(ISBLANK($C489),"",AND(R489=Constants!$B$4, S489&lt;Constants!$B$6))</f>
        <v/>
      </c>
      <c r="V489" s="55" t="str">
        <f aca="false">IF(ISBLANK(C489), "", IF(T489, Constants!$B$11, IF(COUNTA(E489:K489)=0, Constants!$B$12, IF(NOT(AND(P489,S489&lt;&gt;0)), Constants!$B$13, IF(O489, Constants!$B$15, Constants!$B$14)))))</f>
        <v/>
      </c>
      <c r="W489" s="55" t="str">
        <f aca="false">IF(OR(ISBLANK($C489), SUMPRODUCT(--(P489:T489&lt;&gt;""))=0), "", IF(V489&lt;&gt;Constants!$B$14, V489, IF(AND(NOT(ISBLANK(J489)),P489,Q489,R489&lt;&gt;Constants!$B$2), Constants!$B$7, IF(AND(P489,OR(NOT(Q489),R489=Constants!$B$2)), Constants!$B$8, "Error"))))</f>
        <v/>
      </c>
      <c r="X489" s="56" t="str">
        <f aca="false">IF(OR(W489=Constants!$B$7,W489=Constants!$B$8), MAX(0, MIN(Constants!$B$6, S489))+IF(AND(R489=Constants!$B$4, NOT(U489)), Constants!$B$5, 0), "")</f>
        <v/>
      </c>
      <c r="Y489" s="55" t="str">
        <f aca="false">IF(ISBLANK($C489),"",IF(AND(ISNUMBER(X489),N489&gt;0),X489/N489, "") )</f>
        <v/>
      </c>
      <c r="Z489" s="55" t="str">
        <f aca="false">IF(AND(NOT(ISBLANK($C489)), W489=Constants!$B$7), Y489, "")</f>
        <v/>
      </c>
      <c r="AA489" s="55" t="str">
        <f aca="false">IF(ISNUMBER(Z489), RANK(Z489,Z$8:Z$507), "")</f>
        <v/>
      </c>
      <c r="AB489" s="55" t="str">
        <f aca="false">IF(AND(NOT(ISBLANK($C489)), W489=Constants!$B$8), Y489, "")</f>
        <v/>
      </c>
      <c r="AC489" s="55" t="str">
        <f aca="false">IF(ISNUMBER(AB489), RANK(AB489,AB$8:AB$507), "")</f>
        <v/>
      </c>
      <c r="AD489" s="55" t="str">
        <f aca="false">IF(ISBLANK($C489),"",IF(V489&lt;&gt;Constants!$B$14, V489, IF(W489=Constants!$B$7, AA489, IF(W489=Constants!$B$8, COUNT($AA$8:$AA$507) + AC489, ""))))</f>
        <v/>
      </c>
      <c r="AE489" s="55" t="str">
        <f aca="false">N489</f>
        <v/>
      </c>
      <c r="AF489" s="55" t="str">
        <f aca="false">IF(ISNUMBER(AE489), RANK(AE489,AE$8:AE$507,1), "")</f>
        <v/>
      </c>
      <c r="AG489" s="57" t="str">
        <f aca="false">IF(ISBLANK(C489), "", ABS(M489-S489))</f>
        <v/>
      </c>
      <c r="AH489" s="55" t="str">
        <f aca="false">IF(ISNUMBER(AG489), RANK(AG489,AG$8:AG$507,1), "")</f>
        <v/>
      </c>
      <c r="AI489" s="55" t="str">
        <f aca="false">IF(ISBLANK(C489),"",IF(V489&lt;&gt;Constants!$B$14, V489, RANK(AD489, AD$8:AD$507, 1)+ SUMPRODUCT(--(AD$8:AD$507=AD489),--(AF489&gt;AF$8:AF$507)) + SUMPRODUCT(--(AD$8:AD$507=AD489),--(AF489=AF$8:AF$507),--(AH489&gt;AH$8:AH$507))))</f>
        <v/>
      </c>
      <c r="AJ489" s="55" t="str">
        <f aca="false">IF(ISBLANK(C489),"",IF(V489&lt;&gt;Constants!$B$14, V489, AD489-AI489))</f>
        <v/>
      </c>
      <c r="AK489" s="59"/>
      <c r="AL489" s="60" t="str">
        <f aca="false">IF(ISBLANK($C489),"",IF($V489&lt;&gt;Constants!$B$14,$V489,X489))</f>
        <v/>
      </c>
      <c r="AM489" s="60" t="str">
        <f aca="false">IF(ISBLANK($C489),"",IF($V489&lt;&gt;Constants!$B$14,$V489,N489))</f>
        <v/>
      </c>
      <c r="AN489" s="62" t="str">
        <f aca="false">IF(ISBLANK(C489),"",IF(V489&lt;&gt;Constants!$B$14, V489, IF(W489=Constants!$B$7,Z489,IF(W489=Constants!$B$8,AB489,""))))</f>
        <v/>
      </c>
      <c r="AO489" s="63" t="str">
        <f aca="false">IF(ISBLANK(C489),"",W489)</f>
        <v/>
      </c>
      <c r="AP489" s="63" t="str">
        <f aca="false">IF(ISBLANK(C489),"",AJ489)</f>
        <v/>
      </c>
      <c r="AQ489" s="63" t="str">
        <f aca="false">IF(ISBLANK(C489),"",AI489)</f>
        <v/>
      </c>
      <c r="AR489" s="64" t="str">
        <f aca="false">IF(ISBLANK(C489),
  "",
IF(AQ489=Constants!$B$11,COUNTA($C$8:$C$507)+2,IF(AQ489=Constants!$B$12,COUNTA($C$8:$C$507)+1,IF(AQ489=Constants!$B$13,COUNTA($C$8:$C$507),AQ489))))</f>
        <v/>
      </c>
      <c r="AS489" s="3"/>
      <c r="AT489" s="65" t="n">
        <f aca="false">IF(OR(ISNUMBER(AQ489),AQ489="DQ",AQ489="P",AQ489="NS"),
    1,
    0
)</f>
        <v>0</v>
      </c>
      <c r="AU489" s="65" t="n">
        <v>482</v>
      </c>
      <c r="AV489" s="65" t="str">
        <f aca="false">IF(ISBLANK($C489),
    "",
   IF(ISNUMBER(AR489),AR489+ROW($B489)/1000,"")
)</f>
        <v/>
      </c>
      <c r="AW489" s="65" t="str">
        <f aca="false">IF(ISNUMBER(AV489), RANK(AV489,AV$8:AV$507,1), "")</f>
        <v/>
      </c>
      <c r="AX489" s="65" t="str">
        <f aca="false">IF(ISBLANK($C489),
    "",
    $B489
)</f>
        <v/>
      </c>
      <c r="AY489" s="65" t="str">
        <f aca="false">IF(ISBLANK($C489),
    "",
    $C489
)</f>
        <v/>
      </c>
      <c r="AZ489" s="65" t="str">
        <f aca="false">IF(ISBLANK($C489),
    "",
    $D489
)</f>
        <v/>
      </c>
      <c r="BA489" s="65" t="str">
        <f aca="false">AO489</f>
        <v/>
      </c>
      <c r="BB489" s="66" t="str">
        <f aca="false">AN489</f>
        <v/>
      </c>
      <c r="BC489" s="65" t="str">
        <f aca="false">IF(ISBLANK($C489),
    "",
    AQ489
)</f>
        <v/>
      </c>
      <c r="BD489" s="67" t="str">
        <f aca="false">IF(AU489&gt;AT$7,
    "",
    VLOOKUP(AU489,AW$8:BC$507,7,FALSE())
)</f>
        <v/>
      </c>
      <c r="BE489" s="68" t="str">
        <f aca="false">IF(AU489&gt;AT$7,
    "",
    VLOOKUP(AU489,AW$8:BC$507,2,FALSE())
)</f>
        <v/>
      </c>
      <c r="BF489" s="68" t="str">
        <f aca="false">IF(AU489&gt;AT$7,
    "",
    VLOOKUP(AU489,AW$8:BC$507,3,FALSE())
)</f>
        <v/>
      </c>
      <c r="BG489" s="68" t="str">
        <f aca="false">IF(AU489&gt;AT$7,
    "",
    VLOOKUP(AU489,AW$8:BC$507,4,FALSE())
)</f>
        <v/>
      </c>
      <c r="BH489" s="68" t="str">
        <f aca="false">IF(AU489&gt;AT$7,
    "",
    VLOOKUP(AU489,AW$8:BC$507,5,FALSE())
)</f>
        <v/>
      </c>
      <c r="BI489" s="69" t="str">
        <f aca="false">IF(AU489&gt;AT$7,
    "",
    VLOOKUP(AU489,AW$8:BC$507,6,FALSE())
)</f>
        <v/>
      </c>
      <c r="BJ489" s="46"/>
    </row>
    <row r="490" customFormat="false" ht="15.75" hidden="false" customHeight="false" outlineLevel="0" collapsed="false">
      <c r="A490" s="3"/>
      <c r="B490" s="108"/>
      <c r="C490" s="70"/>
      <c r="D490" s="49"/>
      <c r="E490" s="109"/>
      <c r="F490" s="72"/>
      <c r="G490" s="109"/>
      <c r="H490" s="74"/>
      <c r="I490" s="104"/>
      <c r="J490" s="74"/>
      <c r="K490" s="74"/>
      <c r="L490" s="55"/>
      <c r="M490" s="55" t="str">
        <f aca="false">IF(ISBLANK($C490),"",IF(ISBLANK(E490),0,E490))</f>
        <v/>
      </c>
      <c r="N490" s="55" t="str">
        <f aca="false">IF(ISBLANK($C490),"",IF(ISBLANK(F490),0,F490))</f>
        <v/>
      </c>
      <c r="O490" s="55" t="e">
        <f aca="false">IF(AND(NOT(ISBLANK($C490)),NOT($T490),COUNTA($E490:$K490)&gt;0),ISBLANK($F490),FALSE())</f>
        <v>#VALUE!</v>
      </c>
      <c r="P490" s="55" t="str">
        <f aca="false">IF(ISBLANK($C490),"",IF(G490=Constants!$B$9, TRUE(), IF(G490=Constants!$B$10, FALSE(), TRUE())))</f>
        <v/>
      </c>
      <c r="Q490" s="55" t="str">
        <f aca="false">IF(ISBLANK($C490),"",IF(H490=Constants!$B$9, TRUE(), IF(H490=Constants!$B$10, FALSE(), TRUE())))</f>
        <v/>
      </c>
      <c r="R490" s="55" t="str">
        <f aca="false">IF(ISBLANK($C490),"",IF(ISBLANK(I490),Constants!$B$3,I490))</f>
        <v/>
      </c>
      <c r="S490" s="55" t="str">
        <f aca="false">IF(ISBLANK($C490),"",IF(ISBLANK(J490),0,MIN(J490,Constants!$B$6)))</f>
        <v/>
      </c>
      <c r="T490" s="55" t="str">
        <f aca="false">IF(ISBLANK($C490),"",IF(K490=Constants!$B$9, TRUE(), IF(K490=Constants!$B$10, FALSE(),  FALSE())))</f>
        <v/>
      </c>
      <c r="U490" s="55" t="str">
        <f aca="false">IF(ISBLANK($C490),"",AND(R490=Constants!$B$4, S490&lt;Constants!$B$6))</f>
        <v/>
      </c>
      <c r="V490" s="55" t="str">
        <f aca="false">IF(ISBLANK(C490), "", IF(T490, Constants!$B$11, IF(COUNTA(E490:K490)=0, Constants!$B$12, IF(NOT(AND(P490,S490&lt;&gt;0)), Constants!$B$13, IF(O490, Constants!$B$15, Constants!$B$14)))))</f>
        <v/>
      </c>
      <c r="W490" s="55" t="str">
        <f aca="false">IF(OR(ISBLANK($C490), SUMPRODUCT(--(P490:T490&lt;&gt;""))=0), "", IF(V490&lt;&gt;Constants!$B$14, V490, IF(AND(NOT(ISBLANK(J490)),P490,Q490,R490&lt;&gt;Constants!$B$2), Constants!$B$7, IF(AND(P490,OR(NOT(Q490),R490=Constants!$B$2)), Constants!$B$8, "Error"))))</f>
        <v/>
      </c>
      <c r="X490" s="56" t="str">
        <f aca="false">IF(OR(W490=Constants!$B$7,W490=Constants!$B$8), MAX(0, MIN(Constants!$B$6, S490))+IF(AND(R490=Constants!$B$4, NOT(U490)), Constants!$B$5, 0), "")</f>
        <v/>
      </c>
      <c r="Y490" s="55" t="str">
        <f aca="false">IF(ISBLANK($C490),"",IF(AND(ISNUMBER(X490),N490&gt;0),X490/N490, "") )</f>
        <v/>
      </c>
      <c r="Z490" s="55" t="str">
        <f aca="false">IF(AND(NOT(ISBLANK($C490)), W490=Constants!$B$7), Y490, "")</f>
        <v/>
      </c>
      <c r="AA490" s="55" t="str">
        <f aca="false">IF(ISNUMBER(Z490), RANK(Z490,Z$8:Z$507), "")</f>
        <v/>
      </c>
      <c r="AB490" s="55" t="str">
        <f aca="false">IF(AND(NOT(ISBLANK($C490)), W490=Constants!$B$8), Y490, "")</f>
        <v/>
      </c>
      <c r="AC490" s="55" t="str">
        <f aca="false">IF(ISNUMBER(AB490), RANK(AB490,AB$8:AB$507), "")</f>
        <v/>
      </c>
      <c r="AD490" s="55" t="str">
        <f aca="false">IF(ISBLANK($C490),"",IF(V490&lt;&gt;Constants!$B$14, V490, IF(W490=Constants!$B$7, AA490, IF(W490=Constants!$B$8, COUNT($AA$8:$AA$507) + AC490, ""))))</f>
        <v/>
      </c>
      <c r="AE490" s="55" t="str">
        <f aca="false">N490</f>
        <v/>
      </c>
      <c r="AF490" s="55" t="str">
        <f aca="false">IF(ISNUMBER(AE490), RANK(AE490,AE$8:AE$507,1), "")</f>
        <v/>
      </c>
      <c r="AG490" s="57" t="str">
        <f aca="false">IF(ISBLANK(C490), "", ABS(M490-S490))</f>
        <v/>
      </c>
      <c r="AH490" s="55" t="str">
        <f aca="false">IF(ISNUMBER(AG490), RANK(AG490,AG$8:AG$507,1), "")</f>
        <v/>
      </c>
      <c r="AI490" s="55" t="str">
        <f aca="false">IF(ISBLANK(C490),"",IF(V490&lt;&gt;Constants!$B$14, V490, RANK(AD490, AD$8:AD$507, 1)+ SUMPRODUCT(--(AD$8:AD$507=AD490),--(AF490&gt;AF$8:AF$507)) + SUMPRODUCT(--(AD$8:AD$507=AD490),--(AF490=AF$8:AF$507),--(AH490&gt;AH$8:AH$507))))</f>
        <v/>
      </c>
      <c r="AJ490" s="55" t="str">
        <f aca="false">IF(ISBLANK(C490),"",IF(V490&lt;&gt;Constants!$B$14, V490, AD490-AI490))</f>
        <v/>
      </c>
      <c r="AK490" s="59"/>
      <c r="AL490" s="60" t="str">
        <f aca="false">IF(ISBLANK($C490),"",IF($V490&lt;&gt;Constants!$B$14,$V490,X490))</f>
        <v/>
      </c>
      <c r="AM490" s="60" t="str">
        <f aca="false">IF(ISBLANK($C490),"",IF($V490&lt;&gt;Constants!$B$14,$V490,N490))</f>
        <v/>
      </c>
      <c r="AN490" s="62" t="str">
        <f aca="false">IF(ISBLANK(C490),"",IF(V490&lt;&gt;Constants!$B$14, V490, IF(W490=Constants!$B$7,Z490,IF(W490=Constants!$B$8,AB490,""))))</f>
        <v/>
      </c>
      <c r="AO490" s="63" t="str">
        <f aca="false">IF(ISBLANK(C490),"",W490)</f>
        <v/>
      </c>
      <c r="AP490" s="63" t="str">
        <f aca="false">IF(ISBLANK(C490),"",AJ490)</f>
        <v/>
      </c>
      <c r="AQ490" s="63" t="str">
        <f aca="false">IF(ISBLANK(C490),"",AI490)</f>
        <v/>
      </c>
      <c r="AR490" s="64" t="str">
        <f aca="false">IF(ISBLANK(C490),
  "",
IF(AQ490=Constants!$B$11,COUNTA($C$8:$C$507)+2,IF(AQ490=Constants!$B$12,COUNTA($C$8:$C$507)+1,IF(AQ490=Constants!$B$13,COUNTA($C$8:$C$507),AQ490))))</f>
        <v/>
      </c>
      <c r="AS490" s="3"/>
      <c r="AT490" s="65" t="n">
        <f aca="false">IF(OR(ISNUMBER(AQ490),AQ490="DQ",AQ490="P",AQ490="NS"),
    1,
    0
)</f>
        <v>0</v>
      </c>
      <c r="AU490" s="65" t="n">
        <v>483</v>
      </c>
      <c r="AV490" s="65" t="str">
        <f aca="false">IF(ISBLANK($C490),
    "",
   IF(ISNUMBER(AR490),AR490+ROW($B490)/1000,"")
)</f>
        <v/>
      </c>
      <c r="AW490" s="65" t="str">
        <f aca="false">IF(ISNUMBER(AV490), RANK(AV490,AV$8:AV$507,1), "")</f>
        <v/>
      </c>
      <c r="AX490" s="65" t="str">
        <f aca="false">IF(ISBLANK($C490),
    "",
    $B490
)</f>
        <v/>
      </c>
      <c r="AY490" s="65" t="str">
        <f aca="false">IF(ISBLANK($C490),
    "",
    $C490
)</f>
        <v/>
      </c>
      <c r="AZ490" s="65" t="str">
        <f aca="false">IF(ISBLANK($C490),
    "",
    $D490
)</f>
        <v/>
      </c>
      <c r="BA490" s="65" t="str">
        <f aca="false">AO490</f>
        <v/>
      </c>
      <c r="BB490" s="66" t="str">
        <f aca="false">AN490</f>
        <v/>
      </c>
      <c r="BC490" s="65" t="str">
        <f aca="false">IF(ISBLANK($C490),
    "",
    AQ490
)</f>
        <v/>
      </c>
      <c r="BD490" s="67" t="str">
        <f aca="false">IF(AU490&gt;AT$7,
    "",
    VLOOKUP(AU490,AW$8:BC$507,7,FALSE())
)</f>
        <v/>
      </c>
      <c r="BE490" s="68" t="str">
        <f aca="false">IF(AU490&gt;AT$7,
    "",
    VLOOKUP(AU490,AW$8:BC$507,2,FALSE())
)</f>
        <v/>
      </c>
      <c r="BF490" s="68" t="str">
        <f aca="false">IF(AU490&gt;AT$7,
    "",
    VLOOKUP(AU490,AW$8:BC$507,3,FALSE())
)</f>
        <v/>
      </c>
      <c r="BG490" s="68" t="str">
        <f aca="false">IF(AU490&gt;AT$7,
    "",
    VLOOKUP(AU490,AW$8:BC$507,4,FALSE())
)</f>
        <v/>
      </c>
      <c r="BH490" s="68" t="str">
        <f aca="false">IF(AU490&gt;AT$7,
    "",
    VLOOKUP(AU490,AW$8:BC$507,5,FALSE())
)</f>
        <v/>
      </c>
      <c r="BI490" s="69" t="str">
        <f aca="false">IF(AU490&gt;AT$7,
    "",
    VLOOKUP(AU490,AW$8:BC$507,6,FALSE())
)</f>
        <v/>
      </c>
      <c r="BJ490" s="46"/>
    </row>
    <row r="491" customFormat="false" ht="15.75" hidden="false" customHeight="false" outlineLevel="0" collapsed="false">
      <c r="A491" s="3"/>
      <c r="B491" s="105"/>
      <c r="C491" s="106"/>
      <c r="D491" s="99"/>
      <c r="E491" s="110"/>
      <c r="F491" s="107"/>
      <c r="G491" s="110"/>
      <c r="H491" s="103"/>
      <c r="I491" s="102"/>
      <c r="J491" s="103"/>
      <c r="K491" s="103"/>
      <c r="L491" s="85"/>
      <c r="M491" s="85" t="str">
        <f aca="false">IF(ISBLANK($C491),"",IF(ISBLANK(E491),0,E491))</f>
        <v/>
      </c>
      <c r="N491" s="85" t="str">
        <f aca="false">IF(ISBLANK($C491),"",IF(ISBLANK(F491),0,F491))</f>
        <v/>
      </c>
      <c r="O491" s="86" t="e">
        <f aca="false">IF(AND(NOT(ISBLANK($C491)),NOT($T491),COUNTA($E491:$K491)&gt;0),ISBLANK($F491),FALSE())</f>
        <v>#VALUE!</v>
      </c>
      <c r="P491" s="85" t="str">
        <f aca="false">IF(ISBLANK($C491),"",IF(G491=Constants!$B$9, TRUE(), IF(G491=Constants!$B$10, FALSE(), TRUE())))</f>
        <v/>
      </c>
      <c r="Q491" s="85" t="str">
        <f aca="false">IF(ISBLANK($C491),"",IF(H491=Constants!$B$9, TRUE(), IF(H491=Constants!$B$10, FALSE(), TRUE())))</f>
        <v/>
      </c>
      <c r="R491" s="85" t="str">
        <f aca="false">IF(ISBLANK($C491),"",IF(ISBLANK(I491),Constants!$B$3,I491))</f>
        <v/>
      </c>
      <c r="S491" s="85" t="str">
        <f aca="false">IF(ISBLANK($C491),"",IF(ISBLANK(J491),0,MIN(J491,Constants!$B$6)))</f>
        <v/>
      </c>
      <c r="T491" s="85" t="str">
        <f aca="false">IF(ISBLANK($C491),"",IF(K491=Constants!$B$9, TRUE(), IF(K491=Constants!$B$10, FALSE(),  FALSE())))</f>
        <v/>
      </c>
      <c r="U491" s="85" t="str">
        <f aca="false">IF(ISBLANK($C491),"",AND(R491=Constants!$B$4, S491&lt;Constants!$B$6))</f>
        <v/>
      </c>
      <c r="V491" s="85" t="str">
        <f aca="false">IF(ISBLANK(C491), "", IF(T491, Constants!$B$11, IF(COUNTA(E491:K491)=0, Constants!$B$12, IF(NOT(AND(P491,S491&lt;&gt;0)), Constants!$B$13, IF(O491, Constants!$B$15, Constants!$B$14)))))</f>
        <v/>
      </c>
      <c r="W491" s="85" t="str">
        <f aca="false">IF(OR(ISBLANK($C491), SUMPRODUCT(--(P491:T491&lt;&gt;""))=0), "", IF(V491&lt;&gt;Constants!$B$14, V491, IF(AND(NOT(ISBLANK(J491)),P491,Q491,R491&lt;&gt;Constants!$B$2), Constants!$B$7, IF(AND(P491,OR(NOT(Q491),R491=Constants!$B$2)), Constants!$B$8, "Error"))))</f>
        <v/>
      </c>
      <c r="X491" s="87" t="str">
        <f aca="false">IF(OR(W491=Constants!$B$7,W491=Constants!$B$8), MAX(0, MIN(Constants!$B$6, S491))+IF(AND(R491=Constants!$B$4, NOT(U491)), Constants!$B$5, 0), "")</f>
        <v/>
      </c>
      <c r="Y491" s="85" t="str">
        <f aca="false">IF(ISBLANK($C491),"",IF(AND(ISNUMBER(X491),N491&gt;0),X491/N491, "") )</f>
        <v/>
      </c>
      <c r="Z491" s="85" t="str">
        <f aca="false">IF(AND(NOT(ISBLANK($C491)), W491=Constants!$B$7), Y491, "")</f>
        <v/>
      </c>
      <c r="AA491" s="85" t="str">
        <f aca="false">IF(ISNUMBER(Z491), RANK(Z491,Z$8:Z$507), "")</f>
        <v/>
      </c>
      <c r="AB491" s="85" t="str">
        <f aca="false">IF(AND(NOT(ISBLANK($C491)), W491=Constants!$B$8), Y491, "")</f>
        <v/>
      </c>
      <c r="AC491" s="85" t="str">
        <f aca="false">IF(ISNUMBER(AB491), RANK(AB491,AB$8:AB$507), "")</f>
        <v/>
      </c>
      <c r="AD491" s="85" t="str">
        <f aca="false">IF(ISBLANK($C491),"",IF(V491&lt;&gt;Constants!$B$14, V491, IF(W491=Constants!$B$7, AA491, IF(W491=Constants!$B$8, COUNT($AA$8:$AA$507) + AC491, ""))))</f>
        <v/>
      </c>
      <c r="AE491" s="85" t="str">
        <f aca="false">N491</f>
        <v/>
      </c>
      <c r="AF491" s="85" t="str">
        <f aca="false">IF(ISNUMBER(AE491), RANK(AE491,AE$8:AE$507,1), "")</f>
        <v/>
      </c>
      <c r="AG491" s="88" t="str">
        <f aca="false">IF(ISBLANK(C491), "", ABS(M491-S491))</f>
        <v/>
      </c>
      <c r="AH491" s="85" t="str">
        <f aca="false">IF(ISNUMBER(AG491), RANK(AG491,AG$8:AG$507,1), "")</f>
        <v/>
      </c>
      <c r="AI491" s="85" t="str">
        <f aca="false">IF(ISBLANK(C491),"",IF(V491&lt;&gt;Constants!$B$14, V491, RANK(AD491, AD$8:AD$507, 1)+ SUMPRODUCT(--(AD$8:AD$507=AD491),--(AF491&gt;AF$8:AF$507)) + SUMPRODUCT(--(AD$8:AD$507=AD491),--(AF491=AF$8:AF$507),--(AH491&gt;AH$8:AH$507))))</f>
        <v/>
      </c>
      <c r="AJ491" s="85" t="str">
        <f aca="false">IF(ISBLANK(C491),"",IF(V491&lt;&gt;Constants!$B$14, V491, AD491-AI491))</f>
        <v/>
      </c>
      <c r="AK491" s="89"/>
      <c r="AL491" s="90" t="str">
        <f aca="false">IF(ISBLANK($C491),"",IF($V491&lt;&gt;Constants!$B$14,$V491,X491))</f>
        <v/>
      </c>
      <c r="AM491" s="90" t="str">
        <f aca="false">IF(ISBLANK($C491),"",IF($V491&lt;&gt;Constants!$B$14,$V491,N491))</f>
        <v/>
      </c>
      <c r="AN491" s="91" t="str">
        <f aca="false">IF(ISBLANK(C491),"",IF(V491&lt;&gt;Constants!$B$14, V491, IF(W491=Constants!$B$7,Z491,IF(W491=Constants!$B$8,AB491,""))))</f>
        <v/>
      </c>
      <c r="AO491" s="92" t="str">
        <f aca="false">IF(ISBLANK(C491),"",W491)</f>
        <v/>
      </c>
      <c r="AP491" s="92" t="str">
        <f aca="false">IF(ISBLANK(C491),"",AJ491)</f>
        <v/>
      </c>
      <c r="AQ491" s="92" t="str">
        <f aca="false">IF(ISBLANK(C491),"",AI491)</f>
        <v/>
      </c>
      <c r="AR491" s="93" t="str">
        <f aca="false">IF(ISBLANK(C491),
  "",
IF(AQ491=Constants!$B$11,COUNTA($C$8:$C$507)+2,IF(AQ491=Constants!$B$12,COUNTA($C$8:$C$507)+1,IF(AQ491=Constants!$B$13,COUNTA($C$8:$C$507),AQ491))))</f>
        <v/>
      </c>
      <c r="AS491" s="3"/>
      <c r="AT491" s="94" t="n">
        <f aca="false">IF(OR(ISNUMBER(AQ491),AQ491="DQ",AQ491="P",AQ491="NS"),
    1,
    0
)</f>
        <v>0</v>
      </c>
      <c r="AU491" s="94" t="n">
        <v>484</v>
      </c>
      <c r="AV491" s="94" t="str">
        <f aca="false">IF(ISBLANK($C491),
    "",
   IF(ISNUMBER(AR491),AR491+ROW($B491)/1000,"")
)</f>
        <v/>
      </c>
      <c r="AW491" s="94" t="str">
        <f aca="false">IF(ISNUMBER(AV491), RANK(AV491,AV$8:AV$507,1), "")</f>
        <v/>
      </c>
      <c r="AX491" s="94" t="str">
        <f aca="false">IF(ISBLANK($C491),
    "",
    $B491
)</f>
        <v/>
      </c>
      <c r="AY491" s="94" t="str">
        <f aca="false">IF(ISBLANK($C491),
    "",
    $C491
)</f>
        <v/>
      </c>
      <c r="AZ491" s="94" t="str">
        <f aca="false">IF(ISBLANK($C491),
    "",
    $D491
)</f>
        <v/>
      </c>
      <c r="BA491" s="94" t="str">
        <f aca="false">AO491</f>
        <v/>
      </c>
      <c r="BB491" s="95" t="str">
        <f aca="false">AN491</f>
        <v/>
      </c>
      <c r="BC491" s="94" t="str">
        <f aca="false">IF(ISBLANK($C491),
    "",
    AQ491
)</f>
        <v/>
      </c>
      <c r="BD491" s="96" t="str">
        <f aca="false">IF(AU491&gt;AT$7,
    "",
    VLOOKUP(AU491,AW$8:BC$507,7,FALSE())
)</f>
        <v/>
      </c>
      <c r="BE491" s="97" t="str">
        <f aca="false">IF(AU491&gt;AT$7,
    "",
    VLOOKUP(AU491,AW$8:BC$507,2,FALSE())
)</f>
        <v/>
      </c>
      <c r="BF491" s="97" t="str">
        <f aca="false">IF(AU491&gt;AT$7,
    "",
    VLOOKUP(AU491,AW$8:BC$507,3,FALSE())
)</f>
        <v/>
      </c>
      <c r="BG491" s="97" t="str">
        <f aca="false">IF(AU491&gt;AT$7,
    "",
    VLOOKUP(AU491,AW$8:BC$507,4,FALSE())
)</f>
        <v/>
      </c>
      <c r="BH491" s="97" t="str">
        <f aca="false">IF(AU491&gt;AT$7,
    "",
    VLOOKUP(AU491,AW$8:BC$507,5,FALSE())
)</f>
        <v/>
      </c>
      <c r="BI491" s="98" t="str">
        <f aca="false">IF(AU491&gt;AT$7,
    "",
    VLOOKUP(AU491,AW$8:BC$507,6,FALSE())
)</f>
        <v/>
      </c>
      <c r="BJ491" s="46"/>
    </row>
    <row r="492" customFormat="false" ht="15.75" hidden="false" customHeight="false" outlineLevel="0" collapsed="false">
      <c r="A492" s="3"/>
      <c r="B492" s="105"/>
      <c r="C492" s="106"/>
      <c r="D492" s="99"/>
      <c r="E492" s="110"/>
      <c r="F492" s="107"/>
      <c r="G492" s="110"/>
      <c r="H492" s="103"/>
      <c r="I492" s="102"/>
      <c r="J492" s="103"/>
      <c r="K492" s="103"/>
      <c r="L492" s="85"/>
      <c r="M492" s="85" t="str">
        <f aca="false">IF(ISBLANK($C492),"",IF(ISBLANK(E492),0,E492))</f>
        <v/>
      </c>
      <c r="N492" s="85" t="str">
        <f aca="false">IF(ISBLANK($C492),"",IF(ISBLANK(F492),0,F492))</f>
        <v/>
      </c>
      <c r="O492" s="86" t="e">
        <f aca="false">IF(AND(NOT(ISBLANK($C492)),NOT($T492),COUNTA($E492:$K492)&gt;0),ISBLANK($F492),FALSE())</f>
        <v>#VALUE!</v>
      </c>
      <c r="P492" s="85" t="str">
        <f aca="false">IF(ISBLANK($C492),"",IF(G492=Constants!$B$9, TRUE(), IF(G492=Constants!$B$10, FALSE(), TRUE())))</f>
        <v/>
      </c>
      <c r="Q492" s="85" t="str">
        <f aca="false">IF(ISBLANK($C492),"",IF(H492=Constants!$B$9, TRUE(), IF(H492=Constants!$B$10, FALSE(), TRUE())))</f>
        <v/>
      </c>
      <c r="R492" s="85" t="str">
        <f aca="false">IF(ISBLANK($C492),"",IF(ISBLANK(I492),Constants!$B$3,I492))</f>
        <v/>
      </c>
      <c r="S492" s="85" t="str">
        <f aca="false">IF(ISBLANK($C492),"",IF(ISBLANK(J492),0,MIN(J492,Constants!$B$6)))</f>
        <v/>
      </c>
      <c r="T492" s="85" t="str">
        <f aca="false">IF(ISBLANK($C492),"",IF(K492=Constants!$B$9, TRUE(), IF(K492=Constants!$B$10, FALSE(),  FALSE())))</f>
        <v/>
      </c>
      <c r="U492" s="85" t="str">
        <f aca="false">IF(ISBLANK($C492),"",AND(R492=Constants!$B$4, S492&lt;Constants!$B$6))</f>
        <v/>
      </c>
      <c r="V492" s="85" t="str">
        <f aca="false">IF(ISBLANK(C492), "", IF(T492, Constants!$B$11, IF(COUNTA(E492:K492)=0, Constants!$B$12, IF(NOT(AND(P492,S492&lt;&gt;0)), Constants!$B$13, IF(O492, Constants!$B$15, Constants!$B$14)))))</f>
        <v/>
      </c>
      <c r="W492" s="85" t="str">
        <f aca="false">IF(OR(ISBLANK($C492), SUMPRODUCT(--(P492:T492&lt;&gt;""))=0), "", IF(V492&lt;&gt;Constants!$B$14, V492, IF(AND(NOT(ISBLANK(J492)),P492,Q492,R492&lt;&gt;Constants!$B$2), Constants!$B$7, IF(AND(P492,OR(NOT(Q492),R492=Constants!$B$2)), Constants!$B$8, "Error"))))</f>
        <v/>
      </c>
      <c r="X492" s="87" t="str">
        <f aca="false">IF(OR(W492=Constants!$B$7,W492=Constants!$B$8), MAX(0, MIN(Constants!$B$6, S492))+IF(AND(R492=Constants!$B$4, NOT(U492)), Constants!$B$5, 0), "")</f>
        <v/>
      </c>
      <c r="Y492" s="85" t="str">
        <f aca="false">IF(ISBLANK($C492),"",IF(AND(ISNUMBER(X492),N492&gt;0),X492/N492, "") )</f>
        <v/>
      </c>
      <c r="Z492" s="85" t="str">
        <f aca="false">IF(AND(NOT(ISBLANK($C492)), W492=Constants!$B$7), Y492, "")</f>
        <v/>
      </c>
      <c r="AA492" s="85" t="str">
        <f aca="false">IF(ISNUMBER(Z492), RANK(Z492,Z$8:Z$507), "")</f>
        <v/>
      </c>
      <c r="AB492" s="85" t="str">
        <f aca="false">IF(AND(NOT(ISBLANK($C492)), W492=Constants!$B$8), Y492, "")</f>
        <v/>
      </c>
      <c r="AC492" s="85" t="str">
        <f aca="false">IF(ISNUMBER(AB492), RANK(AB492,AB$8:AB$507), "")</f>
        <v/>
      </c>
      <c r="AD492" s="85" t="str">
        <f aca="false">IF(ISBLANK($C492),"",IF(V492&lt;&gt;Constants!$B$14, V492, IF(W492=Constants!$B$7, AA492, IF(W492=Constants!$B$8, COUNT($AA$8:$AA$507) + AC492, ""))))</f>
        <v/>
      </c>
      <c r="AE492" s="85" t="str">
        <f aca="false">N492</f>
        <v/>
      </c>
      <c r="AF492" s="85" t="str">
        <f aca="false">IF(ISNUMBER(AE492), RANK(AE492,AE$8:AE$507,1), "")</f>
        <v/>
      </c>
      <c r="AG492" s="88" t="str">
        <f aca="false">IF(ISBLANK(C492), "", ABS(M492-S492))</f>
        <v/>
      </c>
      <c r="AH492" s="85" t="str">
        <f aca="false">IF(ISNUMBER(AG492), RANK(AG492,AG$8:AG$507,1), "")</f>
        <v/>
      </c>
      <c r="AI492" s="85" t="str">
        <f aca="false">IF(ISBLANK(C492),"",IF(V492&lt;&gt;Constants!$B$14, V492, RANK(AD492, AD$8:AD$507, 1)+ SUMPRODUCT(--(AD$8:AD$507=AD492),--(AF492&gt;AF$8:AF$507)) + SUMPRODUCT(--(AD$8:AD$507=AD492),--(AF492=AF$8:AF$507),--(AH492&gt;AH$8:AH$507))))</f>
        <v/>
      </c>
      <c r="AJ492" s="85" t="str">
        <f aca="false">IF(ISBLANK(C492),"",IF(V492&lt;&gt;Constants!$B$14, V492, AD492-AI492))</f>
        <v/>
      </c>
      <c r="AK492" s="89"/>
      <c r="AL492" s="90" t="str">
        <f aca="false">IF(ISBLANK($C492),"",IF($V492&lt;&gt;Constants!$B$14,$V492,X492))</f>
        <v/>
      </c>
      <c r="AM492" s="90" t="str">
        <f aca="false">IF(ISBLANK($C492),"",IF($V492&lt;&gt;Constants!$B$14,$V492,N492))</f>
        <v/>
      </c>
      <c r="AN492" s="91" t="str">
        <f aca="false">IF(ISBLANK(C492),"",IF(V492&lt;&gt;Constants!$B$14, V492, IF(W492=Constants!$B$7,Z492,IF(W492=Constants!$B$8,AB492,""))))</f>
        <v/>
      </c>
      <c r="AO492" s="92" t="str">
        <f aca="false">IF(ISBLANK(C492),"",W492)</f>
        <v/>
      </c>
      <c r="AP492" s="92" t="str">
        <f aca="false">IF(ISBLANK(C492),"",AJ492)</f>
        <v/>
      </c>
      <c r="AQ492" s="92" t="str">
        <f aca="false">IF(ISBLANK(C492),"",AI492)</f>
        <v/>
      </c>
      <c r="AR492" s="93" t="str">
        <f aca="false">IF(ISBLANK(C492),
  "",
IF(AQ492=Constants!$B$11,COUNTA($C$8:$C$507)+2,IF(AQ492=Constants!$B$12,COUNTA($C$8:$C$507)+1,IF(AQ492=Constants!$B$13,COUNTA($C$8:$C$507),AQ492))))</f>
        <v/>
      </c>
      <c r="AS492" s="3"/>
      <c r="AT492" s="94" t="n">
        <f aca="false">IF(OR(ISNUMBER(AQ492),AQ492="DQ",AQ492="P",AQ492="NS"),
    1,
    0
)</f>
        <v>0</v>
      </c>
      <c r="AU492" s="94" t="n">
        <v>485</v>
      </c>
      <c r="AV492" s="94" t="str">
        <f aca="false">IF(ISBLANK($C492),
    "",
   IF(ISNUMBER(AR492),AR492+ROW($B492)/1000,"")
)</f>
        <v/>
      </c>
      <c r="AW492" s="94" t="str">
        <f aca="false">IF(ISNUMBER(AV492), RANK(AV492,AV$8:AV$507,1), "")</f>
        <v/>
      </c>
      <c r="AX492" s="94" t="str">
        <f aca="false">IF(ISBLANK($C492),
    "",
    $B492
)</f>
        <v/>
      </c>
      <c r="AY492" s="94" t="str">
        <f aca="false">IF(ISBLANK($C492),
    "",
    $C492
)</f>
        <v/>
      </c>
      <c r="AZ492" s="94" t="str">
        <f aca="false">IF(ISBLANK($C492),
    "",
    $D492
)</f>
        <v/>
      </c>
      <c r="BA492" s="94" t="str">
        <f aca="false">AO492</f>
        <v/>
      </c>
      <c r="BB492" s="95" t="str">
        <f aca="false">AN492</f>
        <v/>
      </c>
      <c r="BC492" s="94" t="str">
        <f aca="false">IF(ISBLANK($C492),
    "",
    AQ492
)</f>
        <v/>
      </c>
      <c r="BD492" s="96" t="str">
        <f aca="false">IF(AU492&gt;AT$7,
    "",
    VLOOKUP(AU492,AW$8:BC$507,7,FALSE())
)</f>
        <v/>
      </c>
      <c r="BE492" s="97" t="str">
        <f aca="false">IF(AU492&gt;AT$7,
    "",
    VLOOKUP(AU492,AW$8:BC$507,2,FALSE())
)</f>
        <v/>
      </c>
      <c r="BF492" s="97" t="str">
        <f aca="false">IF(AU492&gt;AT$7,
    "",
    VLOOKUP(AU492,AW$8:BC$507,3,FALSE())
)</f>
        <v/>
      </c>
      <c r="BG492" s="97" t="str">
        <f aca="false">IF(AU492&gt;AT$7,
    "",
    VLOOKUP(AU492,AW$8:BC$507,4,FALSE())
)</f>
        <v/>
      </c>
      <c r="BH492" s="97" t="str">
        <f aca="false">IF(AU492&gt;AT$7,
    "",
    VLOOKUP(AU492,AW$8:BC$507,5,FALSE())
)</f>
        <v/>
      </c>
      <c r="BI492" s="98" t="str">
        <f aca="false">IF(AU492&gt;AT$7,
    "",
    VLOOKUP(AU492,AW$8:BC$507,6,FALSE())
)</f>
        <v/>
      </c>
      <c r="BJ492" s="46"/>
    </row>
    <row r="493" customFormat="false" ht="15.75" hidden="false" customHeight="false" outlineLevel="0" collapsed="false">
      <c r="A493" s="3"/>
      <c r="B493" s="105"/>
      <c r="C493" s="106"/>
      <c r="D493" s="99"/>
      <c r="E493" s="110"/>
      <c r="F493" s="107"/>
      <c r="G493" s="110"/>
      <c r="H493" s="103"/>
      <c r="I493" s="102"/>
      <c r="J493" s="103"/>
      <c r="K493" s="103"/>
      <c r="L493" s="85"/>
      <c r="M493" s="85" t="str">
        <f aca="false">IF(ISBLANK($C493),"",IF(ISBLANK(E493),0,E493))</f>
        <v/>
      </c>
      <c r="N493" s="85" t="str">
        <f aca="false">IF(ISBLANK($C493),"",IF(ISBLANK(F493),0,F493))</f>
        <v/>
      </c>
      <c r="O493" s="86" t="e">
        <f aca="false">IF(AND(NOT(ISBLANK($C493)),NOT($T493),COUNTA($E493:$K493)&gt;0),ISBLANK($F493),FALSE())</f>
        <v>#VALUE!</v>
      </c>
      <c r="P493" s="85" t="str">
        <f aca="false">IF(ISBLANK($C493),"",IF(G493=Constants!$B$9, TRUE(), IF(G493=Constants!$B$10, FALSE(), TRUE())))</f>
        <v/>
      </c>
      <c r="Q493" s="85" t="str">
        <f aca="false">IF(ISBLANK($C493),"",IF(H493=Constants!$B$9, TRUE(), IF(H493=Constants!$B$10, FALSE(), TRUE())))</f>
        <v/>
      </c>
      <c r="R493" s="85" t="str">
        <f aca="false">IF(ISBLANK($C493),"",IF(ISBLANK(I493),Constants!$B$3,I493))</f>
        <v/>
      </c>
      <c r="S493" s="85" t="str">
        <f aca="false">IF(ISBLANK($C493),"",IF(ISBLANK(J493),0,MIN(J493,Constants!$B$6)))</f>
        <v/>
      </c>
      <c r="T493" s="85" t="str">
        <f aca="false">IF(ISBLANK($C493),"",IF(K493=Constants!$B$9, TRUE(), IF(K493=Constants!$B$10, FALSE(),  FALSE())))</f>
        <v/>
      </c>
      <c r="U493" s="85" t="str">
        <f aca="false">IF(ISBLANK($C493),"",AND(R493=Constants!$B$4, S493&lt;Constants!$B$6))</f>
        <v/>
      </c>
      <c r="V493" s="85" t="str">
        <f aca="false">IF(ISBLANK(C493), "", IF(T493, Constants!$B$11, IF(COUNTA(E493:K493)=0, Constants!$B$12, IF(NOT(AND(P493,S493&lt;&gt;0)), Constants!$B$13, IF(O493, Constants!$B$15, Constants!$B$14)))))</f>
        <v/>
      </c>
      <c r="W493" s="85" t="str">
        <f aca="false">IF(OR(ISBLANK($C493), SUMPRODUCT(--(P493:T493&lt;&gt;""))=0), "", IF(V493&lt;&gt;Constants!$B$14, V493, IF(AND(NOT(ISBLANK(J493)),P493,Q493,R493&lt;&gt;Constants!$B$2), Constants!$B$7, IF(AND(P493,OR(NOT(Q493),R493=Constants!$B$2)), Constants!$B$8, "Error"))))</f>
        <v/>
      </c>
      <c r="X493" s="87" t="str">
        <f aca="false">IF(OR(W493=Constants!$B$7,W493=Constants!$B$8), MAX(0, MIN(Constants!$B$6, S493))+IF(AND(R493=Constants!$B$4, NOT(U493)), Constants!$B$5, 0), "")</f>
        <v/>
      </c>
      <c r="Y493" s="85" t="str">
        <f aca="false">IF(ISBLANK($C493),"",IF(AND(ISNUMBER(X493),N493&gt;0),X493/N493, "") )</f>
        <v/>
      </c>
      <c r="Z493" s="85" t="str">
        <f aca="false">IF(AND(NOT(ISBLANK($C493)), W493=Constants!$B$7), Y493, "")</f>
        <v/>
      </c>
      <c r="AA493" s="85" t="str">
        <f aca="false">IF(ISNUMBER(Z493), RANK(Z493,Z$8:Z$507), "")</f>
        <v/>
      </c>
      <c r="AB493" s="85" t="str">
        <f aca="false">IF(AND(NOT(ISBLANK($C493)), W493=Constants!$B$8), Y493, "")</f>
        <v/>
      </c>
      <c r="AC493" s="85" t="str">
        <f aca="false">IF(ISNUMBER(AB493), RANK(AB493,AB$8:AB$507), "")</f>
        <v/>
      </c>
      <c r="AD493" s="85" t="str">
        <f aca="false">IF(ISBLANK($C493),"",IF(V493&lt;&gt;Constants!$B$14, V493, IF(W493=Constants!$B$7, AA493, IF(W493=Constants!$B$8, COUNT($AA$8:$AA$507) + AC493, ""))))</f>
        <v/>
      </c>
      <c r="AE493" s="85" t="str">
        <f aca="false">N493</f>
        <v/>
      </c>
      <c r="AF493" s="85" t="str">
        <f aca="false">IF(ISNUMBER(AE493), RANK(AE493,AE$8:AE$507,1), "")</f>
        <v/>
      </c>
      <c r="AG493" s="88" t="str">
        <f aca="false">IF(ISBLANK(C493), "", ABS(M493-S493))</f>
        <v/>
      </c>
      <c r="AH493" s="85" t="str">
        <f aca="false">IF(ISNUMBER(AG493), RANK(AG493,AG$8:AG$507,1), "")</f>
        <v/>
      </c>
      <c r="AI493" s="85" t="str">
        <f aca="false">IF(ISBLANK(C493),"",IF(V493&lt;&gt;Constants!$B$14, V493, RANK(AD493, AD$8:AD$507, 1)+ SUMPRODUCT(--(AD$8:AD$507=AD493),--(AF493&gt;AF$8:AF$507)) + SUMPRODUCT(--(AD$8:AD$507=AD493),--(AF493=AF$8:AF$507),--(AH493&gt;AH$8:AH$507))))</f>
        <v/>
      </c>
      <c r="AJ493" s="85" t="str">
        <f aca="false">IF(ISBLANK(C493),"",IF(V493&lt;&gt;Constants!$B$14, V493, AD493-AI493))</f>
        <v/>
      </c>
      <c r="AK493" s="89"/>
      <c r="AL493" s="90" t="str">
        <f aca="false">IF(ISBLANK($C493),"",IF($V493&lt;&gt;Constants!$B$14,$V493,X493))</f>
        <v/>
      </c>
      <c r="AM493" s="90" t="str">
        <f aca="false">IF(ISBLANK($C493),"",IF($V493&lt;&gt;Constants!$B$14,$V493,N493))</f>
        <v/>
      </c>
      <c r="AN493" s="91" t="str">
        <f aca="false">IF(ISBLANK(C493),"",IF(V493&lt;&gt;Constants!$B$14, V493, IF(W493=Constants!$B$7,Z493,IF(W493=Constants!$B$8,AB493,""))))</f>
        <v/>
      </c>
      <c r="AO493" s="92" t="str">
        <f aca="false">IF(ISBLANK(C493),"",W493)</f>
        <v/>
      </c>
      <c r="AP493" s="92" t="str">
        <f aca="false">IF(ISBLANK(C493),"",AJ493)</f>
        <v/>
      </c>
      <c r="AQ493" s="92" t="str">
        <f aca="false">IF(ISBLANK(C493),"",AI493)</f>
        <v/>
      </c>
      <c r="AR493" s="93" t="str">
        <f aca="false">IF(ISBLANK(C493),
  "",
IF(AQ493=Constants!$B$11,COUNTA($C$8:$C$507)+2,IF(AQ493=Constants!$B$12,COUNTA($C$8:$C$507)+1,IF(AQ493=Constants!$B$13,COUNTA($C$8:$C$507),AQ493))))</f>
        <v/>
      </c>
      <c r="AS493" s="3"/>
      <c r="AT493" s="94" t="n">
        <f aca="false">IF(OR(ISNUMBER(AQ493),AQ493="DQ",AQ493="P",AQ493="NS"),
    1,
    0
)</f>
        <v>0</v>
      </c>
      <c r="AU493" s="94" t="n">
        <v>486</v>
      </c>
      <c r="AV493" s="94" t="str">
        <f aca="false">IF(ISBLANK($C493),
    "",
   IF(ISNUMBER(AR493),AR493+ROW($B493)/1000,"")
)</f>
        <v/>
      </c>
      <c r="AW493" s="94" t="str">
        <f aca="false">IF(ISNUMBER(AV493), RANK(AV493,AV$8:AV$507,1), "")</f>
        <v/>
      </c>
      <c r="AX493" s="94" t="str">
        <f aca="false">IF(ISBLANK($C493),
    "",
    $B493
)</f>
        <v/>
      </c>
      <c r="AY493" s="94" t="str">
        <f aca="false">IF(ISBLANK($C493),
    "",
    $C493
)</f>
        <v/>
      </c>
      <c r="AZ493" s="94" t="str">
        <f aca="false">IF(ISBLANK($C493),
    "",
    $D493
)</f>
        <v/>
      </c>
      <c r="BA493" s="94" t="str">
        <f aca="false">AO493</f>
        <v/>
      </c>
      <c r="BB493" s="95" t="str">
        <f aca="false">AN493</f>
        <v/>
      </c>
      <c r="BC493" s="94" t="str">
        <f aca="false">IF(ISBLANK($C493),
    "",
    AQ493
)</f>
        <v/>
      </c>
      <c r="BD493" s="96" t="str">
        <f aca="false">IF(AU493&gt;AT$7,
    "",
    VLOOKUP(AU493,AW$8:BC$507,7,FALSE())
)</f>
        <v/>
      </c>
      <c r="BE493" s="97" t="str">
        <f aca="false">IF(AU493&gt;AT$7,
    "",
    VLOOKUP(AU493,AW$8:BC$507,2,FALSE())
)</f>
        <v/>
      </c>
      <c r="BF493" s="97" t="str">
        <f aca="false">IF(AU493&gt;AT$7,
    "",
    VLOOKUP(AU493,AW$8:BC$507,3,FALSE())
)</f>
        <v/>
      </c>
      <c r="BG493" s="97" t="str">
        <f aca="false">IF(AU493&gt;AT$7,
    "",
    VLOOKUP(AU493,AW$8:BC$507,4,FALSE())
)</f>
        <v/>
      </c>
      <c r="BH493" s="97" t="str">
        <f aca="false">IF(AU493&gt;AT$7,
    "",
    VLOOKUP(AU493,AW$8:BC$507,5,FALSE())
)</f>
        <v/>
      </c>
      <c r="BI493" s="98" t="str">
        <f aca="false">IF(AU493&gt;AT$7,
    "",
    VLOOKUP(AU493,AW$8:BC$507,6,FALSE())
)</f>
        <v/>
      </c>
      <c r="BJ493" s="46"/>
    </row>
    <row r="494" customFormat="false" ht="15.75" hidden="false" customHeight="false" outlineLevel="0" collapsed="false">
      <c r="A494" s="3"/>
      <c r="B494" s="108"/>
      <c r="C494" s="70"/>
      <c r="D494" s="49"/>
      <c r="E494" s="109"/>
      <c r="F494" s="72"/>
      <c r="G494" s="109"/>
      <c r="H494" s="74"/>
      <c r="I494" s="104"/>
      <c r="J494" s="74"/>
      <c r="K494" s="74"/>
      <c r="L494" s="55"/>
      <c r="M494" s="55" t="str">
        <f aca="false">IF(ISBLANK($C494),"",IF(ISBLANK(E494),0,E494))</f>
        <v/>
      </c>
      <c r="N494" s="55" t="str">
        <f aca="false">IF(ISBLANK($C494),"",IF(ISBLANK(F494),0,F494))</f>
        <v/>
      </c>
      <c r="O494" s="55" t="e">
        <f aca="false">IF(AND(NOT(ISBLANK($C494)),NOT($T494),COUNTA($E494:$K494)&gt;0),ISBLANK($F494),FALSE())</f>
        <v>#VALUE!</v>
      </c>
      <c r="P494" s="55" t="str">
        <f aca="false">IF(ISBLANK($C494),"",IF(G494=Constants!$B$9, TRUE(), IF(G494=Constants!$B$10, FALSE(), TRUE())))</f>
        <v/>
      </c>
      <c r="Q494" s="55" t="str">
        <f aca="false">IF(ISBLANK($C494),"",IF(H494=Constants!$B$9, TRUE(), IF(H494=Constants!$B$10, FALSE(), TRUE())))</f>
        <v/>
      </c>
      <c r="R494" s="55" t="str">
        <f aca="false">IF(ISBLANK($C494),"",IF(ISBLANK(I494),Constants!$B$3,I494))</f>
        <v/>
      </c>
      <c r="S494" s="55" t="str">
        <f aca="false">IF(ISBLANK($C494),"",IF(ISBLANK(J494),0,MIN(J494,Constants!$B$6)))</f>
        <v/>
      </c>
      <c r="T494" s="55" t="str">
        <f aca="false">IF(ISBLANK($C494),"",IF(K494=Constants!$B$9, TRUE(), IF(K494=Constants!$B$10, FALSE(),  FALSE())))</f>
        <v/>
      </c>
      <c r="U494" s="55" t="str">
        <f aca="false">IF(ISBLANK($C494),"",AND(R494=Constants!$B$4, S494&lt;Constants!$B$6))</f>
        <v/>
      </c>
      <c r="V494" s="55" t="str">
        <f aca="false">IF(ISBLANK(C494), "", IF(T494, Constants!$B$11, IF(COUNTA(E494:K494)=0, Constants!$B$12, IF(NOT(AND(P494,S494&lt;&gt;0)), Constants!$B$13, IF(O494, Constants!$B$15, Constants!$B$14)))))</f>
        <v/>
      </c>
      <c r="W494" s="55" t="str">
        <f aca="false">IF(OR(ISBLANK($C494), SUMPRODUCT(--(P494:T494&lt;&gt;""))=0), "", IF(V494&lt;&gt;Constants!$B$14, V494, IF(AND(NOT(ISBLANK(J494)),P494,Q494,R494&lt;&gt;Constants!$B$2), Constants!$B$7, IF(AND(P494,OR(NOT(Q494),R494=Constants!$B$2)), Constants!$B$8, "Error"))))</f>
        <v/>
      </c>
      <c r="X494" s="56" t="str">
        <f aca="false">IF(OR(W494=Constants!$B$7,W494=Constants!$B$8), MAX(0, MIN(Constants!$B$6, S494))+IF(AND(R494=Constants!$B$4, NOT(U494)), Constants!$B$5, 0), "")</f>
        <v/>
      </c>
      <c r="Y494" s="55" t="str">
        <f aca="false">IF(ISBLANK($C494),"",IF(AND(ISNUMBER(X494),N494&gt;0),X494/N494, "") )</f>
        <v/>
      </c>
      <c r="Z494" s="55" t="str">
        <f aca="false">IF(AND(NOT(ISBLANK($C494)), W494=Constants!$B$7), Y494, "")</f>
        <v/>
      </c>
      <c r="AA494" s="55" t="str">
        <f aca="false">IF(ISNUMBER(Z494), RANK(Z494,Z$8:Z$507), "")</f>
        <v/>
      </c>
      <c r="AB494" s="55" t="str">
        <f aca="false">IF(AND(NOT(ISBLANK($C494)), W494=Constants!$B$8), Y494, "")</f>
        <v/>
      </c>
      <c r="AC494" s="55" t="str">
        <f aca="false">IF(ISNUMBER(AB494), RANK(AB494,AB$8:AB$507), "")</f>
        <v/>
      </c>
      <c r="AD494" s="55" t="str">
        <f aca="false">IF(ISBLANK($C494),"",IF(V494&lt;&gt;Constants!$B$14, V494, IF(W494=Constants!$B$7, AA494, IF(W494=Constants!$B$8, COUNT($AA$8:$AA$507) + AC494, ""))))</f>
        <v/>
      </c>
      <c r="AE494" s="55" t="str">
        <f aca="false">N494</f>
        <v/>
      </c>
      <c r="AF494" s="55" t="str">
        <f aca="false">IF(ISNUMBER(AE494), RANK(AE494,AE$8:AE$507,1), "")</f>
        <v/>
      </c>
      <c r="AG494" s="57" t="str">
        <f aca="false">IF(ISBLANK(C494), "", ABS(M494-S494))</f>
        <v/>
      </c>
      <c r="AH494" s="55" t="str">
        <f aca="false">IF(ISNUMBER(AG494), RANK(AG494,AG$8:AG$507,1), "")</f>
        <v/>
      </c>
      <c r="AI494" s="55" t="str">
        <f aca="false">IF(ISBLANK(C494),"",IF(V494&lt;&gt;Constants!$B$14, V494, RANK(AD494, AD$8:AD$507, 1)+ SUMPRODUCT(--(AD$8:AD$507=AD494),--(AF494&gt;AF$8:AF$507)) + SUMPRODUCT(--(AD$8:AD$507=AD494),--(AF494=AF$8:AF$507),--(AH494&gt;AH$8:AH$507))))</f>
        <v/>
      </c>
      <c r="AJ494" s="55" t="str">
        <f aca="false">IF(ISBLANK(C494),"",IF(V494&lt;&gt;Constants!$B$14, V494, AD494-AI494))</f>
        <v/>
      </c>
      <c r="AK494" s="59"/>
      <c r="AL494" s="60" t="str">
        <f aca="false">IF(ISBLANK($C494),"",IF($V494&lt;&gt;Constants!$B$14,$V494,X494))</f>
        <v/>
      </c>
      <c r="AM494" s="60" t="str">
        <f aca="false">IF(ISBLANK($C494),"",IF($V494&lt;&gt;Constants!$B$14,$V494,N494))</f>
        <v/>
      </c>
      <c r="AN494" s="62" t="str">
        <f aca="false">IF(ISBLANK(C494),"",IF(V494&lt;&gt;Constants!$B$14, V494, IF(W494=Constants!$B$7,Z494,IF(W494=Constants!$B$8,AB494,""))))</f>
        <v/>
      </c>
      <c r="AO494" s="63" t="str">
        <f aca="false">IF(ISBLANK(C494),"",W494)</f>
        <v/>
      </c>
      <c r="AP494" s="63" t="str">
        <f aca="false">IF(ISBLANK(C494),"",AJ494)</f>
        <v/>
      </c>
      <c r="AQ494" s="63" t="str">
        <f aca="false">IF(ISBLANK(C494),"",AI494)</f>
        <v/>
      </c>
      <c r="AR494" s="64" t="str">
        <f aca="false">IF(ISBLANK(C494),
  "",
IF(AQ494=Constants!$B$11,COUNTA($C$8:$C$507)+2,IF(AQ494=Constants!$B$12,COUNTA($C$8:$C$507)+1,IF(AQ494=Constants!$B$13,COUNTA($C$8:$C$507),AQ494))))</f>
        <v/>
      </c>
      <c r="AS494" s="3"/>
      <c r="AT494" s="65" t="n">
        <f aca="false">IF(OR(ISNUMBER(AQ494),AQ494="DQ",AQ494="P",AQ494="NS"),
    1,
    0
)</f>
        <v>0</v>
      </c>
      <c r="AU494" s="65" t="n">
        <v>487</v>
      </c>
      <c r="AV494" s="65" t="str">
        <f aca="false">IF(ISBLANK($C494),
    "",
   IF(ISNUMBER(AR494),AR494+ROW($B494)/1000,"")
)</f>
        <v/>
      </c>
      <c r="AW494" s="65" t="str">
        <f aca="false">IF(ISNUMBER(AV494), RANK(AV494,AV$8:AV$507,1), "")</f>
        <v/>
      </c>
      <c r="AX494" s="65" t="str">
        <f aca="false">IF(ISBLANK($C494),
    "",
    $B494
)</f>
        <v/>
      </c>
      <c r="AY494" s="65" t="str">
        <f aca="false">IF(ISBLANK($C494),
    "",
    $C494
)</f>
        <v/>
      </c>
      <c r="AZ494" s="65" t="str">
        <f aca="false">IF(ISBLANK($C494),
    "",
    $D494
)</f>
        <v/>
      </c>
      <c r="BA494" s="65" t="str">
        <f aca="false">AO494</f>
        <v/>
      </c>
      <c r="BB494" s="66" t="str">
        <f aca="false">AN494</f>
        <v/>
      </c>
      <c r="BC494" s="65" t="str">
        <f aca="false">IF(ISBLANK($C494),
    "",
    AQ494
)</f>
        <v/>
      </c>
      <c r="BD494" s="67" t="str">
        <f aca="false">IF(AU494&gt;AT$7,
    "",
    VLOOKUP(AU494,AW$8:BC$507,7,FALSE())
)</f>
        <v/>
      </c>
      <c r="BE494" s="68" t="str">
        <f aca="false">IF(AU494&gt;AT$7,
    "",
    VLOOKUP(AU494,AW$8:BC$507,2,FALSE())
)</f>
        <v/>
      </c>
      <c r="BF494" s="68" t="str">
        <f aca="false">IF(AU494&gt;AT$7,
    "",
    VLOOKUP(AU494,AW$8:BC$507,3,FALSE())
)</f>
        <v/>
      </c>
      <c r="BG494" s="68" t="str">
        <f aca="false">IF(AU494&gt;AT$7,
    "",
    VLOOKUP(AU494,AW$8:BC$507,4,FALSE())
)</f>
        <v/>
      </c>
      <c r="BH494" s="68" t="str">
        <f aca="false">IF(AU494&gt;AT$7,
    "",
    VLOOKUP(AU494,AW$8:BC$507,5,FALSE())
)</f>
        <v/>
      </c>
      <c r="BI494" s="69" t="str">
        <f aca="false">IF(AU494&gt;AT$7,
    "",
    VLOOKUP(AU494,AW$8:BC$507,6,FALSE())
)</f>
        <v/>
      </c>
      <c r="BJ494" s="46"/>
    </row>
    <row r="495" customFormat="false" ht="15.75" hidden="false" customHeight="false" outlineLevel="0" collapsed="false">
      <c r="A495" s="3"/>
      <c r="B495" s="108"/>
      <c r="C495" s="70"/>
      <c r="D495" s="49"/>
      <c r="E495" s="109"/>
      <c r="F495" s="72"/>
      <c r="G495" s="109"/>
      <c r="H495" s="74"/>
      <c r="I495" s="104"/>
      <c r="J495" s="74"/>
      <c r="K495" s="74"/>
      <c r="L495" s="55"/>
      <c r="M495" s="55" t="str">
        <f aca="false">IF(ISBLANK($C495),"",IF(ISBLANK(E495),0,E495))</f>
        <v/>
      </c>
      <c r="N495" s="55" t="str">
        <f aca="false">IF(ISBLANK($C495),"",IF(ISBLANK(F495),0,F495))</f>
        <v/>
      </c>
      <c r="O495" s="55" t="e">
        <f aca="false">IF(AND(NOT(ISBLANK($C495)),NOT($T495),COUNTA($E495:$K495)&gt;0),ISBLANK($F495),FALSE())</f>
        <v>#VALUE!</v>
      </c>
      <c r="P495" s="55" t="str">
        <f aca="false">IF(ISBLANK($C495),"",IF(G495=Constants!$B$9, TRUE(), IF(G495=Constants!$B$10, FALSE(), TRUE())))</f>
        <v/>
      </c>
      <c r="Q495" s="55" t="str">
        <f aca="false">IF(ISBLANK($C495),"",IF(H495=Constants!$B$9, TRUE(), IF(H495=Constants!$B$10, FALSE(), TRUE())))</f>
        <v/>
      </c>
      <c r="R495" s="55" t="str">
        <f aca="false">IF(ISBLANK($C495),"",IF(ISBLANK(I495),Constants!$B$3,I495))</f>
        <v/>
      </c>
      <c r="S495" s="55" t="str">
        <f aca="false">IF(ISBLANK($C495),"",IF(ISBLANK(J495),0,MIN(J495,Constants!$B$6)))</f>
        <v/>
      </c>
      <c r="T495" s="55" t="str">
        <f aca="false">IF(ISBLANK($C495),"",IF(K495=Constants!$B$9, TRUE(), IF(K495=Constants!$B$10, FALSE(),  FALSE())))</f>
        <v/>
      </c>
      <c r="U495" s="55" t="str">
        <f aca="false">IF(ISBLANK($C495),"",AND(R495=Constants!$B$4, S495&lt;Constants!$B$6))</f>
        <v/>
      </c>
      <c r="V495" s="55" t="str">
        <f aca="false">IF(ISBLANK(C495), "", IF(T495, Constants!$B$11, IF(COUNTA(E495:K495)=0, Constants!$B$12, IF(NOT(AND(P495,S495&lt;&gt;0)), Constants!$B$13, IF(O495, Constants!$B$15, Constants!$B$14)))))</f>
        <v/>
      </c>
      <c r="W495" s="55" t="str">
        <f aca="false">IF(OR(ISBLANK($C495), SUMPRODUCT(--(P495:T495&lt;&gt;""))=0), "", IF(V495&lt;&gt;Constants!$B$14, V495, IF(AND(NOT(ISBLANK(J495)),P495,Q495,R495&lt;&gt;Constants!$B$2), Constants!$B$7, IF(AND(P495,OR(NOT(Q495),R495=Constants!$B$2)), Constants!$B$8, "Error"))))</f>
        <v/>
      </c>
      <c r="X495" s="56" t="str">
        <f aca="false">IF(OR(W495=Constants!$B$7,W495=Constants!$B$8), MAX(0, MIN(Constants!$B$6, S495))+IF(AND(R495=Constants!$B$4, NOT(U495)), Constants!$B$5, 0), "")</f>
        <v/>
      </c>
      <c r="Y495" s="55" t="str">
        <f aca="false">IF(ISBLANK($C495),"",IF(AND(ISNUMBER(X495),N495&gt;0),X495/N495, "") )</f>
        <v/>
      </c>
      <c r="Z495" s="55" t="str">
        <f aca="false">IF(AND(NOT(ISBLANK($C495)), W495=Constants!$B$7), Y495, "")</f>
        <v/>
      </c>
      <c r="AA495" s="55" t="str">
        <f aca="false">IF(ISNUMBER(Z495), RANK(Z495,Z$8:Z$507), "")</f>
        <v/>
      </c>
      <c r="AB495" s="55" t="str">
        <f aca="false">IF(AND(NOT(ISBLANK($C495)), W495=Constants!$B$8), Y495, "")</f>
        <v/>
      </c>
      <c r="AC495" s="55" t="str">
        <f aca="false">IF(ISNUMBER(AB495), RANK(AB495,AB$8:AB$507), "")</f>
        <v/>
      </c>
      <c r="AD495" s="55" t="str">
        <f aca="false">IF(ISBLANK($C495),"",IF(V495&lt;&gt;Constants!$B$14, V495, IF(W495=Constants!$B$7, AA495, IF(W495=Constants!$B$8, COUNT($AA$8:$AA$507) + AC495, ""))))</f>
        <v/>
      </c>
      <c r="AE495" s="55" t="str">
        <f aca="false">N495</f>
        <v/>
      </c>
      <c r="AF495" s="55" t="str">
        <f aca="false">IF(ISNUMBER(AE495), RANK(AE495,AE$8:AE$507,1), "")</f>
        <v/>
      </c>
      <c r="AG495" s="57" t="str">
        <f aca="false">IF(ISBLANK(C495), "", ABS(M495-S495))</f>
        <v/>
      </c>
      <c r="AH495" s="55" t="str">
        <f aca="false">IF(ISNUMBER(AG495), RANK(AG495,AG$8:AG$507,1), "")</f>
        <v/>
      </c>
      <c r="AI495" s="55" t="str">
        <f aca="false">IF(ISBLANK(C495),"",IF(V495&lt;&gt;Constants!$B$14, V495, RANK(AD495, AD$8:AD$507, 1)+ SUMPRODUCT(--(AD$8:AD$507=AD495),--(AF495&gt;AF$8:AF$507)) + SUMPRODUCT(--(AD$8:AD$507=AD495),--(AF495=AF$8:AF$507),--(AH495&gt;AH$8:AH$507))))</f>
        <v/>
      </c>
      <c r="AJ495" s="55" t="str">
        <f aca="false">IF(ISBLANK(C495),"",IF(V495&lt;&gt;Constants!$B$14, V495, AD495-AI495))</f>
        <v/>
      </c>
      <c r="AK495" s="59"/>
      <c r="AL495" s="60" t="str">
        <f aca="false">IF(ISBLANK($C495),"",IF($V495&lt;&gt;Constants!$B$14,$V495,X495))</f>
        <v/>
      </c>
      <c r="AM495" s="60" t="str">
        <f aca="false">IF(ISBLANK($C495),"",IF($V495&lt;&gt;Constants!$B$14,$V495,N495))</f>
        <v/>
      </c>
      <c r="AN495" s="62" t="str">
        <f aca="false">IF(ISBLANK(C495),"",IF(V495&lt;&gt;Constants!$B$14, V495, IF(W495=Constants!$B$7,Z495,IF(W495=Constants!$B$8,AB495,""))))</f>
        <v/>
      </c>
      <c r="AO495" s="63" t="str">
        <f aca="false">IF(ISBLANK(C495),"",W495)</f>
        <v/>
      </c>
      <c r="AP495" s="63" t="str">
        <f aca="false">IF(ISBLANK(C495),"",AJ495)</f>
        <v/>
      </c>
      <c r="AQ495" s="63" t="str">
        <f aca="false">IF(ISBLANK(C495),"",AI495)</f>
        <v/>
      </c>
      <c r="AR495" s="64" t="str">
        <f aca="false">IF(ISBLANK(C495),
  "",
IF(AQ495=Constants!$B$11,COUNTA($C$8:$C$507)+2,IF(AQ495=Constants!$B$12,COUNTA($C$8:$C$507)+1,IF(AQ495=Constants!$B$13,COUNTA($C$8:$C$507),AQ495))))</f>
        <v/>
      </c>
      <c r="AS495" s="3"/>
      <c r="AT495" s="65" t="n">
        <f aca="false">IF(OR(ISNUMBER(AQ495),AQ495="DQ",AQ495="P",AQ495="NS"),
    1,
    0
)</f>
        <v>0</v>
      </c>
      <c r="AU495" s="65" t="n">
        <v>488</v>
      </c>
      <c r="AV495" s="65" t="str">
        <f aca="false">IF(ISBLANK($C495),
    "",
   IF(ISNUMBER(AR495),AR495+ROW($B495)/1000,"")
)</f>
        <v/>
      </c>
      <c r="AW495" s="65" t="str">
        <f aca="false">IF(ISNUMBER(AV495), RANK(AV495,AV$8:AV$507,1), "")</f>
        <v/>
      </c>
      <c r="AX495" s="65" t="str">
        <f aca="false">IF(ISBLANK($C495),
    "",
    $B495
)</f>
        <v/>
      </c>
      <c r="AY495" s="65" t="str">
        <f aca="false">IF(ISBLANK($C495),
    "",
    $C495
)</f>
        <v/>
      </c>
      <c r="AZ495" s="65" t="str">
        <f aca="false">IF(ISBLANK($C495),
    "",
    $D495
)</f>
        <v/>
      </c>
      <c r="BA495" s="65" t="str">
        <f aca="false">AO495</f>
        <v/>
      </c>
      <c r="BB495" s="66" t="str">
        <f aca="false">AN495</f>
        <v/>
      </c>
      <c r="BC495" s="65" t="str">
        <f aca="false">IF(ISBLANK($C495),
    "",
    AQ495
)</f>
        <v/>
      </c>
      <c r="BD495" s="67" t="str">
        <f aca="false">IF(AU495&gt;AT$7,
    "",
    VLOOKUP(AU495,AW$8:BC$507,7,FALSE())
)</f>
        <v/>
      </c>
      <c r="BE495" s="68" t="str">
        <f aca="false">IF(AU495&gt;AT$7,
    "",
    VLOOKUP(AU495,AW$8:BC$507,2,FALSE())
)</f>
        <v/>
      </c>
      <c r="BF495" s="68" t="str">
        <f aca="false">IF(AU495&gt;AT$7,
    "",
    VLOOKUP(AU495,AW$8:BC$507,3,FALSE())
)</f>
        <v/>
      </c>
      <c r="BG495" s="68" t="str">
        <f aca="false">IF(AU495&gt;AT$7,
    "",
    VLOOKUP(AU495,AW$8:BC$507,4,FALSE())
)</f>
        <v/>
      </c>
      <c r="BH495" s="68" t="str">
        <f aca="false">IF(AU495&gt;AT$7,
    "",
    VLOOKUP(AU495,AW$8:BC$507,5,FALSE())
)</f>
        <v/>
      </c>
      <c r="BI495" s="69" t="str">
        <f aca="false">IF(AU495&gt;AT$7,
    "",
    VLOOKUP(AU495,AW$8:BC$507,6,FALSE())
)</f>
        <v/>
      </c>
      <c r="BJ495" s="46"/>
    </row>
    <row r="496" customFormat="false" ht="15.75" hidden="false" customHeight="false" outlineLevel="0" collapsed="false">
      <c r="A496" s="3"/>
      <c r="B496" s="108"/>
      <c r="C496" s="70"/>
      <c r="D496" s="49"/>
      <c r="E496" s="109"/>
      <c r="F496" s="72"/>
      <c r="G496" s="109"/>
      <c r="H496" s="74"/>
      <c r="I496" s="104"/>
      <c r="J496" s="74"/>
      <c r="K496" s="74"/>
      <c r="L496" s="55"/>
      <c r="M496" s="55" t="str">
        <f aca="false">IF(ISBLANK($C496),"",IF(ISBLANK(E496),0,E496))</f>
        <v/>
      </c>
      <c r="N496" s="55" t="str">
        <f aca="false">IF(ISBLANK($C496),"",IF(ISBLANK(F496),0,F496))</f>
        <v/>
      </c>
      <c r="O496" s="55" t="e">
        <f aca="false">IF(AND(NOT(ISBLANK($C496)),NOT($T496),COUNTA($E496:$K496)&gt;0),ISBLANK($F496),FALSE())</f>
        <v>#VALUE!</v>
      </c>
      <c r="P496" s="55" t="str">
        <f aca="false">IF(ISBLANK($C496),"",IF(G496=Constants!$B$9, TRUE(), IF(G496=Constants!$B$10, FALSE(), TRUE())))</f>
        <v/>
      </c>
      <c r="Q496" s="55" t="str">
        <f aca="false">IF(ISBLANK($C496),"",IF(H496=Constants!$B$9, TRUE(), IF(H496=Constants!$B$10, FALSE(), TRUE())))</f>
        <v/>
      </c>
      <c r="R496" s="55" t="str">
        <f aca="false">IF(ISBLANK($C496),"",IF(ISBLANK(I496),Constants!$B$3,I496))</f>
        <v/>
      </c>
      <c r="S496" s="55" t="str">
        <f aca="false">IF(ISBLANK($C496),"",IF(ISBLANK(J496),0,MIN(J496,Constants!$B$6)))</f>
        <v/>
      </c>
      <c r="T496" s="55" t="str">
        <f aca="false">IF(ISBLANK($C496),"",IF(K496=Constants!$B$9, TRUE(), IF(K496=Constants!$B$10, FALSE(),  FALSE())))</f>
        <v/>
      </c>
      <c r="U496" s="55" t="str">
        <f aca="false">IF(ISBLANK($C496),"",AND(R496=Constants!$B$4, S496&lt;Constants!$B$6))</f>
        <v/>
      </c>
      <c r="V496" s="55" t="str">
        <f aca="false">IF(ISBLANK(C496), "", IF(T496, Constants!$B$11, IF(COUNTA(E496:K496)=0, Constants!$B$12, IF(NOT(AND(P496,S496&lt;&gt;0)), Constants!$B$13, IF(O496, Constants!$B$15, Constants!$B$14)))))</f>
        <v/>
      </c>
      <c r="W496" s="55" t="str">
        <f aca="false">IF(OR(ISBLANK($C496), SUMPRODUCT(--(P496:T496&lt;&gt;""))=0), "", IF(V496&lt;&gt;Constants!$B$14, V496, IF(AND(NOT(ISBLANK(J496)),P496,Q496,R496&lt;&gt;Constants!$B$2), Constants!$B$7, IF(AND(P496,OR(NOT(Q496),R496=Constants!$B$2)), Constants!$B$8, "Error"))))</f>
        <v/>
      </c>
      <c r="X496" s="56" t="str">
        <f aca="false">IF(OR(W496=Constants!$B$7,W496=Constants!$B$8), MAX(0, MIN(Constants!$B$6, S496))+IF(AND(R496=Constants!$B$4, NOT(U496)), Constants!$B$5, 0), "")</f>
        <v/>
      </c>
      <c r="Y496" s="55" t="str">
        <f aca="false">IF(ISBLANK($C496),"",IF(AND(ISNUMBER(X496),N496&gt;0),X496/N496, "") )</f>
        <v/>
      </c>
      <c r="Z496" s="55" t="str">
        <f aca="false">IF(AND(NOT(ISBLANK($C496)), W496=Constants!$B$7), Y496, "")</f>
        <v/>
      </c>
      <c r="AA496" s="55" t="str">
        <f aca="false">IF(ISNUMBER(Z496), RANK(Z496,Z$8:Z$507), "")</f>
        <v/>
      </c>
      <c r="AB496" s="55" t="str">
        <f aca="false">IF(AND(NOT(ISBLANK($C496)), W496=Constants!$B$8), Y496, "")</f>
        <v/>
      </c>
      <c r="AC496" s="55" t="str">
        <f aca="false">IF(ISNUMBER(AB496), RANK(AB496,AB$8:AB$507), "")</f>
        <v/>
      </c>
      <c r="AD496" s="55" t="str">
        <f aca="false">IF(ISBLANK($C496),"",IF(V496&lt;&gt;Constants!$B$14, V496, IF(W496=Constants!$B$7, AA496, IF(W496=Constants!$B$8, COUNT($AA$8:$AA$507) + AC496, ""))))</f>
        <v/>
      </c>
      <c r="AE496" s="55" t="str">
        <f aca="false">N496</f>
        <v/>
      </c>
      <c r="AF496" s="55" t="str">
        <f aca="false">IF(ISNUMBER(AE496), RANK(AE496,AE$8:AE$507,1), "")</f>
        <v/>
      </c>
      <c r="AG496" s="57" t="str">
        <f aca="false">IF(ISBLANK(C496), "", ABS(M496-S496))</f>
        <v/>
      </c>
      <c r="AH496" s="55" t="str">
        <f aca="false">IF(ISNUMBER(AG496), RANK(AG496,AG$8:AG$507,1), "")</f>
        <v/>
      </c>
      <c r="AI496" s="55" t="str">
        <f aca="false">IF(ISBLANK(C496),"",IF(V496&lt;&gt;Constants!$B$14, V496, RANK(AD496, AD$8:AD$507, 1)+ SUMPRODUCT(--(AD$8:AD$507=AD496),--(AF496&gt;AF$8:AF$507)) + SUMPRODUCT(--(AD$8:AD$507=AD496),--(AF496=AF$8:AF$507),--(AH496&gt;AH$8:AH$507))))</f>
        <v/>
      </c>
      <c r="AJ496" s="55" t="str">
        <f aca="false">IF(ISBLANK(C496),"",IF(V496&lt;&gt;Constants!$B$14, V496, AD496-AI496))</f>
        <v/>
      </c>
      <c r="AK496" s="59"/>
      <c r="AL496" s="60" t="str">
        <f aca="false">IF(ISBLANK($C496),"",IF($V496&lt;&gt;Constants!$B$14,$V496,X496))</f>
        <v/>
      </c>
      <c r="AM496" s="60" t="str">
        <f aca="false">IF(ISBLANK($C496),"",IF($V496&lt;&gt;Constants!$B$14,$V496,N496))</f>
        <v/>
      </c>
      <c r="AN496" s="62" t="str">
        <f aca="false">IF(ISBLANK(C496),"",IF(V496&lt;&gt;Constants!$B$14, V496, IF(W496=Constants!$B$7,Z496,IF(W496=Constants!$B$8,AB496,""))))</f>
        <v/>
      </c>
      <c r="AO496" s="63" t="str">
        <f aca="false">IF(ISBLANK(C496),"",W496)</f>
        <v/>
      </c>
      <c r="AP496" s="63" t="str">
        <f aca="false">IF(ISBLANK(C496),"",AJ496)</f>
        <v/>
      </c>
      <c r="AQ496" s="63" t="str">
        <f aca="false">IF(ISBLANK(C496),"",AI496)</f>
        <v/>
      </c>
      <c r="AR496" s="64" t="str">
        <f aca="false">IF(ISBLANK(C496),
  "",
IF(AQ496=Constants!$B$11,COUNTA($C$8:$C$507)+2,IF(AQ496=Constants!$B$12,COUNTA($C$8:$C$507)+1,IF(AQ496=Constants!$B$13,COUNTA($C$8:$C$507),AQ496))))</f>
        <v/>
      </c>
      <c r="AS496" s="3"/>
      <c r="AT496" s="65" t="n">
        <f aca="false">IF(OR(ISNUMBER(AQ496),AQ496="DQ",AQ496="P",AQ496="NS"),
    1,
    0
)</f>
        <v>0</v>
      </c>
      <c r="AU496" s="65" t="n">
        <v>489</v>
      </c>
      <c r="AV496" s="65" t="str">
        <f aca="false">IF(ISBLANK($C496),
    "",
   IF(ISNUMBER(AR496),AR496+ROW($B496)/1000,"")
)</f>
        <v/>
      </c>
      <c r="AW496" s="65" t="str">
        <f aca="false">IF(ISNUMBER(AV496), RANK(AV496,AV$8:AV$507,1), "")</f>
        <v/>
      </c>
      <c r="AX496" s="65" t="str">
        <f aca="false">IF(ISBLANK($C496),
    "",
    $B496
)</f>
        <v/>
      </c>
      <c r="AY496" s="65" t="str">
        <f aca="false">IF(ISBLANK($C496),
    "",
    $C496
)</f>
        <v/>
      </c>
      <c r="AZ496" s="65" t="str">
        <f aca="false">IF(ISBLANK($C496),
    "",
    $D496
)</f>
        <v/>
      </c>
      <c r="BA496" s="65" t="str">
        <f aca="false">AO496</f>
        <v/>
      </c>
      <c r="BB496" s="66" t="str">
        <f aca="false">AN496</f>
        <v/>
      </c>
      <c r="BC496" s="65" t="str">
        <f aca="false">IF(ISBLANK($C496),
    "",
    AQ496
)</f>
        <v/>
      </c>
      <c r="BD496" s="67" t="str">
        <f aca="false">IF(AU496&gt;AT$7,
    "",
    VLOOKUP(AU496,AW$8:BC$507,7,FALSE())
)</f>
        <v/>
      </c>
      <c r="BE496" s="68" t="str">
        <f aca="false">IF(AU496&gt;AT$7,
    "",
    VLOOKUP(AU496,AW$8:BC$507,2,FALSE())
)</f>
        <v/>
      </c>
      <c r="BF496" s="68" t="str">
        <f aca="false">IF(AU496&gt;AT$7,
    "",
    VLOOKUP(AU496,AW$8:BC$507,3,FALSE())
)</f>
        <v/>
      </c>
      <c r="BG496" s="68" t="str">
        <f aca="false">IF(AU496&gt;AT$7,
    "",
    VLOOKUP(AU496,AW$8:BC$507,4,FALSE())
)</f>
        <v/>
      </c>
      <c r="BH496" s="68" t="str">
        <f aca="false">IF(AU496&gt;AT$7,
    "",
    VLOOKUP(AU496,AW$8:BC$507,5,FALSE())
)</f>
        <v/>
      </c>
      <c r="BI496" s="69" t="str">
        <f aca="false">IF(AU496&gt;AT$7,
    "",
    VLOOKUP(AU496,AW$8:BC$507,6,FALSE())
)</f>
        <v/>
      </c>
      <c r="BJ496" s="46"/>
    </row>
    <row r="497" customFormat="false" ht="15.75" hidden="false" customHeight="false" outlineLevel="0" collapsed="false">
      <c r="A497" s="3"/>
      <c r="B497" s="105"/>
      <c r="C497" s="106"/>
      <c r="D497" s="99"/>
      <c r="E497" s="110"/>
      <c r="F497" s="107"/>
      <c r="G497" s="110"/>
      <c r="H497" s="103"/>
      <c r="I497" s="102"/>
      <c r="J497" s="103"/>
      <c r="K497" s="103"/>
      <c r="L497" s="85"/>
      <c r="M497" s="85" t="str">
        <f aca="false">IF(ISBLANK($C497),"",IF(ISBLANK(E497),0,E497))</f>
        <v/>
      </c>
      <c r="N497" s="85" t="str">
        <f aca="false">IF(ISBLANK($C497),"",IF(ISBLANK(F497),0,F497))</f>
        <v/>
      </c>
      <c r="O497" s="86" t="e">
        <f aca="false">IF(AND(NOT(ISBLANK($C497)),NOT($T497),COUNTA($E497:$K497)&gt;0),ISBLANK($F497),FALSE())</f>
        <v>#VALUE!</v>
      </c>
      <c r="P497" s="85" t="str">
        <f aca="false">IF(ISBLANK($C497),"",IF(G497=Constants!$B$9, TRUE(), IF(G497=Constants!$B$10, FALSE(), TRUE())))</f>
        <v/>
      </c>
      <c r="Q497" s="85" t="str">
        <f aca="false">IF(ISBLANK($C497),"",IF(H497=Constants!$B$9, TRUE(), IF(H497=Constants!$B$10, FALSE(), TRUE())))</f>
        <v/>
      </c>
      <c r="R497" s="85" t="str">
        <f aca="false">IF(ISBLANK($C497),"",IF(ISBLANK(I497),Constants!$B$3,I497))</f>
        <v/>
      </c>
      <c r="S497" s="85" t="str">
        <f aca="false">IF(ISBLANK($C497),"",IF(ISBLANK(J497),0,MIN(J497,Constants!$B$6)))</f>
        <v/>
      </c>
      <c r="T497" s="85" t="str">
        <f aca="false">IF(ISBLANK($C497),"",IF(K497=Constants!$B$9, TRUE(), IF(K497=Constants!$B$10, FALSE(),  FALSE())))</f>
        <v/>
      </c>
      <c r="U497" s="85" t="str">
        <f aca="false">IF(ISBLANK($C497),"",AND(R497=Constants!$B$4, S497&lt;Constants!$B$6))</f>
        <v/>
      </c>
      <c r="V497" s="85" t="str">
        <f aca="false">IF(ISBLANK(C497), "", IF(T497, Constants!$B$11, IF(COUNTA(E497:K497)=0, Constants!$B$12, IF(NOT(AND(P497,S497&lt;&gt;0)), Constants!$B$13, IF(O497, Constants!$B$15, Constants!$B$14)))))</f>
        <v/>
      </c>
      <c r="W497" s="85" t="str">
        <f aca="false">IF(OR(ISBLANK($C497), SUMPRODUCT(--(P497:T497&lt;&gt;""))=0), "", IF(V497&lt;&gt;Constants!$B$14, V497, IF(AND(NOT(ISBLANK(J497)),P497,Q497,R497&lt;&gt;Constants!$B$2), Constants!$B$7, IF(AND(P497,OR(NOT(Q497),R497=Constants!$B$2)), Constants!$B$8, "Error"))))</f>
        <v/>
      </c>
      <c r="X497" s="87" t="str">
        <f aca="false">IF(OR(W497=Constants!$B$7,W497=Constants!$B$8), MAX(0, MIN(Constants!$B$6, S497))+IF(AND(R497=Constants!$B$4, NOT(U497)), Constants!$B$5, 0), "")</f>
        <v/>
      </c>
      <c r="Y497" s="85" t="str">
        <f aca="false">IF(ISBLANK($C497),"",IF(AND(ISNUMBER(X497),N497&gt;0),X497/N497, "") )</f>
        <v/>
      </c>
      <c r="Z497" s="85" t="str">
        <f aca="false">IF(AND(NOT(ISBLANK($C497)), W497=Constants!$B$7), Y497, "")</f>
        <v/>
      </c>
      <c r="AA497" s="85" t="str">
        <f aca="false">IF(ISNUMBER(Z497), RANK(Z497,Z$8:Z$507), "")</f>
        <v/>
      </c>
      <c r="AB497" s="85" t="str">
        <f aca="false">IF(AND(NOT(ISBLANK($C497)), W497=Constants!$B$8), Y497, "")</f>
        <v/>
      </c>
      <c r="AC497" s="85" t="str">
        <f aca="false">IF(ISNUMBER(AB497), RANK(AB497,AB$8:AB$507), "")</f>
        <v/>
      </c>
      <c r="AD497" s="85" t="str">
        <f aca="false">IF(ISBLANK($C497),"",IF(V497&lt;&gt;Constants!$B$14, V497, IF(W497=Constants!$B$7, AA497, IF(W497=Constants!$B$8, COUNT($AA$8:$AA$507) + AC497, ""))))</f>
        <v/>
      </c>
      <c r="AE497" s="85" t="str">
        <f aca="false">N497</f>
        <v/>
      </c>
      <c r="AF497" s="85" t="str">
        <f aca="false">IF(ISNUMBER(AE497), RANK(AE497,AE$8:AE$507,1), "")</f>
        <v/>
      </c>
      <c r="AG497" s="88" t="str">
        <f aca="false">IF(ISBLANK(C497), "", ABS(M497-S497))</f>
        <v/>
      </c>
      <c r="AH497" s="85" t="str">
        <f aca="false">IF(ISNUMBER(AG497), RANK(AG497,AG$8:AG$507,1), "")</f>
        <v/>
      </c>
      <c r="AI497" s="85" t="str">
        <f aca="false">IF(ISBLANK(C497),"",IF(V497&lt;&gt;Constants!$B$14, V497, RANK(AD497, AD$8:AD$507, 1)+ SUMPRODUCT(--(AD$8:AD$507=AD497),--(AF497&gt;AF$8:AF$507)) + SUMPRODUCT(--(AD$8:AD$507=AD497),--(AF497=AF$8:AF$507),--(AH497&gt;AH$8:AH$507))))</f>
        <v/>
      </c>
      <c r="AJ497" s="85" t="str">
        <f aca="false">IF(ISBLANK(C497),"",IF(V497&lt;&gt;Constants!$B$14, V497, AD497-AI497))</f>
        <v/>
      </c>
      <c r="AK497" s="89"/>
      <c r="AL497" s="90" t="str">
        <f aca="false">IF(ISBLANK($C497),"",IF($V497&lt;&gt;Constants!$B$14,$V497,X497))</f>
        <v/>
      </c>
      <c r="AM497" s="90" t="str">
        <f aca="false">IF(ISBLANK($C497),"",IF($V497&lt;&gt;Constants!$B$14,$V497,N497))</f>
        <v/>
      </c>
      <c r="AN497" s="91" t="str">
        <f aca="false">IF(ISBLANK(C497),"",IF(V497&lt;&gt;Constants!$B$14, V497, IF(W497=Constants!$B$7,Z497,IF(W497=Constants!$B$8,AB497,""))))</f>
        <v/>
      </c>
      <c r="AO497" s="92" t="str">
        <f aca="false">IF(ISBLANK(C497),"",W497)</f>
        <v/>
      </c>
      <c r="AP497" s="92" t="str">
        <f aca="false">IF(ISBLANK(C497),"",AJ497)</f>
        <v/>
      </c>
      <c r="AQ497" s="92" t="str">
        <f aca="false">IF(ISBLANK(C497),"",AI497)</f>
        <v/>
      </c>
      <c r="AR497" s="93" t="str">
        <f aca="false">IF(ISBLANK(C497),
  "",
IF(AQ497=Constants!$B$11,COUNTA($C$8:$C$507)+2,IF(AQ497=Constants!$B$12,COUNTA($C$8:$C$507)+1,IF(AQ497=Constants!$B$13,COUNTA($C$8:$C$507),AQ497))))</f>
        <v/>
      </c>
      <c r="AS497" s="3"/>
      <c r="AT497" s="94" t="n">
        <f aca="false">IF(OR(ISNUMBER(AQ497),AQ497="DQ",AQ497="P",AQ497="NS"),
    1,
    0
)</f>
        <v>0</v>
      </c>
      <c r="AU497" s="94" t="n">
        <v>490</v>
      </c>
      <c r="AV497" s="94" t="str">
        <f aca="false">IF(ISBLANK($C497),
    "",
   IF(ISNUMBER(AR497),AR497+ROW($B497)/1000,"")
)</f>
        <v/>
      </c>
      <c r="AW497" s="94" t="str">
        <f aca="false">IF(ISNUMBER(AV497), RANK(AV497,AV$8:AV$507,1), "")</f>
        <v/>
      </c>
      <c r="AX497" s="94" t="str">
        <f aca="false">IF(ISBLANK($C497),
    "",
    $B497
)</f>
        <v/>
      </c>
      <c r="AY497" s="94" t="str">
        <f aca="false">IF(ISBLANK($C497),
    "",
    $C497
)</f>
        <v/>
      </c>
      <c r="AZ497" s="94" t="str">
        <f aca="false">IF(ISBLANK($C497),
    "",
    $D497
)</f>
        <v/>
      </c>
      <c r="BA497" s="94" t="str">
        <f aca="false">AO497</f>
        <v/>
      </c>
      <c r="BB497" s="95" t="str">
        <f aca="false">AN497</f>
        <v/>
      </c>
      <c r="BC497" s="94" t="str">
        <f aca="false">IF(ISBLANK($C497),
    "",
    AQ497
)</f>
        <v/>
      </c>
      <c r="BD497" s="96" t="str">
        <f aca="false">IF(AU497&gt;AT$7,
    "",
    VLOOKUP(AU497,AW$8:BC$507,7,FALSE())
)</f>
        <v/>
      </c>
      <c r="BE497" s="97" t="str">
        <f aca="false">IF(AU497&gt;AT$7,
    "",
    VLOOKUP(AU497,AW$8:BC$507,2,FALSE())
)</f>
        <v/>
      </c>
      <c r="BF497" s="97" t="str">
        <f aca="false">IF(AU497&gt;AT$7,
    "",
    VLOOKUP(AU497,AW$8:BC$507,3,FALSE())
)</f>
        <v/>
      </c>
      <c r="BG497" s="97" t="str">
        <f aca="false">IF(AU497&gt;AT$7,
    "",
    VLOOKUP(AU497,AW$8:BC$507,4,FALSE())
)</f>
        <v/>
      </c>
      <c r="BH497" s="97" t="str">
        <f aca="false">IF(AU497&gt;AT$7,
    "",
    VLOOKUP(AU497,AW$8:BC$507,5,FALSE())
)</f>
        <v/>
      </c>
      <c r="BI497" s="98" t="str">
        <f aca="false">IF(AU497&gt;AT$7,
    "",
    VLOOKUP(AU497,AW$8:BC$507,6,FALSE())
)</f>
        <v/>
      </c>
      <c r="BJ497" s="46"/>
    </row>
    <row r="498" customFormat="false" ht="15.75" hidden="false" customHeight="false" outlineLevel="0" collapsed="false">
      <c r="A498" s="3"/>
      <c r="B498" s="105"/>
      <c r="C498" s="106"/>
      <c r="D498" s="99"/>
      <c r="E498" s="110"/>
      <c r="F498" s="107"/>
      <c r="G498" s="110"/>
      <c r="H498" s="103"/>
      <c r="I498" s="102"/>
      <c r="J498" s="103"/>
      <c r="K498" s="103"/>
      <c r="L498" s="85"/>
      <c r="M498" s="85" t="str">
        <f aca="false">IF(ISBLANK($C498),"",IF(ISBLANK(E498),0,E498))</f>
        <v/>
      </c>
      <c r="N498" s="85" t="str">
        <f aca="false">IF(ISBLANK($C498),"",IF(ISBLANK(F498),0,F498))</f>
        <v/>
      </c>
      <c r="O498" s="86" t="e">
        <f aca="false">IF(AND(NOT(ISBLANK($C498)),NOT($T498),COUNTA($E498:$K498)&gt;0),ISBLANK($F498),FALSE())</f>
        <v>#VALUE!</v>
      </c>
      <c r="P498" s="85" t="str">
        <f aca="false">IF(ISBLANK($C498),"",IF(G498=Constants!$B$9, TRUE(), IF(G498=Constants!$B$10, FALSE(), TRUE())))</f>
        <v/>
      </c>
      <c r="Q498" s="85" t="str">
        <f aca="false">IF(ISBLANK($C498),"",IF(H498=Constants!$B$9, TRUE(), IF(H498=Constants!$B$10, FALSE(), TRUE())))</f>
        <v/>
      </c>
      <c r="R498" s="85" t="str">
        <f aca="false">IF(ISBLANK($C498),"",IF(ISBLANK(I498),Constants!$B$3,I498))</f>
        <v/>
      </c>
      <c r="S498" s="85" t="str">
        <f aca="false">IF(ISBLANK($C498),"",IF(ISBLANK(J498),0,MIN(J498,Constants!$B$6)))</f>
        <v/>
      </c>
      <c r="T498" s="85" t="str">
        <f aca="false">IF(ISBLANK($C498),"",IF(K498=Constants!$B$9, TRUE(), IF(K498=Constants!$B$10, FALSE(),  FALSE())))</f>
        <v/>
      </c>
      <c r="U498" s="85" t="str">
        <f aca="false">IF(ISBLANK($C498),"",AND(R498=Constants!$B$4, S498&lt;Constants!$B$6))</f>
        <v/>
      </c>
      <c r="V498" s="85" t="str">
        <f aca="false">IF(ISBLANK(C498), "", IF(T498, Constants!$B$11, IF(COUNTA(E498:K498)=0, Constants!$B$12, IF(NOT(AND(P498,S498&lt;&gt;0)), Constants!$B$13, IF(O498, Constants!$B$15, Constants!$B$14)))))</f>
        <v/>
      </c>
      <c r="W498" s="85" t="str">
        <f aca="false">IF(OR(ISBLANK($C498), SUMPRODUCT(--(P498:T498&lt;&gt;""))=0), "", IF(V498&lt;&gt;Constants!$B$14, V498, IF(AND(NOT(ISBLANK(J498)),P498,Q498,R498&lt;&gt;Constants!$B$2), Constants!$B$7, IF(AND(P498,OR(NOT(Q498),R498=Constants!$B$2)), Constants!$B$8, "Error"))))</f>
        <v/>
      </c>
      <c r="X498" s="87" t="str">
        <f aca="false">IF(OR(W498=Constants!$B$7,W498=Constants!$B$8), MAX(0, MIN(Constants!$B$6, S498))+IF(AND(R498=Constants!$B$4, NOT(U498)), Constants!$B$5, 0), "")</f>
        <v/>
      </c>
      <c r="Y498" s="85" t="str">
        <f aca="false">IF(ISBLANK($C498),"",IF(AND(ISNUMBER(X498),N498&gt;0),X498/N498, "") )</f>
        <v/>
      </c>
      <c r="Z498" s="85" t="str">
        <f aca="false">IF(AND(NOT(ISBLANK($C498)), W498=Constants!$B$7), Y498, "")</f>
        <v/>
      </c>
      <c r="AA498" s="85" t="str">
        <f aca="false">IF(ISNUMBER(Z498), RANK(Z498,Z$8:Z$507), "")</f>
        <v/>
      </c>
      <c r="AB498" s="85" t="str">
        <f aca="false">IF(AND(NOT(ISBLANK($C498)), W498=Constants!$B$8), Y498, "")</f>
        <v/>
      </c>
      <c r="AC498" s="85" t="str">
        <f aca="false">IF(ISNUMBER(AB498), RANK(AB498,AB$8:AB$507), "")</f>
        <v/>
      </c>
      <c r="AD498" s="85" t="str">
        <f aca="false">IF(ISBLANK($C498),"",IF(V498&lt;&gt;Constants!$B$14, V498, IF(W498=Constants!$B$7, AA498, IF(W498=Constants!$B$8, COUNT($AA$8:$AA$507) + AC498, ""))))</f>
        <v/>
      </c>
      <c r="AE498" s="85" t="str">
        <f aca="false">N498</f>
        <v/>
      </c>
      <c r="AF498" s="85" t="str">
        <f aca="false">IF(ISNUMBER(AE498), RANK(AE498,AE$8:AE$507,1), "")</f>
        <v/>
      </c>
      <c r="AG498" s="88" t="str">
        <f aca="false">IF(ISBLANK(C498), "", ABS(M498-S498))</f>
        <v/>
      </c>
      <c r="AH498" s="85" t="str">
        <f aca="false">IF(ISNUMBER(AG498), RANK(AG498,AG$8:AG$507,1), "")</f>
        <v/>
      </c>
      <c r="AI498" s="85" t="str">
        <f aca="false">IF(ISBLANK(C498),"",IF(V498&lt;&gt;Constants!$B$14, V498, RANK(AD498, AD$8:AD$507, 1)+ SUMPRODUCT(--(AD$8:AD$507=AD498),--(AF498&gt;AF$8:AF$507)) + SUMPRODUCT(--(AD$8:AD$507=AD498),--(AF498=AF$8:AF$507),--(AH498&gt;AH$8:AH$507))))</f>
        <v/>
      </c>
      <c r="AJ498" s="85" t="str">
        <f aca="false">IF(ISBLANK(C498),"",IF(V498&lt;&gt;Constants!$B$14, V498, AD498-AI498))</f>
        <v/>
      </c>
      <c r="AK498" s="89"/>
      <c r="AL498" s="90" t="str">
        <f aca="false">IF(ISBLANK($C498),"",IF($V498&lt;&gt;Constants!$B$14,$V498,X498))</f>
        <v/>
      </c>
      <c r="AM498" s="90" t="str">
        <f aca="false">IF(ISBLANK($C498),"",IF($V498&lt;&gt;Constants!$B$14,$V498,N498))</f>
        <v/>
      </c>
      <c r="AN498" s="91" t="str">
        <f aca="false">IF(ISBLANK(C498),"",IF(V498&lt;&gt;Constants!$B$14, V498, IF(W498=Constants!$B$7,Z498,IF(W498=Constants!$B$8,AB498,""))))</f>
        <v/>
      </c>
      <c r="AO498" s="92" t="str">
        <f aca="false">IF(ISBLANK(C498),"",W498)</f>
        <v/>
      </c>
      <c r="AP498" s="92" t="str">
        <f aca="false">IF(ISBLANK(C498),"",AJ498)</f>
        <v/>
      </c>
      <c r="AQ498" s="92" t="str">
        <f aca="false">IF(ISBLANK(C498),"",AI498)</f>
        <v/>
      </c>
      <c r="AR498" s="93" t="str">
        <f aca="false">IF(ISBLANK(C498),
  "",
IF(AQ498=Constants!$B$11,COUNTA($C$8:$C$507)+2,IF(AQ498=Constants!$B$12,COUNTA($C$8:$C$507)+1,IF(AQ498=Constants!$B$13,COUNTA($C$8:$C$507),AQ498))))</f>
        <v/>
      </c>
      <c r="AS498" s="3"/>
      <c r="AT498" s="94" t="n">
        <f aca="false">IF(OR(ISNUMBER(AQ498),AQ498="DQ",AQ498="P",AQ498="NS"),
    1,
    0
)</f>
        <v>0</v>
      </c>
      <c r="AU498" s="94" t="n">
        <v>491</v>
      </c>
      <c r="AV498" s="94" t="str">
        <f aca="false">IF(ISBLANK($C498),
    "",
   IF(ISNUMBER(AR498),AR498+ROW($B498)/1000,"")
)</f>
        <v/>
      </c>
      <c r="AW498" s="94" t="str">
        <f aca="false">IF(ISNUMBER(AV498), RANK(AV498,AV$8:AV$507,1), "")</f>
        <v/>
      </c>
      <c r="AX498" s="94" t="str">
        <f aca="false">IF(ISBLANK($C498),
    "",
    $B498
)</f>
        <v/>
      </c>
      <c r="AY498" s="94" t="str">
        <f aca="false">IF(ISBLANK($C498),
    "",
    $C498
)</f>
        <v/>
      </c>
      <c r="AZ498" s="94" t="str">
        <f aca="false">IF(ISBLANK($C498),
    "",
    $D498
)</f>
        <v/>
      </c>
      <c r="BA498" s="94" t="str">
        <f aca="false">AO498</f>
        <v/>
      </c>
      <c r="BB498" s="95" t="str">
        <f aca="false">AN498</f>
        <v/>
      </c>
      <c r="BC498" s="94" t="str">
        <f aca="false">IF(ISBLANK($C498),
    "",
    AQ498
)</f>
        <v/>
      </c>
      <c r="BD498" s="96" t="str">
        <f aca="false">IF(AU498&gt;AT$7,
    "",
    VLOOKUP(AU498,AW$8:BC$507,7,FALSE())
)</f>
        <v/>
      </c>
      <c r="BE498" s="97" t="str">
        <f aca="false">IF(AU498&gt;AT$7,
    "",
    VLOOKUP(AU498,AW$8:BC$507,2,FALSE())
)</f>
        <v/>
      </c>
      <c r="BF498" s="97" t="str">
        <f aca="false">IF(AU498&gt;AT$7,
    "",
    VLOOKUP(AU498,AW$8:BC$507,3,FALSE())
)</f>
        <v/>
      </c>
      <c r="BG498" s="97" t="str">
        <f aca="false">IF(AU498&gt;AT$7,
    "",
    VLOOKUP(AU498,AW$8:BC$507,4,FALSE())
)</f>
        <v/>
      </c>
      <c r="BH498" s="97" t="str">
        <f aca="false">IF(AU498&gt;AT$7,
    "",
    VLOOKUP(AU498,AW$8:BC$507,5,FALSE())
)</f>
        <v/>
      </c>
      <c r="BI498" s="98" t="str">
        <f aca="false">IF(AU498&gt;AT$7,
    "",
    VLOOKUP(AU498,AW$8:BC$507,6,FALSE())
)</f>
        <v/>
      </c>
      <c r="BJ498" s="46"/>
    </row>
    <row r="499" customFormat="false" ht="15.75" hidden="false" customHeight="false" outlineLevel="0" collapsed="false">
      <c r="A499" s="3"/>
      <c r="B499" s="105"/>
      <c r="C499" s="106"/>
      <c r="D499" s="99"/>
      <c r="E499" s="110"/>
      <c r="F499" s="107"/>
      <c r="G499" s="110"/>
      <c r="H499" s="103"/>
      <c r="I499" s="102"/>
      <c r="J499" s="103"/>
      <c r="K499" s="103"/>
      <c r="L499" s="85"/>
      <c r="M499" s="85" t="str">
        <f aca="false">IF(ISBLANK($C499),"",IF(ISBLANK(E499),0,E499))</f>
        <v/>
      </c>
      <c r="N499" s="85" t="str">
        <f aca="false">IF(ISBLANK($C499),"",IF(ISBLANK(F499),0,F499))</f>
        <v/>
      </c>
      <c r="O499" s="86" t="e">
        <f aca="false">IF(AND(NOT(ISBLANK($C499)),NOT($T499),COUNTA($E499:$K499)&gt;0),ISBLANK($F499),FALSE())</f>
        <v>#VALUE!</v>
      </c>
      <c r="P499" s="85" t="str">
        <f aca="false">IF(ISBLANK($C499),"",IF(G499=Constants!$B$9, TRUE(), IF(G499=Constants!$B$10, FALSE(), TRUE())))</f>
        <v/>
      </c>
      <c r="Q499" s="85" t="str">
        <f aca="false">IF(ISBLANK($C499),"",IF(H499=Constants!$B$9, TRUE(), IF(H499=Constants!$B$10, FALSE(), TRUE())))</f>
        <v/>
      </c>
      <c r="R499" s="85" t="str">
        <f aca="false">IF(ISBLANK($C499),"",IF(ISBLANK(I499),Constants!$B$3,I499))</f>
        <v/>
      </c>
      <c r="S499" s="85" t="str">
        <f aca="false">IF(ISBLANK($C499),"",IF(ISBLANK(J499),0,MIN(J499,Constants!$B$6)))</f>
        <v/>
      </c>
      <c r="T499" s="85" t="str">
        <f aca="false">IF(ISBLANK($C499),"",IF(K499=Constants!$B$9, TRUE(), IF(K499=Constants!$B$10, FALSE(),  FALSE())))</f>
        <v/>
      </c>
      <c r="U499" s="85" t="str">
        <f aca="false">IF(ISBLANK($C499),"",AND(R499=Constants!$B$4, S499&lt;Constants!$B$6))</f>
        <v/>
      </c>
      <c r="V499" s="85" t="str">
        <f aca="false">IF(ISBLANK(C499), "", IF(T499, Constants!$B$11, IF(COUNTA(E499:K499)=0, Constants!$B$12, IF(NOT(AND(P499,S499&lt;&gt;0)), Constants!$B$13, IF(O499, Constants!$B$15, Constants!$B$14)))))</f>
        <v/>
      </c>
      <c r="W499" s="85" t="str">
        <f aca="false">IF(OR(ISBLANK($C499), SUMPRODUCT(--(P499:T499&lt;&gt;""))=0), "", IF(V499&lt;&gt;Constants!$B$14, V499, IF(AND(NOT(ISBLANK(J499)),P499,Q499,R499&lt;&gt;Constants!$B$2), Constants!$B$7, IF(AND(P499,OR(NOT(Q499),R499=Constants!$B$2)), Constants!$B$8, "Error"))))</f>
        <v/>
      </c>
      <c r="X499" s="87" t="str">
        <f aca="false">IF(OR(W499=Constants!$B$7,W499=Constants!$B$8), MAX(0, MIN(Constants!$B$6, S499))+IF(AND(R499=Constants!$B$4, NOT(U499)), Constants!$B$5, 0), "")</f>
        <v/>
      </c>
      <c r="Y499" s="85" t="str">
        <f aca="false">IF(ISBLANK($C499),"",IF(AND(ISNUMBER(X499),N499&gt;0),X499/N499, "") )</f>
        <v/>
      </c>
      <c r="Z499" s="85" t="str">
        <f aca="false">IF(AND(NOT(ISBLANK($C499)), W499=Constants!$B$7), Y499, "")</f>
        <v/>
      </c>
      <c r="AA499" s="85" t="str">
        <f aca="false">IF(ISNUMBER(Z499), RANK(Z499,Z$8:Z$507), "")</f>
        <v/>
      </c>
      <c r="AB499" s="85" t="str">
        <f aca="false">IF(AND(NOT(ISBLANK($C499)), W499=Constants!$B$8), Y499, "")</f>
        <v/>
      </c>
      <c r="AC499" s="85" t="str">
        <f aca="false">IF(ISNUMBER(AB499), RANK(AB499,AB$8:AB$507), "")</f>
        <v/>
      </c>
      <c r="AD499" s="85" t="str">
        <f aca="false">IF(ISBLANK($C499),"",IF(V499&lt;&gt;Constants!$B$14, V499, IF(W499=Constants!$B$7, AA499, IF(W499=Constants!$B$8, COUNT($AA$8:$AA$507) + AC499, ""))))</f>
        <v/>
      </c>
      <c r="AE499" s="85" t="str">
        <f aca="false">N499</f>
        <v/>
      </c>
      <c r="AF499" s="85" t="str">
        <f aca="false">IF(ISNUMBER(AE499), RANK(AE499,AE$8:AE$507,1), "")</f>
        <v/>
      </c>
      <c r="AG499" s="88" t="str">
        <f aca="false">IF(ISBLANK(C499), "", ABS(M499-S499))</f>
        <v/>
      </c>
      <c r="AH499" s="85" t="str">
        <f aca="false">IF(ISNUMBER(AG499), RANK(AG499,AG$8:AG$507,1), "")</f>
        <v/>
      </c>
      <c r="AI499" s="85" t="str">
        <f aca="false">IF(ISBLANK(C499),"",IF(V499&lt;&gt;Constants!$B$14, V499, RANK(AD499, AD$8:AD$507, 1)+ SUMPRODUCT(--(AD$8:AD$507=AD499),--(AF499&gt;AF$8:AF$507)) + SUMPRODUCT(--(AD$8:AD$507=AD499),--(AF499=AF$8:AF$507),--(AH499&gt;AH$8:AH$507))))</f>
        <v/>
      </c>
      <c r="AJ499" s="85" t="str">
        <f aca="false">IF(ISBLANK(C499),"",IF(V499&lt;&gt;Constants!$B$14, V499, AD499-AI499))</f>
        <v/>
      </c>
      <c r="AK499" s="89"/>
      <c r="AL499" s="90" t="str">
        <f aca="false">IF(ISBLANK($C499),"",IF($V499&lt;&gt;Constants!$B$14,$V499,X499))</f>
        <v/>
      </c>
      <c r="AM499" s="90" t="str">
        <f aca="false">IF(ISBLANK($C499),"",IF($V499&lt;&gt;Constants!$B$14,$V499,N499))</f>
        <v/>
      </c>
      <c r="AN499" s="91" t="str">
        <f aca="false">IF(ISBLANK(C499),"",IF(V499&lt;&gt;Constants!$B$14, V499, IF(W499=Constants!$B$7,Z499,IF(W499=Constants!$B$8,AB499,""))))</f>
        <v/>
      </c>
      <c r="AO499" s="92" t="str">
        <f aca="false">IF(ISBLANK(C499),"",W499)</f>
        <v/>
      </c>
      <c r="AP499" s="92" t="str">
        <f aca="false">IF(ISBLANK(C499),"",AJ499)</f>
        <v/>
      </c>
      <c r="AQ499" s="92" t="str">
        <f aca="false">IF(ISBLANK(C499),"",AI499)</f>
        <v/>
      </c>
      <c r="AR499" s="93" t="str">
        <f aca="false">IF(ISBLANK(C499),
  "",
IF(AQ499=Constants!$B$11,COUNTA($C$8:$C$507)+2,IF(AQ499=Constants!$B$12,COUNTA($C$8:$C$507)+1,IF(AQ499=Constants!$B$13,COUNTA($C$8:$C$507),AQ499))))</f>
        <v/>
      </c>
      <c r="AS499" s="3"/>
      <c r="AT499" s="94" t="n">
        <f aca="false">IF(OR(ISNUMBER(AQ499),AQ499="DQ",AQ499="P",AQ499="NS"),
    1,
    0
)</f>
        <v>0</v>
      </c>
      <c r="AU499" s="94" t="n">
        <v>492</v>
      </c>
      <c r="AV499" s="94" t="str">
        <f aca="false">IF(ISBLANK($C499),
    "",
   IF(ISNUMBER(AR499),AR499+ROW($B499)/1000,"")
)</f>
        <v/>
      </c>
      <c r="AW499" s="94" t="str">
        <f aca="false">IF(ISNUMBER(AV499), RANK(AV499,AV$8:AV$507,1), "")</f>
        <v/>
      </c>
      <c r="AX499" s="94" t="str">
        <f aca="false">IF(ISBLANK($C499),
    "",
    $B499
)</f>
        <v/>
      </c>
      <c r="AY499" s="94" t="str">
        <f aca="false">IF(ISBLANK($C499),
    "",
    $C499
)</f>
        <v/>
      </c>
      <c r="AZ499" s="94" t="str">
        <f aca="false">IF(ISBLANK($C499),
    "",
    $D499
)</f>
        <v/>
      </c>
      <c r="BA499" s="94" t="str">
        <f aca="false">AO499</f>
        <v/>
      </c>
      <c r="BB499" s="95" t="str">
        <f aca="false">AN499</f>
        <v/>
      </c>
      <c r="BC499" s="94" t="str">
        <f aca="false">IF(ISBLANK($C499),
    "",
    AQ499
)</f>
        <v/>
      </c>
      <c r="BD499" s="96" t="str">
        <f aca="false">IF(AU499&gt;AT$7,
    "",
    VLOOKUP(AU499,AW$8:BC$507,7,FALSE())
)</f>
        <v/>
      </c>
      <c r="BE499" s="97" t="str">
        <f aca="false">IF(AU499&gt;AT$7,
    "",
    VLOOKUP(AU499,AW$8:BC$507,2,FALSE())
)</f>
        <v/>
      </c>
      <c r="BF499" s="97" t="str">
        <f aca="false">IF(AU499&gt;AT$7,
    "",
    VLOOKUP(AU499,AW$8:BC$507,3,FALSE())
)</f>
        <v/>
      </c>
      <c r="BG499" s="97" t="str">
        <f aca="false">IF(AU499&gt;AT$7,
    "",
    VLOOKUP(AU499,AW$8:BC$507,4,FALSE())
)</f>
        <v/>
      </c>
      <c r="BH499" s="97" t="str">
        <f aca="false">IF(AU499&gt;AT$7,
    "",
    VLOOKUP(AU499,AW$8:BC$507,5,FALSE())
)</f>
        <v/>
      </c>
      <c r="BI499" s="98" t="str">
        <f aca="false">IF(AU499&gt;AT$7,
    "",
    VLOOKUP(AU499,AW$8:BC$507,6,FALSE())
)</f>
        <v/>
      </c>
      <c r="BJ499" s="46"/>
    </row>
    <row r="500" customFormat="false" ht="15.75" hidden="false" customHeight="false" outlineLevel="0" collapsed="false">
      <c r="A500" s="3"/>
      <c r="B500" s="108"/>
      <c r="C500" s="70"/>
      <c r="D500" s="49"/>
      <c r="E500" s="109"/>
      <c r="F500" s="72"/>
      <c r="G500" s="109"/>
      <c r="H500" s="74"/>
      <c r="I500" s="104"/>
      <c r="J500" s="74"/>
      <c r="K500" s="74"/>
      <c r="L500" s="55"/>
      <c r="M500" s="55" t="str">
        <f aca="false">IF(ISBLANK($C500),"",IF(ISBLANK(E500),0,E500))</f>
        <v/>
      </c>
      <c r="N500" s="55" t="str">
        <f aca="false">IF(ISBLANK($C500),"",IF(ISBLANK(F500),0,F500))</f>
        <v/>
      </c>
      <c r="O500" s="55" t="e">
        <f aca="false">IF(AND(NOT(ISBLANK($C500)),NOT($T500),COUNTA($E500:$K500)&gt;0),ISBLANK($F500),FALSE())</f>
        <v>#VALUE!</v>
      </c>
      <c r="P500" s="55" t="str">
        <f aca="false">IF(ISBLANK($C500),"",IF(G500=Constants!$B$9, TRUE(), IF(G500=Constants!$B$10, FALSE(), TRUE())))</f>
        <v/>
      </c>
      <c r="Q500" s="55" t="str">
        <f aca="false">IF(ISBLANK($C500),"",IF(H500=Constants!$B$9, TRUE(), IF(H500=Constants!$B$10, FALSE(), TRUE())))</f>
        <v/>
      </c>
      <c r="R500" s="55" t="str">
        <f aca="false">IF(ISBLANK($C500),"",IF(ISBLANK(I500),Constants!$B$3,I500))</f>
        <v/>
      </c>
      <c r="S500" s="55" t="str">
        <f aca="false">IF(ISBLANK($C500),"",IF(ISBLANK(J500),0,MIN(J500,Constants!$B$6)))</f>
        <v/>
      </c>
      <c r="T500" s="55" t="str">
        <f aca="false">IF(ISBLANK($C500),"",IF(K500=Constants!$B$9, TRUE(), IF(K500=Constants!$B$10, FALSE(),  FALSE())))</f>
        <v/>
      </c>
      <c r="U500" s="55" t="str">
        <f aca="false">IF(ISBLANK($C500),"",AND(R500=Constants!$B$4, S500&lt;Constants!$B$6))</f>
        <v/>
      </c>
      <c r="V500" s="55" t="str">
        <f aca="false">IF(ISBLANK(C500), "", IF(T500, Constants!$B$11, IF(COUNTA(E500:K500)=0, Constants!$B$12, IF(NOT(AND(P500,S500&lt;&gt;0)), Constants!$B$13, IF(O500, Constants!$B$15, Constants!$B$14)))))</f>
        <v/>
      </c>
      <c r="W500" s="55" t="str">
        <f aca="false">IF(OR(ISBLANK($C500), SUMPRODUCT(--(P500:T500&lt;&gt;""))=0), "", IF(V500&lt;&gt;Constants!$B$14, V500, IF(AND(NOT(ISBLANK(J500)),P500,Q500,R500&lt;&gt;Constants!$B$2), Constants!$B$7, IF(AND(P500,OR(NOT(Q500),R500=Constants!$B$2)), Constants!$B$8, "Error"))))</f>
        <v/>
      </c>
      <c r="X500" s="56" t="str">
        <f aca="false">IF(OR(W500=Constants!$B$7,W500=Constants!$B$8), MAX(0, MIN(Constants!$B$6, S500))+IF(AND(R500=Constants!$B$4, NOT(U500)), Constants!$B$5, 0), "")</f>
        <v/>
      </c>
      <c r="Y500" s="55" t="str">
        <f aca="false">IF(ISBLANK($C500),"",IF(AND(ISNUMBER(X500),N500&gt;0),X500/N500, "") )</f>
        <v/>
      </c>
      <c r="Z500" s="55" t="str">
        <f aca="false">IF(AND(NOT(ISBLANK($C500)), W500=Constants!$B$7), Y500, "")</f>
        <v/>
      </c>
      <c r="AA500" s="55" t="str">
        <f aca="false">IF(ISNUMBER(Z500), RANK(Z500,Z$8:Z$507), "")</f>
        <v/>
      </c>
      <c r="AB500" s="55" t="str">
        <f aca="false">IF(AND(NOT(ISBLANK($C500)), W500=Constants!$B$8), Y500, "")</f>
        <v/>
      </c>
      <c r="AC500" s="55" t="str">
        <f aca="false">IF(ISNUMBER(AB500), RANK(AB500,AB$8:AB$507), "")</f>
        <v/>
      </c>
      <c r="AD500" s="55" t="str">
        <f aca="false">IF(ISBLANK($C500),"",IF(V500&lt;&gt;Constants!$B$14, V500, IF(W500=Constants!$B$7, AA500, IF(W500=Constants!$B$8, COUNT($AA$8:$AA$507) + AC500, ""))))</f>
        <v/>
      </c>
      <c r="AE500" s="55" t="str">
        <f aca="false">N500</f>
        <v/>
      </c>
      <c r="AF500" s="55" t="str">
        <f aca="false">IF(ISNUMBER(AE500), RANK(AE500,AE$8:AE$507,1), "")</f>
        <v/>
      </c>
      <c r="AG500" s="57" t="str">
        <f aca="false">IF(ISBLANK(C500), "", ABS(M500-S500))</f>
        <v/>
      </c>
      <c r="AH500" s="55" t="str">
        <f aca="false">IF(ISNUMBER(AG500), RANK(AG500,AG$8:AG$507,1), "")</f>
        <v/>
      </c>
      <c r="AI500" s="55" t="str">
        <f aca="false">IF(ISBLANK(C500),"",IF(V500&lt;&gt;Constants!$B$14, V500, RANK(AD500, AD$8:AD$507, 1)+ SUMPRODUCT(--(AD$8:AD$507=AD500),--(AF500&gt;AF$8:AF$507)) + SUMPRODUCT(--(AD$8:AD$507=AD500),--(AF500=AF$8:AF$507),--(AH500&gt;AH$8:AH$507))))</f>
        <v/>
      </c>
      <c r="AJ500" s="55" t="str">
        <f aca="false">IF(ISBLANK(C500),"",IF(V500&lt;&gt;Constants!$B$14, V500, AD500-AI500))</f>
        <v/>
      </c>
      <c r="AK500" s="59"/>
      <c r="AL500" s="60" t="str">
        <f aca="false">IF(ISBLANK($C500),"",IF($V500&lt;&gt;Constants!$B$14,$V500,X500))</f>
        <v/>
      </c>
      <c r="AM500" s="60" t="str">
        <f aca="false">IF(ISBLANK($C500),"",IF($V500&lt;&gt;Constants!$B$14,$V500,N500))</f>
        <v/>
      </c>
      <c r="AN500" s="62" t="str">
        <f aca="false">IF(ISBLANK(C500),"",IF(V500&lt;&gt;Constants!$B$14, V500, IF(W500=Constants!$B$7,Z500,IF(W500=Constants!$B$8,AB500,""))))</f>
        <v/>
      </c>
      <c r="AO500" s="63" t="str">
        <f aca="false">IF(ISBLANK(C500),"",W500)</f>
        <v/>
      </c>
      <c r="AP500" s="63" t="str">
        <f aca="false">IF(ISBLANK(C500),"",AJ500)</f>
        <v/>
      </c>
      <c r="AQ500" s="63" t="str">
        <f aca="false">IF(ISBLANK(C500),"",AI500)</f>
        <v/>
      </c>
      <c r="AR500" s="64" t="str">
        <f aca="false">IF(ISBLANK(C500),
  "",
IF(AQ500=Constants!$B$11,COUNTA($C$8:$C$507)+2,IF(AQ500=Constants!$B$12,COUNTA($C$8:$C$507)+1,IF(AQ500=Constants!$B$13,COUNTA($C$8:$C$507),AQ500))))</f>
        <v/>
      </c>
      <c r="AS500" s="3"/>
      <c r="AT500" s="65" t="n">
        <f aca="false">IF(OR(ISNUMBER(AQ500),AQ500="DQ",AQ500="P",AQ500="NS"),
    1,
    0
)</f>
        <v>0</v>
      </c>
      <c r="AU500" s="65" t="n">
        <v>493</v>
      </c>
      <c r="AV500" s="65" t="str">
        <f aca="false">IF(ISBLANK($C500),
    "",
   IF(ISNUMBER(AR500),AR500+ROW($B500)/1000,"")
)</f>
        <v/>
      </c>
      <c r="AW500" s="65" t="str">
        <f aca="false">IF(ISNUMBER(AV500), RANK(AV500,AV$8:AV$507,1), "")</f>
        <v/>
      </c>
      <c r="AX500" s="65" t="str">
        <f aca="false">IF(ISBLANK($C500),
    "",
    $B500
)</f>
        <v/>
      </c>
      <c r="AY500" s="65" t="str">
        <f aca="false">IF(ISBLANK($C500),
    "",
    $C500
)</f>
        <v/>
      </c>
      <c r="AZ500" s="65" t="str">
        <f aca="false">IF(ISBLANK($C500),
    "",
    $D500
)</f>
        <v/>
      </c>
      <c r="BA500" s="65" t="str">
        <f aca="false">AO500</f>
        <v/>
      </c>
      <c r="BB500" s="66" t="str">
        <f aca="false">AN500</f>
        <v/>
      </c>
      <c r="BC500" s="65" t="str">
        <f aca="false">IF(ISBLANK($C500),
    "",
    AQ500
)</f>
        <v/>
      </c>
      <c r="BD500" s="67" t="str">
        <f aca="false">IF(AU500&gt;AT$7,
    "",
    VLOOKUP(AU500,AW$8:BC$507,7,FALSE())
)</f>
        <v/>
      </c>
      <c r="BE500" s="68" t="str">
        <f aca="false">IF(AU500&gt;AT$7,
    "",
    VLOOKUP(AU500,AW$8:BC$507,2,FALSE())
)</f>
        <v/>
      </c>
      <c r="BF500" s="68" t="str">
        <f aca="false">IF(AU500&gt;AT$7,
    "",
    VLOOKUP(AU500,AW$8:BC$507,3,FALSE())
)</f>
        <v/>
      </c>
      <c r="BG500" s="68" t="str">
        <f aca="false">IF(AU500&gt;AT$7,
    "",
    VLOOKUP(AU500,AW$8:BC$507,4,FALSE())
)</f>
        <v/>
      </c>
      <c r="BH500" s="68" t="str">
        <f aca="false">IF(AU500&gt;AT$7,
    "",
    VLOOKUP(AU500,AW$8:BC$507,5,FALSE())
)</f>
        <v/>
      </c>
      <c r="BI500" s="69" t="str">
        <f aca="false">IF(AU500&gt;AT$7,
    "",
    VLOOKUP(AU500,AW$8:BC$507,6,FALSE())
)</f>
        <v/>
      </c>
      <c r="BJ500" s="46"/>
    </row>
    <row r="501" customFormat="false" ht="15.75" hidden="false" customHeight="false" outlineLevel="0" collapsed="false">
      <c r="A501" s="3"/>
      <c r="B501" s="108"/>
      <c r="C501" s="70"/>
      <c r="D501" s="49"/>
      <c r="E501" s="109"/>
      <c r="F501" s="72"/>
      <c r="G501" s="109"/>
      <c r="H501" s="74"/>
      <c r="I501" s="104"/>
      <c r="J501" s="74"/>
      <c r="K501" s="74"/>
      <c r="L501" s="55"/>
      <c r="M501" s="55" t="str">
        <f aca="false">IF(ISBLANK($C501),"",IF(ISBLANK(E501),0,E501))</f>
        <v/>
      </c>
      <c r="N501" s="55" t="str">
        <f aca="false">IF(ISBLANK($C501),"",IF(ISBLANK(F501),0,F501))</f>
        <v/>
      </c>
      <c r="O501" s="55" t="e">
        <f aca="false">IF(AND(NOT(ISBLANK($C501)),NOT($T501),COUNTA($E501:$K501)&gt;0),ISBLANK($F501),FALSE())</f>
        <v>#VALUE!</v>
      </c>
      <c r="P501" s="55" t="str">
        <f aca="false">IF(ISBLANK($C501),"",IF(G501=Constants!$B$9, TRUE(), IF(G501=Constants!$B$10, FALSE(), TRUE())))</f>
        <v/>
      </c>
      <c r="Q501" s="55" t="str">
        <f aca="false">IF(ISBLANK($C501),"",IF(H501=Constants!$B$9, TRUE(), IF(H501=Constants!$B$10, FALSE(), TRUE())))</f>
        <v/>
      </c>
      <c r="R501" s="55" t="str">
        <f aca="false">IF(ISBLANK($C501),"",IF(ISBLANK(I501),Constants!$B$3,I501))</f>
        <v/>
      </c>
      <c r="S501" s="55" t="str">
        <f aca="false">IF(ISBLANK($C501),"",IF(ISBLANK(J501),0,MIN(J501,Constants!$B$6)))</f>
        <v/>
      </c>
      <c r="T501" s="55" t="str">
        <f aca="false">IF(ISBLANK($C501),"",IF(K501=Constants!$B$9, TRUE(), IF(K501=Constants!$B$10, FALSE(),  FALSE())))</f>
        <v/>
      </c>
      <c r="U501" s="55" t="str">
        <f aca="false">IF(ISBLANK($C501),"",AND(R501=Constants!$B$4, S501&lt;Constants!$B$6))</f>
        <v/>
      </c>
      <c r="V501" s="55" t="str">
        <f aca="false">IF(ISBLANK(C501), "", IF(T501, Constants!$B$11, IF(COUNTA(E501:K501)=0, Constants!$B$12, IF(NOT(AND(P501,S501&lt;&gt;0)), Constants!$B$13, IF(O501, Constants!$B$15, Constants!$B$14)))))</f>
        <v/>
      </c>
      <c r="W501" s="55" t="str">
        <f aca="false">IF(OR(ISBLANK($C501), SUMPRODUCT(--(P501:T501&lt;&gt;""))=0), "", IF(V501&lt;&gt;Constants!$B$14, V501, IF(AND(NOT(ISBLANK(J501)),P501,Q501,R501&lt;&gt;Constants!$B$2), Constants!$B$7, IF(AND(P501,OR(NOT(Q501),R501=Constants!$B$2)), Constants!$B$8, "Error"))))</f>
        <v/>
      </c>
      <c r="X501" s="56" t="str">
        <f aca="false">IF(OR(W501=Constants!$B$7,W501=Constants!$B$8), MAX(0, MIN(Constants!$B$6, S501))+IF(AND(R501=Constants!$B$4, NOT(U501)), Constants!$B$5, 0), "")</f>
        <v/>
      </c>
      <c r="Y501" s="55" t="str">
        <f aca="false">IF(ISBLANK($C501),"",IF(AND(ISNUMBER(X501),N501&gt;0),X501/N501, "") )</f>
        <v/>
      </c>
      <c r="Z501" s="55" t="str">
        <f aca="false">IF(AND(NOT(ISBLANK($C501)), W501=Constants!$B$7), Y501, "")</f>
        <v/>
      </c>
      <c r="AA501" s="55" t="str">
        <f aca="false">IF(ISNUMBER(Z501), RANK(Z501,Z$8:Z$507), "")</f>
        <v/>
      </c>
      <c r="AB501" s="55" t="str">
        <f aca="false">IF(AND(NOT(ISBLANK($C501)), W501=Constants!$B$8), Y501, "")</f>
        <v/>
      </c>
      <c r="AC501" s="55" t="str">
        <f aca="false">IF(ISNUMBER(AB501), RANK(AB501,AB$8:AB$507), "")</f>
        <v/>
      </c>
      <c r="AD501" s="55" t="str">
        <f aca="false">IF(ISBLANK($C501),"",IF(V501&lt;&gt;Constants!$B$14, V501, IF(W501=Constants!$B$7, AA501, IF(W501=Constants!$B$8, COUNT($AA$8:$AA$507) + AC501, ""))))</f>
        <v/>
      </c>
      <c r="AE501" s="55" t="str">
        <f aca="false">N501</f>
        <v/>
      </c>
      <c r="AF501" s="55" t="str">
        <f aca="false">IF(ISNUMBER(AE501), RANK(AE501,AE$8:AE$507,1), "")</f>
        <v/>
      </c>
      <c r="AG501" s="57" t="str">
        <f aca="false">IF(ISBLANK(C501), "", ABS(M501-S501))</f>
        <v/>
      </c>
      <c r="AH501" s="55" t="str">
        <f aca="false">IF(ISNUMBER(AG501), RANK(AG501,AG$8:AG$507,1), "")</f>
        <v/>
      </c>
      <c r="AI501" s="55" t="str">
        <f aca="false">IF(ISBLANK(C501),"",IF(V501&lt;&gt;Constants!$B$14, V501, RANK(AD501, AD$8:AD$507, 1)+ SUMPRODUCT(--(AD$8:AD$507=AD501),--(AF501&gt;AF$8:AF$507)) + SUMPRODUCT(--(AD$8:AD$507=AD501),--(AF501=AF$8:AF$507),--(AH501&gt;AH$8:AH$507))))</f>
        <v/>
      </c>
      <c r="AJ501" s="55" t="str">
        <f aca="false">IF(ISBLANK(C501),"",IF(V501&lt;&gt;Constants!$B$14, V501, AD501-AI501))</f>
        <v/>
      </c>
      <c r="AK501" s="59"/>
      <c r="AL501" s="60" t="str">
        <f aca="false">IF(ISBLANK($C501),"",IF($V501&lt;&gt;Constants!$B$14,$V501,X501))</f>
        <v/>
      </c>
      <c r="AM501" s="60" t="str">
        <f aca="false">IF(ISBLANK($C501),"",IF($V501&lt;&gt;Constants!$B$14,$V501,N501))</f>
        <v/>
      </c>
      <c r="AN501" s="62" t="str">
        <f aca="false">IF(ISBLANK(C501),"",IF(V501&lt;&gt;Constants!$B$14, V501, IF(W501=Constants!$B$7,Z501,IF(W501=Constants!$B$8,AB501,""))))</f>
        <v/>
      </c>
      <c r="AO501" s="63" t="str">
        <f aca="false">IF(ISBLANK(C501),"",W501)</f>
        <v/>
      </c>
      <c r="AP501" s="63" t="str">
        <f aca="false">IF(ISBLANK(C501),"",AJ501)</f>
        <v/>
      </c>
      <c r="AQ501" s="63" t="str">
        <f aca="false">IF(ISBLANK(C501),"",AI501)</f>
        <v/>
      </c>
      <c r="AR501" s="64" t="str">
        <f aca="false">IF(ISBLANK(C501),
  "",
IF(AQ501=Constants!$B$11,COUNTA($C$8:$C$507)+2,IF(AQ501=Constants!$B$12,COUNTA($C$8:$C$507)+1,IF(AQ501=Constants!$B$13,COUNTA($C$8:$C$507),AQ501))))</f>
        <v/>
      </c>
      <c r="AS501" s="3"/>
      <c r="AT501" s="65" t="n">
        <f aca="false">IF(OR(ISNUMBER(AQ501),AQ501="DQ",AQ501="P",AQ501="NS"),
    1,
    0
)</f>
        <v>0</v>
      </c>
      <c r="AU501" s="65" t="n">
        <v>494</v>
      </c>
      <c r="AV501" s="65" t="str">
        <f aca="false">IF(ISBLANK($C501),
    "",
   IF(ISNUMBER(AR501),AR501+ROW($B501)/1000,"")
)</f>
        <v/>
      </c>
      <c r="AW501" s="65" t="str">
        <f aca="false">IF(ISNUMBER(AV501), RANK(AV501,AV$8:AV$507,1), "")</f>
        <v/>
      </c>
      <c r="AX501" s="65" t="str">
        <f aca="false">IF(ISBLANK($C501),
    "",
    $B501
)</f>
        <v/>
      </c>
      <c r="AY501" s="65" t="str">
        <f aca="false">IF(ISBLANK($C501),
    "",
    $C501
)</f>
        <v/>
      </c>
      <c r="AZ501" s="65" t="str">
        <f aca="false">IF(ISBLANK($C501),
    "",
    $D501
)</f>
        <v/>
      </c>
      <c r="BA501" s="65" t="str">
        <f aca="false">AO501</f>
        <v/>
      </c>
      <c r="BB501" s="66" t="str">
        <f aca="false">AN501</f>
        <v/>
      </c>
      <c r="BC501" s="65" t="str">
        <f aca="false">IF(ISBLANK($C501),
    "",
    AQ501
)</f>
        <v/>
      </c>
      <c r="BD501" s="67" t="str">
        <f aca="false">IF(AU501&gt;AT$7,
    "",
    VLOOKUP(AU501,AW$8:BC$507,7,FALSE())
)</f>
        <v/>
      </c>
      <c r="BE501" s="68" t="str">
        <f aca="false">IF(AU501&gt;AT$7,
    "",
    VLOOKUP(AU501,AW$8:BC$507,2,FALSE())
)</f>
        <v/>
      </c>
      <c r="BF501" s="68" t="str">
        <f aca="false">IF(AU501&gt;AT$7,
    "",
    VLOOKUP(AU501,AW$8:BC$507,3,FALSE())
)</f>
        <v/>
      </c>
      <c r="BG501" s="68" t="str">
        <f aca="false">IF(AU501&gt;AT$7,
    "",
    VLOOKUP(AU501,AW$8:BC$507,4,FALSE())
)</f>
        <v/>
      </c>
      <c r="BH501" s="68" t="str">
        <f aca="false">IF(AU501&gt;AT$7,
    "",
    VLOOKUP(AU501,AW$8:BC$507,5,FALSE())
)</f>
        <v/>
      </c>
      <c r="BI501" s="69" t="str">
        <f aca="false">IF(AU501&gt;AT$7,
    "",
    VLOOKUP(AU501,AW$8:BC$507,6,FALSE())
)</f>
        <v/>
      </c>
      <c r="BJ501" s="46"/>
    </row>
    <row r="502" customFormat="false" ht="15.75" hidden="false" customHeight="false" outlineLevel="0" collapsed="false">
      <c r="A502" s="3"/>
      <c r="B502" s="108"/>
      <c r="C502" s="70"/>
      <c r="D502" s="49"/>
      <c r="E502" s="109"/>
      <c r="F502" s="72"/>
      <c r="G502" s="109"/>
      <c r="H502" s="74"/>
      <c r="I502" s="104"/>
      <c r="J502" s="74"/>
      <c r="K502" s="74"/>
      <c r="L502" s="55"/>
      <c r="M502" s="55" t="str">
        <f aca="false">IF(ISBLANK($C502),"",IF(ISBLANK(E502),0,E502))</f>
        <v/>
      </c>
      <c r="N502" s="55" t="str">
        <f aca="false">IF(ISBLANK($C502),"",IF(ISBLANK(F502),0,F502))</f>
        <v/>
      </c>
      <c r="O502" s="55" t="e">
        <f aca="false">IF(AND(NOT(ISBLANK($C502)),NOT($T502),COUNTA($E502:$K502)&gt;0),ISBLANK($F502),FALSE())</f>
        <v>#VALUE!</v>
      </c>
      <c r="P502" s="55" t="str">
        <f aca="false">IF(ISBLANK($C502),"",IF(G502=Constants!$B$9, TRUE(), IF(G502=Constants!$B$10, FALSE(), TRUE())))</f>
        <v/>
      </c>
      <c r="Q502" s="55" t="str">
        <f aca="false">IF(ISBLANK($C502),"",IF(H502=Constants!$B$9, TRUE(), IF(H502=Constants!$B$10, FALSE(), TRUE())))</f>
        <v/>
      </c>
      <c r="R502" s="55" t="str">
        <f aca="false">IF(ISBLANK($C502),"",IF(ISBLANK(I502),Constants!$B$3,I502))</f>
        <v/>
      </c>
      <c r="S502" s="55" t="str">
        <f aca="false">IF(ISBLANK($C502),"",IF(ISBLANK(J502),0,MIN(J502,Constants!$B$6)))</f>
        <v/>
      </c>
      <c r="T502" s="55" t="str">
        <f aca="false">IF(ISBLANK($C502),"",IF(K502=Constants!$B$9, TRUE(), IF(K502=Constants!$B$10, FALSE(),  FALSE())))</f>
        <v/>
      </c>
      <c r="U502" s="55" t="str">
        <f aca="false">IF(ISBLANK($C502),"",AND(R502=Constants!$B$4, S502&lt;Constants!$B$6))</f>
        <v/>
      </c>
      <c r="V502" s="55" t="str">
        <f aca="false">IF(ISBLANK(C502), "", IF(T502, Constants!$B$11, IF(COUNTA(E502:K502)=0, Constants!$B$12, IF(NOT(AND(P502,S502&lt;&gt;0)), Constants!$B$13, IF(O502, Constants!$B$15, Constants!$B$14)))))</f>
        <v/>
      </c>
      <c r="W502" s="55" t="str">
        <f aca="false">IF(OR(ISBLANK($C502), SUMPRODUCT(--(P502:T502&lt;&gt;""))=0), "", IF(V502&lt;&gt;Constants!$B$14, V502, IF(AND(NOT(ISBLANK(J502)),P502,Q502,R502&lt;&gt;Constants!$B$2), Constants!$B$7, IF(AND(P502,OR(NOT(Q502),R502=Constants!$B$2)), Constants!$B$8, "Error"))))</f>
        <v/>
      </c>
      <c r="X502" s="56" t="str">
        <f aca="false">IF(OR(W502=Constants!$B$7,W502=Constants!$B$8), MAX(0, MIN(Constants!$B$6, S502))+IF(AND(R502=Constants!$B$4, NOT(U502)), Constants!$B$5, 0), "")</f>
        <v/>
      </c>
      <c r="Y502" s="55" t="str">
        <f aca="false">IF(ISBLANK($C502),"",IF(AND(ISNUMBER(X502),N502&gt;0),X502/N502, "") )</f>
        <v/>
      </c>
      <c r="Z502" s="55" t="str">
        <f aca="false">IF(AND(NOT(ISBLANK($C502)), W502=Constants!$B$7), Y502, "")</f>
        <v/>
      </c>
      <c r="AA502" s="55" t="str">
        <f aca="false">IF(ISNUMBER(Z502), RANK(Z502,Z$8:Z$507), "")</f>
        <v/>
      </c>
      <c r="AB502" s="55" t="str">
        <f aca="false">IF(AND(NOT(ISBLANK($C502)), W502=Constants!$B$8), Y502, "")</f>
        <v/>
      </c>
      <c r="AC502" s="55" t="str">
        <f aca="false">IF(ISNUMBER(AB502), RANK(AB502,AB$8:AB$507), "")</f>
        <v/>
      </c>
      <c r="AD502" s="55" t="str">
        <f aca="false">IF(ISBLANK($C502),"",IF(V502&lt;&gt;Constants!$B$14, V502, IF(W502=Constants!$B$7, AA502, IF(W502=Constants!$B$8, COUNT($AA$8:$AA$507) + AC502, ""))))</f>
        <v/>
      </c>
      <c r="AE502" s="55" t="str">
        <f aca="false">N502</f>
        <v/>
      </c>
      <c r="AF502" s="55" t="str">
        <f aca="false">IF(ISNUMBER(AE502), RANK(AE502,AE$8:AE$507,1), "")</f>
        <v/>
      </c>
      <c r="AG502" s="57" t="str">
        <f aca="false">IF(ISBLANK(C502), "", ABS(M502-S502))</f>
        <v/>
      </c>
      <c r="AH502" s="55" t="str">
        <f aca="false">IF(ISNUMBER(AG502), RANK(AG502,AG$8:AG$507,1), "")</f>
        <v/>
      </c>
      <c r="AI502" s="55" t="str">
        <f aca="false">IF(ISBLANK(C502),"",IF(V502&lt;&gt;Constants!$B$14, V502, RANK(AD502, AD$8:AD$507, 1)+ SUMPRODUCT(--(AD$8:AD$507=AD502),--(AF502&gt;AF$8:AF$507)) + SUMPRODUCT(--(AD$8:AD$507=AD502),--(AF502=AF$8:AF$507),--(AH502&gt;AH$8:AH$507))))</f>
        <v/>
      </c>
      <c r="AJ502" s="55" t="str">
        <f aca="false">IF(ISBLANK(C502),"",IF(V502&lt;&gt;Constants!$B$14, V502, AD502-AI502))</f>
        <v/>
      </c>
      <c r="AK502" s="59"/>
      <c r="AL502" s="60" t="str">
        <f aca="false">IF(ISBLANK($C502),"",IF($V502&lt;&gt;Constants!$B$14,$V502,X502))</f>
        <v/>
      </c>
      <c r="AM502" s="60" t="str">
        <f aca="false">IF(ISBLANK($C502),"",IF($V502&lt;&gt;Constants!$B$14,$V502,N502))</f>
        <v/>
      </c>
      <c r="AN502" s="62" t="str">
        <f aca="false">IF(ISBLANK(C502),"",IF(V502&lt;&gt;Constants!$B$14, V502, IF(W502=Constants!$B$7,Z502,IF(W502=Constants!$B$8,AB502,""))))</f>
        <v/>
      </c>
      <c r="AO502" s="63" t="str">
        <f aca="false">IF(ISBLANK(C502),"",W502)</f>
        <v/>
      </c>
      <c r="AP502" s="63" t="str">
        <f aca="false">IF(ISBLANK(C502),"",AJ502)</f>
        <v/>
      </c>
      <c r="AQ502" s="63" t="str">
        <f aca="false">IF(ISBLANK(C502),"",AI502)</f>
        <v/>
      </c>
      <c r="AR502" s="64" t="str">
        <f aca="false">IF(ISBLANK(C502),
  "",
IF(AQ502=Constants!$B$11,COUNTA($C$8:$C$507)+2,IF(AQ502=Constants!$B$12,COUNTA($C$8:$C$507)+1,IF(AQ502=Constants!$B$13,COUNTA($C$8:$C$507),AQ502))))</f>
        <v/>
      </c>
      <c r="AS502" s="3"/>
      <c r="AT502" s="65" t="n">
        <f aca="false">IF(OR(ISNUMBER(AQ502),AQ502="DQ",AQ502="P",AQ502="NS"),
    1,
    0
)</f>
        <v>0</v>
      </c>
      <c r="AU502" s="65" t="n">
        <v>495</v>
      </c>
      <c r="AV502" s="65" t="str">
        <f aca="false">IF(ISBLANK($C502),
    "",
   IF(ISNUMBER(AR502),AR502+ROW($B502)/1000,"")
)</f>
        <v/>
      </c>
      <c r="AW502" s="65" t="str">
        <f aca="false">IF(ISNUMBER(AV502), RANK(AV502,AV$8:AV$507,1), "")</f>
        <v/>
      </c>
      <c r="AX502" s="65" t="str">
        <f aca="false">IF(ISBLANK($C502),
    "",
    $B502
)</f>
        <v/>
      </c>
      <c r="AY502" s="65" t="str">
        <f aca="false">IF(ISBLANK($C502),
    "",
    $C502
)</f>
        <v/>
      </c>
      <c r="AZ502" s="65" t="str">
        <f aca="false">IF(ISBLANK($C502),
    "",
    $D502
)</f>
        <v/>
      </c>
      <c r="BA502" s="65" t="str">
        <f aca="false">AO502</f>
        <v/>
      </c>
      <c r="BB502" s="66" t="str">
        <f aca="false">AN502</f>
        <v/>
      </c>
      <c r="BC502" s="65" t="str">
        <f aca="false">IF(ISBLANK($C502),
    "",
    AQ502
)</f>
        <v/>
      </c>
      <c r="BD502" s="67" t="str">
        <f aca="false">IF(AU502&gt;AT$7,
    "",
    VLOOKUP(AU502,AW$8:BC$507,7,FALSE())
)</f>
        <v/>
      </c>
      <c r="BE502" s="68" t="str">
        <f aca="false">IF(AU502&gt;AT$7,
    "",
    VLOOKUP(AU502,AW$8:BC$507,2,FALSE())
)</f>
        <v/>
      </c>
      <c r="BF502" s="68" t="str">
        <f aca="false">IF(AU502&gt;AT$7,
    "",
    VLOOKUP(AU502,AW$8:BC$507,3,FALSE())
)</f>
        <v/>
      </c>
      <c r="BG502" s="68" t="str">
        <f aca="false">IF(AU502&gt;AT$7,
    "",
    VLOOKUP(AU502,AW$8:BC$507,4,FALSE())
)</f>
        <v/>
      </c>
      <c r="BH502" s="68" t="str">
        <f aca="false">IF(AU502&gt;AT$7,
    "",
    VLOOKUP(AU502,AW$8:BC$507,5,FALSE())
)</f>
        <v/>
      </c>
      <c r="BI502" s="69" t="str">
        <f aca="false">IF(AU502&gt;AT$7,
    "",
    VLOOKUP(AU502,AW$8:BC$507,6,FALSE())
)</f>
        <v/>
      </c>
      <c r="BJ502" s="46"/>
    </row>
    <row r="503" customFormat="false" ht="15.75" hidden="false" customHeight="false" outlineLevel="0" collapsed="false">
      <c r="A503" s="3"/>
      <c r="B503" s="105"/>
      <c r="C503" s="106"/>
      <c r="D503" s="99"/>
      <c r="E503" s="110"/>
      <c r="F503" s="107"/>
      <c r="G503" s="110"/>
      <c r="H503" s="103"/>
      <c r="I503" s="102"/>
      <c r="J503" s="103"/>
      <c r="K503" s="103"/>
      <c r="L503" s="85"/>
      <c r="M503" s="85" t="str">
        <f aca="false">IF(ISBLANK($C503),"",IF(ISBLANK(E503),0,E503))</f>
        <v/>
      </c>
      <c r="N503" s="85" t="str">
        <f aca="false">IF(ISBLANK($C503),"",IF(ISBLANK(F503),0,F503))</f>
        <v/>
      </c>
      <c r="O503" s="86" t="e">
        <f aca="false">IF(AND(NOT(ISBLANK($C503)),NOT($T503),COUNTA($E503:$K503)&gt;0),ISBLANK($F503),FALSE())</f>
        <v>#VALUE!</v>
      </c>
      <c r="P503" s="85" t="str">
        <f aca="false">IF(ISBLANK($C503),"",IF(G503=Constants!$B$9, TRUE(), IF(G503=Constants!$B$10, FALSE(), TRUE())))</f>
        <v/>
      </c>
      <c r="Q503" s="85" t="str">
        <f aca="false">IF(ISBLANK($C503),"",IF(H503=Constants!$B$9, TRUE(), IF(H503=Constants!$B$10, FALSE(), TRUE())))</f>
        <v/>
      </c>
      <c r="R503" s="85" t="str">
        <f aca="false">IF(ISBLANK($C503),"",IF(ISBLANK(I503),Constants!$B$3,I503))</f>
        <v/>
      </c>
      <c r="S503" s="85" t="str">
        <f aca="false">IF(ISBLANK($C503),"",IF(ISBLANK(J503),0,MIN(J503,Constants!$B$6)))</f>
        <v/>
      </c>
      <c r="T503" s="85" t="str">
        <f aca="false">IF(ISBLANK($C503),"",IF(K503=Constants!$B$9, TRUE(), IF(K503=Constants!$B$10, FALSE(),  FALSE())))</f>
        <v/>
      </c>
      <c r="U503" s="85" t="str">
        <f aca="false">IF(ISBLANK($C503),"",AND(R503=Constants!$B$4, S503&lt;Constants!$B$6))</f>
        <v/>
      </c>
      <c r="V503" s="85" t="str">
        <f aca="false">IF(ISBLANK(C503), "", IF(T503, Constants!$B$11, IF(COUNTA(E503:K503)=0, Constants!$B$12, IF(NOT(AND(P503,S503&lt;&gt;0)), Constants!$B$13, IF(O503, Constants!$B$15, Constants!$B$14)))))</f>
        <v/>
      </c>
      <c r="W503" s="85" t="str">
        <f aca="false">IF(OR(ISBLANK($C503), SUMPRODUCT(--(P503:T503&lt;&gt;""))=0), "", IF(V503&lt;&gt;Constants!$B$14, V503, IF(AND(NOT(ISBLANK(J503)),P503,Q503,R503&lt;&gt;Constants!$B$2), Constants!$B$7, IF(AND(P503,OR(NOT(Q503),R503=Constants!$B$2)), Constants!$B$8, "Error"))))</f>
        <v/>
      </c>
      <c r="X503" s="87" t="str">
        <f aca="false">IF(OR(W503=Constants!$B$7,W503=Constants!$B$8), MAX(0, MIN(Constants!$B$6, S503))+IF(AND(R503=Constants!$B$4, NOT(U503)), Constants!$B$5, 0), "")</f>
        <v/>
      </c>
      <c r="Y503" s="85" t="str">
        <f aca="false">IF(ISBLANK($C503),"",IF(AND(ISNUMBER(X503),N503&gt;0),X503/N503, "") )</f>
        <v/>
      </c>
      <c r="Z503" s="85" t="str">
        <f aca="false">IF(AND(NOT(ISBLANK($C503)), W503=Constants!$B$7), Y503, "")</f>
        <v/>
      </c>
      <c r="AA503" s="85" t="str">
        <f aca="false">IF(ISNUMBER(Z503), RANK(Z503,Z$8:Z$507), "")</f>
        <v/>
      </c>
      <c r="AB503" s="85" t="str">
        <f aca="false">IF(AND(NOT(ISBLANK($C503)), W503=Constants!$B$8), Y503, "")</f>
        <v/>
      </c>
      <c r="AC503" s="85" t="str">
        <f aca="false">IF(ISNUMBER(AB503), RANK(AB503,AB$8:AB$507), "")</f>
        <v/>
      </c>
      <c r="AD503" s="85" t="str">
        <f aca="false">IF(ISBLANK($C503),"",IF(V503&lt;&gt;Constants!$B$14, V503, IF(W503=Constants!$B$7, AA503, IF(W503=Constants!$B$8, COUNT($AA$8:$AA$507) + AC503, ""))))</f>
        <v/>
      </c>
      <c r="AE503" s="85" t="str">
        <f aca="false">N503</f>
        <v/>
      </c>
      <c r="AF503" s="85" t="str">
        <f aca="false">IF(ISNUMBER(AE503), RANK(AE503,AE$8:AE$507,1), "")</f>
        <v/>
      </c>
      <c r="AG503" s="88" t="str">
        <f aca="false">IF(ISBLANK(C503), "", ABS(M503-S503))</f>
        <v/>
      </c>
      <c r="AH503" s="85" t="str">
        <f aca="false">IF(ISNUMBER(AG503), RANK(AG503,AG$8:AG$507,1), "")</f>
        <v/>
      </c>
      <c r="AI503" s="85" t="str">
        <f aca="false">IF(ISBLANK(C503),"",IF(V503&lt;&gt;Constants!$B$14, V503, RANK(AD503, AD$8:AD$507, 1)+ SUMPRODUCT(--(AD$8:AD$507=AD503),--(AF503&gt;AF$8:AF$507)) + SUMPRODUCT(--(AD$8:AD$507=AD503),--(AF503=AF$8:AF$507),--(AH503&gt;AH$8:AH$507))))</f>
        <v/>
      </c>
      <c r="AJ503" s="85" t="str">
        <f aca="false">IF(ISBLANK(C503),"",IF(V503&lt;&gt;Constants!$B$14, V503, AD503-AI503))</f>
        <v/>
      </c>
      <c r="AK503" s="89"/>
      <c r="AL503" s="90" t="str">
        <f aca="false">IF(ISBLANK($C503),"",IF($V503&lt;&gt;Constants!$B$14,$V503,X503))</f>
        <v/>
      </c>
      <c r="AM503" s="90" t="str">
        <f aca="false">IF(ISBLANK($C503),"",IF($V503&lt;&gt;Constants!$B$14,$V503,N503))</f>
        <v/>
      </c>
      <c r="AN503" s="91" t="str">
        <f aca="false">IF(ISBLANK(C503),"",IF(V503&lt;&gt;Constants!$B$14, V503, IF(W503=Constants!$B$7,Z503,IF(W503=Constants!$B$8,AB503,""))))</f>
        <v/>
      </c>
      <c r="AO503" s="92" t="str">
        <f aca="false">IF(ISBLANK(C503),"",W503)</f>
        <v/>
      </c>
      <c r="AP503" s="92" t="str">
        <f aca="false">IF(ISBLANK(C503),"",AJ503)</f>
        <v/>
      </c>
      <c r="AQ503" s="92" t="str">
        <f aca="false">IF(ISBLANK(C503),"",AI503)</f>
        <v/>
      </c>
      <c r="AR503" s="93" t="str">
        <f aca="false">IF(ISBLANK(C503),
  "",
IF(AQ503=Constants!$B$11,COUNTA($C$8:$C$507)+2,IF(AQ503=Constants!$B$12,COUNTA($C$8:$C$507)+1,IF(AQ503=Constants!$B$13,COUNTA($C$8:$C$507),AQ503))))</f>
        <v/>
      </c>
      <c r="AS503" s="3"/>
      <c r="AT503" s="94" t="n">
        <f aca="false">IF(OR(ISNUMBER(AQ503),AQ503="DQ",AQ503="P",AQ503="NS"),
    1,
    0
)</f>
        <v>0</v>
      </c>
      <c r="AU503" s="94" t="n">
        <v>496</v>
      </c>
      <c r="AV503" s="94" t="str">
        <f aca="false">IF(ISBLANK($C503),
    "",
   IF(ISNUMBER(AR503),AR503+ROW($B503)/1000,"")
)</f>
        <v/>
      </c>
      <c r="AW503" s="94" t="str">
        <f aca="false">IF(ISNUMBER(AV503), RANK(AV503,AV$8:AV$507,1), "")</f>
        <v/>
      </c>
      <c r="AX503" s="94" t="str">
        <f aca="false">IF(ISBLANK($C503),
    "",
    $B503
)</f>
        <v/>
      </c>
      <c r="AY503" s="94" t="str">
        <f aca="false">IF(ISBLANK($C503),
    "",
    $C503
)</f>
        <v/>
      </c>
      <c r="AZ503" s="94" t="str">
        <f aca="false">IF(ISBLANK($C503),
    "",
    $D503
)</f>
        <v/>
      </c>
      <c r="BA503" s="94" t="str">
        <f aca="false">AO503</f>
        <v/>
      </c>
      <c r="BB503" s="95" t="str">
        <f aca="false">AN503</f>
        <v/>
      </c>
      <c r="BC503" s="94" t="str">
        <f aca="false">IF(ISBLANK($C503),
    "",
    AQ503
)</f>
        <v/>
      </c>
      <c r="BD503" s="96" t="str">
        <f aca="false">IF(AU503&gt;AT$7,
    "",
    VLOOKUP(AU503,AW$8:BC$507,7,FALSE())
)</f>
        <v/>
      </c>
      <c r="BE503" s="97" t="str">
        <f aca="false">IF(AU503&gt;AT$7,
    "",
    VLOOKUP(AU503,AW$8:BC$507,2,FALSE())
)</f>
        <v/>
      </c>
      <c r="BF503" s="97" t="str">
        <f aca="false">IF(AU503&gt;AT$7,
    "",
    VLOOKUP(AU503,AW$8:BC$507,3,FALSE())
)</f>
        <v/>
      </c>
      <c r="BG503" s="97" t="str">
        <f aca="false">IF(AU503&gt;AT$7,
    "",
    VLOOKUP(AU503,AW$8:BC$507,4,FALSE())
)</f>
        <v/>
      </c>
      <c r="BH503" s="97" t="str">
        <f aca="false">IF(AU503&gt;AT$7,
    "",
    VLOOKUP(AU503,AW$8:BC$507,5,FALSE())
)</f>
        <v/>
      </c>
      <c r="BI503" s="98" t="str">
        <f aca="false">IF(AU503&gt;AT$7,
    "",
    VLOOKUP(AU503,AW$8:BC$507,6,FALSE())
)</f>
        <v/>
      </c>
      <c r="BJ503" s="46"/>
    </row>
    <row r="504" customFormat="false" ht="15.75" hidden="false" customHeight="false" outlineLevel="0" collapsed="false">
      <c r="A504" s="3"/>
      <c r="B504" s="105"/>
      <c r="C504" s="106"/>
      <c r="D504" s="99"/>
      <c r="E504" s="110"/>
      <c r="F504" s="107"/>
      <c r="G504" s="110"/>
      <c r="H504" s="103"/>
      <c r="I504" s="102"/>
      <c r="J504" s="103"/>
      <c r="K504" s="103"/>
      <c r="L504" s="85"/>
      <c r="M504" s="85" t="str">
        <f aca="false">IF(ISBLANK($C504),"",IF(ISBLANK(E504),0,E504))</f>
        <v/>
      </c>
      <c r="N504" s="85" t="str">
        <f aca="false">IF(ISBLANK($C504),"",IF(ISBLANK(F504),0,F504))</f>
        <v/>
      </c>
      <c r="O504" s="86" t="e">
        <f aca="false">IF(AND(NOT(ISBLANK($C504)),NOT($T504),COUNTA($E504:$K504)&gt;0),ISBLANK($F504),FALSE())</f>
        <v>#VALUE!</v>
      </c>
      <c r="P504" s="85" t="str">
        <f aca="false">IF(ISBLANK($C504),"",IF(G504=Constants!$B$9, TRUE(), IF(G504=Constants!$B$10, FALSE(), TRUE())))</f>
        <v/>
      </c>
      <c r="Q504" s="85" t="str">
        <f aca="false">IF(ISBLANK($C504),"",IF(H504=Constants!$B$9, TRUE(), IF(H504=Constants!$B$10, FALSE(), TRUE())))</f>
        <v/>
      </c>
      <c r="R504" s="85" t="str">
        <f aca="false">IF(ISBLANK($C504),"",IF(ISBLANK(I504),Constants!$B$3,I504))</f>
        <v/>
      </c>
      <c r="S504" s="85" t="str">
        <f aca="false">IF(ISBLANK($C504),"",IF(ISBLANK(J504),0,MIN(J504,Constants!$B$6)))</f>
        <v/>
      </c>
      <c r="T504" s="85" t="str">
        <f aca="false">IF(ISBLANK($C504),"",IF(K504=Constants!$B$9, TRUE(), IF(K504=Constants!$B$10, FALSE(),  FALSE())))</f>
        <v/>
      </c>
      <c r="U504" s="85" t="str">
        <f aca="false">IF(ISBLANK($C504),"",AND(R504=Constants!$B$4, S504&lt;Constants!$B$6))</f>
        <v/>
      </c>
      <c r="V504" s="85" t="str">
        <f aca="false">IF(ISBLANK(C504), "", IF(T504, Constants!$B$11, IF(COUNTA(E504:K504)=0, Constants!$B$12, IF(NOT(AND(P504,S504&lt;&gt;0)), Constants!$B$13, IF(O504, Constants!$B$15, Constants!$B$14)))))</f>
        <v/>
      </c>
      <c r="W504" s="85" t="str">
        <f aca="false">IF(OR(ISBLANK($C504), SUMPRODUCT(--(P504:T504&lt;&gt;""))=0), "", IF(V504&lt;&gt;Constants!$B$14, V504, IF(AND(NOT(ISBLANK(J504)),P504,Q504,R504&lt;&gt;Constants!$B$2), Constants!$B$7, IF(AND(P504,OR(NOT(Q504),R504=Constants!$B$2)), Constants!$B$8, "Error"))))</f>
        <v/>
      </c>
      <c r="X504" s="87" t="str">
        <f aca="false">IF(OR(W504=Constants!$B$7,W504=Constants!$B$8), MAX(0, MIN(Constants!$B$6, S504))+IF(AND(R504=Constants!$B$4, NOT(U504)), Constants!$B$5, 0), "")</f>
        <v/>
      </c>
      <c r="Y504" s="85" t="str">
        <f aca="false">IF(ISBLANK($C504),"",IF(AND(ISNUMBER(X504),N504&gt;0),X504/N504, "") )</f>
        <v/>
      </c>
      <c r="Z504" s="85" t="str">
        <f aca="false">IF(AND(NOT(ISBLANK($C504)), W504=Constants!$B$7), Y504, "")</f>
        <v/>
      </c>
      <c r="AA504" s="85" t="str">
        <f aca="false">IF(ISNUMBER(Z504), RANK(Z504,Z$8:Z$507), "")</f>
        <v/>
      </c>
      <c r="AB504" s="85" t="str">
        <f aca="false">IF(AND(NOT(ISBLANK($C504)), W504=Constants!$B$8), Y504, "")</f>
        <v/>
      </c>
      <c r="AC504" s="85" t="str">
        <f aca="false">IF(ISNUMBER(AB504), RANK(AB504,AB$8:AB$507), "")</f>
        <v/>
      </c>
      <c r="AD504" s="85" t="str">
        <f aca="false">IF(ISBLANK($C504),"",IF(V504&lt;&gt;Constants!$B$14, V504, IF(W504=Constants!$B$7, AA504, IF(W504=Constants!$B$8, COUNT($AA$8:$AA$507) + AC504, ""))))</f>
        <v/>
      </c>
      <c r="AE504" s="85" t="str">
        <f aca="false">N504</f>
        <v/>
      </c>
      <c r="AF504" s="85" t="str">
        <f aca="false">IF(ISNUMBER(AE504), RANK(AE504,AE$8:AE$507,1), "")</f>
        <v/>
      </c>
      <c r="AG504" s="88" t="str">
        <f aca="false">IF(ISBLANK(C504), "", ABS(M504-S504))</f>
        <v/>
      </c>
      <c r="AH504" s="85" t="str">
        <f aca="false">IF(ISNUMBER(AG504), RANK(AG504,AG$8:AG$507,1), "")</f>
        <v/>
      </c>
      <c r="AI504" s="85" t="str">
        <f aca="false">IF(ISBLANK(C504),"",IF(V504&lt;&gt;Constants!$B$14, V504, RANK(AD504, AD$8:AD$507, 1)+ SUMPRODUCT(--(AD$8:AD$507=AD504),--(AF504&gt;AF$8:AF$507)) + SUMPRODUCT(--(AD$8:AD$507=AD504),--(AF504=AF$8:AF$507),--(AH504&gt;AH$8:AH$507))))</f>
        <v/>
      </c>
      <c r="AJ504" s="85" t="str">
        <f aca="false">IF(ISBLANK(C504),"",IF(V504&lt;&gt;Constants!$B$14, V504, AD504-AI504))</f>
        <v/>
      </c>
      <c r="AK504" s="89"/>
      <c r="AL504" s="90" t="str">
        <f aca="false">IF(ISBLANK($C504),"",IF($V504&lt;&gt;Constants!$B$14,$V504,X504))</f>
        <v/>
      </c>
      <c r="AM504" s="90" t="str">
        <f aca="false">IF(ISBLANK($C504),"",IF($V504&lt;&gt;Constants!$B$14,$V504,N504))</f>
        <v/>
      </c>
      <c r="AN504" s="91" t="str">
        <f aca="false">IF(ISBLANK(C504),"",IF(V504&lt;&gt;Constants!$B$14, V504, IF(W504=Constants!$B$7,Z504,IF(W504=Constants!$B$8,AB504,""))))</f>
        <v/>
      </c>
      <c r="AO504" s="92" t="str">
        <f aca="false">IF(ISBLANK(C504),"",W504)</f>
        <v/>
      </c>
      <c r="AP504" s="92" t="str">
        <f aca="false">IF(ISBLANK(C504),"",AJ504)</f>
        <v/>
      </c>
      <c r="AQ504" s="92" t="str">
        <f aca="false">IF(ISBLANK(C504),"",AI504)</f>
        <v/>
      </c>
      <c r="AR504" s="93" t="str">
        <f aca="false">IF(ISBLANK(C504),
  "",
IF(AQ504=Constants!$B$11,COUNTA($C$8:$C$507)+2,IF(AQ504=Constants!$B$12,COUNTA($C$8:$C$507)+1,IF(AQ504=Constants!$B$13,COUNTA($C$8:$C$507),AQ504))))</f>
        <v/>
      </c>
      <c r="AS504" s="3"/>
      <c r="AT504" s="94" t="n">
        <f aca="false">IF(OR(ISNUMBER(AQ504),AQ504="DQ",AQ504="P",AQ504="NS"),
    1,
    0
)</f>
        <v>0</v>
      </c>
      <c r="AU504" s="94" t="n">
        <v>497</v>
      </c>
      <c r="AV504" s="94" t="str">
        <f aca="false">IF(ISBLANK($C504),
    "",
   IF(ISNUMBER(AR504),AR504+ROW($B504)/1000,"")
)</f>
        <v/>
      </c>
      <c r="AW504" s="94" t="str">
        <f aca="false">IF(ISNUMBER(AV504), RANK(AV504,AV$8:AV$507,1), "")</f>
        <v/>
      </c>
      <c r="AX504" s="94" t="str">
        <f aca="false">IF(ISBLANK($C504),
    "",
    $B504
)</f>
        <v/>
      </c>
      <c r="AY504" s="94" t="str">
        <f aca="false">IF(ISBLANK($C504),
    "",
    $C504
)</f>
        <v/>
      </c>
      <c r="AZ504" s="94" t="str">
        <f aca="false">IF(ISBLANK($C504),
    "",
    $D504
)</f>
        <v/>
      </c>
      <c r="BA504" s="94" t="str">
        <f aca="false">AO504</f>
        <v/>
      </c>
      <c r="BB504" s="95" t="str">
        <f aca="false">AN504</f>
        <v/>
      </c>
      <c r="BC504" s="94" t="str">
        <f aca="false">IF(ISBLANK($C504),
    "",
    AQ504
)</f>
        <v/>
      </c>
      <c r="BD504" s="96" t="str">
        <f aca="false">IF(AU504&gt;AT$7,
    "",
    VLOOKUP(AU504,AW$8:BC$507,7,FALSE())
)</f>
        <v/>
      </c>
      <c r="BE504" s="97" t="str">
        <f aca="false">IF(AU504&gt;AT$7,
    "",
    VLOOKUP(AU504,AW$8:BC$507,2,FALSE())
)</f>
        <v/>
      </c>
      <c r="BF504" s="97" t="str">
        <f aca="false">IF(AU504&gt;AT$7,
    "",
    VLOOKUP(AU504,AW$8:BC$507,3,FALSE())
)</f>
        <v/>
      </c>
      <c r="BG504" s="97" t="str">
        <f aca="false">IF(AU504&gt;AT$7,
    "",
    VLOOKUP(AU504,AW$8:BC$507,4,FALSE())
)</f>
        <v/>
      </c>
      <c r="BH504" s="97" t="str">
        <f aca="false">IF(AU504&gt;AT$7,
    "",
    VLOOKUP(AU504,AW$8:BC$507,5,FALSE())
)</f>
        <v/>
      </c>
      <c r="BI504" s="98" t="str">
        <f aca="false">IF(AU504&gt;AT$7,
    "",
    VLOOKUP(AU504,AW$8:BC$507,6,FALSE())
)</f>
        <v/>
      </c>
      <c r="BJ504" s="46"/>
    </row>
    <row r="505" customFormat="false" ht="15.75" hidden="false" customHeight="false" outlineLevel="0" collapsed="false">
      <c r="A505" s="3"/>
      <c r="B505" s="105"/>
      <c r="C505" s="106"/>
      <c r="D505" s="99"/>
      <c r="E505" s="110"/>
      <c r="F505" s="107"/>
      <c r="G505" s="110"/>
      <c r="H505" s="103"/>
      <c r="I505" s="102"/>
      <c r="J505" s="103"/>
      <c r="K505" s="103"/>
      <c r="L505" s="85"/>
      <c r="M505" s="85" t="str">
        <f aca="false">IF(ISBLANK($C505),"",IF(ISBLANK(E505),0,E505))</f>
        <v/>
      </c>
      <c r="N505" s="85" t="str">
        <f aca="false">IF(ISBLANK($C505),"",IF(ISBLANK(F505),0,F505))</f>
        <v/>
      </c>
      <c r="O505" s="86" t="e">
        <f aca="false">IF(AND(NOT(ISBLANK($C505)),NOT($T505),COUNTA($E505:$K505)&gt;0),ISBLANK($F505),FALSE())</f>
        <v>#VALUE!</v>
      </c>
      <c r="P505" s="85" t="str">
        <f aca="false">IF(ISBLANK($C505),"",IF(G505=Constants!$B$9, TRUE(), IF(G505=Constants!$B$10, FALSE(), TRUE())))</f>
        <v/>
      </c>
      <c r="Q505" s="85" t="str">
        <f aca="false">IF(ISBLANK($C505),"",IF(H505=Constants!$B$9, TRUE(), IF(H505=Constants!$B$10, FALSE(), TRUE())))</f>
        <v/>
      </c>
      <c r="R505" s="85" t="str">
        <f aca="false">IF(ISBLANK($C505),"",IF(ISBLANK(I505),Constants!$B$3,I505))</f>
        <v/>
      </c>
      <c r="S505" s="85" t="str">
        <f aca="false">IF(ISBLANK($C505),"",IF(ISBLANK(J505),0,MIN(J505,Constants!$B$6)))</f>
        <v/>
      </c>
      <c r="T505" s="85" t="str">
        <f aca="false">IF(ISBLANK($C505),"",IF(K505=Constants!$B$9, TRUE(), IF(K505=Constants!$B$10, FALSE(),  FALSE())))</f>
        <v/>
      </c>
      <c r="U505" s="85" t="str">
        <f aca="false">IF(ISBLANK($C505),"",AND(R505=Constants!$B$4, S505&lt;Constants!$B$6))</f>
        <v/>
      </c>
      <c r="V505" s="85" t="str">
        <f aca="false">IF(ISBLANK(C505), "", IF(T505, Constants!$B$11, IF(COUNTA(E505:K505)=0, Constants!$B$12, IF(NOT(AND(P505,S505&lt;&gt;0)), Constants!$B$13, IF(O505, Constants!$B$15, Constants!$B$14)))))</f>
        <v/>
      </c>
      <c r="W505" s="85" t="str">
        <f aca="false">IF(OR(ISBLANK($C505), SUMPRODUCT(--(P505:T505&lt;&gt;""))=0), "", IF(V505&lt;&gt;Constants!$B$14, V505, IF(AND(NOT(ISBLANK(J505)),P505,Q505,R505&lt;&gt;Constants!$B$2), Constants!$B$7, IF(AND(P505,OR(NOT(Q505),R505=Constants!$B$2)), Constants!$B$8, "Error"))))</f>
        <v/>
      </c>
      <c r="X505" s="87" t="str">
        <f aca="false">IF(OR(W505=Constants!$B$7,W505=Constants!$B$8), MAX(0, MIN(Constants!$B$6, S505))+IF(AND(R505=Constants!$B$4, NOT(U505)), Constants!$B$5, 0), "")</f>
        <v/>
      </c>
      <c r="Y505" s="85" t="str">
        <f aca="false">IF(ISBLANK($C505),"",IF(AND(ISNUMBER(X505),N505&gt;0),X505/N505, "") )</f>
        <v/>
      </c>
      <c r="Z505" s="85" t="str">
        <f aca="false">IF(AND(NOT(ISBLANK($C505)), W505=Constants!$B$7), Y505, "")</f>
        <v/>
      </c>
      <c r="AA505" s="85" t="str">
        <f aca="false">IF(ISNUMBER(Z505), RANK(Z505,Z$8:Z$507), "")</f>
        <v/>
      </c>
      <c r="AB505" s="85" t="str">
        <f aca="false">IF(AND(NOT(ISBLANK($C505)), W505=Constants!$B$8), Y505, "")</f>
        <v/>
      </c>
      <c r="AC505" s="85" t="str">
        <f aca="false">IF(ISNUMBER(AB505), RANK(AB505,AB$8:AB$507), "")</f>
        <v/>
      </c>
      <c r="AD505" s="85" t="str">
        <f aca="false">IF(ISBLANK($C505),"",IF(V505&lt;&gt;Constants!$B$14, V505, IF(W505=Constants!$B$7, AA505, IF(W505=Constants!$B$8, COUNT($AA$8:$AA$507) + AC505, ""))))</f>
        <v/>
      </c>
      <c r="AE505" s="85" t="str">
        <f aca="false">N505</f>
        <v/>
      </c>
      <c r="AF505" s="85" t="str">
        <f aca="false">IF(ISNUMBER(AE505), RANK(AE505,AE$8:AE$507,1), "")</f>
        <v/>
      </c>
      <c r="AG505" s="88" t="str">
        <f aca="false">IF(ISBLANK(C505), "", ABS(M505-S505))</f>
        <v/>
      </c>
      <c r="AH505" s="85" t="str">
        <f aca="false">IF(ISNUMBER(AG505), RANK(AG505,AG$8:AG$507,1), "")</f>
        <v/>
      </c>
      <c r="AI505" s="85" t="str">
        <f aca="false">IF(ISBLANK(C505),"",IF(V505&lt;&gt;Constants!$B$14, V505, RANK(AD505, AD$8:AD$507, 1)+ SUMPRODUCT(--(AD$8:AD$507=AD505),--(AF505&gt;AF$8:AF$507)) + SUMPRODUCT(--(AD$8:AD$507=AD505),--(AF505=AF$8:AF$507),--(AH505&gt;AH$8:AH$507))))</f>
        <v/>
      </c>
      <c r="AJ505" s="85" t="str">
        <f aca="false">IF(ISBLANK(C505),"",IF(V505&lt;&gt;Constants!$B$14, V505, AD505-AI505))</f>
        <v/>
      </c>
      <c r="AK505" s="89"/>
      <c r="AL505" s="90" t="str">
        <f aca="false">IF(ISBLANK($C505),"",IF($V505&lt;&gt;Constants!$B$14,$V505,X505))</f>
        <v/>
      </c>
      <c r="AM505" s="90" t="str">
        <f aca="false">IF(ISBLANK($C505),"",IF($V505&lt;&gt;Constants!$B$14,$V505,N505))</f>
        <v/>
      </c>
      <c r="AN505" s="91" t="str">
        <f aca="false">IF(ISBLANK(C505),"",IF(V505&lt;&gt;Constants!$B$14, V505, IF(W505=Constants!$B$7,Z505,IF(W505=Constants!$B$8,AB505,""))))</f>
        <v/>
      </c>
      <c r="AO505" s="92" t="str">
        <f aca="false">IF(ISBLANK(C505),"",W505)</f>
        <v/>
      </c>
      <c r="AP505" s="92" t="str">
        <f aca="false">IF(ISBLANK(C505),"",AJ505)</f>
        <v/>
      </c>
      <c r="AQ505" s="92" t="str">
        <f aca="false">IF(ISBLANK(C505),"",AI505)</f>
        <v/>
      </c>
      <c r="AR505" s="93" t="str">
        <f aca="false">IF(ISBLANK(C505),
  "",
IF(AQ505=Constants!$B$11,COUNTA($C$8:$C$507)+2,IF(AQ505=Constants!$B$12,COUNTA($C$8:$C$507)+1,IF(AQ505=Constants!$B$13,COUNTA($C$8:$C$507),AQ505))))</f>
        <v/>
      </c>
      <c r="AS505" s="3"/>
      <c r="AT505" s="94" t="n">
        <f aca="false">IF(OR(ISNUMBER(AQ505),AQ505="DQ",AQ505="P",AQ505="NS"),
    1,
    0
)</f>
        <v>0</v>
      </c>
      <c r="AU505" s="94" t="n">
        <v>498</v>
      </c>
      <c r="AV505" s="94" t="str">
        <f aca="false">IF(ISBLANK($C505),
    "",
   IF(ISNUMBER(AR505),AR505+ROW($B505)/1000,"")
)</f>
        <v/>
      </c>
      <c r="AW505" s="94" t="str">
        <f aca="false">IF(ISNUMBER(AV505), RANK(AV505,AV$8:AV$507,1), "")</f>
        <v/>
      </c>
      <c r="AX505" s="94" t="str">
        <f aca="false">IF(ISBLANK($C505),
    "",
    $B505
)</f>
        <v/>
      </c>
      <c r="AY505" s="94" t="str">
        <f aca="false">IF(ISBLANK($C505),
    "",
    $C505
)</f>
        <v/>
      </c>
      <c r="AZ505" s="94" t="str">
        <f aca="false">IF(ISBLANK($C505),
    "",
    $D505
)</f>
        <v/>
      </c>
      <c r="BA505" s="94" t="str">
        <f aca="false">AO505</f>
        <v/>
      </c>
      <c r="BB505" s="95" t="str">
        <f aca="false">AN505</f>
        <v/>
      </c>
      <c r="BC505" s="94" t="str">
        <f aca="false">IF(ISBLANK($C505),
    "",
    AQ505
)</f>
        <v/>
      </c>
      <c r="BD505" s="96" t="str">
        <f aca="false">IF(AU505&gt;AT$7,
    "",
    VLOOKUP(AU505,AW$8:BC$507,7,FALSE())
)</f>
        <v/>
      </c>
      <c r="BE505" s="97" t="str">
        <f aca="false">IF(AU505&gt;AT$7,
    "",
    VLOOKUP(AU505,AW$8:BC$507,2,FALSE())
)</f>
        <v/>
      </c>
      <c r="BF505" s="97" t="str">
        <f aca="false">IF(AU505&gt;AT$7,
    "",
    VLOOKUP(AU505,AW$8:BC$507,3,FALSE())
)</f>
        <v/>
      </c>
      <c r="BG505" s="97" t="str">
        <f aca="false">IF(AU505&gt;AT$7,
    "",
    VLOOKUP(AU505,AW$8:BC$507,4,FALSE())
)</f>
        <v/>
      </c>
      <c r="BH505" s="97" t="str">
        <f aca="false">IF(AU505&gt;AT$7,
    "",
    VLOOKUP(AU505,AW$8:BC$507,5,FALSE())
)</f>
        <v/>
      </c>
      <c r="BI505" s="98" t="str">
        <f aca="false">IF(AU505&gt;AT$7,
    "",
    VLOOKUP(AU505,AW$8:BC$507,6,FALSE())
)</f>
        <v/>
      </c>
      <c r="BJ505" s="46"/>
    </row>
    <row r="506" customFormat="false" ht="15.75" hidden="false" customHeight="false" outlineLevel="0" collapsed="false">
      <c r="A506" s="3"/>
      <c r="B506" s="108"/>
      <c r="C506" s="70"/>
      <c r="D506" s="49"/>
      <c r="E506" s="109"/>
      <c r="F506" s="72"/>
      <c r="G506" s="109"/>
      <c r="H506" s="74"/>
      <c r="I506" s="104"/>
      <c r="J506" s="74"/>
      <c r="K506" s="74"/>
      <c r="L506" s="55"/>
      <c r="M506" s="55" t="str">
        <f aca="false">IF(ISBLANK($C506),"",IF(ISBLANK(E506),0,E506))</f>
        <v/>
      </c>
      <c r="N506" s="55" t="str">
        <f aca="false">IF(ISBLANK($C506),"",IF(ISBLANK(F506),0,F506))</f>
        <v/>
      </c>
      <c r="O506" s="55" t="e">
        <f aca="false">IF(AND(NOT(ISBLANK($C506)),NOT($T506),COUNTA($E506:$K506)&gt;0),ISBLANK($F506),FALSE())</f>
        <v>#VALUE!</v>
      </c>
      <c r="P506" s="55" t="str">
        <f aca="false">IF(ISBLANK($C506),"",IF(G506=Constants!$B$9, TRUE(), IF(G506=Constants!$B$10, FALSE(), TRUE())))</f>
        <v/>
      </c>
      <c r="Q506" s="55" t="str">
        <f aca="false">IF(ISBLANK($C506),"",IF(H506=Constants!$B$9, TRUE(), IF(H506=Constants!$B$10, FALSE(), TRUE())))</f>
        <v/>
      </c>
      <c r="R506" s="55" t="str">
        <f aca="false">IF(ISBLANK($C506),"",IF(ISBLANK(I506),Constants!$B$3,I506))</f>
        <v/>
      </c>
      <c r="S506" s="55" t="str">
        <f aca="false">IF(ISBLANK($C506),"",IF(ISBLANK(J506),0,MIN(J506,Constants!$B$6)))</f>
        <v/>
      </c>
      <c r="T506" s="55" t="str">
        <f aca="false">IF(ISBLANK($C506),"",IF(K506=Constants!$B$9, TRUE(), IF(K506=Constants!$B$10, FALSE(),  FALSE())))</f>
        <v/>
      </c>
      <c r="U506" s="55" t="str">
        <f aca="false">IF(ISBLANK($C506),"",AND(R506=Constants!$B$4, S506&lt;Constants!$B$6))</f>
        <v/>
      </c>
      <c r="V506" s="55" t="str">
        <f aca="false">IF(ISBLANK(C506), "", IF(T506, Constants!$B$11, IF(COUNTA(E506:K506)=0, Constants!$B$12, IF(NOT(AND(P506,S506&lt;&gt;0)), Constants!$B$13, IF(O506, Constants!$B$15, Constants!$B$14)))))</f>
        <v/>
      </c>
      <c r="W506" s="55" t="str">
        <f aca="false">IF(OR(ISBLANK($C506), SUMPRODUCT(--(P506:T506&lt;&gt;""))=0), "", IF(V506&lt;&gt;Constants!$B$14, V506, IF(AND(NOT(ISBLANK(J506)),P506,Q506,R506&lt;&gt;Constants!$B$2), Constants!$B$7, IF(AND(P506,OR(NOT(Q506),R506=Constants!$B$2)), Constants!$B$8, "Error"))))</f>
        <v/>
      </c>
      <c r="X506" s="56" t="str">
        <f aca="false">IF(OR(W506=Constants!$B$7,W506=Constants!$B$8), MAX(0, MIN(Constants!$B$6, S506))+IF(AND(R506=Constants!$B$4, NOT(U506)), Constants!$B$5, 0), "")</f>
        <v/>
      </c>
      <c r="Y506" s="55" t="str">
        <f aca="false">IF(ISBLANK($C506),"",IF(AND(ISNUMBER(X506),N506&gt;0),X506/N506, "") )</f>
        <v/>
      </c>
      <c r="Z506" s="55" t="str">
        <f aca="false">IF(AND(NOT(ISBLANK($C506)), W506=Constants!$B$7), Y506, "")</f>
        <v/>
      </c>
      <c r="AA506" s="55" t="str">
        <f aca="false">IF(ISNUMBER(Z506), RANK(Z506,Z$8:Z$507), "")</f>
        <v/>
      </c>
      <c r="AB506" s="55" t="str">
        <f aca="false">IF(AND(NOT(ISBLANK($C506)), W506=Constants!$B$8), Y506, "")</f>
        <v/>
      </c>
      <c r="AC506" s="55" t="str">
        <f aca="false">IF(ISNUMBER(AB506), RANK(AB506,AB$8:AB$507), "")</f>
        <v/>
      </c>
      <c r="AD506" s="55" t="str">
        <f aca="false">IF(ISBLANK($C506),"",IF(V506&lt;&gt;Constants!$B$14, V506, IF(W506=Constants!$B$7, AA506, IF(W506=Constants!$B$8, COUNT($AA$8:$AA$507) + AC506, ""))))</f>
        <v/>
      </c>
      <c r="AE506" s="55" t="str">
        <f aca="false">N506</f>
        <v/>
      </c>
      <c r="AF506" s="55" t="str">
        <f aca="false">IF(ISNUMBER(AE506), RANK(AE506,AE$8:AE$507,1), "")</f>
        <v/>
      </c>
      <c r="AG506" s="57" t="str">
        <f aca="false">IF(ISBLANK(C506), "", ABS(M506-S506))</f>
        <v/>
      </c>
      <c r="AH506" s="55" t="str">
        <f aca="false">IF(ISNUMBER(AG506), RANK(AG506,AG$8:AG$507,1), "")</f>
        <v/>
      </c>
      <c r="AI506" s="55" t="str">
        <f aca="false">IF(ISBLANK(C506),"",IF(V506&lt;&gt;Constants!$B$14, V506, RANK(AD506, AD$8:AD$507, 1)+ SUMPRODUCT(--(AD$8:AD$507=AD506),--(AF506&gt;AF$8:AF$507)) + SUMPRODUCT(--(AD$8:AD$507=AD506),--(AF506=AF$8:AF$507),--(AH506&gt;AH$8:AH$507))))</f>
        <v/>
      </c>
      <c r="AJ506" s="55" t="str">
        <f aca="false">IF(ISBLANK(C506),"",IF(V506&lt;&gt;Constants!$B$14, V506, AD506-AI506))</f>
        <v/>
      </c>
      <c r="AK506" s="59"/>
      <c r="AL506" s="60" t="str">
        <f aca="false">IF(ISBLANK($C506),"",IF($V506&lt;&gt;Constants!$B$14,$V506,X506))</f>
        <v/>
      </c>
      <c r="AM506" s="60" t="str">
        <f aca="false">IF(ISBLANK($C506),"",IF($V506&lt;&gt;Constants!$B$14,$V506,N506))</f>
        <v/>
      </c>
      <c r="AN506" s="62" t="str">
        <f aca="false">IF(ISBLANK(C506),"",IF(V506&lt;&gt;Constants!$B$14, V506, IF(W506=Constants!$B$7,Z506,IF(W506=Constants!$B$8,AB506,""))))</f>
        <v/>
      </c>
      <c r="AO506" s="63" t="str">
        <f aca="false">IF(ISBLANK(C506),"",W506)</f>
        <v/>
      </c>
      <c r="AP506" s="63" t="str">
        <f aca="false">IF(ISBLANK(C506),"",AJ506)</f>
        <v/>
      </c>
      <c r="AQ506" s="63" t="str">
        <f aca="false">IF(ISBLANK(C506),"",AI506)</f>
        <v/>
      </c>
      <c r="AR506" s="64" t="str">
        <f aca="false">IF(ISBLANK(C506),
  "",
IF(AQ506=Constants!$B$11,COUNTA($C$8:$C$507)+2,IF(AQ506=Constants!$B$12,COUNTA($C$8:$C$507)+1,IF(AQ506=Constants!$B$13,COUNTA($C$8:$C$507),AQ506))))</f>
        <v/>
      </c>
      <c r="AS506" s="3"/>
      <c r="AT506" s="65" t="n">
        <f aca="false">IF(OR(ISNUMBER(AQ506),AQ506="DQ",AQ506="P",AQ506="NS"),
    1,
    0
)</f>
        <v>0</v>
      </c>
      <c r="AU506" s="65" t="n">
        <v>499</v>
      </c>
      <c r="AV506" s="65" t="str">
        <f aca="false">IF(ISBLANK($C506),
    "",
   IF(ISNUMBER(AR506),AR506+ROW($B506)/1000,"")
)</f>
        <v/>
      </c>
      <c r="AW506" s="65" t="str">
        <f aca="false">IF(ISNUMBER(AV506), RANK(AV506,AV$8:AV$507,1), "")</f>
        <v/>
      </c>
      <c r="AX506" s="65" t="str">
        <f aca="false">IF(ISBLANK($C506),
    "",
    $B506
)</f>
        <v/>
      </c>
      <c r="AY506" s="65" t="str">
        <f aca="false">IF(ISBLANK($C506),
    "",
    $C506
)</f>
        <v/>
      </c>
      <c r="AZ506" s="65" t="str">
        <f aca="false">IF(ISBLANK($C506),
    "",
    $D506
)</f>
        <v/>
      </c>
      <c r="BA506" s="65" t="str">
        <f aca="false">AO506</f>
        <v/>
      </c>
      <c r="BB506" s="66" t="str">
        <f aca="false">AN506</f>
        <v/>
      </c>
      <c r="BC506" s="65" t="str">
        <f aca="false">IF(ISBLANK($C506),
    "",
    AQ506
)</f>
        <v/>
      </c>
      <c r="BD506" s="67" t="str">
        <f aca="false">IF(AU506&gt;AT$7,
    "",
    VLOOKUP(AU506,AW$8:BC$507,7,FALSE())
)</f>
        <v/>
      </c>
      <c r="BE506" s="68" t="str">
        <f aca="false">IF(AU506&gt;AT$7,
    "",
    VLOOKUP(AU506,AW$8:BC$507,2,FALSE())
)</f>
        <v/>
      </c>
      <c r="BF506" s="68" t="str">
        <f aca="false">IF(AU506&gt;AT$7,
    "",
    VLOOKUP(AU506,AW$8:BC$507,3,FALSE())
)</f>
        <v/>
      </c>
      <c r="BG506" s="68" t="str">
        <f aca="false">IF(AU506&gt;AT$7,
    "",
    VLOOKUP(AU506,AW$8:BC$507,4,FALSE())
)</f>
        <v/>
      </c>
      <c r="BH506" s="68" t="str">
        <f aca="false">IF(AU506&gt;AT$7,
    "",
    VLOOKUP(AU506,AW$8:BC$507,5,FALSE())
)</f>
        <v/>
      </c>
      <c r="BI506" s="69" t="str">
        <f aca="false">IF(AU506&gt;AT$7,
    "",
    VLOOKUP(AU506,AW$8:BC$507,6,FALSE())
)</f>
        <v/>
      </c>
      <c r="BJ506" s="46"/>
    </row>
    <row r="507" customFormat="false" ht="15.75" hidden="false" customHeight="false" outlineLevel="0" collapsed="false">
      <c r="A507" s="3"/>
      <c r="B507" s="108"/>
      <c r="C507" s="70"/>
      <c r="D507" s="49"/>
      <c r="E507" s="109"/>
      <c r="F507" s="72"/>
      <c r="G507" s="109"/>
      <c r="H507" s="74"/>
      <c r="I507" s="104"/>
      <c r="J507" s="74"/>
      <c r="K507" s="74"/>
      <c r="L507" s="55"/>
      <c r="M507" s="55" t="str">
        <f aca="false">IF(ISBLANK($C507),"",IF(ISBLANK(E507),0,E507))</f>
        <v/>
      </c>
      <c r="N507" s="55" t="str">
        <f aca="false">IF(ISBLANK($C507),"",IF(ISBLANK(F507),0,F507))</f>
        <v/>
      </c>
      <c r="O507" s="55" t="e">
        <f aca="false">IF(AND(NOT(ISBLANK($C507)),NOT($T507),COUNTA($E507:$K507)&gt;0),ISBLANK($F507),FALSE())</f>
        <v>#VALUE!</v>
      </c>
      <c r="P507" s="55" t="str">
        <f aca="false">IF(ISBLANK($C507),"",IF(G507=Constants!$B$9, TRUE(), IF(G507=Constants!$B$10, FALSE(), TRUE())))</f>
        <v/>
      </c>
      <c r="Q507" s="55" t="str">
        <f aca="false">IF(ISBLANK($C507),"",IF(H507=Constants!$B$9, TRUE(), IF(H507=Constants!$B$10, FALSE(), TRUE())))</f>
        <v/>
      </c>
      <c r="R507" s="55" t="str">
        <f aca="false">IF(ISBLANK($C507),"",IF(ISBLANK(I507),Constants!$B$3,I507))</f>
        <v/>
      </c>
      <c r="S507" s="55" t="str">
        <f aca="false">IF(ISBLANK($C507),"",IF(ISBLANK(J507),0,MIN(J507,Constants!$B$6)))</f>
        <v/>
      </c>
      <c r="T507" s="55" t="str">
        <f aca="false">IF(ISBLANK($C507),"",IF(K507=Constants!$B$9, TRUE(), IF(K507=Constants!$B$10, FALSE(),  FALSE())))</f>
        <v/>
      </c>
      <c r="U507" s="55" t="str">
        <f aca="false">IF(ISBLANK($C507),"",AND(R507=Constants!$B$4, S507&lt;Constants!$B$6))</f>
        <v/>
      </c>
      <c r="V507" s="55" t="str">
        <f aca="false">IF(ISBLANK(C507), "", IF(T507, Constants!$B$11, IF(COUNTA(E507:K507)=0, Constants!$B$12, IF(NOT(AND(P507,S507&lt;&gt;0)), Constants!$B$13, IF(O507, Constants!$B$15, Constants!$B$14)))))</f>
        <v/>
      </c>
      <c r="W507" s="55" t="str">
        <f aca="false">IF(OR(ISBLANK($C507), SUMPRODUCT(--(P507:T507&lt;&gt;""))=0), "", IF(V507&lt;&gt;Constants!$B$14, V507, IF(AND(NOT(ISBLANK(J507)),P507,Q507,R507&lt;&gt;Constants!$B$2), Constants!$B$7, IF(AND(P507,OR(NOT(Q507),R507=Constants!$B$2)), Constants!$B$8, "Error"))))</f>
        <v/>
      </c>
      <c r="X507" s="56" t="str">
        <f aca="false">IF(OR(W507=Constants!$B$7,W507=Constants!$B$8), MAX(0, MIN(Constants!$B$6, S507))+IF(AND(R507=Constants!$B$4, NOT(U507)), Constants!$B$5, 0), "")</f>
        <v/>
      </c>
      <c r="Y507" s="55" t="str">
        <f aca="false">IF(ISBLANK($C507),"",IF(AND(ISNUMBER(X507),N507&gt;0),X507/N507, "") )</f>
        <v/>
      </c>
      <c r="Z507" s="55" t="str">
        <f aca="false">IF(AND(NOT(ISBLANK($C507)), W507=Constants!$B$7), Y507, "")</f>
        <v/>
      </c>
      <c r="AA507" s="55" t="str">
        <f aca="false">IF(ISNUMBER(Z507), RANK(Z507,Z$8:Z$507), "")</f>
        <v/>
      </c>
      <c r="AB507" s="55" t="str">
        <f aca="false">IF(AND(NOT(ISBLANK($C507)), W507=Constants!$B$8), Y507, "")</f>
        <v/>
      </c>
      <c r="AC507" s="55" t="str">
        <f aca="false">IF(ISNUMBER(AB507), RANK(AB507,AB$8:AB$507), "")</f>
        <v/>
      </c>
      <c r="AD507" s="55" t="str">
        <f aca="false">IF(ISBLANK($C507),"",IF(V507&lt;&gt;Constants!$B$14, V507, IF(W507=Constants!$B$7, AA507, IF(W507=Constants!$B$8, COUNT($AA$8:$AA$507) + AC507, ""))))</f>
        <v/>
      </c>
      <c r="AE507" s="55" t="str">
        <f aca="false">N507</f>
        <v/>
      </c>
      <c r="AF507" s="55" t="str">
        <f aca="false">IF(ISNUMBER(AE507), RANK(AE507,AE$8:AE$507,1), "")</f>
        <v/>
      </c>
      <c r="AG507" s="57" t="str">
        <f aca="false">IF(ISBLANK(C507), "", ABS(M507-S507))</f>
        <v/>
      </c>
      <c r="AH507" s="55" t="str">
        <f aca="false">IF(ISNUMBER(AG507), RANK(AG507,AG$8:AG$507,1), "")</f>
        <v/>
      </c>
      <c r="AI507" s="55" t="str">
        <f aca="false">IF(ISBLANK(C507),"",IF(V507&lt;&gt;Constants!$B$14, V507, RANK(AD507, AD$8:AD$507, 1)+ SUMPRODUCT(--(AD$8:AD$507=AD507),--(AF507&gt;AF$8:AF$507)) + SUMPRODUCT(--(AD$8:AD$507=AD507),--(AF507=AF$8:AF$507),--(AH507&gt;AH$8:AH$507))))</f>
        <v/>
      </c>
      <c r="AJ507" s="55" t="str">
        <f aca="false">IF(ISBLANK(C507),"",IF(V507&lt;&gt;Constants!$B$14, V507, AD507-AI507))</f>
        <v/>
      </c>
      <c r="AK507" s="59"/>
      <c r="AL507" s="60" t="str">
        <f aca="false">IF(ISBLANK($C507),"",IF($V507&lt;&gt;Constants!$B$14,$V507,X507))</f>
        <v/>
      </c>
      <c r="AM507" s="60" t="str">
        <f aca="false">IF(ISBLANK($C507),"",IF($V507&lt;&gt;Constants!$B$14,$V507,N507))</f>
        <v/>
      </c>
      <c r="AN507" s="62" t="str">
        <f aca="false">IF(ISBLANK(C507),"",IF(V507&lt;&gt;Constants!$B$14, V507, IF(W507=Constants!$B$7,Z507,IF(W507=Constants!$B$8,AB507,""))))</f>
        <v/>
      </c>
      <c r="AO507" s="63" t="str">
        <f aca="false">IF(ISBLANK(C507),"",W507)</f>
        <v/>
      </c>
      <c r="AP507" s="63" t="str">
        <f aca="false">IF(ISBLANK(C507),"",AJ507)</f>
        <v/>
      </c>
      <c r="AQ507" s="63" t="str">
        <f aca="false">IF(ISBLANK(C507),"",AI507)</f>
        <v/>
      </c>
      <c r="AR507" s="64" t="str">
        <f aca="false">IF(ISBLANK(C507),
  "",
IF(AQ507=Constants!$B$11,COUNTA($C$8:$C$507)+2,IF(AQ507=Constants!$B$12,COUNTA($C$8:$C$507)+1,IF(AQ507=Constants!$B$13,COUNTA($C$8:$C$507),AQ507))))</f>
        <v/>
      </c>
      <c r="AS507" s="3"/>
      <c r="AT507" s="65" t="n">
        <f aca="false">IF(OR(ISNUMBER(AQ507),AQ507="DQ",AQ507="P",AQ507="NS"),
    1,
    0
)</f>
        <v>0</v>
      </c>
      <c r="AU507" s="65" t="n">
        <v>500</v>
      </c>
      <c r="AV507" s="65" t="str">
        <f aca="false">IF(ISBLANK($C507),
    "",
   IF(ISNUMBER(AR507),AR507+ROW($B507)/1000,"")
)</f>
        <v/>
      </c>
      <c r="AW507" s="65" t="str">
        <f aca="false">IF(ISNUMBER(AV507), RANK(AV507,AV$8:AV$507,1), "")</f>
        <v/>
      </c>
      <c r="AX507" s="65" t="str">
        <f aca="false">IF(ISBLANK($C507),
    "",
    $B507
)</f>
        <v/>
      </c>
      <c r="AY507" s="65" t="str">
        <f aca="false">IF(ISBLANK($C507),
    "",
    $C507
)</f>
        <v/>
      </c>
      <c r="AZ507" s="65" t="str">
        <f aca="false">IF(ISBLANK($C507),
    "",
    $D507
)</f>
        <v/>
      </c>
      <c r="BA507" s="65" t="str">
        <f aca="false">AO507</f>
        <v/>
      </c>
      <c r="BB507" s="66" t="str">
        <f aca="false">AN507</f>
        <v/>
      </c>
      <c r="BC507" s="65" t="str">
        <f aca="false">IF(ISBLANK($C507),
    "",
    AQ507
)</f>
        <v/>
      </c>
      <c r="BD507" s="67" t="str">
        <f aca="false">IF(AU507&gt;AT$7,
    "",
    VLOOKUP(AU507,AW$8:BC$507,7,FALSE())
)</f>
        <v/>
      </c>
      <c r="BE507" s="68" t="str">
        <f aca="false">IF(AU507&gt;AT$7,
    "",
    VLOOKUP(AU507,AW$8:BC$507,2,FALSE())
)</f>
        <v/>
      </c>
      <c r="BF507" s="68" t="str">
        <f aca="false">IF(AU507&gt;AT$7,
    "",
    VLOOKUP(AU507,AW$8:BC$507,3,FALSE())
)</f>
        <v/>
      </c>
      <c r="BG507" s="68" t="str">
        <f aca="false">IF(AU507&gt;AT$7,
    "",
    VLOOKUP(AU507,AW$8:BC$507,4,FALSE())
)</f>
        <v/>
      </c>
      <c r="BH507" s="68" t="str">
        <f aca="false">IF(AU507&gt;AT$7,
    "",
    VLOOKUP(AU507,AW$8:BC$507,5,FALSE())
)</f>
        <v/>
      </c>
      <c r="BI507" s="69" t="str">
        <f aca="false">IF(AU507&gt;AT$7,
    "",
    VLOOKUP(AU507,AW$8:BC$507,6,FALSE())
)</f>
        <v/>
      </c>
      <c r="BJ507" s="46"/>
    </row>
  </sheetData>
  <mergeCells count="49">
    <mergeCell ref="A1:BJ1"/>
    <mergeCell ref="B2:D3"/>
    <mergeCell ref="E2:H2"/>
    <mergeCell ref="I2:J2"/>
    <mergeCell ref="L2:L6"/>
    <mergeCell ref="AK2:AK6"/>
    <mergeCell ref="AL2:AM2"/>
    <mergeCell ref="AV2:AV7"/>
    <mergeCell ref="AW2:AW7"/>
    <mergeCell ref="AX2:AX7"/>
    <mergeCell ref="AY2:AY7"/>
    <mergeCell ref="AZ2:AZ7"/>
    <mergeCell ref="BA2:BA7"/>
    <mergeCell ref="BB2:BB7"/>
    <mergeCell ref="BC2:BC7"/>
    <mergeCell ref="BD2:BI2"/>
    <mergeCell ref="E3:E7"/>
    <mergeCell ref="F3:F7"/>
    <mergeCell ref="G3:G7"/>
    <mergeCell ref="H3:H7"/>
    <mergeCell ref="I3:I7"/>
    <mergeCell ref="J3:J7"/>
    <mergeCell ref="K3:K7"/>
    <mergeCell ref="AL3:AL7"/>
    <mergeCell ref="AM3:AM7"/>
    <mergeCell ref="AN3:AN7"/>
    <mergeCell ref="AO3:AO7"/>
    <mergeCell ref="AP3:AP7"/>
    <mergeCell ref="AQ3:AQ7"/>
    <mergeCell ref="AR3:AR7"/>
    <mergeCell ref="AS3:AS7"/>
    <mergeCell ref="BD3:BD7"/>
    <mergeCell ref="BE3:BE7"/>
    <mergeCell ref="BF3:BF7"/>
    <mergeCell ref="BG3:BG7"/>
    <mergeCell ref="BH3:BH7"/>
    <mergeCell ref="BI3:BI7"/>
    <mergeCell ref="B4:D4"/>
    <mergeCell ref="B5:D5"/>
    <mergeCell ref="B6:D6"/>
    <mergeCell ref="M6:M7"/>
    <mergeCell ref="N6:N7"/>
    <mergeCell ref="O6:O7"/>
    <mergeCell ref="P6:P7"/>
    <mergeCell ref="Q6:Q7"/>
    <mergeCell ref="R6:R7"/>
    <mergeCell ref="S6:S7"/>
    <mergeCell ref="T6:T7"/>
    <mergeCell ref="AE6:AH6"/>
  </mergeCells>
  <conditionalFormatting sqref="B4:D4">
    <cfRule type="containsText" priority="2" operator="containsText" aboveAverage="0" equalAverage="0" bottom="0" percent="0" rank="0" text="download" dxfId="0">
      <formula>NOT(ISERROR(SEARCH("download",B4)))</formula>
    </cfRule>
  </conditionalFormatting>
  <conditionalFormatting sqref="K1:K507">
    <cfRule type="cellIs" priority="3" operator="equal" aboveAverage="0" equalAverage="0" bottom="0" percent="0" rank="0" text="" dxfId="1">
      <formula>"T"</formula>
    </cfRule>
  </conditionalFormatting>
  <conditionalFormatting sqref="G8:H507">
    <cfRule type="cellIs" priority="4" operator="equal" aboveAverage="0" equalAverage="0" bottom="0" percent="0" rank="0" text="" dxfId="1">
      <formula>"F"</formula>
    </cfRule>
  </conditionalFormatting>
  <conditionalFormatting sqref="I8:I507">
    <cfRule type="expression" priority="5" aboveAverage="0" equalAverage="0" bottom="0" percent="0" rank="0" text="" dxfId="2">
      <formula>AND($I8="Bonus",$S8&gt;=15000)</formula>
    </cfRule>
  </conditionalFormatting>
  <conditionalFormatting sqref="I8:I507">
    <cfRule type="cellIs" priority="6" operator="equal" aboveAverage="0" equalAverage="0" bottom="0" percent="0" rank="0" text="" dxfId="1">
      <formula>"None"</formula>
    </cfRule>
  </conditionalFormatting>
  <conditionalFormatting sqref="E8:F507">
    <cfRule type="cellIs" priority="7" operator="lessThan" aboveAverage="0" equalAverage="0" bottom="0" percent="0" rank="0" text="" dxfId="1">
      <formula>0</formula>
    </cfRule>
  </conditionalFormatting>
  <conditionalFormatting sqref="F8:F507">
    <cfRule type="expression" priority="8" aboveAverage="0" equalAverage="0" bottom="0" percent="0" rank="0" text="" dxfId="3">
      <formula>AND(ISBLANK(F8),$O8)</formula>
    </cfRule>
  </conditionalFormatting>
  <conditionalFormatting sqref="J8:J507">
    <cfRule type="cellIs" priority="9" operator="greaterThan" aboveAverage="0" equalAverage="0" bottom="0" percent="0" rank="0" text="" dxfId="1">
      <formula>15000</formula>
    </cfRule>
  </conditionalFormatting>
  <conditionalFormatting sqref="J8:J507">
    <cfRule type="cellIs" priority="10" operator="lessThan" aboveAverage="0" equalAverage="0" bottom="0" percent="0" rank="0" text="" dxfId="1">
      <formula>0</formula>
    </cfRule>
  </conditionalFormatting>
  <conditionalFormatting sqref="J8:J507">
    <cfRule type="expression" priority="11" aboveAverage="0" equalAverage="0" bottom="0" percent="0" rank="0" text="" dxfId="1">
      <formula>AND($S8=0,COUNTA($E8:$K8)&gt;0)</formula>
    </cfRule>
  </conditionalFormatting>
  <dataValidations count="4">
    <dataValidation allowBlank="true" errorStyle="stop" operator="greaterThanOrEqual" showDropDown="true" showErrorMessage="false" showInputMessage="false" sqref="E8:E507 J8:J507" type="decimal">
      <formula1>0</formula1>
      <formula2>0</formula2>
    </dataValidation>
    <dataValidation allowBlank="true" errorStyle="stop" operator="between" prompt="True (T)/False (F)" showDropDown="false" showErrorMessage="true" showInputMessage="true" sqref="G8:H507 K8:K507" type="list">
      <formula1>"T,F"</formula1>
      <formula2>0</formula2>
    </dataValidation>
    <dataValidation allowBlank="true" errorStyle="stop" operator="between" prompt="Either Base Option, Bonus Option, or None" showDropDown="false" showErrorMessage="true" showInputMessage="true" sqref="I8:I507" type="list">
      <formula1>"None,Base,Bonus"</formula1>
      <formula2>0</formula2>
    </dataValidation>
    <dataValidation allowBlank="true" error="Box 2 must be greater than 0." errorStyle="stop" errorTitle="Invalid mass" operator="greaterThan" showDropDown="false" showErrorMessage="true" showInputMessage="false" sqref="F8:F507" type="decimal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75"/>
  </cols>
  <sheetData>
    <row r="1" customFormat="false" ht="15.75" hidden="false" customHeight="false" outlineLevel="0" collapsed="false">
      <c r="A1" s="111" t="s">
        <v>45</v>
      </c>
      <c r="B1" s="111" t="s">
        <v>46</v>
      </c>
    </row>
    <row r="2" customFormat="false" ht="15.75" hidden="false" customHeight="false" outlineLevel="0" collapsed="false">
      <c r="A2" s="111" t="s">
        <v>47</v>
      </c>
      <c r="B2" s="111" t="s">
        <v>48</v>
      </c>
    </row>
    <row r="3" customFormat="false" ht="15.75" hidden="false" customHeight="false" outlineLevel="0" collapsed="false">
      <c r="A3" s="111" t="s">
        <v>49</v>
      </c>
      <c r="B3" s="111" t="s">
        <v>50</v>
      </c>
    </row>
    <row r="4" customFormat="false" ht="15.75" hidden="false" customHeight="false" outlineLevel="0" collapsed="false">
      <c r="A4" s="111" t="s">
        <v>51</v>
      </c>
      <c r="B4" s="111" t="s">
        <v>52</v>
      </c>
    </row>
    <row r="5" customFormat="false" ht="15.75" hidden="false" customHeight="false" outlineLevel="0" collapsed="false">
      <c r="A5" s="111" t="s">
        <v>53</v>
      </c>
      <c r="B5" s="111" t="n">
        <v>5000</v>
      </c>
    </row>
    <row r="6" customFormat="false" ht="15.75" hidden="false" customHeight="false" outlineLevel="0" collapsed="false">
      <c r="A6" s="111" t="s">
        <v>54</v>
      </c>
      <c r="B6" s="111" t="n">
        <v>15000</v>
      </c>
    </row>
    <row r="7" customFormat="false" ht="15.75" hidden="false" customHeight="false" outlineLevel="0" collapsed="false">
      <c r="A7" s="111" t="s">
        <v>55</v>
      </c>
      <c r="B7" s="111" t="n">
        <v>1</v>
      </c>
    </row>
    <row r="8" customFormat="false" ht="15.75" hidden="false" customHeight="false" outlineLevel="0" collapsed="false">
      <c r="A8" s="111" t="s">
        <v>56</v>
      </c>
      <c r="B8" s="111" t="n">
        <v>2</v>
      </c>
    </row>
    <row r="9" customFormat="false" ht="15.75" hidden="false" customHeight="false" outlineLevel="0" collapsed="false">
      <c r="A9" s="111" t="b">
        <f aca="false">TRUE()</f>
        <v>1</v>
      </c>
      <c r="B9" s="111" t="s">
        <v>57</v>
      </c>
    </row>
    <row r="10" customFormat="false" ht="15.75" hidden="false" customHeight="false" outlineLevel="0" collapsed="false">
      <c r="A10" s="111" t="b">
        <f aca="false">FALSE()</f>
        <v>0</v>
      </c>
      <c r="B10" s="111" t="s">
        <v>58</v>
      </c>
    </row>
    <row r="11" customFormat="false" ht="15.75" hidden="false" customHeight="false" outlineLevel="0" collapsed="false">
      <c r="A11" s="111" t="s">
        <v>59</v>
      </c>
      <c r="B11" s="111" t="s">
        <v>60</v>
      </c>
    </row>
    <row r="12" customFormat="false" ht="15.75" hidden="false" customHeight="false" outlineLevel="0" collapsed="false">
      <c r="A12" s="111" t="s">
        <v>61</v>
      </c>
      <c r="B12" s="111" t="s">
        <v>62</v>
      </c>
    </row>
    <row r="13" customFormat="false" ht="15.75" hidden="false" customHeight="false" outlineLevel="0" collapsed="false">
      <c r="A13" s="111" t="s">
        <v>63</v>
      </c>
      <c r="B13" s="111" t="s">
        <v>64</v>
      </c>
    </row>
    <row r="14" customFormat="false" ht="15.75" hidden="false" customHeight="false" outlineLevel="0" collapsed="false">
      <c r="A14" s="111" t="s">
        <v>65</v>
      </c>
      <c r="B14" s="111" t="s">
        <v>66</v>
      </c>
    </row>
    <row r="15" customFormat="false" ht="15.75" hidden="false" customHeight="false" outlineLevel="0" collapsed="false">
      <c r="A15" s="111" t="s">
        <v>67</v>
      </c>
      <c r="B15" s="111" t="s">
        <v>68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12" t="s">
        <v>26</v>
      </c>
      <c r="B1" s="112" t="s">
        <v>27</v>
      </c>
      <c r="C1" s="112" t="s">
        <v>28</v>
      </c>
      <c r="D1" s="112" t="s">
        <v>33</v>
      </c>
      <c r="E1" s="112" t="s">
        <v>21</v>
      </c>
      <c r="F1" s="112" t="s">
        <v>23</v>
      </c>
      <c r="G1" s="112" t="s">
        <v>22</v>
      </c>
      <c r="H1" s="112" t="s">
        <v>25</v>
      </c>
      <c r="I1" s="112" t="s">
        <v>24</v>
      </c>
    </row>
    <row r="2" customFormat="false" ht="15.75" hidden="false" customHeight="false" outlineLevel="0" collapsed="false">
      <c r="A2" s="113" t="n">
        <f aca="false">ExportRaw!$F2</f>
        <v>0</v>
      </c>
      <c r="B2" s="113" t="n">
        <f aca="false">ExportRaw!$C2</f>
        <v>0</v>
      </c>
      <c r="C2" s="113" t="n">
        <f aca="false">ExportRaw!$G2</f>
        <v>0</v>
      </c>
      <c r="D2" s="113" t="str">
        <f aca="false">ExportRaw!$E2</f>
        <v/>
      </c>
      <c r="E2" s="114" t="str">
        <f aca="false">ExportRaw!$D2</f>
        <v/>
      </c>
      <c r="F2" s="113" t="str">
        <f aca="false">ExportRaw!$H2</f>
        <v/>
      </c>
      <c r="G2" s="113" t="str">
        <f aca="false">ExportRaw!$I2</f>
        <v/>
      </c>
      <c r="H2" s="113" t="str">
        <f aca="false">ExportRaw!$A2</f>
        <v/>
      </c>
      <c r="I2" s="113" t="str">
        <f aca="false">ExportRaw!$B2</f>
        <v/>
      </c>
    </row>
    <row r="3" customFormat="false" ht="15.75" hidden="false" customHeight="false" outlineLevel="0" collapsed="false">
      <c r="A3" s="113" t="n">
        <f aca="false">ExportRaw!$F3</f>
        <v>0</v>
      </c>
      <c r="B3" s="113" t="n">
        <f aca="false">ExportRaw!$C3</f>
        <v>0</v>
      </c>
      <c r="C3" s="113" t="n">
        <f aca="false">ExportRaw!$G3</f>
        <v>0</v>
      </c>
      <c r="D3" s="113" t="str">
        <f aca="false">ExportRaw!$E3</f>
        <v/>
      </c>
      <c r="E3" s="114" t="str">
        <f aca="false">ExportRaw!$D3</f>
        <v/>
      </c>
      <c r="F3" s="113" t="str">
        <f aca="false">ExportRaw!$H3</f>
        <v/>
      </c>
      <c r="G3" s="113" t="str">
        <f aca="false">ExportRaw!$I3</f>
        <v/>
      </c>
      <c r="H3" s="113" t="str">
        <f aca="false">ExportRaw!$A3</f>
        <v/>
      </c>
      <c r="I3" s="113" t="str">
        <f aca="false">ExportRaw!$B3</f>
        <v/>
      </c>
    </row>
    <row r="4" customFormat="false" ht="15.75" hidden="false" customHeight="false" outlineLevel="0" collapsed="false">
      <c r="A4" s="113" t="n">
        <f aca="false">ExportRaw!$F4</f>
        <v>0</v>
      </c>
      <c r="B4" s="113" t="n">
        <f aca="false">ExportRaw!$C4</f>
        <v>0</v>
      </c>
      <c r="C4" s="113" t="n">
        <f aca="false">ExportRaw!$G4</f>
        <v>0</v>
      </c>
      <c r="D4" s="113" t="str">
        <f aca="false">ExportRaw!$E4</f>
        <v/>
      </c>
      <c r="E4" s="114" t="str">
        <f aca="false">ExportRaw!$D4</f>
        <v/>
      </c>
      <c r="F4" s="113" t="str">
        <f aca="false">ExportRaw!$H4</f>
        <v/>
      </c>
      <c r="G4" s="113" t="str">
        <f aca="false">ExportRaw!$I4</f>
        <v/>
      </c>
      <c r="H4" s="113" t="str">
        <f aca="false">ExportRaw!$A4</f>
        <v/>
      </c>
      <c r="I4" s="113" t="str">
        <f aca="false">ExportRaw!$B4</f>
        <v/>
      </c>
    </row>
    <row r="5" customFormat="false" ht="15.75" hidden="false" customHeight="false" outlineLevel="0" collapsed="false">
      <c r="A5" s="113" t="n">
        <f aca="false">ExportRaw!$F5</f>
        <v>0</v>
      </c>
      <c r="B5" s="113" t="n">
        <f aca="false">ExportRaw!$C5</f>
        <v>0</v>
      </c>
      <c r="C5" s="113" t="n">
        <f aca="false">ExportRaw!$G5</f>
        <v>0</v>
      </c>
      <c r="D5" s="113" t="str">
        <f aca="false">ExportRaw!$E5</f>
        <v/>
      </c>
      <c r="E5" s="114" t="str">
        <f aca="false">ExportRaw!$D5</f>
        <v/>
      </c>
      <c r="F5" s="113" t="str">
        <f aca="false">ExportRaw!$H5</f>
        <v/>
      </c>
      <c r="G5" s="113" t="str">
        <f aca="false">ExportRaw!$I5</f>
        <v/>
      </c>
      <c r="H5" s="113" t="str">
        <f aca="false">ExportRaw!$A5</f>
        <v/>
      </c>
      <c r="I5" s="113" t="str">
        <f aca="false">ExportRaw!$B5</f>
        <v/>
      </c>
    </row>
    <row r="6" customFormat="false" ht="15.75" hidden="false" customHeight="false" outlineLevel="0" collapsed="false">
      <c r="A6" s="113" t="n">
        <f aca="false">ExportRaw!$F6</f>
        <v>0</v>
      </c>
      <c r="B6" s="113" t="n">
        <f aca="false">ExportRaw!$C6</f>
        <v>0</v>
      </c>
      <c r="C6" s="113" t="n">
        <f aca="false">ExportRaw!$G6</f>
        <v>0</v>
      </c>
      <c r="D6" s="113" t="str">
        <f aca="false">ExportRaw!$E6</f>
        <v/>
      </c>
      <c r="E6" s="114" t="str">
        <f aca="false">ExportRaw!$D6</f>
        <v/>
      </c>
      <c r="F6" s="113" t="str">
        <f aca="false">ExportRaw!$H6</f>
        <v/>
      </c>
      <c r="G6" s="113" t="str">
        <f aca="false">ExportRaw!$I6</f>
        <v/>
      </c>
      <c r="H6" s="113" t="str">
        <f aca="false">ExportRaw!$A6</f>
        <v/>
      </c>
      <c r="I6" s="113" t="str">
        <f aca="false">ExportRaw!$B6</f>
        <v/>
      </c>
    </row>
    <row r="7" customFormat="false" ht="15.75" hidden="false" customHeight="false" outlineLevel="0" collapsed="false">
      <c r="A7" s="113" t="n">
        <f aca="false">ExportRaw!$F7</f>
        <v>0</v>
      </c>
      <c r="B7" s="113" t="n">
        <f aca="false">ExportRaw!$C7</f>
        <v>0</v>
      </c>
      <c r="C7" s="113" t="n">
        <f aca="false">ExportRaw!$G7</f>
        <v>0</v>
      </c>
      <c r="D7" s="113" t="str">
        <f aca="false">ExportRaw!$E7</f>
        <v/>
      </c>
      <c r="E7" s="114" t="str">
        <f aca="false">ExportRaw!$D7</f>
        <v/>
      </c>
      <c r="F7" s="113" t="str">
        <f aca="false">ExportRaw!$H7</f>
        <v/>
      </c>
      <c r="G7" s="113" t="str">
        <f aca="false">ExportRaw!$I7</f>
        <v/>
      </c>
      <c r="H7" s="113" t="str">
        <f aca="false">ExportRaw!$A7</f>
        <v/>
      </c>
      <c r="I7" s="113" t="str">
        <f aca="false">ExportRaw!$B7</f>
        <v/>
      </c>
    </row>
    <row r="8" customFormat="false" ht="15.75" hidden="false" customHeight="false" outlineLevel="0" collapsed="false">
      <c r="A8" s="113" t="n">
        <f aca="false">ExportRaw!$F8</f>
        <v>0</v>
      </c>
      <c r="B8" s="113" t="n">
        <f aca="false">ExportRaw!$C8</f>
        <v>0</v>
      </c>
      <c r="C8" s="113" t="n">
        <f aca="false">ExportRaw!$G8</f>
        <v>0</v>
      </c>
      <c r="D8" s="113" t="str">
        <f aca="false">ExportRaw!$E8</f>
        <v/>
      </c>
      <c r="E8" s="114" t="str">
        <f aca="false">ExportRaw!$D8</f>
        <v/>
      </c>
      <c r="F8" s="113" t="str">
        <f aca="false">ExportRaw!$H8</f>
        <v/>
      </c>
      <c r="G8" s="113" t="str">
        <f aca="false">ExportRaw!$I8</f>
        <v/>
      </c>
      <c r="H8" s="113" t="str">
        <f aca="false">ExportRaw!$A8</f>
        <v/>
      </c>
      <c r="I8" s="113" t="str">
        <f aca="false">ExportRaw!$B8</f>
        <v/>
      </c>
    </row>
    <row r="9" customFormat="false" ht="15.75" hidden="false" customHeight="false" outlineLevel="0" collapsed="false">
      <c r="A9" s="113" t="n">
        <f aca="false">ExportRaw!$F9</f>
        <v>0</v>
      </c>
      <c r="B9" s="113" t="n">
        <f aca="false">ExportRaw!$C9</f>
        <v>0</v>
      </c>
      <c r="C9" s="113" t="n">
        <f aca="false">ExportRaw!$G9</f>
        <v>0</v>
      </c>
      <c r="D9" s="113" t="str">
        <f aca="false">ExportRaw!$E9</f>
        <v/>
      </c>
      <c r="E9" s="114" t="str">
        <f aca="false">ExportRaw!$D9</f>
        <v/>
      </c>
      <c r="F9" s="113" t="str">
        <f aca="false">ExportRaw!$H9</f>
        <v/>
      </c>
      <c r="G9" s="113" t="str">
        <f aca="false">ExportRaw!$I9</f>
        <v/>
      </c>
      <c r="H9" s="113" t="str">
        <f aca="false">ExportRaw!$A9</f>
        <v/>
      </c>
      <c r="I9" s="113" t="str">
        <f aca="false">ExportRaw!$B9</f>
        <v/>
      </c>
    </row>
    <row r="10" customFormat="false" ht="15.75" hidden="false" customHeight="false" outlineLevel="0" collapsed="false">
      <c r="A10" s="113" t="n">
        <f aca="false">ExportRaw!$F10</f>
        <v>0</v>
      </c>
      <c r="B10" s="113" t="n">
        <f aca="false">ExportRaw!$C10</f>
        <v>0</v>
      </c>
      <c r="C10" s="113" t="n">
        <f aca="false">ExportRaw!$G10</f>
        <v>0</v>
      </c>
      <c r="D10" s="113" t="str">
        <f aca="false">ExportRaw!$E10</f>
        <v/>
      </c>
      <c r="E10" s="114" t="str">
        <f aca="false">ExportRaw!$D10</f>
        <v/>
      </c>
      <c r="F10" s="113" t="str">
        <f aca="false">ExportRaw!$H10</f>
        <v/>
      </c>
      <c r="G10" s="113" t="str">
        <f aca="false">ExportRaw!$I10</f>
        <v/>
      </c>
      <c r="H10" s="113" t="str">
        <f aca="false">ExportRaw!$A10</f>
        <v/>
      </c>
      <c r="I10" s="113" t="str">
        <f aca="false">ExportRaw!$B10</f>
        <v/>
      </c>
    </row>
    <row r="11" customFormat="false" ht="15.75" hidden="false" customHeight="false" outlineLevel="0" collapsed="false">
      <c r="A11" s="113" t="n">
        <f aca="false">ExportRaw!$F11</f>
        <v>0</v>
      </c>
      <c r="B11" s="113" t="n">
        <f aca="false">ExportRaw!$C11</f>
        <v>0</v>
      </c>
      <c r="C11" s="113" t="n">
        <f aca="false">ExportRaw!$G11</f>
        <v>0</v>
      </c>
      <c r="D11" s="113" t="str">
        <f aca="false">ExportRaw!$E11</f>
        <v/>
      </c>
      <c r="E11" s="114" t="str">
        <f aca="false">ExportRaw!$D11</f>
        <v/>
      </c>
      <c r="F11" s="113" t="str">
        <f aca="false">ExportRaw!$H11</f>
        <v/>
      </c>
      <c r="G11" s="113" t="str">
        <f aca="false">ExportRaw!$I11</f>
        <v/>
      </c>
      <c r="H11" s="113" t="str">
        <f aca="false">ExportRaw!$A11</f>
        <v/>
      </c>
      <c r="I11" s="113" t="str">
        <f aca="false">ExportRaw!$B11</f>
        <v/>
      </c>
    </row>
    <row r="12" customFormat="false" ht="15.75" hidden="false" customHeight="false" outlineLevel="0" collapsed="false">
      <c r="A12" s="113" t="n">
        <f aca="false">ExportRaw!$F12</f>
        <v>0</v>
      </c>
      <c r="B12" s="113" t="n">
        <f aca="false">ExportRaw!$C12</f>
        <v>0</v>
      </c>
      <c r="C12" s="113" t="n">
        <f aca="false">ExportRaw!$G12</f>
        <v>0</v>
      </c>
      <c r="D12" s="113" t="str">
        <f aca="false">ExportRaw!$E12</f>
        <v/>
      </c>
      <c r="E12" s="114" t="str">
        <f aca="false">ExportRaw!$D12</f>
        <v/>
      </c>
      <c r="F12" s="113" t="str">
        <f aca="false">ExportRaw!$H12</f>
        <v/>
      </c>
      <c r="G12" s="113" t="str">
        <f aca="false">ExportRaw!$I12</f>
        <v/>
      </c>
      <c r="H12" s="113" t="str">
        <f aca="false">ExportRaw!$A12</f>
        <v/>
      </c>
      <c r="I12" s="113" t="str">
        <f aca="false">ExportRaw!$B12</f>
        <v/>
      </c>
    </row>
    <row r="13" customFormat="false" ht="15.75" hidden="false" customHeight="false" outlineLevel="0" collapsed="false">
      <c r="A13" s="113" t="n">
        <f aca="false">ExportRaw!$F13</f>
        <v>0</v>
      </c>
      <c r="B13" s="113" t="n">
        <f aca="false">ExportRaw!$C13</f>
        <v>0</v>
      </c>
      <c r="C13" s="113" t="n">
        <f aca="false">ExportRaw!$G13</f>
        <v>0</v>
      </c>
      <c r="D13" s="113" t="str">
        <f aca="false">ExportRaw!$E13</f>
        <v/>
      </c>
      <c r="E13" s="114" t="str">
        <f aca="false">ExportRaw!$D13</f>
        <v/>
      </c>
      <c r="F13" s="113" t="str">
        <f aca="false">ExportRaw!$H13</f>
        <v/>
      </c>
      <c r="G13" s="113" t="str">
        <f aca="false">ExportRaw!$I13</f>
        <v/>
      </c>
      <c r="H13" s="113" t="str">
        <f aca="false">ExportRaw!$A13</f>
        <v/>
      </c>
      <c r="I13" s="113" t="str">
        <f aca="false">ExportRaw!$B13</f>
        <v/>
      </c>
    </row>
    <row r="14" customFormat="false" ht="15.75" hidden="false" customHeight="false" outlineLevel="0" collapsed="false">
      <c r="A14" s="113" t="n">
        <f aca="false">ExportRaw!$F14</f>
        <v>0</v>
      </c>
      <c r="B14" s="113" t="n">
        <f aca="false">ExportRaw!$C14</f>
        <v>0</v>
      </c>
      <c r="C14" s="113" t="n">
        <f aca="false">ExportRaw!$G14</f>
        <v>0</v>
      </c>
      <c r="D14" s="113" t="str">
        <f aca="false">ExportRaw!$E14</f>
        <v/>
      </c>
      <c r="E14" s="114" t="str">
        <f aca="false">ExportRaw!$D14</f>
        <v/>
      </c>
      <c r="F14" s="113" t="str">
        <f aca="false">ExportRaw!$H14</f>
        <v/>
      </c>
      <c r="G14" s="113" t="str">
        <f aca="false">ExportRaw!$I14</f>
        <v/>
      </c>
      <c r="H14" s="113" t="str">
        <f aca="false">ExportRaw!$A14</f>
        <v/>
      </c>
      <c r="I14" s="113" t="str">
        <f aca="false">ExportRaw!$B14</f>
        <v/>
      </c>
    </row>
    <row r="15" customFormat="false" ht="15.75" hidden="false" customHeight="false" outlineLevel="0" collapsed="false">
      <c r="A15" s="113" t="n">
        <f aca="false">ExportRaw!$F15</f>
        <v>0</v>
      </c>
      <c r="B15" s="113" t="n">
        <f aca="false">ExportRaw!$C15</f>
        <v>0</v>
      </c>
      <c r="C15" s="113" t="n">
        <f aca="false">ExportRaw!$G15</f>
        <v>0</v>
      </c>
      <c r="D15" s="113" t="str">
        <f aca="false">ExportRaw!$E15</f>
        <v/>
      </c>
      <c r="E15" s="114" t="str">
        <f aca="false">ExportRaw!$D15</f>
        <v/>
      </c>
      <c r="F15" s="113" t="str">
        <f aca="false">ExportRaw!$H15</f>
        <v/>
      </c>
      <c r="G15" s="113" t="str">
        <f aca="false">ExportRaw!$I15</f>
        <v/>
      </c>
      <c r="H15" s="113" t="str">
        <f aca="false">ExportRaw!$A15</f>
        <v/>
      </c>
      <c r="I15" s="113" t="str">
        <f aca="false">ExportRaw!$B15</f>
        <v/>
      </c>
    </row>
    <row r="16" customFormat="false" ht="15.75" hidden="false" customHeight="false" outlineLevel="0" collapsed="false">
      <c r="A16" s="113" t="n">
        <f aca="false">ExportRaw!$F16</f>
        <v>0</v>
      </c>
      <c r="B16" s="113" t="n">
        <f aca="false">ExportRaw!$C16</f>
        <v>0</v>
      </c>
      <c r="C16" s="113" t="n">
        <f aca="false">ExportRaw!$G16</f>
        <v>0</v>
      </c>
      <c r="D16" s="113" t="str">
        <f aca="false">ExportRaw!$E16</f>
        <v/>
      </c>
      <c r="E16" s="114" t="str">
        <f aca="false">ExportRaw!$D16</f>
        <v/>
      </c>
      <c r="F16" s="113" t="str">
        <f aca="false">ExportRaw!$H16</f>
        <v/>
      </c>
      <c r="G16" s="113" t="str">
        <f aca="false">ExportRaw!$I16</f>
        <v/>
      </c>
      <c r="H16" s="113" t="str">
        <f aca="false">ExportRaw!$A16</f>
        <v/>
      </c>
      <c r="I16" s="113" t="str">
        <f aca="false">ExportRaw!$B16</f>
        <v/>
      </c>
    </row>
    <row r="17" customFormat="false" ht="15.75" hidden="false" customHeight="false" outlineLevel="0" collapsed="false">
      <c r="A17" s="113" t="n">
        <f aca="false">ExportRaw!$F17</f>
        <v>0</v>
      </c>
      <c r="B17" s="113" t="n">
        <f aca="false">ExportRaw!$C17</f>
        <v>0</v>
      </c>
      <c r="C17" s="113" t="n">
        <f aca="false">ExportRaw!$G17</f>
        <v>0</v>
      </c>
      <c r="D17" s="113" t="str">
        <f aca="false">ExportRaw!$E17</f>
        <v/>
      </c>
      <c r="E17" s="114" t="str">
        <f aca="false">ExportRaw!$D17</f>
        <v/>
      </c>
      <c r="F17" s="113" t="str">
        <f aca="false">ExportRaw!$H17</f>
        <v/>
      </c>
      <c r="G17" s="113" t="str">
        <f aca="false">ExportRaw!$I17</f>
        <v/>
      </c>
      <c r="H17" s="113" t="str">
        <f aca="false">ExportRaw!$A17</f>
        <v/>
      </c>
      <c r="I17" s="113" t="str">
        <f aca="false">ExportRaw!$B17</f>
        <v/>
      </c>
    </row>
    <row r="18" customFormat="false" ht="15.75" hidden="false" customHeight="false" outlineLevel="0" collapsed="false">
      <c r="A18" s="113" t="n">
        <f aca="false">ExportRaw!$F18</f>
        <v>0</v>
      </c>
      <c r="B18" s="113" t="n">
        <f aca="false">ExportRaw!$C18</f>
        <v>0</v>
      </c>
      <c r="C18" s="113" t="n">
        <f aca="false">ExportRaw!$G18</f>
        <v>0</v>
      </c>
      <c r="D18" s="113" t="str">
        <f aca="false">ExportRaw!$E18</f>
        <v/>
      </c>
      <c r="E18" s="114" t="str">
        <f aca="false">ExportRaw!$D18</f>
        <v/>
      </c>
      <c r="F18" s="113" t="str">
        <f aca="false">ExportRaw!$H18</f>
        <v/>
      </c>
      <c r="G18" s="113" t="str">
        <f aca="false">ExportRaw!$I18</f>
        <v/>
      </c>
      <c r="H18" s="113" t="str">
        <f aca="false">ExportRaw!$A18</f>
        <v/>
      </c>
      <c r="I18" s="113" t="str">
        <f aca="false">ExportRaw!$B18</f>
        <v/>
      </c>
    </row>
    <row r="19" customFormat="false" ht="15.75" hidden="false" customHeight="false" outlineLevel="0" collapsed="false">
      <c r="A19" s="113" t="n">
        <f aca="false">ExportRaw!$F19</f>
        <v>0</v>
      </c>
      <c r="B19" s="113" t="n">
        <f aca="false">ExportRaw!$C19</f>
        <v>0</v>
      </c>
      <c r="C19" s="113" t="n">
        <f aca="false">ExportRaw!$G19</f>
        <v>0</v>
      </c>
      <c r="D19" s="113" t="str">
        <f aca="false">ExportRaw!$E19</f>
        <v/>
      </c>
      <c r="E19" s="114" t="str">
        <f aca="false">ExportRaw!$D19</f>
        <v/>
      </c>
      <c r="F19" s="113" t="str">
        <f aca="false">ExportRaw!$H19</f>
        <v/>
      </c>
      <c r="G19" s="113" t="str">
        <f aca="false">ExportRaw!$I19</f>
        <v/>
      </c>
      <c r="H19" s="113" t="str">
        <f aca="false">ExportRaw!$A19</f>
        <v/>
      </c>
      <c r="I19" s="113" t="str">
        <f aca="false">ExportRaw!$B19</f>
        <v/>
      </c>
    </row>
    <row r="20" customFormat="false" ht="15.75" hidden="false" customHeight="false" outlineLevel="0" collapsed="false">
      <c r="A20" s="113" t="n">
        <f aca="false">ExportRaw!$F20</f>
        <v>0</v>
      </c>
      <c r="B20" s="113" t="n">
        <f aca="false">ExportRaw!$C20</f>
        <v>0</v>
      </c>
      <c r="C20" s="113" t="n">
        <f aca="false">ExportRaw!$G20</f>
        <v>0</v>
      </c>
      <c r="D20" s="113" t="str">
        <f aca="false">ExportRaw!$E20</f>
        <v/>
      </c>
      <c r="E20" s="114" t="str">
        <f aca="false">ExportRaw!$D20</f>
        <v/>
      </c>
      <c r="F20" s="113" t="str">
        <f aca="false">ExportRaw!$H20</f>
        <v/>
      </c>
      <c r="G20" s="113" t="str">
        <f aca="false">ExportRaw!$I20</f>
        <v/>
      </c>
      <c r="H20" s="113" t="str">
        <f aca="false">ExportRaw!$A20</f>
        <v/>
      </c>
      <c r="I20" s="113" t="str">
        <f aca="false">ExportRaw!$B20</f>
        <v/>
      </c>
    </row>
    <row r="21" customFormat="false" ht="15.75" hidden="false" customHeight="false" outlineLevel="0" collapsed="false">
      <c r="A21" s="113" t="n">
        <f aca="false">ExportRaw!$F21</f>
        <v>0</v>
      </c>
      <c r="B21" s="113" t="n">
        <f aca="false">ExportRaw!$C21</f>
        <v>0</v>
      </c>
      <c r="C21" s="113" t="n">
        <f aca="false">ExportRaw!$G21</f>
        <v>0</v>
      </c>
      <c r="D21" s="113" t="str">
        <f aca="false">ExportRaw!$E21</f>
        <v/>
      </c>
      <c r="E21" s="114" t="str">
        <f aca="false">ExportRaw!$D21</f>
        <v/>
      </c>
      <c r="F21" s="113" t="str">
        <f aca="false">ExportRaw!$H21</f>
        <v/>
      </c>
      <c r="G21" s="113" t="str">
        <f aca="false">ExportRaw!$I21</f>
        <v/>
      </c>
      <c r="H21" s="113" t="str">
        <f aca="false">ExportRaw!$A21</f>
        <v/>
      </c>
      <c r="I21" s="113" t="str">
        <f aca="false">ExportRaw!$B21</f>
        <v/>
      </c>
    </row>
    <row r="22" customFormat="false" ht="15.75" hidden="false" customHeight="false" outlineLevel="0" collapsed="false">
      <c r="A22" s="113" t="n">
        <f aca="false">ExportRaw!$F22</f>
        <v>0</v>
      </c>
      <c r="B22" s="113" t="n">
        <f aca="false">ExportRaw!$C22</f>
        <v>0</v>
      </c>
      <c r="C22" s="113" t="n">
        <f aca="false">ExportRaw!$G22</f>
        <v>0</v>
      </c>
      <c r="D22" s="113" t="str">
        <f aca="false">ExportRaw!$E22</f>
        <v/>
      </c>
      <c r="E22" s="114" t="str">
        <f aca="false">ExportRaw!$D22</f>
        <v/>
      </c>
      <c r="F22" s="113" t="str">
        <f aca="false">ExportRaw!$H22</f>
        <v/>
      </c>
      <c r="G22" s="113" t="str">
        <f aca="false">ExportRaw!$I22</f>
        <v/>
      </c>
      <c r="H22" s="113" t="str">
        <f aca="false">ExportRaw!$A22</f>
        <v/>
      </c>
      <c r="I22" s="113" t="str">
        <f aca="false">ExportRaw!$B22</f>
        <v/>
      </c>
    </row>
    <row r="23" customFormat="false" ht="15.75" hidden="false" customHeight="false" outlineLevel="0" collapsed="false">
      <c r="A23" s="113" t="n">
        <f aca="false">ExportRaw!$F23</f>
        <v>0</v>
      </c>
      <c r="B23" s="113" t="n">
        <f aca="false">ExportRaw!$C23</f>
        <v>0</v>
      </c>
      <c r="C23" s="113" t="n">
        <f aca="false">ExportRaw!$G23</f>
        <v>0</v>
      </c>
      <c r="D23" s="113" t="str">
        <f aca="false">ExportRaw!$E23</f>
        <v/>
      </c>
      <c r="E23" s="114" t="str">
        <f aca="false">ExportRaw!$D23</f>
        <v/>
      </c>
      <c r="F23" s="113" t="str">
        <f aca="false">ExportRaw!$H23</f>
        <v/>
      </c>
      <c r="G23" s="113" t="str">
        <f aca="false">ExportRaw!$I23</f>
        <v/>
      </c>
      <c r="H23" s="113" t="str">
        <f aca="false">ExportRaw!$A23</f>
        <v/>
      </c>
      <c r="I23" s="113" t="str">
        <f aca="false">ExportRaw!$B23</f>
        <v/>
      </c>
    </row>
    <row r="24" customFormat="false" ht="15.75" hidden="false" customHeight="false" outlineLevel="0" collapsed="false">
      <c r="A24" s="113" t="n">
        <f aca="false">ExportRaw!$F24</f>
        <v>0</v>
      </c>
      <c r="B24" s="113" t="n">
        <f aca="false">ExportRaw!$C24</f>
        <v>0</v>
      </c>
      <c r="C24" s="113" t="n">
        <f aca="false">ExportRaw!$G24</f>
        <v>0</v>
      </c>
      <c r="D24" s="113" t="str">
        <f aca="false">ExportRaw!$E24</f>
        <v/>
      </c>
      <c r="E24" s="114" t="str">
        <f aca="false">ExportRaw!$D24</f>
        <v/>
      </c>
      <c r="F24" s="113" t="str">
        <f aca="false">ExportRaw!$H24</f>
        <v/>
      </c>
      <c r="G24" s="113" t="str">
        <f aca="false">ExportRaw!$I24</f>
        <v/>
      </c>
      <c r="H24" s="113" t="str">
        <f aca="false">ExportRaw!$A24</f>
        <v/>
      </c>
      <c r="I24" s="113" t="str">
        <f aca="false">ExportRaw!$B24</f>
        <v/>
      </c>
    </row>
    <row r="25" customFormat="false" ht="15.75" hidden="false" customHeight="false" outlineLevel="0" collapsed="false">
      <c r="A25" s="113" t="n">
        <f aca="false">ExportRaw!$F25</f>
        <v>0</v>
      </c>
      <c r="B25" s="113" t="n">
        <f aca="false">ExportRaw!$C25</f>
        <v>0</v>
      </c>
      <c r="C25" s="113" t="n">
        <f aca="false">ExportRaw!$G25</f>
        <v>0</v>
      </c>
      <c r="D25" s="113" t="str">
        <f aca="false">ExportRaw!$E25</f>
        <v/>
      </c>
      <c r="E25" s="114" t="str">
        <f aca="false">ExportRaw!$D25</f>
        <v/>
      </c>
      <c r="F25" s="113" t="str">
        <f aca="false">ExportRaw!$H25</f>
        <v/>
      </c>
      <c r="G25" s="113" t="str">
        <f aca="false">ExportRaw!$I25</f>
        <v/>
      </c>
      <c r="H25" s="113" t="str">
        <f aca="false">ExportRaw!$A25</f>
        <v/>
      </c>
      <c r="I25" s="113" t="str">
        <f aca="false">ExportRaw!$B25</f>
        <v/>
      </c>
    </row>
    <row r="26" customFormat="false" ht="15.75" hidden="false" customHeight="false" outlineLevel="0" collapsed="false">
      <c r="A26" s="113" t="n">
        <f aca="false">ExportRaw!$F26</f>
        <v>0</v>
      </c>
      <c r="B26" s="113" t="n">
        <f aca="false">ExportRaw!$C26</f>
        <v>0</v>
      </c>
      <c r="C26" s="113" t="n">
        <f aca="false">ExportRaw!$G26</f>
        <v>0</v>
      </c>
      <c r="D26" s="113" t="str">
        <f aca="false">ExportRaw!$E26</f>
        <v/>
      </c>
      <c r="E26" s="114" t="str">
        <f aca="false">ExportRaw!$D26</f>
        <v/>
      </c>
      <c r="F26" s="113" t="str">
        <f aca="false">ExportRaw!$H26</f>
        <v/>
      </c>
      <c r="G26" s="113" t="str">
        <f aca="false">ExportRaw!$I26</f>
        <v/>
      </c>
      <c r="H26" s="113" t="str">
        <f aca="false">ExportRaw!$A26</f>
        <v/>
      </c>
      <c r="I26" s="113" t="str">
        <f aca="false">ExportRaw!$B26</f>
        <v/>
      </c>
    </row>
    <row r="27" customFormat="false" ht="15.75" hidden="false" customHeight="false" outlineLevel="0" collapsed="false">
      <c r="A27" s="113" t="n">
        <f aca="false">ExportRaw!$F27</f>
        <v>0</v>
      </c>
      <c r="B27" s="113" t="n">
        <f aca="false">ExportRaw!$C27</f>
        <v>0</v>
      </c>
      <c r="C27" s="113" t="n">
        <f aca="false">ExportRaw!$G27</f>
        <v>0</v>
      </c>
      <c r="D27" s="113" t="str">
        <f aca="false">ExportRaw!$E27</f>
        <v/>
      </c>
      <c r="E27" s="114" t="str">
        <f aca="false">ExportRaw!$D27</f>
        <v/>
      </c>
      <c r="F27" s="113" t="str">
        <f aca="false">ExportRaw!$H27</f>
        <v/>
      </c>
      <c r="G27" s="113" t="str">
        <f aca="false">ExportRaw!$I27</f>
        <v/>
      </c>
      <c r="H27" s="113" t="str">
        <f aca="false">ExportRaw!$A27</f>
        <v/>
      </c>
      <c r="I27" s="113" t="str">
        <f aca="false">ExportRaw!$B27</f>
        <v/>
      </c>
    </row>
    <row r="28" customFormat="false" ht="15.75" hidden="false" customHeight="false" outlineLevel="0" collapsed="false">
      <c r="A28" s="113" t="n">
        <f aca="false">ExportRaw!$F28</f>
        <v>0</v>
      </c>
      <c r="B28" s="113" t="n">
        <f aca="false">ExportRaw!$C28</f>
        <v>0</v>
      </c>
      <c r="C28" s="113" t="n">
        <f aca="false">ExportRaw!$G28</f>
        <v>0</v>
      </c>
      <c r="D28" s="113" t="str">
        <f aca="false">ExportRaw!$E28</f>
        <v/>
      </c>
      <c r="E28" s="114" t="str">
        <f aca="false">ExportRaw!$D28</f>
        <v/>
      </c>
      <c r="F28" s="113" t="str">
        <f aca="false">ExportRaw!$H28</f>
        <v/>
      </c>
      <c r="G28" s="113" t="str">
        <f aca="false">ExportRaw!$I28</f>
        <v/>
      </c>
      <c r="H28" s="113" t="str">
        <f aca="false">ExportRaw!$A28</f>
        <v/>
      </c>
      <c r="I28" s="113" t="str">
        <f aca="false">ExportRaw!$B28</f>
        <v/>
      </c>
    </row>
    <row r="29" customFormat="false" ht="15.75" hidden="false" customHeight="false" outlineLevel="0" collapsed="false">
      <c r="A29" s="113" t="n">
        <f aca="false">ExportRaw!$F29</f>
        <v>0</v>
      </c>
      <c r="B29" s="113" t="n">
        <f aca="false">ExportRaw!$C29</f>
        <v>0</v>
      </c>
      <c r="C29" s="113" t="n">
        <f aca="false">ExportRaw!$G29</f>
        <v>0</v>
      </c>
      <c r="D29" s="113" t="str">
        <f aca="false">ExportRaw!$E29</f>
        <v/>
      </c>
      <c r="E29" s="114" t="str">
        <f aca="false">ExportRaw!$D29</f>
        <v/>
      </c>
      <c r="F29" s="113" t="str">
        <f aca="false">ExportRaw!$H29</f>
        <v/>
      </c>
      <c r="G29" s="113" t="str">
        <f aca="false">ExportRaw!$I29</f>
        <v/>
      </c>
      <c r="H29" s="113" t="str">
        <f aca="false">ExportRaw!$A29</f>
        <v/>
      </c>
      <c r="I29" s="113" t="str">
        <f aca="false">ExportRaw!$B29</f>
        <v/>
      </c>
    </row>
    <row r="30" customFormat="false" ht="15.75" hidden="false" customHeight="false" outlineLevel="0" collapsed="false">
      <c r="A30" s="113" t="n">
        <f aca="false">ExportRaw!$F30</f>
        <v>0</v>
      </c>
      <c r="B30" s="113" t="n">
        <f aca="false">ExportRaw!$C30</f>
        <v>0</v>
      </c>
      <c r="C30" s="113" t="n">
        <f aca="false">ExportRaw!$G30</f>
        <v>0</v>
      </c>
      <c r="D30" s="113" t="str">
        <f aca="false">ExportRaw!$E30</f>
        <v/>
      </c>
      <c r="E30" s="114" t="str">
        <f aca="false">ExportRaw!$D30</f>
        <v/>
      </c>
      <c r="F30" s="113" t="str">
        <f aca="false">ExportRaw!$H30</f>
        <v/>
      </c>
      <c r="G30" s="113" t="str">
        <f aca="false">ExportRaw!$I30</f>
        <v/>
      </c>
      <c r="H30" s="113" t="str">
        <f aca="false">ExportRaw!$A30</f>
        <v/>
      </c>
      <c r="I30" s="113" t="str">
        <f aca="false">ExportRaw!$B30</f>
        <v/>
      </c>
    </row>
    <row r="31" customFormat="false" ht="15.75" hidden="false" customHeight="false" outlineLevel="0" collapsed="false">
      <c r="A31" s="113" t="n">
        <f aca="false">ExportRaw!$F31</f>
        <v>0</v>
      </c>
      <c r="B31" s="113" t="n">
        <f aca="false">ExportRaw!$C31</f>
        <v>0</v>
      </c>
      <c r="C31" s="113" t="n">
        <f aca="false">ExportRaw!$G31</f>
        <v>0</v>
      </c>
      <c r="D31" s="113" t="str">
        <f aca="false">ExportRaw!$E31</f>
        <v/>
      </c>
      <c r="E31" s="114" t="str">
        <f aca="false">ExportRaw!$D31</f>
        <v/>
      </c>
      <c r="F31" s="113" t="str">
        <f aca="false">ExportRaw!$H31</f>
        <v/>
      </c>
      <c r="G31" s="113" t="str">
        <f aca="false">ExportRaw!$I31</f>
        <v/>
      </c>
      <c r="H31" s="113" t="str">
        <f aca="false">ExportRaw!$A31</f>
        <v/>
      </c>
      <c r="I31" s="113" t="str">
        <f aca="false">ExportRaw!$B31</f>
        <v/>
      </c>
    </row>
    <row r="32" customFormat="false" ht="15.75" hidden="false" customHeight="false" outlineLevel="0" collapsed="false">
      <c r="A32" s="113" t="n">
        <f aca="false">ExportRaw!$F32</f>
        <v>0</v>
      </c>
      <c r="B32" s="113" t="n">
        <f aca="false">ExportRaw!$C32</f>
        <v>0</v>
      </c>
      <c r="C32" s="113" t="n">
        <f aca="false">ExportRaw!$G32</f>
        <v>0</v>
      </c>
      <c r="D32" s="113" t="str">
        <f aca="false">ExportRaw!$E32</f>
        <v/>
      </c>
      <c r="E32" s="114" t="str">
        <f aca="false">ExportRaw!$D32</f>
        <v/>
      </c>
      <c r="F32" s="113" t="str">
        <f aca="false">ExportRaw!$H32</f>
        <v/>
      </c>
      <c r="G32" s="113" t="str">
        <f aca="false">ExportRaw!$I32</f>
        <v/>
      </c>
      <c r="H32" s="113" t="str">
        <f aca="false">ExportRaw!$A32</f>
        <v/>
      </c>
      <c r="I32" s="113" t="str">
        <f aca="false">ExportRaw!$B32</f>
        <v/>
      </c>
    </row>
    <row r="33" customFormat="false" ht="15.75" hidden="false" customHeight="false" outlineLevel="0" collapsed="false">
      <c r="A33" s="113" t="n">
        <f aca="false">ExportRaw!$F33</f>
        <v>0</v>
      </c>
      <c r="B33" s="113" t="n">
        <f aca="false">ExportRaw!$C33</f>
        <v>0</v>
      </c>
      <c r="C33" s="113" t="n">
        <f aca="false">ExportRaw!$G33</f>
        <v>0</v>
      </c>
      <c r="D33" s="113" t="str">
        <f aca="false">ExportRaw!$E33</f>
        <v/>
      </c>
      <c r="E33" s="114" t="str">
        <f aca="false">ExportRaw!$D33</f>
        <v/>
      </c>
      <c r="F33" s="113" t="str">
        <f aca="false">ExportRaw!$H33</f>
        <v/>
      </c>
      <c r="G33" s="113" t="str">
        <f aca="false">ExportRaw!$I33</f>
        <v/>
      </c>
      <c r="H33" s="113" t="str">
        <f aca="false">ExportRaw!$A33</f>
        <v/>
      </c>
      <c r="I33" s="113" t="str">
        <f aca="false">ExportRaw!$B33</f>
        <v/>
      </c>
    </row>
    <row r="34" customFormat="false" ht="15.75" hidden="false" customHeight="false" outlineLevel="0" collapsed="false">
      <c r="A34" s="113" t="n">
        <f aca="false">ExportRaw!$F34</f>
        <v>0</v>
      </c>
      <c r="B34" s="113" t="n">
        <f aca="false">ExportRaw!$C34</f>
        <v>0</v>
      </c>
      <c r="C34" s="113" t="n">
        <f aca="false">ExportRaw!$G34</f>
        <v>0</v>
      </c>
      <c r="D34" s="113" t="str">
        <f aca="false">ExportRaw!$E34</f>
        <v/>
      </c>
      <c r="E34" s="114" t="str">
        <f aca="false">ExportRaw!$D34</f>
        <v/>
      </c>
      <c r="F34" s="113" t="str">
        <f aca="false">ExportRaw!$H34</f>
        <v/>
      </c>
      <c r="G34" s="113" t="str">
        <f aca="false">ExportRaw!$I34</f>
        <v/>
      </c>
      <c r="H34" s="113" t="str">
        <f aca="false">ExportRaw!$A34</f>
        <v/>
      </c>
      <c r="I34" s="113" t="str">
        <f aca="false">ExportRaw!$B34</f>
        <v/>
      </c>
    </row>
    <row r="35" customFormat="false" ht="15.75" hidden="false" customHeight="false" outlineLevel="0" collapsed="false">
      <c r="A35" s="113" t="n">
        <f aca="false">ExportRaw!$F35</f>
        <v>0</v>
      </c>
      <c r="B35" s="113" t="n">
        <f aca="false">ExportRaw!$C35</f>
        <v>0</v>
      </c>
      <c r="C35" s="113" t="n">
        <f aca="false">ExportRaw!$G35</f>
        <v>0</v>
      </c>
      <c r="D35" s="113" t="str">
        <f aca="false">ExportRaw!$E35</f>
        <v/>
      </c>
      <c r="E35" s="114" t="str">
        <f aca="false">ExportRaw!$D35</f>
        <v/>
      </c>
      <c r="F35" s="113" t="str">
        <f aca="false">ExportRaw!$H35</f>
        <v/>
      </c>
      <c r="G35" s="113" t="str">
        <f aca="false">ExportRaw!$I35</f>
        <v/>
      </c>
      <c r="H35" s="113" t="str">
        <f aca="false">ExportRaw!$A35</f>
        <v/>
      </c>
      <c r="I35" s="113" t="str">
        <f aca="false">ExportRaw!$B35</f>
        <v/>
      </c>
    </row>
    <row r="36" customFormat="false" ht="15.75" hidden="false" customHeight="false" outlineLevel="0" collapsed="false">
      <c r="A36" s="113" t="n">
        <f aca="false">ExportRaw!$F36</f>
        <v>0</v>
      </c>
      <c r="B36" s="113" t="n">
        <f aca="false">ExportRaw!$C36</f>
        <v>0</v>
      </c>
      <c r="C36" s="113" t="n">
        <f aca="false">ExportRaw!$G36</f>
        <v>0</v>
      </c>
      <c r="D36" s="113" t="str">
        <f aca="false">ExportRaw!$E36</f>
        <v/>
      </c>
      <c r="E36" s="114" t="str">
        <f aca="false">ExportRaw!$D36</f>
        <v/>
      </c>
      <c r="F36" s="113" t="str">
        <f aca="false">ExportRaw!$H36</f>
        <v/>
      </c>
      <c r="G36" s="113" t="str">
        <f aca="false">ExportRaw!$I36</f>
        <v/>
      </c>
      <c r="H36" s="113" t="str">
        <f aca="false">ExportRaw!$A36</f>
        <v/>
      </c>
      <c r="I36" s="113" t="str">
        <f aca="false">ExportRaw!$B36</f>
        <v/>
      </c>
    </row>
    <row r="37" customFormat="false" ht="15.75" hidden="false" customHeight="false" outlineLevel="0" collapsed="false">
      <c r="A37" s="113" t="n">
        <f aca="false">ExportRaw!$F37</f>
        <v>0</v>
      </c>
      <c r="B37" s="113" t="n">
        <f aca="false">ExportRaw!$C37</f>
        <v>0</v>
      </c>
      <c r="C37" s="113" t="n">
        <f aca="false">ExportRaw!$G37</f>
        <v>0</v>
      </c>
      <c r="D37" s="113" t="str">
        <f aca="false">ExportRaw!$E37</f>
        <v/>
      </c>
      <c r="E37" s="114" t="str">
        <f aca="false">ExportRaw!$D37</f>
        <v/>
      </c>
      <c r="F37" s="113" t="str">
        <f aca="false">ExportRaw!$H37</f>
        <v/>
      </c>
      <c r="G37" s="113" t="str">
        <f aca="false">ExportRaw!$I37</f>
        <v/>
      </c>
      <c r="H37" s="113" t="str">
        <f aca="false">ExportRaw!$A37</f>
        <v/>
      </c>
      <c r="I37" s="113" t="str">
        <f aca="false">ExportRaw!$B37</f>
        <v/>
      </c>
    </row>
    <row r="38" customFormat="false" ht="15.75" hidden="false" customHeight="false" outlineLevel="0" collapsed="false">
      <c r="A38" s="113" t="n">
        <f aca="false">ExportRaw!$F38</f>
        <v>0</v>
      </c>
      <c r="B38" s="113" t="n">
        <f aca="false">ExportRaw!$C38</f>
        <v>0</v>
      </c>
      <c r="C38" s="113" t="n">
        <f aca="false">ExportRaw!$G38</f>
        <v>0</v>
      </c>
      <c r="D38" s="113" t="str">
        <f aca="false">ExportRaw!$E38</f>
        <v/>
      </c>
      <c r="E38" s="114" t="str">
        <f aca="false">ExportRaw!$D38</f>
        <v/>
      </c>
      <c r="F38" s="113" t="str">
        <f aca="false">ExportRaw!$H38</f>
        <v/>
      </c>
      <c r="G38" s="113" t="str">
        <f aca="false">ExportRaw!$I38</f>
        <v/>
      </c>
      <c r="H38" s="113" t="str">
        <f aca="false">ExportRaw!$A38</f>
        <v/>
      </c>
      <c r="I38" s="113" t="str">
        <f aca="false">ExportRaw!$B38</f>
        <v/>
      </c>
    </row>
    <row r="39" customFormat="false" ht="15.75" hidden="false" customHeight="false" outlineLevel="0" collapsed="false">
      <c r="A39" s="113" t="n">
        <f aca="false">ExportRaw!$F39</f>
        <v>0</v>
      </c>
      <c r="B39" s="113" t="n">
        <f aca="false">ExportRaw!$C39</f>
        <v>0</v>
      </c>
      <c r="C39" s="113" t="n">
        <f aca="false">ExportRaw!$G39</f>
        <v>0</v>
      </c>
      <c r="D39" s="113" t="str">
        <f aca="false">ExportRaw!$E39</f>
        <v/>
      </c>
      <c r="E39" s="114" t="str">
        <f aca="false">ExportRaw!$D39</f>
        <v/>
      </c>
      <c r="F39" s="113" t="str">
        <f aca="false">ExportRaw!$H39</f>
        <v/>
      </c>
      <c r="G39" s="113" t="str">
        <f aca="false">ExportRaw!$I39</f>
        <v/>
      </c>
      <c r="H39" s="113" t="str">
        <f aca="false">ExportRaw!$A39</f>
        <v/>
      </c>
      <c r="I39" s="113" t="str">
        <f aca="false">ExportRaw!$B39</f>
        <v/>
      </c>
    </row>
    <row r="40" customFormat="false" ht="15.75" hidden="false" customHeight="false" outlineLevel="0" collapsed="false">
      <c r="A40" s="113" t="n">
        <f aca="false">ExportRaw!$F40</f>
        <v>0</v>
      </c>
      <c r="B40" s="113" t="n">
        <f aca="false">ExportRaw!$C40</f>
        <v>0</v>
      </c>
      <c r="C40" s="113" t="n">
        <f aca="false">ExportRaw!$G40</f>
        <v>0</v>
      </c>
      <c r="D40" s="113" t="str">
        <f aca="false">ExportRaw!$E40</f>
        <v/>
      </c>
      <c r="E40" s="114" t="str">
        <f aca="false">ExportRaw!$D40</f>
        <v/>
      </c>
      <c r="F40" s="113" t="str">
        <f aca="false">ExportRaw!$H40</f>
        <v/>
      </c>
      <c r="G40" s="113" t="str">
        <f aca="false">ExportRaw!$I40</f>
        <v/>
      </c>
      <c r="H40" s="113" t="str">
        <f aca="false">ExportRaw!$A40</f>
        <v/>
      </c>
      <c r="I40" s="113" t="str">
        <f aca="false">ExportRaw!$B40</f>
        <v/>
      </c>
    </row>
    <row r="41" customFormat="false" ht="15.75" hidden="false" customHeight="false" outlineLevel="0" collapsed="false">
      <c r="A41" s="113" t="n">
        <f aca="false">ExportRaw!$F41</f>
        <v>0</v>
      </c>
      <c r="B41" s="113" t="n">
        <f aca="false">ExportRaw!$C41</f>
        <v>0</v>
      </c>
      <c r="C41" s="113" t="n">
        <f aca="false">ExportRaw!$G41</f>
        <v>0</v>
      </c>
      <c r="D41" s="113" t="str">
        <f aca="false">ExportRaw!$E41</f>
        <v/>
      </c>
      <c r="E41" s="114" t="str">
        <f aca="false">ExportRaw!$D41</f>
        <v/>
      </c>
      <c r="F41" s="113" t="str">
        <f aca="false">ExportRaw!$H41</f>
        <v/>
      </c>
      <c r="G41" s="113" t="str">
        <f aca="false">ExportRaw!$I41</f>
        <v/>
      </c>
      <c r="H41" s="113" t="str">
        <f aca="false">ExportRaw!$A41</f>
        <v/>
      </c>
      <c r="I41" s="113" t="str">
        <f aca="false">ExportRaw!$B41</f>
        <v/>
      </c>
    </row>
    <row r="42" customFormat="false" ht="15.75" hidden="false" customHeight="false" outlineLevel="0" collapsed="false">
      <c r="A42" s="113" t="n">
        <f aca="false">ExportRaw!$F42</f>
        <v>0</v>
      </c>
      <c r="B42" s="113" t="n">
        <f aca="false">ExportRaw!$C42</f>
        <v>0</v>
      </c>
      <c r="C42" s="113" t="n">
        <f aca="false">ExportRaw!$G42</f>
        <v>0</v>
      </c>
      <c r="D42" s="113" t="str">
        <f aca="false">ExportRaw!$E42</f>
        <v/>
      </c>
      <c r="E42" s="114" t="str">
        <f aca="false">ExportRaw!$D42</f>
        <v/>
      </c>
      <c r="F42" s="113" t="str">
        <f aca="false">ExportRaw!$H42</f>
        <v/>
      </c>
      <c r="G42" s="113" t="str">
        <f aca="false">ExportRaw!$I42</f>
        <v/>
      </c>
      <c r="H42" s="113" t="str">
        <f aca="false">ExportRaw!$A42</f>
        <v/>
      </c>
      <c r="I42" s="113" t="str">
        <f aca="false">ExportRaw!$B42</f>
        <v/>
      </c>
    </row>
    <row r="43" customFormat="false" ht="15.75" hidden="false" customHeight="false" outlineLevel="0" collapsed="false">
      <c r="A43" s="113" t="n">
        <f aca="false">ExportRaw!$F43</f>
        <v>0</v>
      </c>
      <c r="B43" s="113" t="n">
        <f aca="false">ExportRaw!$C43</f>
        <v>0</v>
      </c>
      <c r="C43" s="113" t="n">
        <f aca="false">ExportRaw!$G43</f>
        <v>0</v>
      </c>
      <c r="D43" s="113" t="str">
        <f aca="false">ExportRaw!$E43</f>
        <v/>
      </c>
      <c r="E43" s="114" t="str">
        <f aca="false">ExportRaw!$D43</f>
        <v/>
      </c>
      <c r="F43" s="113" t="str">
        <f aca="false">ExportRaw!$H43</f>
        <v/>
      </c>
      <c r="G43" s="113" t="str">
        <f aca="false">ExportRaw!$I43</f>
        <v/>
      </c>
      <c r="H43" s="113" t="str">
        <f aca="false">ExportRaw!$A43</f>
        <v/>
      </c>
      <c r="I43" s="113" t="str">
        <f aca="false">ExportRaw!$B43</f>
        <v/>
      </c>
    </row>
    <row r="44" customFormat="false" ht="15.75" hidden="false" customHeight="false" outlineLevel="0" collapsed="false">
      <c r="A44" s="113" t="n">
        <f aca="false">ExportRaw!$F44</f>
        <v>0</v>
      </c>
      <c r="B44" s="113" t="n">
        <f aca="false">ExportRaw!$C44</f>
        <v>0</v>
      </c>
      <c r="C44" s="113" t="n">
        <f aca="false">ExportRaw!$G44</f>
        <v>0</v>
      </c>
      <c r="D44" s="113" t="str">
        <f aca="false">ExportRaw!$E44</f>
        <v/>
      </c>
      <c r="E44" s="114" t="str">
        <f aca="false">ExportRaw!$D44</f>
        <v/>
      </c>
      <c r="F44" s="113" t="str">
        <f aca="false">ExportRaw!$H44</f>
        <v/>
      </c>
      <c r="G44" s="113" t="str">
        <f aca="false">ExportRaw!$I44</f>
        <v/>
      </c>
      <c r="H44" s="113" t="str">
        <f aca="false">ExportRaw!$A44</f>
        <v/>
      </c>
      <c r="I44" s="113" t="str">
        <f aca="false">ExportRaw!$B44</f>
        <v/>
      </c>
    </row>
    <row r="45" customFormat="false" ht="15.75" hidden="false" customHeight="false" outlineLevel="0" collapsed="false">
      <c r="A45" s="113" t="n">
        <f aca="false">ExportRaw!$F45</f>
        <v>0</v>
      </c>
      <c r="B45" s="113" t="n">
        <f aca="false">ExportRaw!$C45</f>
        <v>0</v>
      </c>
      <c r="C45" s="113" t="n">
        <f aca="false">ExportRaw!$G45</f>
        <v>0</v>
      </c>
      <c r="D45" s="113" t="str">
        <f aca="false">ExportRaw!$E45</f>
        <v/>
      </c>
      <c r="E45" s="114" t="str">
        <f aca="false">ExportRaw!$D45</f>
        <v/>
      </c>
      <c r="F45" s="113" t="str">
        <f aca="false">ExportRaw!$H45</f>
        <v/>
      </c>
      <c r="G45" s="113" t="str">
        <f aca="false">ExportRaw!$I45</f>
        <v/>
      </c>
      <c r="H45" s="113" t="str">
        <f aca="false">ExportRaw!$A45</f>
        <v/>
      </c>
      <c r="I45" s="113" t="str">
        <f aca="false">ExportRaw!$B45</f>
        <v/>
      </c>
    </row>
    <row r="46" customFormat="false" ht="15.75" hidden="false" customHeight="false" outlineLevel="0" collapsed="false">
      <c r="A46" s="113" t="n">
        <f aca="false">ExportRaw!$F46</f>
        <v>0</v>
      </c>
      <c r="B46" s="113" t="n">
        <f aca="false">ExportRaw!$C46</f>
        <v>0</v>
      </c>
      <c r="C46" s="113" t="n">
        <f aca="false">ExportRaw!$G46</f>
        <v>0</v>
      </c>
      <c r="D46" s="113" t="str">
        <f aca="false">ExportRaw!$E46</f>
        <v/>
      </c>
      <c r="E46" s="114" t="str">
        <f aca="false">ExportRaw!$D46</f>
        <v/>
      </c>
      <c r="F46" s="113" t="str">
        <f aca="false">ExportRaw!$H46</f>
        <v/>
      </c>
      <c r="G46" s="113" t="str">
        <f aca="false">ExportRaw!$I46</f>
        <v/>
      </c>
      <c r="H46" s="113" t="str">
        <f aca="false">ExportRaw!$A46</f>
        <v/>
      </c>
      <c r="I46" s="113" t="str">
        <f aca="false">ExportRaw!$B46</f>
        <v/>
      </c>
    </row>
    <row r="47" customFormat="false" ht="15.75" hidden="false" customHeight="false" outlineLevel="0" collapsed="false">
      <c r="A47" s="113" t="n">
        <f aca="false">ExportRaw!$F47</f>
        <v>0</v>
      </c>
      <c r="B47" s="113" t="n">
        <f aca="false">ExportRaw!$C47</f>
        <v>0</v>
      </c>
      <c r="C47" s="113" t="n">
        <f aca="false">ExportRaw!$G47</f>
        <v>0</v>
      </c>
      <c r="D47" s="113" t="str">
        <f aca="false">ExportRaw!$E47</f>
        <v/>
      </c>
      <c r="E47" s="114" t="str">
        <f aca="false">ExportRaw!$D47</f>
        <v/>
      </c>
      <c r="F47" s="113" t="str">
        <f aca="false">ExportRaw!$H47</f>
        <v/>
      </c>
      <c r="G47" s="113" t="str">
        <f aca="false">ExportRaw!$I47</f>
        <v/>
      </c>
      <c r="H47" s="113" t="str">
        <f aca="false">ExportRaw!$A47</f>
        <v/>
      </c>
      <c r="I47" s="113" t="str">
        <f aca="false">ExportRaw!$B47</f>
        <v/>
      </c>
    </row>
    <row r="48" customFormat="false" ht="15.75" hidden="false" customHeight="false" outlineLevel="0" collapsed="false">
      <c r="A48" s="113" t="n">
        <f aca="false">ExportRaw!$F48</f>
        <v>0</v>
      </c>
      <c r="B48" s="113" t="n">
        <f aca="false">ExportRaw!$C48</f>
        <v>0</v>
      </c>
      <c r="C48" s="113" t="n">
        <f aca="false">ExportRaw!$G48</f>
        <v>0</v>
      </c>
      <c r="D48" s="113" t="str">
        <f aca="false">ExportRaw!$E48</f>
        <v/>
      </c>
      <c r="E48" s="114" t="str">
        <f aca="false">ExportRaw!$D48</f>
        <v/>
      </c>
      <c r="F48" s="113" t="str">
        <f aca="false">ExportRaw!$H48</f>
        <v/>
      </c>
      <c r="G48" s="113" t="str">
        <f aca="false">ExportRaw!$I48</f>
        <v/>
      </c>
      <c r="H48" s="113" t="str">
        <f aca="false">ExportRaw!$A48</f>
        <v/>
      </c>
      <c r="I48" s="113" t="str">
        <f aca="false">ExportRaw!$B48</f>
        <v/>
      </c>
    </row>
    <row r="49" customFormat="false" ht="15.75" hidden="false" customHeight="false" outlineLevel="0" collapsed="false">
      <c r="A49" s="113" t="n">
        <f aca="false">ExportRaw!$F49</f>
        <v>0</v>
      </c>
      <c r="B49" s="113" t="n">
        <f aca="false">ExportRaw!$C49</f>
        <v>0</v>
      </c>
      <c r="C49" s="113" t="n">
        <f aca="false">ExportRaw!$G49</f>
        <v>0</v>
      </c>
      <c r="D49" s="113" t="str">
        <f aca="false">ExportRaw!$E49</f>
        <v/>
      </c>
      <c r="E49" s="114" t="str">
        <f aca="false">ExportRaw!$D49</f>
        <v/>
      </c>
      <c r="F49" s="113" t="str">
        <f aca="false">ExportRaw!$H49</f>
        <v/>
      </c>
      <c r="G49" s="113" t="str">
        <f aca="false">ExportRaw!$I49</f>
        <v/>
      </c>
      <c r="H49" s="113" t="str">
        <f aca="false">ExportRaw!$A49</f>
        <v/>
      </c>
      <c r="I49" s="113" t="str">
        <f aca="false">ExportRaw!$B49</f>
        <v/>
      </c>
    </row>
    <row r="50" customFormat="false" ht="15.75" hidden="false" customHeight="false" outlineLevel="0" collapsed="false">
      <c r="A50" s="113" t="n">
        <f aca="false">ExportRaw!$F50</f>
        <v>0</v>
      </c>
      <c r="B50" s="113" t="n">
        <f aca="false">ExportRaw!$C50</f>
        <v>0</v>
      </c>
      <c r="C50" s="113" t="n">
        <f aca="false">ExportRaw!$G50</f>
        <v>0</v>
      </c>
      <c r="D50" s="113" t="str">
        <f aca="false">ExportRaw!$E50</f>
        <v/>
      </c>
      <c r="E50" s="114" t="str">
        <f aca="false">ExportRaw!$D50</f>
        <v/>
      </c>
      <c r="F50" s="113" t="str">
        <f aca="false">ExportRaw!$H50</f>
        <v/>
      </c>
      <c r="G50" s="113" t="str">
        <f aca="false">ExportRaw!$I50</f>
        <v/>
      </c>
      <c r="H50" s="113" t="str">
        <f aca="false">ExportRaw!$A50</f>
        <v/>
      </c>
      <c r="I50" s="113" t="str">
        <f aca="false">ExportRaw!$B50</f>
        <v/>
      </c>
    </row>
    <row r="51" customFormat="false" ht="15.75" hidden="false" customHeight="false" outlineLevel="0" collapsed="false">
      <c r="A51" s="113" t="n">
        <f aca="false">ExportRaw!$F51</f>
        <v>0</v>
      </c>
      <c r="B51" s="113" t="n">
        <f aca="false">ExportRaw!$C51</f>
        <v>0</v>
      </c>
      <c r="C51" s="113" t="n">
        <f aca="false">ExportRaw!$G51</f>
        <v>0</v>
      </c>
      <c r="D51" s="113" t="str">
        <f aca="false">ExportRaw!$E51</f>
        <v/>
      </c>
      <c r="E51" s="114" t="str">
        <f aca="false">ExportRaw!$D51</f>
        <v/>
      </c>
      <c r="F51" s="113" t="str">
        <f aca="false">ExportRaw!$H51</f>
        <v/>
      </c>
      <c r="G51" s="113" t="str">
        <f aca="false">ExportRaw!$I51</f>
        <v/>
      </c>
      <c r="H51" s="113" t="str">
        <f aca="false">ExportRaw!$A51</f>
        <v/>
      </c>
      <c r="I51" s="113" t="str">
        <f aca="false">ExportRaw!$B51</f>
        <v/>
      </c>
    </row>
    <row r="52" customFormat="false" ht="15.75" hidden="false" customHeight="false" outlineLevel="0" collapsed="false">
      <c r="A52" s="113" t="n">
        <f aca="false">ExportRaw!$F52</f>
        <v>0</v>
      </c>
      <c r="B52" s="113" t="n">
        <f aca="false">ExportRaw!$C52</f>
        <v>0</v>
      </c>
      <c r="C52" s="113" t="n">
        <f aca="false">ExportRaw!$G52</f>
        <v>0</v>
      </c>
      <c r="D52" s="113" t="str">
        <f aca="false">ExportRaw!$E52</f>
        <v/>
      </c>
      <c r="E52" s="114" t="str">
        <f aca="false">ExportRaw!$D52</f>
        <v/>
      </c>
      <c r="F52" s="113" t="str">
        <f aca="false">ExportRaw!$H52</f>
        <v/>
      </c>
      <c r="G52" s="113" t="str">
        <f aca="false">ExportRaw!$I52</f>
        <v/>
      </c>
      <c r="H52" s="113" t="str">
        <f aca="false">ExportRaw!$A52</f>
        <v/>
      </c>
      <c r="I52" s="113" t="str">
        <f aca="false">ExportRaw!$B52</f>
        <v/>
      </c>
    </row>
    <row r="53" customFormat="false" ht="15.75" hidden="false" customHeight="false" outlineLevel="0" collapsed="false">
      <c r="A53" s="113" t="n">
        <f aca="false">ExportRaw!$F53</f>
        <v>0</v>
      </c>
      <c r="B53" s="113" t="n">
        <f aca="false">ExportRaw!$C53</f>
        <v>0</v>
      </c>
      <c r="C53" s="113" t="n">
        <f aca="false">ExportRaw!$G53</f>
        <v>0</v>
      </c>
      <c r="D53" s="113" t="str">
        <f aca="false">ExportRaw!$E53</f>
        <v/>
      </c>
      <c r="E53" s="114" t="str">
        <f aca="false">ExportRaw!$D53</f>
        <v/>
      </c>
      <c r="F53" s="113" t="str">
        <f aca="false">ExportRaw!$H53</f>
        <v/>
      </c>
      <c r="G53" s="113" t="str">
        <f aca="false">ExportRaw!$I53</f>
        <v/>
      </c>
      <c r="H53" s="113" t="str">
        <f aca="false">ExportRaw!$A53</f>
        <v/>
      </c>
      <c r="I53" s="113" t="str">
        <f aca="false">ExportRaw!$B53</f>
        <v/>
      </c>
    </row>
    <row r="54" customFormat="false" ht="15.75" hidden="false" customHeight="false" outlineLevel="0" collapsed="false">
      <c r="A54" s="113" t="n">
        <f aca="false">ExportRaw!$F54</f>
        <v>0</v>
      </c>
      <c r="B54" s="113" t="n">
        <f aca="false">ExportRaw!$C54</f>
        <v>0</v>
      </c>
      <c r="C54" s="113" t="n">
        <f aca="false">ExportRaw!$G54</f>
        <v>0</v>
      </c>
      <c r="D54" s="113" t="str">
        <f aca="false">ExportRaw!$E54</f>
        <v/>
      </c>
      <c r="E54" s="114" t="str">
        <f aca="false">ExportRaw!$D54</f>
        <v/>
      </c>
      <c r="F54" s="113" t="str">
        <f aca="false">ExportRaw!$H54</f>
        <v/>
      </c>
      <c r="G54" s="113" t="str">
        <f aca="false">ExportRaw!$I54</f>
        <v/>
      </c>
      <c r="H54" s="113" t="str">
        <f aca="false">ExportRaw!$A54</f>
        <v/>
      </c>
      <c r="I54" s="113" t="str">
        <f aca="false">ExportRaw!$B54</f>
        <v/>
      </c>
    </row>
    <row r="55" customFormat="false" ht="15.75" hidden="false" customHeight="false" outlineLevel="0" collapsed="false">
      <c r="A55" s="113" t="n">
        <f aca="false">ExportRaw!$F55</f>
        <v>0</v>
      </c>
      <c r="B55" s="113" t="n">
        <f aca="false">ExportRaw!$C55</f>
        <v>0</v>
      </c>
      <c r="C55" s="113" t="n">
        <f aca="false">ExportRaw!$G55</f>
        <v>0</v>
      </c>
      <c r="D55" s="113" t="str">
        <f aca="false">ExportRaw!$E55</f>
        <v/>
      </c>
      <c r="E55" s="114" t="str">
        <f aca="false">ExportRaw!$D55</f>
        <v/>
      </c>
      <c r="F55" s="113" t="str">
        <f aca="false">ExportRaw!$H55</f>
        <v/>
      </c>
      <c r="G55" s="113" t="str">
        <f aca="false">ExportRaw!$I55</f>
        <v/>
      </c>
      <c r="H55" s="113" t="str">
        <f aca="false">ExportRaw!$A55</f>
        <v/>
      </c>
      <c r="I55" s="113" t="str">
        <f aca="false">ExportRaw!$B55</f>
        <v/>
      </c>
    </row>
    <row r="56" customFormat="false" ht="15.75" hidden="false" customHeight="false" outlineLevel="0" collapsed="false">
      <c r="A56" s="113" t="n">
        <f aca="false">ExportRaw!$F56</f>
        <v>0</v>
      </c>
      <c r="B56" s="113" t="n">
        <f aca="false">ExportRaw!$C56</f>
        <v>0</v>
      </c>
      <c r="C56" s="113" t="n">
        <f aca="false">ExportRaw!$G56</f>
        <v>0</v>
      </c>
      <c r="D56" s="113" t="str">
        <f aca="false">ExportRaw!$E56</f>
        <v/>
      </c>
      <c r="E56" s="114" t="str">
        <f aca="false">ExportRaw!$D56</f>
        <v/>
      </c>
      <c r="F56" s="113" t="str">
        <f aca="false">ExportRaw!$H56</f>
        <v/>
      </c>
      <c r="G56" s="113" t="str">
        <f aca="false">ExportRaw!$I56</f>
        <v/>
      </c>
      <c r="H56" s="113" t="str">
        <f aca="false">ExportRaw!$A56</f>
        <v/>
      </c>
      <c r="I56" s="113" t="str">
        <f aca="false">ExportRaw!$B56</f>
        <v/>
      </c>
    </row>
    <row r="57" customFormat="false" ht="15.75" hidden="false" customHeight="false" outlineLevel="0" collapsed="false">
      <c r="A57" s="113" t="n">
        <f aca="false">ExportRaw!$F57</f>
        <v>0</v>
      </c>
      <c r="B57" s="113" t="n">
        <f aca="false">ExportRaw!$C57</f>
        <v>0</v>
      </c>
      <c r="C57" s="113" t="n">
        <f aca="false">ExportRaw!$G57</f>
        <v>0</v>
      </c>
      <c r="D57" s="113" t="str">
        <f aca="false">ExportRaw!$E57</f>
        <v/>
      </c>
      <c r="E57" s="114" t="str">
        <f aca="false">ExportRaw!$D57</f>
        <v/>
      </c>
      <c r="F57" s="113" t="str">
        <f aca="false">ExportRaw!$H57</f>
        <v/>
      </c>
      <c r="G57" s="113" t="str">
        <f aca="false">ExportRaw!$I57</f>
        <v/>
      </c>
      <c r="H57" s="113" t="str">
        <f aca="false">ExportRaw!$A57</f>
        <v/>
      </c>
      <c r="I57" s="113" t="str">
        <f aca="false">ExportRaw!$B57</f>
        <v/>
      </c>
    </row>
    <row r="58" customFormat="false" ht="15.75" hidden="false" customHeight="false" outlineLevel="0" collapsed="false">
      <c r="A58" s="113" t="n">
        <f aca="false">ExportRaw!$F58</f>
        <v>0</v>
      </c>
      <c r="B58" s="113" t="n">
        <f aca="false">ExportRaw!$C58</f>
        <v>0</v>
      </c>
      <c r="C58" s="113" t="n">
        <f aca="false">ExportRaw!$G58</f>
        <v>0</v>
      </c>
      <c r="D58" s="113" t="str">
        <f aca="false">ExportRaw!$E58</f>
        <v/>
      </c>
      <c r="E58" s="114" t="str">
        <f aca="false">ExportRaw!$D58</f>
        <v/>
      </c>
      <c r="F58" s="113" t="str">
        <f aca="false">ExportRaw!$H58</f>
        <v/>
      </c>
      <c r="G58" s="113" t="str">
        <f aca="false">ExportRaw!$I58</f>
        <v/>
      </c>
      <c r="H58" s="113" t="str">
        <f aca="false">ExportRaw!$A58</f>
        <v/>
      </c>
      <c r="I58" s="113" t="str">
        <f aca="false">ExportRaw!$B58</f>
        <v/>
      </c>
    </row>
    <row r="59" customFormat="false" ht="15.75" hidden="false" customHeight="false" outlineLevel="0" collapsed="false">
      <c r="A59" s="113" t="n">
        <f aca="false">ExportRaw!$F59</f>
        <v>0</v>
      </c>
      <c r="B59" s="113" t="n">
        <f aca="false">ExportRaw!$C59</f>
        <v>0</v>
      </c>
      <c r="C59" s="113" t="n">
        <f aca="false">ExportRaw!$G59</f>
        <v>0</v>
      </c>
      <c r="D59" s="113" t="str">
        <f aca="false">ExportRaw!$E59</f>
        <v/>
      </c>
      <c r="E59" s="114" t="str">
        <f aca="false">ExportRaw!$D59</f>
        <v/>
      </c>
      <c r="F59" s="113" t="str">
        <f aca="false">ExportRaw!$H59</f>
        <v/>
      </c>
      <c r="G59" s="113" t="str">
        <f aca="false">ExportRaw!$I59</f>
        <v/>
      </c>
      <c r="H59" s="113" t="str">
        <f aca="false">ExportRaw!$A59</f>
        <v/>
      </c>
      <c r="I59" s="113" t="str">
        <f aca="false">ExportRaw!$B59</f>
        <v/>
      </c>
    </row>
    <row r="60" customFormat="false" ht="15.75" hidden="false" customHeight="false" outlineLevel="0" collapsed="false">
      <c r="A60" s="113" t="n">
        <f aca="false">ExportRaw!$F60</f>
        <v>0</v>
      </c>
      <c r="B60" s="113" t="n">
        <f aca="false">ExportRaw!$C60</f>
        <v>0</v>
      </c>
      <c r="C60" s="113" t="n">
        <f aca="false">ExportRaw!$G60</f>
        <v>0</v>
      </c>
      <c r="D60" s="113" t="str">
        <f aca="false">ExportRaw!$E60</f>
        <v/>
      </c>
      <c r="E60" s="114" t="str">
        <f aca="false">ExportRaw!$D60</f>
        <v/>
      </c>
      <c r="F60" s="113" t="str">
        <f aca="false">ExportRaw!$H60</f>
        <v/>
      </c>
      <c r="G60" s="113" t="str">
        <f aca="false">ExportRaw!$I60</f>
        <v/>
      </c>
      <c r="H60" s="113" t="str">
        <f aca="false">ExportRaw!$A60</f>
        <v/>
      </c>
      <c r="I60" s="113" t="str">
        <f aca="false">ExportRaw!$B60</f>
        <v/>
      </c>
    </row>
    <row r="61" customFormat="false" ht="15.75" hidden="false" customHeight="false" outlineLevel="0" collapsed="false">
      <c r="A61" s="113" t="n">
        <f aca="false">ExportRaw!$F61</f>
        <v>0</v>
      </c>
      <c r="B61" s="113" t="n">
        <f aca="false">ExportRaw!$C61</f>
        <v>0</v>
      </c>
      <c r="C61" s="113" t="n">
        <f aca="false">ExportRaw!$G61</f>
        <v>0</v>
      </c>
      <c r="D61" s="113" t="str">
        <f aca="false">ExportRaw!$E61</f>
        <v/>
      </c>
      <c r="E61" s="114" t="str">
        <f aca="false">ExportRaw!$D61</f>
        <v/>
      </c>
      <c r="F61" s="113" t="str">
        <f aca="false">ExportRaw!$H61</f>
        <v/>
      </c>
      <c r="G61" s="113" t="str">
        <f aca="false">ExportRaw!$I61</f>
        <v/>
      </c>
      <c r="H61" s="113" t="str">
        <f aca="false">ExportRaw!$A61</f>
        <v/>
      </c>
      <c r="I61" s="113" t="str">
        <f aca="false">ExportRaw!$B61</f>
        <v/>
      </c>
    </row>
    <row r="62" customFormat="false" ht="15.75" hidden="false" customHeight="false" outlineLevel="0" collapsed="false">
      <c r="A62" s="113" t="n">
        <f aca="false">ExportRaw!$F62</f>
        <v>0</v>
      </c>
      <c r="B62" s="113" t="n">
        <f aca="false">ExportRaw!$C62</f>
        <v>0</v>
      </c>
      <c r="C62" s="113" t="n">
        <f aca="false">ExportRaw!$G62</f>
        <v>0</v>
      </c>
      <c r="D62" s="113" t="str">
        <f aca="false">ExportRaw!$E62</f>
        <v/>
      </c>
      <c r="E62" s="114" t="str">
        <f aca="false">ExportRaw!$D62</f>
        <v/>
      </c>
      <c r="F62" s="113" t="str">
        <f aca="false">ExportRaw!$H62</f>
        <v/>
      </c>
      <c r="G62" s="113" t="str">
        <f aca="false">ExportRaw!$I62</f>
        <v/>
      </c>
      <c r="H62" s="113" t="str">
        <f aca="false">ExportRaw!$A62</f>
        <v/>
      </c>
      <c r="I62" s="113" t="str">
        <f aca="false">ExportRaw!$B62</f>
        <v/>
      </c>
    </row>
    <row r="63" customFormat="false" ht="15.75" hidden="false" customHeight="false" outlineLevel="0" collapsed="false">
      <c r="A63" s="113" t="n">
        <f aca="false">ExportRaw!$F63</f>
        <v>0</v>
      </c>
      <c r="B63" s="113" t="n">
        <f aca="false">ExportRaw!$C63</f>
        <v>0</v>
      </c>
      <c r="C63" s="113" t="n">
        <f aca="false">ExportRaw!$G63</f>
        <v>0</v>
      </c>
      <c r="D63" s="113" t="str">
        <f aca="false">ExportRaw!$E63</f>
        <v/>
      </c>
      <c r="E63" s="114" t="str">
        <f aca="false">ExportRaw!$D63</f>
        <v/>
      </c>
      <c r="F63" s="113" t="str">
        <f aca="false">ExportRaw!$H63</f>
        <v/>
      </c>
      <c r="G63" s="113" t="str">
        <f aca="false">ExportRaw!$I63</f>
        <v/>
      </c>
      <c r="H63" s="113" t="str">
        <f aca="false">ExportRaw!$A63</f>
        <v/>
      </c>
      <c r="I63" s="113" t="str">
        <f aca="false">ExportRaw!$B63</f>
        <v/>
      </c>
    </row>
    <row r="64" customFormat="false" ht="15.75" hidden="false" customHeight="false" outlineLevel="0" collapsed="false">
      <c r="A64" s="113" t="n">
        <f aca="false">ExportRaw!$F64</f>
        <v>0</v>
      </c>
      <c r="B64" s="113" t="n">
        <f aca="false">ExportRaw!$C64</f>
        <v>0</v>
      </c>
      <c r="C64" s="113" t="n">
        <f aca="false">ExportRaw!$G64</f>
        <v>0</v>
      </c>
      <c r="D64" s="113" t="str">
        <f aca="false">ExportRaw!$E64</f>
        <v/>
      </c>
      <c r="E64" s="114" t="str">
        <f aca="false">ExportRaw!$D64</f>
        <v/>
      </c>
      <c r="F64" s="113" t="str">
        <f aca="false">ExportRaw!$H64</f>
        <v/>
      </c>
      <c r="G64" s="113" t="str">
        <f aca="false">ExportRaw!$I64</f>
        <v/>
      </c>
      <c r="H64" s="113" t="str">
        <f aca="false">ExportRaw!$A64</f>
        <v/>
      </c>
      <c r="I64" s="113" t="str">
        <f aca="false">ExportRaw!$B64</f>
        <v/>
      </c>
    </row>
    <row r="65" customFormat="false" ht="15.75" hidden="false" customHeight="false" outlineLevel="0" collapsed="false">
      <c r="A65" s="113" t="n">
        <f aca="false">ExportRaw!$F65</f>
        <v>0</v>
      </c>
      <c r="B65" s="113" t="n">
        <f aca="false">ExportRaw!$C65</f>
        <v>0</v>
      </c>
      <c r="C65" s="113" t="n">
        <f aca="false">ExportRaw!$G65</f>
        <v>0</v>
      </c>
      <c r="D65" s="113" t="str">
        <f aca="false">ExportRaw!$E65</f>
        <v/>
      </c>
      <c r="E65" s="114" t="str">
        <f aca="false">ExportRaw!$D65</f>
        <v/>
      </c>
      <c r="F65" s="113" t="str">
        <f aca="false">ExportRaw!$H65</f>
        <v/>
      </c>
      <c r="G65" s="113" t="str">
        <f aca="false">ExportRaw!$I65</f>
        <v/>
      </c>
      <c r="H65" s="113" t="str">
        <f aca="false">ExportRaw!$A65</f>
        <v/>
      </c>
      <c r="I65" s="113" t="str">
        <f aca="false">ExportRaw!$B65</f>
        <v/>
      </c>
    </row>
    <row r="66" customFormat="false" ht="15.75" hidden="false" customHeight="false" outlineLevel="0" collapsed="false">
      <c r="A66" s="113" t="n">
        <f aca="false">ExportRaw!$F66</f>
        <v>0</v>
      </c>
      <c r="B66" s="113" t="n">
        <f aca="false">ExportRaw!$C66</f>
        <v>0</v>
      </c>
      <c r="C66" s="113" t="n">
        <f aca="false">ExportRaw!$G66</f>
        <v>0</v>
      </c>
      <c r="D66" s="113" t="str">
        <f aca="false">ExportRaw!$E66</f>
        <v/>
      </c>
      <c r="E66" s="114" t="str">
        <f aca="false">ExportRaw!$D66</f>
        <v/>
      </c>
      <c r="F66" s="113" t="str">
        <f aca="false">ExportRaw!$H66</f>
        <v/>
      </c>
      <c r="G66" s="113" t="str">
        <f aca="false">ExportRaw!$I66</f>
        <v/>
      </c>
      <c r="H66" s="113" t="str">
        <f aca="false">ExportRaw!$A66</f>
        <v/>
      </c>
      <c r="I66" s="113" t="str">
        <f aca="false">ExportRaw!$B66</f>
        <v/>
      </c>
    </row>
    <row r="67" customFormat="false" ht="15.75" hidden="false" customHeight="false" outlineLevel="0" collapsed="false">
      <c r="A67" s="113" t="n">
        <f aca="false">ExportRaw!$F67</f>
        <v>0</v>
      </c>
      <c r="B67" s="113" t="n">
        <f aca="false">ExportRaw!$C67</f>
        <v>0</v>
      </c>
      <c r="C67" s="113" t="n">
        <f aca="false">ExportRaw!$G67</f>
        <v>0</v>
      </c>
      <c r="D67" s="113" t="str">
        <f aca="false">ExportRaw!$E67</f>
        <v/>
      </c>
      <c r="E67" s="114" t="str">
        <f aca="false">ExportRaw!$D67</f>
        <v/>
      </c>
      <c r="F67" s="113" t="str">
        <f aca="false">ExportRaw!$H67</f>
        <v/>
      </c>
      <c r="G67" s="113" t="str">
        <f aca="false">ExportRaw!$I67</f>
        <v/>
      </c>
      <c r="H67" s="113" t="str">
        <f aca="false">ExportRaw!$A67</f>
        <v/>
      </c>
      <c r="I67" s="113" t="str">
        <f aca="false">ExportRaw!$B67</f>
        <v/>
      </c>
    </row>
    <row r="68" customFormat="false" ht="15.75" hidden="false" customHeight="false" outlineLevel="0" collapsed="false">
      <c r="A68" s="113" t="n">
        <f aca="false">ExportRaw!$F68</f>
        <v>0</v>
      </c>
      <c r="B68" s="113" t="n">
        <f aca="false">ExportRaw!$C68</f>
        <v>0</v>
      </c>
      <c r="C68" s="113" t="n">
        <f aca="false">ExportRaw!$G68</f>
        <v>0</v>
      </c>
      <c r="D68" s="113" t="str">
        <f aca="false">ExportRaw!$E68</f>
        <v/>
      </c>
      <c r="E68" s="114" t="str">
        <f aca="false">ExportRaw!$D68</f>
        <v/>
      </c>
      <c r="F68" s="113" t="str">
        <f aca="false">ExportRaw!$H68</f>
        <v/>
      </c>
      <c r="G68" s="113" t="str">
        <f aca="false">ExportRaw!$I68</f>
        <v/>
      </c>
      <c r="H68" s="113" t="str">
        <f aca="false">ExportRaw!$A68</f>
        <v/>
      </c>
      <c r="I68" s="113" t="str">
        <f aca="false">ExportRaw!$B68</f>
        <v/>
      </c>
    </row>
    <row r="69" customFormat="false" ht="15.75" hidden="false" customHeight="false" outlineLevel="0" collapsed="false">
      <c r="A69" s="113" t="n">
        <f aca="false">ExportRaw!$F69</f>
        <v>0</v>
      </c>
      <c r="B69" s="113" t="n">
        <f aca="false">ExportRaw!$C69</f>
        <v>0</v>
      </c>
      <c r="C69" s="113" t="n">
        <f aca="false">ExportRaw!$G69</f>
        <v>0</v>
      </c>
      <c r="D69" s="113" t="str">
        <f aca="false">ExportRaw!$E69</f>
        <v/>
      </c>
      <c r="E69" s="114" t="str">
        <f aca="false">ExportRaw!$D69</f>
        <v/>
      </c>
      <c r="F69" s="113" t="str">
        <f aca="false">ExportRaw!$H69</f>
        <v/>
      </c>
      <c r="G69" s="113" t="str">
        <f aca="false">ExportRaw!$I69</f>
        <v/>
      </c>
      <c r="H69" s="113" t="str">
        <f aca="false">ExportRaw!$A69</f>
        <v/>
      </c>
      <c r="I69" s="113" t="str">
        <f aca="false">ExportRaw!$B69</f>
        <v/>
      </c>
    </row>
    <row r="70" customFormat="false" ht="15.75" hidden="false" customHeight="false" outlineLevel="0" collapsed="false">
      <c r="A70" s="113" t="n">
        <f aca="false">ExportRaw!$F70</f>
        <v>0</v>
      </c>
      <c r="B70" s="113" t="n">
        <f aca="false">ExportRaw!$C70</f>
        <v>0</v>
      </c>
      <c r="C70" s="113" t="n">
        <f aca="false">ExportRaw!$G70</f>
        <v>0</v>
      </c>
      <c r="D70" s="113" t="str">
        <f aca="false">ExportRaw!$E70</f>
        <v/>
      </c>
      <c r="E70" s="114" t="str">
        <f aca="false">ExportRaw!$D70</f>
        <v/>
      </c>
      <c r="F70" s="113" t="str">
        <f aca="false">ExportRaw!$H70</f>
        <v/>
      </c>
      <c r="G70" s="113" t="str">
        <f aca="false">ExportRaw!$I70</f>
        <v/>
      </c>
      <c r="H70" s="113" t="str">
        <f aca="false">ExportRaw!$A70</f>
        <v/>
      </c>
      <c r="I70" s="113" t="str">
        <f aca="false">ExportRaw!$B70</f>
        <v/>
      </c>
    </row>
    <row r="71" customFormat="false" ht="15.75" hidden="false" customHeight="false" outlineLevel="0" collapsed="false">
      <c r="A71" s="113" t="n">
        <f aca="false">ExportRaw!$F71</f>
        <v>0</v>
      </c>
      <c r="B71" s="113" t="n">
        <f aca="false">ExportRaw!$C71</f>
        <v>0</v>
      </c>
      <c r="C71" s="113" t="n">
        <f aca="false">ExportRaw!$G71</f>
        <v>0</v>
      </c>
      <c r="D71" s="113" t="str">
        <f aca="false">ExportRaw!$E71</f>
        <v/>
      </c>
      <c r="E71" s="114" t="str">
        <f aca="false">ExportRaw!$D71</f>
        <v/>
      </c>
      <c r="F71" s="113" t="str">
        <f aca="false">ExportRaw!$H71</f>
        <v/>
      </c>
      <c r="G71" s="113" t="str">
        <f aca="false">ExportRaw!$I71</f>
        <v/>
      </c>
      <c r="H71" s="113" t="str">
        <f aca="false">ExportRaw!$A71</f>
        <v/>
      </c>
      <c r="I71" s="113" t="str">
        <f aca="false">ExportRaw!$B71</f>
        <v/>
      </c>
    </row>
    <row r="72" customFormat="false" ht="15.75" hidden="false" customHeight="false" outlineLevel="0" collapsed="false">
      <c r="A72" s="113" t="n">
        <f aca="false">ExportRaw!$F72</f>
        <v>0</v>
      </c>
      <c r="B72" s="113" t="n">
        <f aca="false">ExportRaw!$C72</f>
        <v>0</v>
      </c>
      <c r="C72" s="113" t="n">
        <f aca="false">ExportRaw!$G72</f>
        <v>0</v>
      </c>
      <c r="D72" s="113" t="str">
        <f aca="false">ExportRaw!$E72</f>
        <v/>
      </c>
      <c r="E72" s="114" t="str">
        <f aca="false">ExportRaw!$D72</f>
        <v/>
      </c>
      <c r="F72" s="113" t="str">
        <f aca="false">ExportRaw!$H72</f>
        <v/>
      </c>
      <c r="G72" s="113" t="str">
        <f aca="false">ExportRaw!$I72</f>
        <v/>
      </c>
      <c r="H72" s="113" t="str">
        <f aca="false">ExportRaw!$A72</f>
        <v/>
      </c>
      <c r="I72" s="113" t="str">
        <f aca="false">ExportRaw!$B72</f>
        <v/>
      </c>
    </row>
    <row r="73" customFormat="false" ht="15.75" hidden="false" customHeight="false" outlineLevel="0" collapsed="false">
      <c r="A73" s="113" t="n">
        <f aca="false">ExportRaw!$F73</f>
        <v>0</v>
      </c>
      <c r="B73" s="113" t="n">
        <f aca="false">ExportRaw!$C73</f>
        <v>0</v>
      </c>
      <c r="C73" s="113" t="n">
        <f aca="false">ExportRaw!$G73</f>
        <v>0</v>
      </c>
      <c r="D73" s="113" t="str">
        <f aca="false">ExportRaw!$E73</f>
        <v/>
      </c>
      <c r="E73" s="114" t="str">
        <f aca="false">ExportRaw!$D73</f>
        <v/>
      </c>
      <c r="F73" s="113" t="str">
        <f aca="false">ExportRaw!$H73</f>
        <v/>
      </c>
      <c r="G73" s="113" t="str">
        <f aca="false">ExportRaw!$I73</f>
        <v/>
      </c>
      <c r="H73" s="113" t="str">
        <f aca="false">ExportRaw!$A73</f>
        <v/>
      </c>
      <c r="I73" s="113" t="str">
        <f aca="false">ExportRaw!$B73</f>
        <v/>
      </c>
    </row>
    <row r="74" customFormat="false" ht="15.75" hidden="false" customHeight="false" outlineLevel="0" collapsed="false">
      <c r="A74" s="113" t="n">
        <f aca="false">ExportRaw!$F74</f>
        <v>0</v>
      </c>
      <c r="B74" s="113" t="n">
        <f aca="false">ExportRaw!$C74</f>
        <v>0</v>
      </c>
      <c r="C74" s="113" t="n">
        <f aca="false">ExportRaw!$G74</f>
        <v>0</v>
      </c>
      <c r="D74" s="113" t="str">
        <f aca="false">ExportRaw!$E74</f>
        <v/>
      </c>
      <c r="E74" s="114" t="str">
        <f aca="false">ExportRaw!$D74</f>
        <v/>
      </c>
      <c r="F74" s="113" t="str">
        <f aca="false">ExportRaw!$H74</f>
        <v/>
      </c>
      <c r="G74" s="113" t="str">
        <f aca="false">ExportRaw!$I74</f>
        <v/>
      </c>
      <c r="H74" s="113" t="str">
        <f aca="false">ExportRaw!$A74</f>
        <v/>
      </c>
      <c r="I74" s="113" t="str">
        <f aca="false">ExportRaw!$B74</f>
        <v/>
      </c>
    </row>
    <row r="75" customFormat="false" ht="15.75" hidden="false" customHeight="false" outlineLevel="0" collapsed="false">
      <c r="A75" s="113" t="n">
        <f aca="false">ExportRaw!$F75</f>
        <v>0</v>
      </c>
      <c r="B75" s="113" t="n">
        <f aca="false">ExportRaw!$C75</f>
        <v>0</v>
      </c>
      <c r="C75" s="113" t="n">
        <f aca="false">ExportRaw!$G75</f>
        <v>0</v>
      </c>
      <c r="D75" s="113" t="str">
        <f aca="false">ExportRaw!$E75</f>
        <v/>
      </c>
      <c r="E75" s="114" t="str">
        <f aca="false">ExportRaw!$D75</f>
        <v/>
      </c>
      <c r="F75" s="113" t="str">
        <f aca="false">ExportRaw!$H75</f>
        <v/>
      </c>
      <c r="G75" s="113" t="str">
        <f aca="false">ExportRaw!$I75</f>
        <v/>
      </c>
      <c r="H75" s="113" t="str">
        <f aca="false">ExportRaw!$A75</f>
        <v/>
      </c>
      <c r="I75" s="113" t="str">
        <f aca="false">ExportRaw!$B75</f>
        <v/>
      </c>
    </row>
    <row r="76" customFormat="false" ht="15.75" hidden="false" customHeight="false" outlineLevel="0" collapsed="false">
      <c r="A76" s="113" t="n">
        <f aca="false">ExportRaw!$F76</f>
        <v>0</v>
      </c>
      <c r="B76" s="113" t="n">
        <f aca="false">ExportRaw!$C76</f>
        <v>0</v>
      </c>
      <c r="C76" s="113" t="n">
        <f aca="false">ExportRaw!$G76</f>
        <v>0</v>
      </c>
      <c r="D76" s="113" t="str">
        <f aca="false">ExportRaw!$E76</f>
        <v/>
      </c>
      <c r="E76" s="114" t="str">
        <f aca="false">ExportRaw!$D76</f>
        <v/>
      </c>
      <c r="F76" s="113" t="str">
        <f aca="false">ExportRaw!$H76</f>
        <v/>
      </c>
      <c r="G76" s="113" t="str">
        <f aca="false">ExportRaw!$I76</f>
        <v/>
      </c>
      <c r="H76" s="113" t="str">
        <f aca="false">ExportRaw!$A76</f>
        <v/>
      </c>
      <c r="I76" s="113" t="str">
        <f aca="false">ExportRaw!$B76</f>
        <v/>
      </c>
    </row>
    <row r="77" customFormat="false" ht="15.75" hidden="false" customHeight="false" outlineLevel="0" collapsed="false">
      <c r="A77" s="113" t="n">
        <f aca="false">ExportRaw!$F77</f>
        <v>0</v>
      </c>
      <c r="B77" s="113" t="n">
        <f aca="false">ExportRaw!$C77</f>
        <v>0</v>
      </c>
      <c r="C77" s="113" t="n">
        <f aca="false">ExportRaw!$G77</f>
        <v>0</v>
      </c>
      <c r="D77" s="113" t="str">
        <f aca="false">ExportRaw!$E77</f>
        <v/>
      </c>
      <c r="E77" s="114" t="str">
        <f aca="false">ExportRaw!$D77</f>
        <v/>
      </c>
      <c r="F77" s="113" t="str">
        <f aca="false">ExportRaw!$H77</f>
        <v/>
      </c>
      <c r="G77" s="113" t="str">
        <f aca="false">ExportRaw!$I77</f>
        <v/>
      </c>
      <c r="H77" s="113" t="str">
        <f aca="false">ExportRaw!$A77</f>
        <v/>
      </c>
      <c r="I77" s="113" t="str">
        <f aca="false">ExportRaw!$B77</f>
        <v/>
      </c>
    </row>
    <row r="78" customFormat="false" ht="15.75" hidden="false" customHeight="false" outlineLevel="0" collapsed="false">
      <c r="A78" s="113" t="n">
        <f aca="false">ExportRaw!$F78</f>
        <v>0</v>
      </c>
      <c r="B78" s="113" t="n">
        <f aca="false">ExportRaw!$C78</f>
        <v>0</v>
      </c>
      <c r="C78" s="113" t="n">
        <f aca="false">ExportRaw!$G78</f>
        <v>0</v>
      </c>
      <c r="D78" s="113" t="str">
        <f aca="false">ExportRaw!$E78</f>
        <v/>
      </c>
      <c r="E78" s="114" t="str">
        <f aca="false">ExportRaw!$D78</f>
        <v/>
      </c>
      <c r="F78" s="113" t="str">
        <f aca="false">ExportRaw!$H78</f>
        <v/>
      </c>
      <c r="G78" s="113" t="str">
        <f aca="false">ExportRaw!$I78</f>
        <v/>
      </c>
      <c r="H78" s="113" t="str">
        <f aca="false">ExportRaw!$A78</f>
        <v/>
      </c>
      <c r="I78" s="113" t="str">
        <f aca="false">ExportRaw!$B78</f>
        <v/>
      </c>
    </row>
    <row r="79" customFormat="false" ht="15.75" hidden="false" customHeight="false" outlineLevel="0" collapsed="false">
      <c r="A79" s="113" t="n">
        <f aca="false">ExportRaw!$F79</f>
        <v>0</v>
      </c>
      <c r="B79" s="113" t="n">
        <f aca="false">ExportRaw!$C79</f>
        <v>0</v>
      </c>
      <c r="C79" s="113" t="n">
        <f aca="false">ExportRaw!$G79</f>
        <v>0</v>
      </c>
      <c r="D79" s="113" t="str">
        <f aca="false">ExportRaw!$E79</f>
        <v/>
      </c>
      <c r="E79" s="114" t="str">
        <f aca="false">ExportRaw!$D79</f>
        <v/>
      </c>
      <c r="F79" s="113" t="str">
        <f aca="false">ExportRaw!$H79</f>
        <v/>
      </c>
      <c r="G79" s="113" t="str">
        <f aca="false">ExportRaw!$I79</f>
        <v/>
      </c>
      <c r="H79" s="113" t="str">
        <f aca="false">ExportRaw!$A79</f>
        <v/>
      </c>
      <c r="I79" s="113" t="str">
        <f aca="false">ExportRaw!$B79</f>
        <v/>
      </c>
    </row>
    <row r="80" customFormat="false" ht="15.75" hidden="false" customHeight="false" outlineLevel="0" collapsed="false">
      <c r="A80" s="113" t="n">
        <f aca="false">ExportRaw!$F80</f>
        <v>0</v>
      </c>
      <c r="B80" s="113" t="n">
        <f aca="false">ExportRaw!$C80</f>
        <v>0</v>
      </c>
      <c r="C80" s="113" t="n">
        <f aca="false">ExportRaw!$G80</f>
        <v>0</v>
      </c>
      <c r="D80" s="113" t="str">
        <f aca="false">ExportRaw!$E80</f>
        <v/>
      </c>
      <c r="E80" s="114" t="str">
        <f aca="false">ExportRaw!$D80</f>
        <v/>
      </c>
      <c r="F80" s="113" t="str">
        <f aca="false">ExportRaw!$H80</f>
        <v/>
      </c>
      <c r="G80" s="113" t="str">
        <f aca="false">ExportRaw!$I80</f>
        <v/>
      </c>
      <c r="H80" s="113" t="str">
        <f aca="false">ExportRaw!$A80</f>
        <v/>
      </c>
      <c r="I80" s="113" t="str">
        <f aca="false">ExportRaw!$B80</f>
        <v/>
      </c>
    </row>
    <row r="81" customFormat="false" ht="15.75" hidden="false" customHeight="false" outlineLevel="0" collapsed="false">
      <c r="A81" s="113" t="n">
        <f aca="false">ExportRaw!$F81</f>
        <v>0</v>
      </c>
      <c r="B81" s="113" t="n">
        <f aca="false">ExportRaw!$C81</f>
        <v>0</v>
      </c>
      <c r="C81" s="113" t="n">
        <f aca="false">ExportRaw!$G81</f>
        <v>0</v>
      </c>
      <c r="D81" s="113" t="str">
        <f aca="false">ExportRaw!$E81</f>
        <v/>
      </c>
      <c r="E81" s="114" t="str">
        <f aca="false">ExportRaw!$D81</f>
        <v/>
      </c>
      <c r="F81" s="113" t="str">
        <f aca="false">ExportRaw!$H81</f>
        <v/>
      </c>
      <c r="G81" s="113" t="str">
        <f aca="false">ExportRaw!$I81</f>
        <v/>
      </c>
      <c r="H81" s="113" t="str">
        <f aca="false">ExportRaw!$A81</f>
        <v/>
      </c>
      <c r="I81" s="113" t="str">
        <f aca="false">ExportRaw!$B81</f>
        <v/>
      </c>
    </row>
    <row r="82" customFormat="false" ht="15.75" hidden="false" customHeight="false" outlineLevel="0" collapsed="false">
      <c r="A82" s="113" t="n">
        <f aca="false">ExportRaw!$F82</f>
        <v>0</v>
      </c>
      <c r="B82" s="113" t="n">
        <f aca="false">ExportRaw!$C82</f>
        <v>0</v>
      </c>
      <c r="C82" s="113" t="n">
        <f aca="false">ExportRaw!$G82</f>
        <v>0</v>
      </c>
      <c r="D82" s="113" t="str">
        <f aca="false">ExportRaw!$E82</f>
        <v/>
      </c>
      <c r="E82" s="114" t="str">
        <f aca="false">ExportRaw!$D82</f>
        <v/>
      </c>
      <c r="F82" s="113" t="str">
        <f aca="false">ExportRaw!$H82</f>
        <v/>
      </c>
      <c r="G82" s="113" t="str">
        <f aca="false">ExportRaw!$I82</f>
        <v/>
      </c>
      <c r="H82" s="113" t="str">
        <f aca="false">ExportRaw!$A82</f>
        <v/>
      </c>
      <c r="I82" s="113" t="str">
        <f aca="false">ExportRaw!$B82</f>
        <v/>
      </c>
    </row>
    <row r="83" customFormat="false" ht="15.75" hidden="false" customHeight="false" outlineLevel="0" collapsed="false">
      <c r="A83" s="113" t="n">
        <f aca="false">ExportRaw!$F83</f>
        <v>0</v>
      </c>
      <c r="B83" s="113" t="n">
        <f aca="false">ExportRaw!$C83</f>
        <v>0</v>
      </c>
      <c r="C83" s="113" t="n">
        <f aca="false">ExportRaw!$G83</f>
        <v>0</v>
      </c>
      <c r="D83" s="113" t="str">
        <f aca="false">ExportRaw!$E83</f>
        <v/>
      </c>
      <c r="E83" s="114" t="str">
        <f aca="false">ExportRaw!$D83</f>
        <v/>
      </c>
      <c r="F83" s="113" t="str">
        <f aca="false">ExportRaw!$H83</f>
        <v/>
      </c>
      <c r="G83" s="113" t="str">
        <f aca="false">ExportRaw!$I83</f>
        <v/>
      </c>
      <c r="H83" s="113" t="str">
        <f aca="false">ExportRaw!$A83</f>
        <v/>
      </c>
      <c r="I83" s="113" t="str">
        <f aca="false">ExportRaw!$B83</f>
        <v/>
      </c>
    </row>
    <row r="84" customFormat="false" ht="15.75" hidden="false" customHeight="false" outlineLevel="0" collapsed="false">
      <c r="A84" s="113" t="n">
        <f aca="false">ExportRaw!$F84</f>
        <v>0</v>
      </c>
      <c r="B84" s="113" t="n">
        <f aca="false">ExportRaw!$C84</f>
        <v>0</v>
      </c>
      <c r="C84" s="113" t="n">
        <f aca="false">ExportRaw!$G84</f>
        <v>0</v>
      </c>
      <c r="D84" s="113" t="str">
        <f aca="false">ExportRaw!$E84</f>
        <v/>
      </c>
      <c r="E84" s="114" t="str">
        <f aca="false">ExportRaw!$D84</f>
        <v/>
      </c>
      <c r="F84" s="113" t="str">
        <f aca="false">ExportRaw!$H84</f>
        <v/>
      </c>
      <c r="G84" s="113" t="str">
        <f aca="false">ExportRaw!$I84</f>
        <v/>
      </c>
      <c r="H84" s="113" t="str">
        <f aca="false">ExportRaw!$A84</f>
        <v/>
      </c>
      <c r="I84" s="113" t="str">
        <f aca="false">ExportRaw!$B84</f>
        <v/>
      </c>
    </row>
    <row r="85" customFormat="false" ht="15.75" hidden="false" customHeight="false" outlineLevel="0" collapsed="false">
      <c r="A85" s="113" t="n">
        <f aca="false">ExportRaw!$F85</f>
        <v>0</v>
      </c>
      <c r="B85" s="113" t="n">
        <f aca="false">ExportRaw!$C85</f>
        <v>0</v>
      </c>
      <c r="C85" s="113" t="n">
        <f aca="false">ExportRaw!$G85</f>
        <v>0</v>
      </c>
      <c r="D85" s="113" t="str">
        <f aca="false">ExportRaw!$E85</f>
        <v/>
      </c>
      <c r="E85" s="114" t="str">
        <f aca="false">ExportRaw!$D85</f>
        <v/>
      </c>
      <c r="F85" s="113" t="str">
        <f aca="false">ExportRaw!$H85</f>
        <v/>
      </c>
      <c r="G85" s="113" t="str">
        <f aca="false">ExportRaw!$I85</f>
        <v/>
      </c>
      <c r="H85" s="113" t="str">
        <f aca="false">ExportRaw!$A85</f>
        <v/>
      </c>
      <c r="I85" s="113" t="str">
        <f aca="false">ExportRaw!$B85</f>
        <v/>
      </c>
    </row>
    <row r="86" customFormat="false" ht="15.75" hidden="false" customHeight="false" outlineLevel="0" collapsed="false">
      <c r="A86" s="113" t="n">
        <f aca="false">ExportRaw!$F86</f>
        <v>0</v>
      </c>
      <c r="B86" s="113" t="n">
        <f aca="false">ExportRaw!$C86</f>
        <v>0</v>
      </c>
      <c r="C86" s="113" t="n">
        <f aca="false">ExportRaw!$G86</f>
        <v>0</v>
      </c>
      <c r="D86" s="113" t="str">
        <f aca="false">ExportRaw!$E86</f>
        <v/>
      </c>
      <c r="E86" s="114" t="str">
        <f aca="false">ExportRaw!$D86</f>
        <v/>
      </c>
      <c r="F86" s="113" t="str">
        <f aca="false">ExportRaw!$H86</f>
        <v/>
      </c>
      <c r="G86" s="113" t="str">
        <f aca="false">ExportRaw!$I86</f>
        <v/>
      </c>
      <c r="H86" s="113" t="str">
        <f aca="false">ExportRaw!$A86</f>
        <v/>
      </c>
      <c r="I86" s="113" t="str">
        <f aca="false">ExportRaw!$B86</f>
        <v/>
      </c>
    </row>
    <row r="87" customFormat="false" ht="15.75" hidden="false" customHeight="false" outlineLevel="0" collapsed="false">
      <c r="A87" s="113" t="n">
        <f aca="false">ExportRaw!$F87</f>
        <v>0</v>
      </c>
      <c r="B87" s="113" t="n">
        <f aca="false">ExportRaw!$C87</f>
        <v>0</v>
      </c>
      <c r="C87" s="113" t="n">
        <f aca="false">ExportRaw!$G87</f>
        <v>0</v>
      </c>
      <c r="D87" s="113" t="str">
        <f aca="false">ExportRaw!$E87</f>
        <v/>
      </c>
      <c r="E87" s="114" t="str">
        <f aca="false">ExportRaw!$D87</f>
        <v/>
      </c>
      <c r="F87" s="113" t="str">
        <f aca="false">ExportRaw!$H87</f>
        <v/>
      </c>
      <c r="G87" s="113" t="str">
        <f aca="false">ExportRaw!$I87</f>
        <v/>
      </c>
      <c r="H87" s="113" t="str">
        <f aca="false">ExportRaw!$A87</f>
        <v/>
      </c>
      <c r="I87" s="113" t="str">
        <f aca="false">ExportRaw!$B87</f>
        <v/>
      </c>
    </row>
    <row r="88" customFormat="false" ht="15.75" hidden="false" customHeight="false" outlineLevel="0" collapsed="false">
      <c r="A88" s="113" t="n">
        <f aca="false">ExportRaw!$F88</f>
        <v>0</v>
      </c>
      <c r="B88" s="113" t="n">
        <f aca="false">ExportRaw!$C88</f>
        <v>0</v>
      </c>
      <c r="C88" s="113" t="n">
        <f aca="false">ExportRaw!$G88</f>
        <v>0</v>
      </c>
      <c r="D88" s="113" t="str">
        <f aca="false">ExportRaw!$E88</f>
        <v/>
      </c>
      <c r="E88" s="114" t="str">
        <f aca="false">ExportRaw!$D88</f>
        <v/>
      </c>
      <c r="F88" s="113" t="str">
        <f aca="false">ExportRaw!$H88</f>
        <v/>
      </c>
      <c r="G88" s="113" t="str">
        <f aca="false">ExportRaw!$I88</f>
        <v/>
      </c>
      <c r="H88" s="113" t="str">
        <f aca="false">ExportRaw!$A88</f>
        <v/>
      </c>
      <c r="I88" s="113" t="str">
        <f aca="false">ExportRaw!$B88</f>
        <v/>
      </c>
    </row>
    <row r="89" customFormat="false" ht="15.75" hidden="false" customHeight="false" outlineLevel="0" collapsed="false">
      <c r="A89" s="113" t="n">
        <f aca="false">ExportRaw!$F89</f>
        <v>0</v>
      </c>
      <c r="B89" s="113" t="n">
        <f aca="false">ExportRaw!$C89</f>
        <v>0</v>
      </c>
      <c r="C89" s="113" t="n">
        <f aca="false">ExportRaw!$G89</f>
        <v>0</v>
      </c>
      <c r="D89" s="113" t="str">
        <f aca="false">ExportRaw!$E89</f>
        <v/>
      </c>
      <c r="E89" s="114" t="str">
        <f aca="false">ExportRaw!$D89</f>
        <v/>
      </c>
      <c r="F89" s="113" t="str">
        <f aca="false">ExportRaw!$H89</f>
        <v/>
      </c>
      <c r="G89" s="113" t="str">
        <f aca="false">ExportRaw!$I89</f>
        <v/>
      </c>
      <c r="H89" s="113" t="str">
        <f aca="false">ExportRaw!$A89</f>
        <v/>
      </c>
      <c r="I89" s="113" t="str">
        <f aca="false">ExportRaw!$B89</f>
        <v/>
      </c>
    </row>
    <row r="90" customFormat="false" ht="15.75" hidden="false" customHeight="false" outlineLevel="0" collapsed="false">
      <c r="A90" s="113" t="n">
        <f aca="false">ExportRaw!$F90</f>
        <v>0</v>
      </c>
      <c r="B90" s="113" t="n">
        <f aca="false">ExportRaw!$C90</f>
        <v>0</v>
      </c>
      <c r="C90" s="113" t="n">
        <f aca="false">ExportRaw!$G90</f>
        <v>0</v>
      </c>
      <c r="D90" s="113" t="str">
        <f aca="false">ExportRaw!$E90</f>
        <v/>
      </c>
      <c r="E90" s="114" t="str">
        <f aca="false">ExportRaw!$D90</f>
        <v/>
      </c>
      <c r="F90" s="113" t="str">
        <f aca="false">ExportRaw!$H90</f>
        <v/>
      </c>
      <c r="G90" s="113" t="str">
        <f aca="false">ExportRaw!$I90</f>
        <v/>
      </c>
      <c r="H90" s="113" t="str">
        <f aca="false">ExportRaw!$A90</f>
        <v/>
      </c>
      <c r="I90" s="113" t="str">
        <f aca="false">ExportRaw!$B90</f>
        <v/>
      </c>
    </row>
    <row r="91" customFormat="false" ht="15.75" hidden="false" customHeight="false" outlineLevel="0" collapsed="false">
      <c r="A91" s="113" t="n">
        <f aca="false">ExportRaw!$F91</f>
        <v>0</v>
      </c>
      <c r="B91" s="113" t="n">
        <f aca="false">ExportRaw!$C91</f>
        <v>0</v>
      </c>
      <c r="C91" s="113" t="n">
        <f aca="false">ExportRaw!$G91</f>
        <v>0</v>
      </c>
      <c r="D91" s="113" t="str">
        <f aca="false">ExportRaw!$E91</f>
        <v/>
      </c>
      <c r="E91" s="114" t="str">
        <f aca="false">ExportRaw!$D91</f>
        <v/>
      </c>
      <c r="F91" s="113" t="str">
        <f aca="false">ExportRaw!$H91</f>
        <v/>
      </c>
      <c r="G91" s="113" t="str">
        <f aca="false">ExportRaw!$I91</f>
        <v/>
      </c>
      <c r="H91" s="113" t="str">
        <f aca="false">ExportRaw!$A91</f>
        <v/>
      </c>
      <c r="I91" s="113" t="str">
        <f aca="false">ExportRaw!$B91</f>
        <v/>
      </c>
    </row>
    <row r="92" customFormat="false" ht="15.75" hidden="false" customHeight="false" outlineLevel="0" collapsed="false">
      <c r="A92" s="113" t="n">
        <f aca="false">ExportRaw!$F92</f>
        <v>0</v>
      </c>
      <c r="B92" s="113" t="n">
        <f aca="false">ExportRaw!$C92</f>
        <v>0</v>
      </c>
      <c r="C92" s="113" t="n">
        <f aca="false">ExportRaw!$G92</f>
        <v>0</v>
      </c>
      <c r="D92" s="113" t="str">
        <f aca="false">ExportRaw!$E92</f>
        <v/>
      </c>
      <c r="E92" s="114" t="str">
        <f aca="false">ExportRaw!$D92</f>
        <v/>
      </c>
      <c r="F92" s="113" t="str">
        <f aca="false">ExportRaw!$H92</f>
        <v/>
      </c>
      <c r="G92" s="113" t="str">
        <f aca="false">ExportRaw!$I92</f>
        <v/>
      </c>
      <c r="H92" s="113" t="str">
        <f aca="false">ExportRaw!$A92</f>
        <v/>
      </c>
      <c r="I92" s="113" t="str">
        <f aca="false">ExportRaw!$B92</f>
        <v/>
      </c>
    </row>
    <row r="93" customFormat="false" ht="15.75" hidden="false" customHeight="false" outlineLevel="0" collapsed="false">
      <c r="A93" s="113" t="n">
        <f aca="false">ExportRaw!$F93</f>
        <v>0</v>
      </c>
      <c r="B93" s="113" t="n">
        <f aca="false">ExportRaw!$C93</f>
        <v>0</v>
      </c>
      <c r="C93" s="113" t="n">
        <f aca="false">ExportRaw!$G93</f>
        <v>0</v>
      </c>
      <c r="D93" s="113" t="str">
        <f aca="false">ExportRaw!$E93</f>
        <v/>
      </c>
      <c r="E93" s="114" t="str">
        <f aca="false">ExportRaw!$D93</f>
        <v/>
      </c>
      <c r="F93" s="113" t="str">
        <f aca="false">ExportRaw!$H93</f>
        <v/>
      </c>
      <c r="G93" s="113" t="str">
        <f aca="false">ExportRaw!$I93</f>
        <v/>
      </c>
      <c r="H93" s="113" t="str">
        <f aca="false">ExportRaw!$A93</f>
        <v/>
      </c>
      <c r="I93" s="113" t="str">
        <f aca="false">ExportRaw!$B93</f>
        <v/>
      </c>
    </row>
    <row r="94" customFormat="false" ht="15.75" hidden="false" customHeight="false" outlineLevel="0" collapsed="false">
      <c r="A94" s="113" t="n">
        <f aca="false">ExportRaw!$F94</f>
        <v>0</v>
      </c>
      <c r="B94" s="113" t="n">
        <f aca="false">ExportRaw!$C94</f>
        <v>0</v>
      </c>
      <c r="C94" s="113" t="n">
        <f aca="false">ExportRaw!$G94</f>
        <v>0</v>
      </c>
      <c r="D94" s="113" t="str">
        <f aca="false">ExportRaw!$E94</f>
        <v/>
      </c>
      <c r="E94" s="114" t="str">
        <f aca="false">ExportRaw!$D94</f>
        <v/>
      </c>
      <c r="F94" s="113" t="str">
        <f aca="false">ExportRaw!$H94</f>
        <v/>
      </c>
      <c r="G94" s="113" t="str">
        <f aca="false">ExportRaw!$I94</f>
        <v/>
      </c>
      <c r="H94" s="113" t="str">
        <f aca="false">ExportRaw!$A94</f>
        <v/>
      </c>
      <c r="I94" s="113" t="str">
        <f aca="false">ExportRaw!$B94</f>
        <v/>
      </c>
    </row>
    <row r="95" customFormat="false" ht="15.75" hidden="false" customHeight="false" outlineLevel="0" collapsed="false">
      <c r="A95" s="113" t="n">
        <f aca="false">ExportRaw!$F95</f>
        <v>0</v>
      </c>
      <c r="B95" s="113" t="n">
        <f aca="false">ExportRaw!$C95</f>
        <v>0</v>
      </c>
      <c r="C95" s="113" t="n">
        <f aca="false">ExportRaw!$G95</f>
        <v>0</v>
      </c>
      <c r="D95" s="113" t="str">
        <f aca="false">ExportRaw!$E95</f>
        <v/>
      </c>
      <c r="E95" s="114" t="str">
        <f aca="false">ExportRaw!$D95</f>
        <v/>
      </c>
      <c r="F95" s="113" t="str">
        <f aca="false">ExportRaw!$H95</f>
        <v/>
      </c>
      <c r="G95" s="113" t="str">
        <f aca="false">ExportRaw!$I95</f>
        <v/>
      </c>
      <c r="H95" s="113" t="str">
        <f aca="false">ExportRaw!$A95</f>
        <v/>
      </c>
      <c r="I95" s="113" t="str">
        <f aca="false">ExportRaw!$B95</f>
        <v/>
      </c>
    </row>
    <row r="96" customFormat="false" ht="15.75" hidden="false" customHeight="false" outlineLevel="0" collapsed="false">
      <c r="A96" s="113" t="n">
        <f aca="false">ExportRaw!$F96</f>
        <v>0</v>
      </c>
      <c r="B96" s="113" t="n">
        <f aca="false">ExportRaw!$C96</f>
        <v>0</v>
      </c>
      <c r="C96" s="113" t="n">
        <f aca="false">ExportRaw!$G96</f>
        <v>0</v>
      </c>
      <c r="D96" s="113" t="str">
        <f aca="false">ExportRaw!$E96</f>
        <v/>
      </c>
      <c r="E96" s="114" t="str">
        <f aca="false">ExportRaw!$D96</f>
        <v/>
      </c>
      <c r="F96" s="113" t="str">
        <f aca="false">ExportRaw!$H96</f>
        <v/>
      </c>
      <c r="G96" s="113" t="str">
        <f aca="false">ExportRaw!$I96</f>
        <v/>
      </c>
      <c r="H96" s="113" t="str">
        <f aca="false">ExportRaw!$A96</f>
        <v/>
      </c>
      <c r="I96" s="113" t="str">
        <f aca="false">ExportRaw!$B96</f>
        <v/>
      </c>
    </row>
    <row r="97" customFormat="false" ht="15.75" hidden="false" customHeight="false" outlineLevel="0" collapsed="false">
      <c r="A97" s="113" t="n">
        <f aca="false">ExportRaw!$F97</f>
        <v>0</v>
      </c>
      <c r="B97" s="113" t="n">
        <f aca="false">ExportRaw!$C97</f>
        <v>0</v>
      </c>
      <c r="C97" s="113" t="n">
        <f aca="false">ExportRaw!$G97</f>
        <v>0</v>
      </c>
      <c r="D97" s="113" t="str">
        <f aca="false">ExportRaw!$E97</f>
        <v/>
      </c>
      <c r="E97" s="114" t="str">
        <f aca="false">ExportRaw!$D97</f>
        <v/>
      </c>
      <c r="F97" s="113" t="str">
        <f aca="false">ExportRaw!$H97</f>
        <v/>
      </c>
      <c r="G97" s="113" t="str">
        <f aca="false">ExportRaw!$I97</f>
        <v/>
      </c>
      <c r="H97" s="113" t="str">
        <f aca="false">ExportRaw!$A97</f>
        <v/>
      </c>
      <c r="I97" s="113" t="str">
        <f aca="false">ExportRaw!$B97</f>
        <v/>
      </c>
    </row>
    <row r="98" customFormat="false" ht="15.75" hidden="false" customHeight="false" outlineLevel="0" collapsed="false">
      <c r="A98" s="113" t="n">
        <f aca="false">ExportRaw!$F98</f>
        <v>0</v>
      </c>
      <c r="B98" s="113" t="n">
        <f aca="false">ExportRaw!$C98</f>
        <v>0</v>
      </c>
      <c r="C98" s="113" t="n">
        <f aca="false">ExportRaw!$G98</f>
        <v>0</v>
      </c>
      <c r="D98" s="113" t="str">
        <f aca="false">ExportRaw!$E98</f>
        <v/>
      </c>
      <c r="E98" s="114" t="str">
        <f aca="false">ExportRaw!$D98</f>
        <v/>
      </c>
      <c r="F98" s="113" t="str">
        <f aca="false">ExportRaw!$H98</f>
        <v/>
      </c>
      <c r="G98" s="113" t="str">
        <f aca="false">ExportRaw!$I98</f>
        <v/>
      </c>
      <c r="H98" s="113" t="str">
        <f aca="false">ExportRaw!$A98</f>
        <v/>
      </c>
      <c r="I98" s="113" t="str">
        <f aca="false">ExportRaw!$B98</f>
        <v/>
      </c>
    </row>
    <row r="99" customFormat="false" ht="15.75" hidden="false" customHeight="false" outlineLevel="0" collapsed="false">
      <c r="A99" s="113" t="n">
        <f aca="false">ExportRaw!$F99</f>
        <v>0</v>
      </c>
      <c r="B99" s="113" t="n">
        <f aca="false">ExportRaw!$C99</f>
        <v>0</v>
      </c>
      <c r="C99" s="113" t="n">
        <f aca="false">ExportRaw!$G99</f>
        <v>0</v>
      </c>
      <c r="D99" s="113" t="str">
        <f aca="false">ExportRaw!$E99</f>
        <v/>
      </c>
      <c r="E99" s="114" t="str">
        <f aca="false">ExportRaw!$D99</f>
        <v/>
      </c>
      <c r="F99" s="113" t="str">
        <f aca="false">ExportRaw!$H99</f>
        <v/>
      </c>
      <c r="G99" s="113" t="str">
        <f aca="false">ExportRaw!$I99</f>
        <v/>
      </c>
      <c r="H99" s="113" t="str">
        <f aca="false">ExportRaw!$A99</f>
        <v/>
      </c>
      <c r="I99" s="113" t="str">
        <f aca="false">ExportRaw!$B99</f>
        <v/>
      </c>
    </row>
    <row r="100" customFormat="false" ht="15.75" hidden="false" customHeight="false" outlineLevel="0" collapsed="false">
      <c r="A100" s="113" t="n">
        <f aca="false">ExportRaw!$F100</f>
        <v>0</v>
      </c>
      <c r="B100" s="113" t="n">
        <f aca="false">ExportRaw!$C100</f>
        <v>0</v>
      </c>
      <c r="C100" s="113" t="n">
        <f aca="false">ExportRaw!$G100</f>
        <v>0</v>
      </c>
      <c r="D100" s="113" t="str">
        <f aca="false">ExportRaw!$E100</f>
        <v/>
      </c>
      <c r="E100" s="114" t="str">
        <f aca="false">ExportRaw!$D100</f>
        <v/>
      </c>
      <c r="F100" s="113" t="str">
        <f aca="false">ExportRaw!$H100</f>
        <v/>
      </c>
      <c r="G100" s="113" t="str">
        <f aca="false">ExportRaw!$I100</f>
        <v/>
      </c>
      <c r="H100" s="113" t="str">
        <f aca="false">ExportRaw!$A100</f>
        <v/>
      </c>
      <c r="I100" s="113" t="str">
        <f aca="false">ExportRaw!$B100</f>
        <v/>
      </c>
    </row>
    <row r="101" customFormat="false" ht="15.75" hidden="false" customHeight="false" outlineLevel="0" collapsed="false">
      <c r="A101" s="113" t="n">
        <f aca="false">ExportRaw!$F101</f>
        <v>0</v>
      </c>
      <c r="B101" s="113" t="n">
        <f aca="false">ExportRaw!$C101</f>
        <v>0</v>
      </c>
      <c r="C101" s="113" t="n">
        <f aca="false">ExportRaw!$G101</f>
        <v>0</v>
      </c>
      <c r="D101" s="113" t="str">
        <f aca="false">ExportRaw!$E101</f>
        <v/>
      </c>
      <c r="E101" s="114" t="str">
        <f aca="false">ExportRaw!$D101</f>
        <v/>
      </c>
      <c r="F101" s="113" t="str">
        <f aca="false">ExportRaw!$H101</f>
        <v/>
      </c>
      <c r="G101" s="113" t="str">
        <f aca="false">ExportRaw!$I101</f>
        <v/>
      </c>
      <c r="H101" s="113" t="str">
        <f aca="false">ExportRaw!$A101</f>
        <v/>
      </c>
      <c r="I101" s="113" t="str">
        <f aca="false">ExportRaw!$B101</f>
        <v/>
      </c>
    </row>
    <row r="102" customFormat="false" ht="15.75" hidden="false" customHeight="false" outlineLevel="0" collapsed="false">
      <c r="A102" s="113" t="n">
        <f aca="false">ExportRaw!$F102</f>
        <v>0</v>
      </c>
      <c r="B102" s="113" t="n">
        <f aca="false">ExportRaw!$C102</f>
        <v>0</v>
      </c>
      <c r="C102" s="113" t="n">
        <f aca="false">ExportRaw!$G102</f>
        <v>0</v>
      </c>
      <c r="D102" s="113" t="str">
        <f aca="false">ExportRaw!$E102</f>
        <v/>
      </c>
      <c r="E102" s="114" t="str">
        <f aca="false">ExportRaw!$D102</f>
        <v/>
      </c>
      <c r="F102" s="113" t="str">
        <f aca="false">ExportRaw!$H102</f>
        <v/>
      </c>
      <c r="G102" s="113" t="str">
        <f aca="false">ExportRaw!$I102</f>
        <v/>
      </c>
      <c r="H102" s="113" t="str">
        <f aca="false">ExportRaw!$A102</f>
        <v/>
      </c>
      <c r="I102" s="113" t="str">
        <f aca="false">ExportRaw!$B102</f>
        <v/>
      </c>
    </row>
    <row r="103" customFormat="false" ht="15.75" hidden="false" customHeight="false" outlineLevel="0" collapsed="false">
      <c r="A103" s="113" t="n">
        <f aca="false">ExportRaw!$F103</f>
        <v>0</v>
      </c>
      <c r="B103" s="113" t="n">
        <f aca="false">ExportRaw!$C103</f>
        <v>0</v>
      </c>
      <c r="C103" s="113" t="n">
        <f aca="false">ExportRaw!$G103</f>
        <v>0</v>
      </c>
      <c r="D103" s="113" t="str">
        <f aca="false">ExportRaw!$E103</f>
        <v/>
      </c>
      <c r="E103" s="114" t="str">
        <f aca="false">ExportRaw!$D103</f>
        <v/>
      </c>
      <c r="F103" s="113" t="str">
        <f aca="false">ExportRaw!$H103</f>
        <v/>
      </c>
      <c r="G103" s="113" t="str">
        <f aca="false">ExportRaw!$I103</f>
        <v/>
      </c>
      <c r="H103" s="113" t="str">
        <f aca="false">ExportRaw!$A103</f>
        <v/>
      </c>
      <c r="I103" s="113" t="str">
        <f aca="false">ExportRaw!$B103</f>
        <v/>
      </c>
    </row>
    <row r="104" customFormat="false" ht="15.75" hidden="false" customHeight="false" outlineLevel="0" collapsed="false">
      <c r="A104" s="113" t="n">
        <f aca="false">ExportRaw!$F104</f>
        <v>0</v>
      </c>
      <c r="B104" s="113" t="n">
        <f aca="false">ExportRaw!$C104</f>
        <v>0</v>
      </c>
      <c r="C104" s="113" t="n">
        <f aca="false">ExportRaw!$G104</f>
        <v>0</v>
      </c>
      <c r="D104" s="113" t="str">
        <f aca="false">ExportRaw!$E104</f>
        <v/>
      </c>
      <c r="E104" s="114" t="str">
        <f aca="false">ExportRaw!$D104</f>
        <v/>
      </c>
      <c r="F104" s="113" t="str">
        <f aca="false">ExportRaw!$H104</f>
        <v/>
      </c>
      <c r="G104" s="113" t="str">
        <f aca="false">ExportRaw!$I104</f>
        <v/>
      </c>
      <c r="H104" s="113" t="str">
        <f aca="false">ExportRaw!$A104</f>
        <v/>
      </c>
      <c r="I104" s="113" t="str">
        <f aca="false">ExportRaw!$B104</f>
        <v/>
      </c>
    </row>
    <row r="105" customFormat="false" ht="15.75" hidden="false" customHeight="false" outlineLevel="0" collapsed="false">
      <c r="A105" s="113" t="n">
        <f aca="false">ExportRaw!$F105</f>
        <v>0</v>
      </c>
      <c r="B105" s="113" t="n">
        <f aca="false">ExportRaw!$C105</f>
        <v>0</v>
      </c>
      <c r="C105" s="113" t="n">
        <f aca="false">ExportRaw!$G105</f>
        <v>0</v>
      </c>
      <c r="D105" s="113" t="str">
        <f aca="false">ExportRaw!$E105</f>
        <v/>
      </c>
      <c r="E105" s="114" t="str">
        <f aca="false">ExportRaw!$D105</f>
        <v/>
      </c>
      <c r="F105" s="113" t="str">
        <f aca="false">ExportRaw!$H105</f>
        <v/>
      </c>
      <c r="G105" s="113" t="str">
        <f aca="false">ExportRaw!$I105</f>
        <v/>
      </c>
      <c r="H105" s="113" t="str">
        <f aca="false">ExportRaw!$A105</f>
        <v/>
      </c>
      <c r="I105" s="113" t="str">
        <f aca="false">ExportRaw!$B105</f>
        <v/>
      </c>
    </row>
    <row r="106" customFormat="false" ht="15.75" hidden="false" customHeight="false" outlineLevel="0" collapsed="false">
      <c r="A106" s="113" t="n">
        <f aca="false">ExportRaw!$F106</f>
        <v>0</v>
      </c>
      <c r="B106" s="113" t="n">
        <f aca="false">ExportRaw!$C106</f>
        <v>0</v>
      </c>
      <c r="C106" s="113" t="n">
        <f aca="false">ExportRaw!$G106</f>
        <v>0</v>
      </c>
      <c r="D106" s="113" t="str">
        <f aca="false">ExportRaw!$E106</f>
        <v/>
      </c>
      <c r="E106" s="114" t="str">
        <f aca="false">ExportRaw!$D106</f>
        <v/>
      </c>
      <c r="F106" s="113" t="str">
        <f aca="false">ExportRaw!$H106</f>
        <v/>
      </c>
      <c r="G106" s="113" t="str">
        <f aca="false">ExportRaw!$I106</f>
        <v/>
      </c>
      <c r="H106" s="113" t="str">
        <f aca="false">ExportRaw!$A106</f>
        <v/>
      </c>
      <c r="I106" s="113" t="str">
        <f aca="false">ExportRaw!$B106</f>
        <v/>
      </c>
    </row>
    <row r="107" customFormat="false" ht="15.75" hidden="false" customHeight="false" outlineLevel="0" collapsed="false">
      <c r="A107" s="113" t="n">
        <f aca="false">ExportRaw!$F107</f>
        <v>0</v>
      </c>
      <c r="B107" s="113" t="n">
        <f aca="false">ExportRaw!$C107</f>
        <v>0</v>
      </c>
      <c r="C107" s="113" t="n">
        <f aca="false">ExportRaw!$G107</f>
        <v>0</v>
      </c>
      <c r="D107" s="113" t="str">
        <f aca="false">ExportRaw!$E107</f>
        <v/>
      </c>
      <c r="E107" s="114" t="str">
        <f aca="false">ExportRaw!$D107</f>
        <v/>
      </c>
      <c r="F107" s="113" t="str">
        <f aca="false">ExportRaw!$H107</f>
        <v/>
      </c>
      <c r="G107" s="113" t="str">
        <f aca="false">ExportRaw!$I107</f>
        <v/>
      </c>
      <c r="H107" s="113" t="str">
        <f aca="false">ExportRaw!$A107</f>
        <v/>
      </c>
      <c r="I107" s="113" t="str">
        <f aca="false">ExportRaw!$B107</f>
        <v/>
      </c>
    </row>
    <row r="108" customFormat="false" ht="15.75" hidden="false" customHeight="false" outlineLevel="0" collapsed="false">
      <c r="A108" s="113" t="n">
        <f aca="false">ExportRaw!$F108</f>
        <v>0</v>
      </c>
      <c r="B108" s="113" t="n">
        <f aca="false">ExportRaw!$C108</f>
        <v>0</v>
      </c>
      <c r="C108" s="113" t="n">
        <f aca="false">ExportRaw!$G108</f>
        <v>0</v>
      </c>
      <c r="D108" s="113" t="str">
        <f aca="false">ExportRaw!$E108</f>
        <v/>
      </c>
      <c r="E108" s="114" t="str">
        <f aca="false">ExportRaw!$D108</f>
        <v/>
      </c>
      <c r="F108" s="113" t="str">
        <f aca="false">ExportRaw!$H108</f>
        <v/>
      </c>
      <c r="G108" s="113" t="str">
        <f aca="false">ExportRaw!$I108</f>
        <v/>
      </c>
      <c r="H108" s="113" t="str">
        <f aca="false">ExportRaw!$A108</f>
        <v/>
      </c>
      <c r="I108" s="113" t="str">
        <f aca="false">ExportRaw!$B108</f>
        <v/>
      </c>
    </row>
    <row r="109" customFormat="false" ht="15.75" hidden="false" customHeight="false" outlineLevel="0" collapsed="false">
      <c r="A109" s="113" t="n">
        <f aca="false">ExportRaw!$F109</f>
        <v>0</v>
      </c>
      <c r="B109" s="113" t="n">
        <f aca="false">ExportRaw!$C109</f>
        <v>0</v>
      </c>
      <c r="C109" s="113" t="n">
        <f aca="false">ExportRaw!$G109</f>
        <v>0</v>
      </c>
      <c r="D109" s="113" t="str">
        <f aca="false">ExportRaw!$E109</f>
        <v/>
      </c>
      <c r="E109" s="114" t="str">
        <f aca="false">ExportRaw!$D109</f>
        <v/>
      </c>
      <c r="F109" s="113" t="str">
        <f aca="false">ExportRaw!$H109</f>
        <v/>
      </c>
      <c r="G109" s="113" t="str">
        <f aca="false">ExportRaw!$I109</f>
        <v/>
      </c>
      <c r="H109" s="113" t="str">
        <f aca="false">ExportRaw!$A109</f>
        <v/>
      </c>
      <c r="I109" s="113" t="str">
        <f aca="false">ExportRaw!$B109</f>
        <v/>
      </c>
    </row>
    <row r="110" customFormat="false" ht="15.75" hidden="false" customHeight="false" outlineLevel="0" collapsed="false">
      <c r="A110" s="113" t="n">
        <f aca="false">ExportRaw!$F110</f>
        <v>0</v>
      </c>
      <c r="B110" s="113" t="n">
        <f aca="false">ExportRaw!$C110</f>
        <v>0</v>
      </c>
      <c r="C110" s="113" t="n">
        <f aca="false">ExportRaw!$G110</f>
        <v>0</v>
      </c>
      <c r="D110" s="113" t="str">
        <f aca="false">ExportRaw!$E110</f>
        <v/>
      </c>
      <c r="E110" s="114" t="str">
        <f aca="false">ExportRaw!$D110</f>
        <v/>
      </c>
      <c r="F110" s="113" t="str">
        <f aca="false">ExportRaw!$H110</f>
        <v/>
      </c>
      <c r="G110" s="113" t="str">
        <f aca="false">ExportRaw!$I110</f>
        <v/>
      </c>
      <c r="H110" s="113" t="str">
        <f aca="false">ExportRaw!$A110</f>
        <v/>
      </c>
      <c r="I110" s="113" t="str">
        <f aca="false">ExportRaw!$B110</f>
        <v/>
      </c>
    </row>
    <row r="111" customFormat="false" ht="15.75" hidden="false" customHeight="false" outlineLevel="0" collapsed="false">
      <c r="A111" s="113" t="n">
        <f aca="false">ExportRaw!$F111</f>
        <v>0</v>
      </c>
      <c r="B111" s="113" t="n">
        <f aca="false">ExportRaw!$C111</f>
        <v>0</v>
      </c>
      <c r="C111" s="113" t="n">
        <f aca="false">ExportRaw!$G111</f>
        <v>0</v>
      </c>
      <c r="D111" s="113" t="str">
        <f aca="false">ExportRaw!$E111</f>
        <v/>
      </c>
      <c r="E111" s="114" t="str">
        <f aca="false">ExportRaw!$D111</f>
        <v/>
      </c>
      <c r="F111" s="113" t="str">
        <f aca="false">ExportRaw!$H111</f>
        <v/>
      </c>
      <c r="G111" s="113" t="str">
        <f aca="false">ExportRaw!$I111</f>
        <v/>
      </c>
      <c r="H111" s="113" t="str">
        <f aca="false">ExportRaw!$A111</f>
        <v/>
      </c>
      <c r="I111" s="113" t="str">
        <f aca="false">ExportRaw!$B111</f>
        <v/>
      </c>
    </row>
    <row r="112" customFormat="false" ht="15.75" hidden="false" customHeight="false" outlineLevel="0" collapsed="false">
      <c r="A112" s="113" t="n">
        <f aca="false">ExportRaw!$F112</f>
        <v>0</v>
      </c>
      <c r="B112" s="113" t="n">
        <f aca="false">ExportRaw!$C112</f>
        <v>0</v>
      </c>
      <c r="C112" s="113" t="n">
        <f aca="false">ExportRaw!$G112</f>
        <v>0</v>
      </c>
      <c r="D112" s="113" t="str">
        <f aca="false">ExportRaw!$E112</f>
        <v/>
      </c>
      <c r="E112" s="114" t="str">
        <f aca="false">ExportRaw!$D112</f>
        <v/>
      </c>
      <c r="F112" s="113" t="str">
        <f aca="false">ExportRaw!$H112</f>
        <v/>
      </c>
      <c r="G112" s="113" t="str">
        <f aca="false">ExportRaw!$I112</f>
        <v/>
      </c>
      <c r="H112" s="113" t="str">
        <f aca="false">ExportRaw!$A112</f>
        <v/>
      </c>
      <c r="I112" s="113" t="str">
        <f aca="false">ExportRaw!$B112</f>
        <v/>
      </c>
    </row>
    <row r="113" customFormat="false" ht="15.75" hidden="false" customHeight="false" outlineLevel="0" collapsed="false">
      <c r="A113" s="113" t="n">
        <f aca="false">ExportRaw!$F113</f>
        <v>0</v>
      </c>
      <c r="B113" s="113" t="n">
        <f aca="false">ExportRaw!$C113</f>
        <v>0</v>
      </c>
      <c r="C113" s="113" t="n">
        <f aca="false">ExportRaw!$G113</f>
        <v>0</v>
      </c>
      <c r="D113" s="113" t="str">
        <f aca="false">ExportRaw!$E113</f>
        <v/>
      </c>
      <c r="E113" s="114" t="str">
        <f aca="false">ExportRaw!$D113</f>
        <v/>
      </c>
      <c r="F113" s="113" t="str">
        <f aca="false">ExportRaw!$H113</f>
        <v/>
      </c>
      <c r="G113" s="113" t="str">
        <f aca="false">ExportRaw!$I113</f>
        <v/>
      </c>
      <c r="H113" s="113" t="str">
        <f aca="false">ExportRaw!$A113</f>
        <v/>
      </c>
      <c r="I113" s="113" t="str">
        <f aca="false">ExportRaw!$B113</f>
        <v/>
      </c>
    </row>
    <row r="114" customFormat="false" ht="15.75" hidden="false" customHeight="false" outlineLevel="0" collapsed="false">
      <c r="A114" s="113" t="n">
        <f aca="false">ExportRaw!$F114</f>
        <v>0</v>
      </c>
      <c r="B114" s="113" t="n">
        <f aca="false">ExportRaw!$C114</f>
        <v>0</v>
      </c>
      <c r="C114" s="113" t="n">
        <f aca="false">ExportRaw!$G114</f>
        <v>0</v>
      </c>
      <c r="D114" s="113" t="str">
        <f aca="false">ExportRaw!$E114</f>
        <v/>
      </c>
      <c r="E114" s="114" t="str">
        <f aca="false">ExportRaw!$D114</f>
        <v/>
      </c>
      <c r="F114" s="113" t="str">
        <f aca="false">ExportRaw!$H114</f>
        <v/>
      </c>
      <c r="G114" s="113" t="str">
        <f aca="false">ExportRaw!$I114</f>
        <v/>
      </c>
      <c r="H114" s="113" t="str">
        <f aca="false">ExportRaw!$A114</f>
        <v/>
      </c>
      <c r="I114" s="113" t="str">
        <f aca="false">ExportRaw!$B114</f>
        <v/>
      </c>
    </row>
    <row r="115" customFormat="false" ht="15.75" hidden="false" customHeight="false" outlineLevel="0" collapsed="false">
      <c r="A115" s="113" t="n">
        <f aca="false">ExportRaw!$F115</f>
        <v>0</v>
      </c>
      <c r="B115" s="113" t="n">
        <f aca="false">ExportRaw!$C115</f>
        <v>0</v>
      </c>
      <c r="C115" s="113" t="n">
        <f aca="false">ExportRaw!$G115</f>
        <v>0</v>
      </c>
      <c r="D115" s="113" t="str">
        <f aca="false">ExportRaw!$E115</f>
        <v/>
      </c>
      <c r="E115" s="114" t="str">
        <f aca="false">ExportRaw!$D115</f>
        <v/>
      </c>
      <c r="F115" s="113" t="str">
        <f aca="false">ExportRaw!$H115</f>
        <v/>
      </c>
      <c r="G115" s="113" t="str">
        <f aca="false">ExportRaw!$I115</f>
        <v/>
      </c>
      <c r="H115" s="113" t="str">
        <f aca="false">ExportRaw!$A115</f>
        <v/>
      </c>
      <c r="I115" s="113" t="str">
        <f aca="false">ExportRaw!$B115</f>
        <v/>
      </c>
    </row>
    <row r="116" customFormat="false" ht="15.75" hidden="false" customHeight="false" outlineLevel="0" collapsed="false">
      <c r="A116" s="113" t="n">
        <f aca="false">ExportRaw!$F116</f>
        <v>0</v>
      </c>
      <c r="B116" s="113" t="n">
        <f aca="false">ExportRaw!$C116</f>
        <v>0</v>
      </c>
      <c r="C116" s="113" t="n">
        <f aca="false">ExportRaw!$G116</f>
        <v>0</v>
      </c>
      <c r="D116" s="113" t="str">
        <f aca="false">ExportRaw!$E116</f>
        <v/>
      </c>
      <c r="E116" s="114" t="str">
        <f aca="false">ExportRaw!$D116</f>
        <v/>
      </c>
      <c r="F116" s="113" t="str">
        <f aca="false">ExportRaw!$H116</f>
        <v/>
      </c>
      <c r="G116" s="113" t="str">
        <f aca="false">ExportRaw!$I116</f>
        <v/>
      </c>
      <c r="H116" s="113" t="str">
        <f aca="false">ExportRaw!$A116</f>
        <v/>
      </c>
      <c r="I116" s="113" t="str">
        <f aca="false">ExportRaw!$B116</f>
        <v/>
      </c>
    </row>
    <row r="117" customFormat="false" ht="15.75" hidden="false" customHeight="false" outlineLevel="0" collapsed="false">
      <c r="A117" s="113" t="n">
        <f aca="false">ExportRaw!$F117</f>
        <v>0</v>
      </c>
      <c r="B117" s="113" t="n">
        <f aca="false">ExportRaw!$C117</f>
        <v>0</v>
      </c>
      <c r="C117" s="113" t="n">
        <f aca="false">ExportRaw!$G117</f>
        <v>0</v>
      </c>
      <c r="D117" s="113" t="str">
        <f aca="false">ExportRaw!$E117</f>
        <v/>
      </c>
      <c r="E117" s="114" t="str">
        <f aca="false">ExportRaw!$D117</f>
        <v/>
      </c>
      <c r="F117" s="113" t="str">
        <f aca="false">ExportRaw!$H117</f>
        <v/>
      </c>
      <c r="G117" s="113" t="str">
        <f aca="false">ExportRaw!$I117</f>
        <v/>
      </c>
      <c r="H117" s="113" t="str">
        <f aca="false">ExportRaw!$A117</f>
        <v/>
      </c>
      <c r="I117" s="113" t="str">
        <f aca="false">ExportRaw!$B117</f>
        <v/>
      </c>
    </row>
    <row r="118" customFormat="false" ht="15.75" hidden="false" customHeight="false" outlineLevel="0" collapsed="false">
      <c r="A118" s="113" t="n">
        <f aca="false">ExportRaw!$F118</f>
        <v>0</v>
      </c>
      <c r="B118" s="113" t="n">
        <f aca="false">ExportRaw!$C118</f>
        <v>0</v>
      </c>
      <c r="C118" s="113" t="n">
        <f aca="false">ExportRaw!$G118</f>
        <v>0</v>
      </c>
      <c r="D118" s="113" t="str">
        <f aca="false">ExportRaw!$E118</f>
        <v/>
      </c>
      <c r="E118" s="114" t="str">
        <f aca="false">ExportRaw!$D118</f>
        <v/>
      </c>
      <c r="F118" s="113" t="str">
        <f aca="false">ExportRaw!$H118</f>
        <v/>
      </c>
      <c r="G118" s="113" t="str">
        <f aca="false">ExportRaw!$I118</f>
        <v/>
      </c>
      <c r="H118" s="113" t="str">
        <f aca="false">ExportRaw!$A118</f>
        <v/>
      </c>
      <c r="I118" s="113" t="str">
        <f aca="false">ExportRaw!$B118</f>
        <v/>
      </c>
    </row>
    <row r="119" customFormat="false" ht="15.75" hidden="false" customHeight="false" outlineLevel="0" collapsed="false">
      <c r="A119" s="113" t="n">
        <f aca="false">ExportRaw!$F119</f>
        <v>0</v>
      </c>
      <c r="B119" s="113" t="n">
        <f aca="false">ExportRaw!$C119</f>
        <v>0</v>
      </c>
      <c r="C119" s="113" t="n">
        <f aca="false">ExportRaw!$G119</f>
        <v>0</v>
      </c>
      <c r="D119" s="113" t="str">
        <f aca="false">ExportRaw!$E119</f>
        <v/>
      </c>
      <c r="E119" s="114" t="str">
        <f aca="false">ExportRaw!$D119</f>
        <v/>
      </c>
      <c r="F119" s="113" t="str">
        <f aca="false">ExportRaw!$H119</f>
        <v/>
      </c>
      <c r="G119" s="113" t="str">
        <f aca="false">ExportRaw!$I119</f>
        <v/>
      </c>
      <c r="H119" s="113" t="str">
        <f aca="false">ExportRaw!$A119</f>
        <v/>
      </c>
      <c r="I119" s="113" t="str">
        <f aca="false">ExportRaw!$B119</f>
        <v/>
      </c>
    </row>
    <row r="120" customFormat="false" ht="15.75" hidden="false" customHeight="false" outlineLevel="0" collapsed="false">
      <c r="A120" s="113" t="n">
        <f aca="false">ExportRaw!$F120</f>
        <v>0</v>
      </c>
      <c r="B120" s="113" t="n">
        <f aca="false">ExportRaw!$C120</f>
        <v>0</v>
      </c>
      <c r="C120" s="113" t="n">
        <f aca="false">ExportRaw!$G120</f>
        <v>0</v>
      </c>
      <c r="D120" s="113" t="str">
        <f aca="false">ExportRaw!$E120</f>
        <v/>
      </c>
      <c r="E120" s="114" t="str">
        <f aca="false">ExportRaw!$D120</f>
        <v/>
      </c>
      <c r="F120" s="113" t="str">
        <f aca="false">ExportRaw!$H120</f>
        <v/>
      </c>
      <c r="G120" s="113" t="str">
        <f aca="false">ExportRaw!$I120</f>
        <v/>
      </c>
      <c r="H120" s="113" t="str">
        <f aca="false">ExportRaw!$A120</f>
        <v/>
      </c>
      <c r="I120" s="113" t="str">
        <f aca="false">ExportRaw!$B120</f>
        <v/>
      </c>
    </row>
    <row r="121" customFormat="false" ht="15.75" hidden="false" customHeight="false" outlineLevel="0" collapsed="false">
      <c r="A121" s="113" t="n">
        <f aca="false">ExportRaw!$F121</f>
        <v>0</v>
      </c>
      <c r="B121" s="113" t="n">
        <f aca="false">ExportRaw!$C121</f>
        <v>0</v>
      </c>
      <c r="C121" s="113" t="n">
        <f aca="false">ExportRaw!$G121</f>
        <v>0</v>
      </c>
      <c r="D121" s="113" t="str">
        <f aca="false">ExportRaw!$E121</f>
        <v/>
      </c>
      <c r="E121" s="114" t="str">
        <f aca="false">ExportRaw!$D121</f>
        <v/>
      </c>
      <c r="F121" s="113" t="str">
        <f aca="false">ExportRaw!$H121</f>
        <v/>
      </c>
      <c r="G121" s="113" t="str">
        <f aca="false">ExportRaw!$I121</f>
        <v/>
      </c>
      <c r="H121" s="113" t="str">
        <f aca="false">ExportRaw!$A121</f>
        <v/>
      </c>
      <c r="I121" s="113" t="str">
        <f aca="false">ExportRaw!$B121</f>
        <v/>
      </c>
    </row>
    <row r="122" customFormat="false" ht="15.75" hidden="false" customHeight="false" outlineLevel="0" collapsed="false">
      <c r="A122" s="113" t="n">
        <f aca="false">ExportRaw!$F122</f>
        <v>0</v>
      </c>
      <c r="B122" s="113" t="n">
        <f aca="false">ExportRaw!$C122</f>
        <v>0</v>
      </c>
      <c r="C122" s="113" t="n">
        <f aca="false">ExportRaw!$G122</f>
        <v>0</v>
      </c>
      <c r="D122" s="113" t="str">
        <f aca="false">ExportRaw!$E122</f>
        <v/>
      </c>
      <c r="E122" s="114" t="str">
        <f aca="false">ExportRaw!$D122</f>
        <v/>
      </c>
      <c r="F122" s="113" t="str">
        <f aca="false">ExportRaw!$H122</f>
        <v/>
      </c>
      <c r="G122" s="113" t="str">
        <f aca="false">ExportRaw!$I122</f>
        <v/>
      </c>
      <c r="H122" s="113" t="str">
        <f aca="false">ExportRaw!$A122</f>
        <v/>
      </c>
      <c r="I122" s="113" t="str">
        <f aca="false">ExportRaw!$B122</f>
        <v/>
      </c>
    </row>
    <row r="123" customFormat="false" ht="15.75" hidden="false" customHeight="false" outlineLevel="0" collapsed="false">
      <c r="A123" s="113" t="n">
        <f aca="false">ExportRaw!$F123</f>
        <v>0</v>
      </c>
      <c r="B123" s="113" t="n">
        <f aca="false">ExportRaw!$C123</f>
        <v>0</v>
      </c>
      <c r="C123" s="113" t="n">
        <f aca="false">ExportRaw!$G123</f>
        <v>0</v>
      </c>
      <c r="D123" s="113" t="str">
        <f aca="false">ExportRaw!$E123</f>
        <v/>
      </c>
      <c r="E123" s="114" t="str">
        <f aca="false">ExportRaw!$D123</f>
        <v/>
      </c>
      <c r="F123" s="113" t="str">
        <f aca="false">ExportRaw!$H123</f>
        <v/>
      </c>
      <c r="G123" s="113" t="str">
        <f aca="false">ExportRaw!$I123</f>
        <v/>
      </c>
      <c r="H123" s="113" t="str">
        <f aca="false">ExportRaw!$A123</f>
        <v/>
      </c>
      <c r="I123" s="113" t="str">
        <f aca="false">ExportRaw!$B123</f>
        <v/>
      </c>
    </row>
    <row r="124" customFormat="false" ht="15.75" hidden="false" customHeight="false" outlineLevel="0" collapsed="false">
      <c r="A124" s="113" t="n">
        <f aca="false">ExportRaw!$F124</f>
        <v>0</v>
      </c>
      <c r="B124" s="113" t="n">
        <f aca="false">ExportRaw!$C124</f>
        <v>0</v>
      </c>
      <c r="C124" s="113" t="n">
        <f aca="false">ExportRaw!$G124</f>
        <v>0</v>
      </c>
      <c r="D124" s="113" t="str">
        <f aca="false">ExportRaw!$E124</f>
        <v/>
      </c>
      <c r="E124" s="114" t="str">
        <f aca="false">ExportRaw!$D124</f>
        <v/>
      </c>
      <c r="F124" s="113" t="str">
        <f aca="false">ExportRaw!$H124</f>
        <v/>
      </c>
      <c r="G124" s="113" t="str">
        <f aca="false">ExportRaw!$I124</f>
        <v/>
      </c>
      <c r="H124" s="113" t="str">
        <f aca="false">ExportRaw!$A124</f>
        <v/>
      </c>
      <c r="I124" s="113" t="str">
        <f aca="false">ExportRaw!$B124</f>
        <v/>
      </c>
    </row>
    <row r="125" customFormat="false" ht="15.75" hidden="false" customHeight="false" outlineLevel="0" collapsed="false">
      <c r="A125" s="113" t="n">
        <f aca="false">ExportRaw!$F125</f>
        <v>0</v>
      </c>
      <c r="B125" s="113" t="n">
        <f aca="false">ExportRaw!$C125</f>
        <v>0</v>
      </c>
      <c r="C125" s="113" t="n">
        <f aca="false">ExportRaw!$G125</f>
        <v>0</v>
      </c>
      <c r="D125" s="113" t="str">
        <f aca="false">ExportRaw!$E125</f>
        <v/>
      </c>
      <c r="E125" s="114" t="str">
        <f aca="false">ExportRaw!$D125</f>
        <v/>
      </c>
      <c r="F125" s="113" t="str">
        <f aca="false">ExportRaw!$H125</f>
        <v/>
      </c>
      <c r="G125" s="113" t="str">
        <f aca="false">ExportRaw!$I125</f>
        <v/>
      </c>
      <c r="H125" s="113" t="str">
        <f aca="false">ExportRaw!$A125</f>
        <v/>
      </c>
      <c r="I125" s="113" t="str">
        <f aca="false">ExportRaw!$B125</f>
        <v/>
      </c>
    </row>
    <row r="126" customFormat="false" ht="15.75" hidden="false" customHeight="false" outlineLevel="0" collapsed="false">
      <c r="A126" s="113" t="n">
        <f aca="false">ExportRaw!$F126</f>
        <v>0</v>
      </c>
      <c r="B126" s="113" t="n">
        <f aca="false">ExportRaw!$C126</f>
        <v>0</v>
      </c>
      <c r="C126" s="113" t="n">
        <f aca="false">ExportRaw!$G126</f>
        <v>0</v>
      </c>
      <c r="D126" s="113" t="str">
        <f aca="false">ExportRaw!$E126</f>
        <v/>
      </c>
      <c r="E126" s="114" t="str">
        <f aca="false">ExportRaw!$D126</f>
        <v/>
      </c>
      <c r="F126" s="113" t="str">
        <f aca="false">ExportRaw!$H126</f>
        <v/>
      </c>
      <c r="G126" s="113" t="str">
        <f aca="false">ExportRaw!$I126</f>
        <v/>
      </c>
      <c r="H126" s="113" t="str">
        <f aca="false">ExportRaw!$A126</f>
        <v/>
      </c>
      <c r="I126" s="113" t="str">
        <f aca="false">ExportRaw!$B126</f>
        <v/>
      </c>
    </row>
    <row r="127" customFormat="false" ht="15.75" hidden="false" customHeight="false" outlineLevel="0" collapsed="false">
      <c r="A127" s="113" t="n">
        <f aca="false">ExportRaw!$F127</f>
        <v>0</v>
      </c>
      <c r="B127" s="113" t="n">
        <f aca="false">ExportRaw!$C127</f>
        <v>0</v>
      </c>
      <c r="C127" s="113" t="n">
        <f aca="false">ExportRaw!$G127</f>
        <v>0</v>
      </c>
      <c r="D127" s="113" t="str">
        <f aca="false">ExportRaw!$E127</f>
        <v/>
      </c>
      <c r="E127" s="114" t="str">
        <f aca="false">ExportRaw!$D127</f>
        <v/>
      </c>
      <c r="F127" s="113" t="str">
        <f aca="false">ExportRaw!$H127</f>
        <v/>
      </c>
      <c r="G127" s="113" t="str">
        <f aca="false">ExportRaw!$I127</f>
        <v/>
      </c>
      <c r="H127" s="113" t="str">
        <f aca="false">ExportRaw!$A127</f>
        <v/>
      </c>
      <c r="I127" s="113" t="str">
        <f aca="false">ExportRaw!$B127</f>
        <v/>
      </c>
    </row>
    <row r="128" customFormat="false" ht="15.75" hidden="false" customHeight="false" outlineLevel="0" collapsed="false">
      <c r="A128" s="113" t="n">
        <f aca="false">ExportRaw!$F128</f>
        <v>0</v>
      </c>
      <c r="B128" s="113" t="n">
        <f aca="false">ExportRaw!$C128</f>
        <v>0</v>
      </c>
      <c r="C128" s="113" t="n">
        <f aca="false">ExportRaw!$G128</f>
        <v>0</v>
      </c>
      <c r="D128" s="113" t="str">
        <f aca="false">ExportRaw!$E128</f>
        <v/>
      </c>
      <c r="E128" s="114" t="str">
        <f aca="false">ExportRaw!$D128</f>
        <v/>
      </c>
      <c r="F128" s="113" t="str">
        <f aca="false">ExportRaw!$H128</f>
        <v/>
      </c>
      <c r="G128" s="113" t="str">
        <f aca="false">ExportRaw!$I128</f>
        <v/>
      </c>
      <c r="H128" s="113" t="str">
        <f aca="false">ExportRaw!$A128</f>
        <v/>
      </c>
      <c r="I128" s="113" t="str">
        <f aca="false">ExportRaw!$B128</f>
        <v/>
      </c>
    </row>
    <row r="129" customFormat="false" ht="15.75" hidden="false" customHeight="false" outlineLevel="0" collapsed="false">
      <c r="A129" s="113" t="n">
        <f aca="false">ExportRaw!$F129</f>
        <v>0</v>
      </c>
      <c r="B129" s="113" t="n">
        <f aca="false">ExportRaw!$C129</f>
        <v>0</v>
      </c>
      <c r="C129" s="113" t="n">
        <f aca="false">ExportRaw!$G129</f>
        <v>0</v>
      </c>
      <c r="D129" s="113" t="str">
        <f aca="false">ExportRaw!$E129</f>
        <v/>
      </c>
      <c r="E129" s="114" t="str">
        <f aca="false">ExportRaw!$D129</f>
        <v/>
      </c>
      <c r="F129" s="113" t="str">
        <f aca="false">ExportRaw!$H129</f>
        <v/>
      </c>
      <c r="G129" s="113" t="str">
        <f aca="false">ExportRaw!$I129</f>
        <v/>
      </c>
      <c r="H129" s="113" t="str">
        <f aca="false">ExportRaw!$A129</f>
        <v/>
      </c>
      <c r="I129" s="113" t="str">
        <f aca="false">ExportRaw!$B129</f>
        <v/>
      </c>
    </row>
    <row r="130" customFormat="false" ht="15.75" hidden="false" customHeight="false" outlineLevel="0" collapsed="false">
      <c r="A130" s="113" t="n">
        <f aca="false">ExportRaw!$F130</f>
        <v>0</v>
      </c>
      <c r="B130" s="113" t="n">
        <f aca="false">ExportRaw!$C130</f>
        <v>0</v>
      </c>
      <c r="C130" s="113" t="n">
        <f aca="false">ExportRaw!$G130</f>
        <v>0</v>
      </c>
      <c r="D130" s="113" t="str">
        <f aca="false">ExportRaw!$E130</f>
        <v/>
      </c>
      <c r="E130" s="114" t="str">
        <f aca="false">ExportRaw!$D130</f>
        <v/>
      </c>
      <c r="F130" s="113" t="str">
        <f aca="false">ExportRaw!$H130</f>
        <v/>
      </c>
      <c r="G130" s="113" t="str">
        <f aca="false">ExportRaw!$I130</f>
        <v/>
      </c>
      <c r="H130" s="113" t="str">
        <f aca="false">ExportRaw!$A130</f>
        <v/>
      </c>
      <c r="I130" s="113" t="str">
        <f aca="false">ExportRaw!$B130</f>
        <v/>
      </c>
    </row>
    <row r="131" customFormat="false" ht="15.75" hidden="false" customHeight="false" outlineLevel="0" collapsed="false">
      <c r="A131" s="113" t="n">
        <f aca="false">ExportRaw!$F131</f>
        <v>0</v>
      </c>
      <c r="B131" s="113" t="n">
        <f aca="false">ExportRaw!$C131</f>
        <v>0</v>
      </c>
      <c r="C131" s="113" t="n">
        <f aca="false">ExportRaw!$G131</f>
        <v>0</v>
      </c>
      <c r="D131" s="113" t="str">
        <f aca="false">ExportRaw!$E131</f>
        <v/>
      </c>
      <c r="E131" s="114" t="str">
        <f aca="false">ExportRaw!$D131</f>
        <v/>
      </c>
      <c r="F131" s="113" t="str">
        <f aca="false">ExportRaw!$H131</f>
        <v/>
      </c>
      <c r="G131" s="113" t="str">
        <f aca="false">ExportRaw!$I131</f>
        <v/>
      </c>
      <c r="H131" s="113" t="str">
        <f aca="false">ExportRaw!$A131</f>
        <v/>
      </c>
      <c r="I131" s="113" t="str">
        <f aca="false">ExportRaw!$B131</f>
        <v/>
      </c>
    </row>
    <row r="132" customFormat="false" ht="15.75" hidden="false" customHeight="false" outlineLevel="0" collapsed="false">
      <c r="A132" s="113" t="n">
        <f aca="false">ExportRaw!$F132</f>
        <v>0</v>
      </c>
      <c r="B132" s="113" t="n">
        <f aca="false">ExportRaw!$C132</f>
        <v>0</v>
      </c>
      <c r="C132" s="113" t="n">
        <f aca="false">ExportRaw!$G132</f>
        <v>0</v>
      </c>
      <c r="D132" s="113" t="str">
        <f aca="false">ExportRaw!$E132</f>
        <v/>
      </c>
      <c r="E132" s="114" t="str">
        <f aca="false">ExportRaw!$D132</f>
        <v/>
      </c>
      <c r="F132" s="113" t="str">
        <f aca="false">ExportRaw!$H132</f>
        <v/>
      </c>
      <c r="G132" s="113" t="str">
        <f aca="false">ExportRaw!$I132</f>
        <v/>
      </c>
      <c r="H132" s="113" t="str">
        <f aca="false">ExportRaw!$A132</f>
        <v/>
      </c>
      <c r="I132" s="113" t="str">
        <f aca="false">ExportRaw!$B132</f>
        <v/>
      </c>
    </row>
    <row r="133" customFormat="false" ht="15.75" hidden="false" customHeight="false" outlineLevel="0" collapsed="false">
      <c r="A133" s="113" t="n">
        <f aca="false">ExportRaw!$F133</f>
        <v>0</v>
      </c>
      <c r="B133" s="113" t="n">
        <f aca="false">ExportRaw!$C133</f>
        <v>0</v>
      </c>
      <c r="C133" s="113" t="n">
        <f aca="false">ExportRaw!$G133</f>
        <v>0</v>
      </c>
      <c r="D133" s="113" t="str">
        <f aca="false">ExportRaw!$E133</f>
        <v/>
      </c>
      <c r="E133" s="114" t="str">
        <f aca="false">ExportRaw!$D133</f>
        <v/>
      </c>
      <c r="F133" s="113" t="str">
        <f aca="false">ExportRaw!$H133</f>
        <v/>
      </c>
      <c r="G133" s="113" t="str">
        <f aca="false">ExportRaw!$I133</f>
        <v/>
      </c>
      <c r="H133" s="113" t="str">
        <f aca="false">ExportRaw!$A133</f>
        <v/>
      </c>
      <c r="I133" s="113" t="str">
        <f aca="false">ExportRaw!$B133</f>
        <v/>
      </c>
    </row>
    <row r="134" customFormat="false" ht="15.75" hidden="false" customHeight="false" outlineLevel="0" collapsed="false">
      <c r="A134" s="113" t="n">
        <f aca="false">ExportRaw!$F134</f>
        <v>0</v>
      </c>
      <c r="B134" s="113" t="n">
        <f aca="false">ExportRaw!$C134</f>
        <v>0</v>
      </c>
      <c r="C134" s="113" t="n">
        <f aca="false">ExportRaw!$G134</f>
        <v>0</v>
      </c>
      <c r="D134" s="113" t="str">
        <f aca="false">ExportRaw!$E134</f>
        <v/>
      </c>
      <c r="E134" s="114" t="str">
        <f aca="false">ExportRaw!$D134</f>
        <v/>
      </c>
      <c r="F134" s="113" t="str">
        <f aca="false">ExportRaw!$H134</f>
        <v/>
      </c>
      <c r="G134" s="113" t="str">
        <f aca="false">ExportRaw!$I134</f>
        <v/>
      </c>
      <c r="H134" s="113" t="str">
        <f aca="false">ExportRaw!$A134</f>
        <v/>
      </c>
      <c r="I134" s="113" t="str">
        <f aca="false">ExportRaw!$B134</f>
        <v/>
      </c>
    </row>
    <row r="135" customFormat="false" ht="15.75" hidden="false" customHeight="false" outlineLevel="0" collapsed="false">
      <c r="A135" s="113" t="n">
        <f aca="false">ExportRaw!$F135</f>
        <v>0</v>
      </c>
      <c r="B135" s="113" t="n">
        <f aca="false">ExportRaw!$C135</f>
        <v>0</v>
      </c>
      <c r="C135" s="113" t="n">
        <f aca="false">ExportRaw!$G135</f>
        <v>0</v>
      </c>
      <c r="D135" s="113" t="str">
        <f aca="false">ExportRaw!$E135</f>
        <v/>
      </c>
      <c r="E135" s="114" t="str">
        <f aca="false">ExportRaw!$D135</f>
        <v/>
      </c>
      <c r="F135" s="113" t="str">
        <f aca="false">ExportRaw!$H135</f>
        <v/>
      </c>
      <c r="G135" s="113" t="str">
        <f aca="false">ExportRaw!$I135</f>
        <v/>
      </c>
      <c r="H135" s="113" t="str">
        <f aca="false">ExportRaw!$A135</f>
        <v/>
      </c>
      <c r="I135" s="113" t="str">
        <f aca="false">ExportRaw!$B135</f>
        <v/>
      </c>
    </row>
    <row r="136" customFormat="false" ht="15.75" hidden="false" customHeight="false" outlineLevel="0" collapsed="false">
      <c r="A136" s="113" t="n">
        <f aca="false">ExportRaw!$F136</f>
        <v>0</v>
      </c>
      <c r="B136" s="113" t="n">
        <f aca="false">ExportRaw!$C136</f>
        <v>0</v>
      </c>
      <c r="C136" s="113" t="n">
        <f aca="false">ExportRaw!$G136</f>
        <v>0</v>
      </c>
      <c r="D136" s="113" t="str">
        <f aca="false">ExportRaw!$E136</f>
        <v/>
      </c>
      <c r="E136" s="114" t="str">
        <f aca="false">ExportRaw!$D136</f>
        <v/>
      </c>
      <c r="F136" s="113" t="str">
        <f aca="false">ExportRaw!$H136</f>
        <v/>
      </c>
      <c r="G136" s="113" t="str">
        <f aca="false">ExportRaw!$I136</f>
        <v/>
      </c>
      <c r="H136" s="113" t="str">
        <f aca="false">ExportRaw!$A136</f>
        <v/>
      </c>
      <c r="I136" s="113" t="str">
        <f aca="false">ExportRaw!$B136</f>
        <v/>
      </c>
    </row>
    <row r="137" customFormat="false" ht="15.75" hidden="false" customHeight="false" outlineLevel="0" collapsed="false">
      <c r="A137" s="113" t="n">
        <f aca="false">ExportRaw!$F137</f>
        <v>0</v>
      </c>
      <c r="B137" s="113" t="n">
        <f aca="false">ExportRaw!$C137</f>
        <v>0</v>
      </c>
      <c r="C137" s="113" t="n">
        <f aca="false">ExportRaw!$G137</f>
        <v>0</v>
      </c>
      <c r="D137" s="113" t="str">
        <f aca="false">ExportRaw!$E137</f>
        <v/>
      </c>
      <c r="E137" s="114" t="str">
        <f aca="false">ExportRaw!$D137</f>
        <v/>
      </c>
      <c r="F137" s="113" t="str">
        <f aca="false">ExportRaw!$H137</f>
        <v/>
      </c>
      <c r="G137" s="113" t="str">
        <f aca="false">ExportRaw!$I137</f>
        <v/>
      </c>
      <c r="H137" s="113" t="str">
        <f aca="false">ExportRaw!$A137</f>
        <v/>
      </c>
      <c r="I137" s="113" t="str">
        <f aca="false">ExportRaw!$B137</f>
        <v/>
      </c>
    </row>
    <row r="138" customFormat="false" ht="15.75" hidden="false" customHeight="false" outlineLevel="0" collapsed="false">
      <c r="A138" s="113" t="n">
        <f aca="false">ExportRaw!$F138</f>
        <v>0</v>
      </c>
      <c r="B138" s="113" t="n">
        <f aca="false">ExportRaw!$C138</f>
        <v>0</v>
      </c>
      <c r="C138" s="113" t="n">
        <f aca="false">ExportRaw!$G138</f>
        <v>0</v>
      </c>
      <c r="D138" s="113" t="str">
        <f aca="false">ExportRaw!$E138</f>
        <v/>
      </c>
      <c r="E138" s="114" t="str">
        <f aca="false">ExportRaw!$D138</f>
        <v/>
      </c>
      <c r="F138" s="113" t="str">
        <f aca="false">ExportRaw!$H138</f>
        <v/>
      </c>
      <c r="G138" s="113" t="str">
        <f aca="false">ExportRaw!$I138</f>
        <v/>
      </c>
      <c r="H138" s="113" t="str">
        <f aca="false">ExportRaw!$A138</f>
        <v/>
      </c>
      <c r="I138" s="113" t="str">
        <f aca="false">ExportRaw!$B138</f>
        <v/>
      </c>
    </row>
    <row r="139" customFormat="false" ht="15.75" hidden="false" customHeight="false" outlineLevel="0" collapsed="false">
      <c r="A139" s="113" t="n">
        <f aca="false">ExportRaw!$F139</f>
        <v>0</v>
      </c>
      <c r="B139" s="113" t="n">
        <f aca="false">ExportRaw!$C139</f>
        <v>0</v>
      </c>
      <c r="C139" s="113" t="n">
        <f aca="false">ExportRaw!$G139</f>
        <v>0</v>
      </c>
      <c r="D139" s="113" t="str">
        <f aca="false">ExportRaw!$E139</f>
        <v/>
      </c>
      <c r="E139" s="114" t="str">
        <f aca="false">ExportRaw!$D139</f>
        <v/>
      </c>
      <c r="F139" s="113" t="str">
        <f aca="false">ExportRaw!$H139</f>
        <v/>
      </c>
      <c r="G139" s="113" t="str">
        <f aca="false">ExportRaw!$I139</f>
        <v/>
      </c>
      <c r="H139" s="113" t="str">
        <f aca="false">ExportRaw!$A139</f>
        <v/>
      </c>
      <c r="I139" s="113" t="str">
        <f aca="false">ExportRaw!$B139</f>
        <v/>
      </c>
    </row>
    <row r="140" customFormat="false" ht="15.75" hidden="false" customHeight="false" outlineLevel="0" collapsed="false">
      <c r="A140" s="113" t="n">
        <f aca="false">ExportRaw!$F140</f>
        <v>0</v>
      </c>
      <c r="B140" s="113" t="n">
        <f aca="false">ExportRaw!$C140</f>
        <v>0</v>
      </c>
      <c r="C140" s="113" t="n">
        <f aca="false">ExportRaw!$G140</f>
        <v>0</v>
      </c>
      <c r="D140" s="113" t="str">
        <f aca="false">ExportRaw!$E140</f>
        <v/>
      </c>
      <c r="E140" s="114" t="str">
        <f aca="false">ExportRaw!$D140</f>
        <v/>
      </c>
      <c r="F140" s="113" t="str">
        <f aca="false">ExportRaw!$H140</f>
        <v/>
      </c>
      <c r="G140" s="113" t="str">
        <f aca="false">ExportRaw!$I140</f>
        <v/>
      </c>
      <c r="H140" s="113" t="str">
        <f aca="false">ExportRaw!$A140</f>
        <v/>
      </c>
      <c r="I140" s="113" t="str">
        <f aca="false">ExportRaw!$B140</f>
        <v/>
      </c>
    </row>
    <row r="141" customFormat="false" ht="15.75" hidden="false" customHeight="false" outlineLevel="0" collapsed="false">
      <c r="A141" s="113" t="n">
        <f aca="false">ExportRaw!$F141</f>
        <v>0</v>
      </c>
      <c r="B141" s="113" t="n">
        <f aca="false">ExportRaw!$C141</f>
        <v>0</v>
      </c>
      <c r="C141" s="113" t="n">
        <f aca="false">ExportRaw!$G141</f>
        <v>0</v>
      </c>
      <c r="D141" s="113" t="str">
        <f aca="false">ExportRaw!$E141</f>
        <v/>
      </c>
      <c r="E141" s="114" t="str">
        <f aca="false">ExportRaw!$D141</f>
        <v/>
      </c>
      <c r="F141" s="113" t="str">
        <f aca="false">ExportRaw!$H141</f>
        <v/>
      </c>
      <c r="G141" s="113" t="str">
        <f aca="false">ExportRaw!$I141</f>
        <v/>
      </c>
      <c r="H141" s="113" t="str">
        <f aca="false">ExportRaw!$A141</f>
        <v/>
      </c>
      <c r="I141" s="113" t="str">
        <f aca="false">ExportRaw!$B141</f>
        <v/>
      </c>
    </row>
    <row r="142" customFormat="false" ht="15.75" hidden="false" customHeight="false" outlineLevel="0" collapsed="false">
      <c r="A142" s="113" t="n">
        <f aca="false">ExportRaw!$F142</f>
        <v>0</v>
      </c>
      <c r="B142" s="113" t="n">
        <f aca="false">ExportRaw!$C142</f>
        <v>0</v>
      </c>
      <c r="C142" s="113" t="n">
        <f aca="false">ExportRaw!$G142</f>
        <v>0</v>
      </c>
      <c r="D142" s="113" t="str">
        <f aca="false">ExportRaw!$E142</f>
        <v/>
      </c>
      <c r="E142" s="114" t="str">
        <f aca="false">ExportRaw!$D142</f>
        <v/>
      </c>
      <c r="F142" s="113" t="str">
        <f aca="false">ExportRaw!$H142</f>
        <v/>
      </c>
      <c r="G142" s="113" t="str">
        <f aca="false">ExportRaw!$I142</f>
        <v/>
      </c>
      <c r="H142" s="113" t="str">
        <f aca="false">ExportRaw!$A142</f>
        <v/>
      </c>
      <c r="I142" s="113" t="str">
        <f aca="false">ExportRaw!$B142</f>
        <v/>
      </c>
    </row>
    <row r="143" customFormat="false" ht="15.75" hidden="false" customHeight="false" outlineLevel="0" collapsed="false">
      <c r="A143" s="113" t="n">
        <f aca="false">ExportRaw!$F143</f>
        <v>0</v>
      </c>
      <c r="B143" s="113" t="n">
        <f aca="false">ExportRaw!$C143</f>
        <v>0</v>
      </c>
      <c r="C143" s="113" t="n">
        <f aca="false">ExportRaw!$G143</f>
        <v>0</v>
      </c>
      <c r="D143" s="113" t="str">
        <f aca="false">ExportRaw!$E143</f>
        <v/>
      </c>
      <c r="E143" s="114" t="str">
        <f aca="false">ExportRaw!$D143</f>
        <v/>
      </c>
      <c r="F143" s="113" t="str">
        <f aca="false">ExportRaw!$H143</f>
        <v/>
      </c>
      <c r="G143" s="113" t="str">
        <f aca="false">ExportRaw!$I143</f>
        <v/>
      </c>
      <c r="H143" s="113" t="str">
        <f aca="false">ExportRaw!$A143</f>
        <v/>
      </c>
      <c r="I143" s="113" t="str">
        <f aca="false">ExportRaw!$B143</f>
        <v/>
      </c>
    </row>
    <row r="144" customFormat="false" ht="15.75" hidden="false" customHeight="false" outlineLevel="0" collapsed="false">
      <c r="A144" s="113" t="n">
        <f aca="false">ExportRaw!$F144</f>
        <v>0</v>
      </c>
      <c r="B144" s="113" t="n">
        <f aca="false">ExportRaw!$C144</f>
        <v>0</v>
      </c>
      <c r="C144" s="113" t="n">
        <f aca="false">ExportRaw!$G144</f>
        <v>0</v>
      </c>
      <c r="D144" s="113" t="str">
        <f aca="false">ExportRaw!$E144</f>
        <v/>
      </c>
      <c r="E144" s="114" t="str">
        <f aca="false">ExportRaw!$D144</f>
        <v/>
      </c>
      <c r="F144" s="113" t="str">
        <f aca="false">ExportRaw!$H144</f>
        <v/>
      </c>
      <c r="G144" s="113" t="str">
        <f aca="false">ExportRaw!$I144</f>
        <v/>
      </c>
      <c r="H144" s="113" t="str">
        <f aca="false">ExportRaw!$A144</f>
        <v/>
      </c>
      <c r="I144" s="113" t="str">
        <f aca="false">ExportRaw!$B144</f>
        <v/>
      </c>
    </row>
    <row r="145" customFormat="false" ht="15.75" hidden="false" customHeight="false" outlineLevel="0" collapsed="false">
      <c r="A145" s="113" t="n">
        <f aca="false">ExportRaw!$F145</f>
        <v>0</v>
      </c>
      <c r="B145" s="113" t="n">
        <f aca="false">ExportRaw!$C145</f>
        <v>0</v>
      </c>
      <c r="C145" s="113" t="n">
        <f aca="false">ExportRaw!$G145</f>
        <v>0</v>
      </c>
      <c r="D145" s="113" t="str">
        <f aca="false">ExportRaw!$E145</f>
        <v/>
      </c>
      <c r="E145" s="114" t="str">
        <f aca="false">ExportRaw!$D145</f>
        <v/>
      </c>
      <c r="F145" s="113" t="str">
        <f aca="false">ExportRaw!$H145</f>
        <v/>
      </c>
      <c r="G145" s="113" t="str">
        <f aca="false">ExportRaw!$I145</f>
        <v/>
      </c>
      <c r="H145" s="113" t="str">
        <f aca="false">ExportRaw!$A145</f>
        <v/>
      </c>
      <c r="I145" s="113" t="str">
        <f aca="false">ExportRaw!$B145</f>
        <v/>
      </c>
    </row>
    <row r="146" customFormat="false" ht="15.75" hidden="false" customHeight="false" outlineLevel="0" collapsed="false">
      <c r="A146" s="113" t="n">
        <f aca="false">ExportRaw!$F146</f>
        <v>0</v>
      </c>
      <c r="B146" s="113" t="n">
        <f aca="false">ExportRaw!$C146</f>
        <v>0</v>
      </c>
      <c r="C146" s="113" t="n">
        <f aca="false">ExportRaw!$G146</f>
        <v>0</v>
      </c>
      <c r="D146" s="113" t="str">
        <f aca="false">ExportRaw!$E146</f>
        <v/>
      </c>
      <c r="E146" s="114" t="str">
        <f aca="false">ExportRaw!$D146</f>
        <v/>
      </c>
      <c r="F146" s="113" t="str">
        <f aca="false">ExportRaw!$H146</f>
        <v/>
      </c>
      <c r="G146" s="113" t="str">
        <f aca="false">ExportRaw!$I146</f>
        <v/>
      </c>
      <c r="H146" s="113" t="str">
        <f aca="false">ExportRaw!$A146</f>
        <v/>
      </c>
      <c r="I146" s="113" t="str">
        <f aca="false">ExportRaw!$B146</f>
        <v/>
      </c>
    </row>
    <row r="147" customFormat="false" ht="15.75" hidden="false" customHeight="false" outlineLevel="0" collapsed="false">
      <c r="A147" s="113" t="n">
        <f aca="false">ExportRaw!$F147</f>
        <v>0</v>
      </c>
      <c r="B147" s="113" t="n">
        <f aca="false">ExportRaw!$C147</f>
        <v>0</v>
      </c>
      <c r="C147" s="113" t="n">
        <f aca="false">ExportRaw!$G147</f>
        <v>0</v>
      </c>
      <c r="D147" s="113" t="str">
        <f aca="false">ExportRaw!$E147</f>
        <v/>
      </c>
      <c r="E147" s="114" t="str">
        <f aca="false">ExportRaw!$D147</f>
        <v/>
      </c>
      <c r="F147" s="113" t="str">
        <f aca="false">ExportRaw!$H147</f>
        <v/>
      </c>
      <c r="G147" s="113" t="str">
        <f aca="false">ExportRaw!$I147</f>
        <v/>
      </c>
      <c r="H147" s="113" t="str">
        <f aca="false">ExportRaw!$A147</f>
        <v/>
      </c>
      <c r="I147" s="113" t="str">
        <f aca="false">ExportRaw!$B147</f>
        <v/>
      </c>
    </row>
    <row r="148" customFormat="false" ht="15.75" hidden="false" customHeight="false" outlineLevel="0" collapsed="false">
      <c r="A148" s="113" t="n">
        <f aca="false">ExportRaw!$F148</f>
        <v>0</v>
      </c>
      <c r="B148" s="113" t="n">
        <f aca="false">ExportRaw!$C148</f>
        <v>0</v>
      </c>
      <c r="C148" s="113" t="n">
        <f aca="false">ExportRaw!$G148</f>
        <v>0</v>
      </c>
      <c r="D148" s="113" t="str">
        <f aca="false">ExportRaw!$E148</f>
        <v/>
      </c>
      <c r="E148" s="114" t="str">
        <f aca="false">ExportRaw!$D148</f>
        <v/>
      </c>
      <c r="F148" s="113" t="str">
        <f aca="false">ExportRaw!$H148</f>
        <v/>
      </c>
      <c r="G148" s="113" t="str">
        <f aca="false">ExportRaw!$I148</f>
        <v/>
      </c>
      <c r="H148" s="113" t="str">
        <f aca="false">ExportRaw!$A148</f>
        <v/>
      </c>
      <c r="I148" s="113" t="str">
        <f aca="false">ExportRaw!$B148</f>
        <v/>
      </c>
    </row>
    <row r="149" customFormat="false" ht="15.75" hidden="false" customHeight="false" outlineLevel="0" collapsed="false">
      <c r="A149" s="113" t="n">
        <f aca="false">ExportRaw!$F149</f>
        <v>0</v>
      </c>
      <c r="B149" s="113" t="n">
        <f aca="false">ExportRaw!$C149</f>
        <v>0</v>
      </c>
      <c r="C149" s="113" t="n">
        <f aca="false">ExportRaw!$G149</f>
        <v>0</v>
      </c>
      <c r="D149" s="113" t="str">
        <f aca="false">ExportRaw!$E149</f>
        <v/>
      </c>
      <c r="E149" s="114" t="str">
        <f aca="false">ExportRaw!$D149</f>
        <v/>
      </c>
      <c r="F149" s="113" t="str">
        <f aca="false">ExportRaw!$H149</f>
        <v/>
      </c>
      <c r="G149" s="113" t="str">
        <f aca="false">ExportRaw!$I149</f>
        <v/>
      </c>
      <c r="H149" s="113" t="str">
        <f aca="false">ExportRaw!$A149</f>
        <v/>
      </c>
      <c r="I149" s="113" t="str">
        <f aca="false">ExportRaw!$B149</f>
        <v/>
      </c>
    </row>
    <row r="150" customFormat="false" ht="15.75" hidden="false" customHeight="false" outlineLevel="0" collapsed="false">
      <c r="A150" s="113" t="n">
        <f aca="false">ExportRaw!$F150</f>
        <v>0</v>
      </c>
      <c r="B150" s="113" t="n">
        <f aca="false">ExportRaw!$C150</f>
        <v>0</v>
      </c>
      <c r="C150" s="113" t="n">
        <f aca="false">ExportRaw!$G150</f>
        <v>0</v>
      </c>
      <c r="D150" s="113" t="str">
        <f aca="false">ExportRaw!$E150</f>
        <v/>
      </c>
      <c r="E150" s="114" t="str">
        <f aca="false">ExportRaw!$D150</f>
        <v/>
      </c>
      <c r="F150" s="113" t="str">
        <f aca="false">ExportRaw!$H150</f>
        <v/>
      </c>
      <c r="G150" s="113" t="str">
        <f aca="false">ExportRaw!$I150</f>
        <v/>
      </c>
      <c r="H150" s="113" t="str">
        <f aca="false">ExportRaw!$A150</f>
        <v/>
      </c>
      <c r="I150" s="113" t="str">
        <f aca="false">ExportRaw!$B150</f>
        <v/>
      </c>
    </row>
    <row r="151" customFormat="false" ht="15.75" hidden="false" customHeight="false" outlineLevel="0" collapsed="false">
      <c r="A151" s="113" t="n">
        <f aca="false">ExportRaw!$F151</f>
        <v>0</v>
      </c>
      <c r="B151" s="113" t="n">
        <f aca="false">ExportRaw!$C151</f>
        <v>0</v>
      </c>
      <c r="C151" s="113" t="n">
        <f aca="false">ExportRaw!$G151</f>
        <v>0</v>
      </c>
      <c r="D151" s="113" t="str">
        <f aca="false">ExportRaw!$E151</f>
        <v/>
      </c>
      <c r="E151" s="114" t="str">
        <f aca="false">ExportRaw!$D151</f>
        <v/>
      </c>
      <c r="F151" s="113" t="str">
        <f aca="false">ExportRaw!$H151</f>
        <v/>
      </c>
      <c r="G151" s="113" t="str">
        <f aca="false">ExportRaw!$I151</f>
        <v/>
      </c>
      <c r="H151" s="113" t="str">
        <f aca="false">ExportRaw!$A151</f>
        <v/>
      </c>
      <c r="I151" s="113" t="str">
        <f aca="false">ExportRaw!$B151</f>
        <v/>
      </c>
    </row>
    <row r="152" customFormat="false" ht="15.75" hidden="false" customHeight="false" outlineLevel="0" collapsed="false">
      <c r="A152" s="113" t="n">
        <f aca="false">ExportRaw!$F152</f>
        <v>0</v>
      </c>
      <c r="B152" s="113" t="n">
        <f aca="false">ExportRaw!$C152</f>
        <v>0</v>
      </c>
      <c r="C152" s="113" t="n">
        <f aca="false">ExportRaw!$G152</f>
        <v>0</v>
      </c>
      <c r="D152" s="113" t="str">
        <f aca="false">ExportRaw!$E152</f>
        <v/>
      </c>
      <c r="E152" s="114" t="str">
        <f aca="false">ExportRaw!$D152</f>
        <v/>
      </c>
      <c r="F152" s="113" t="str">
        <f aca="false">ExportRaw!$H152</f>
        <v/>
      </c>
      <c r="G152" s="113" t="str">
        <f aca="false">ExportRaw!$I152</f>
        <v/>
      </c>
      <c r="H152" s="113" t="str">
        <f aca="false">ExportRaw!$A152</f>
        <v/>
      </c>
      <c r="I152" s="113" t="str">
        <f aca="false">ExportRaw!$B152</f>
        <v/>
      </c>
    </row>
    <row r="153" customFormat="false" ht="15.75" hidden="false" customHeight="false" outlineLevel="0" collapsed="false">
      <c r="A153" s="113" t="n">
        <f aca="false">ExportRaw!$F153</f>
        <v>0</v>
      </c>
      <c r="B153" s="113" t="n">
        <f aca="false">ExportRaw!$C153</f>
        <v>0</v>
      </c>
      <c r="C153" s="113" t="n">
        <f aca="false">ExportRaw!$G153</f>
        <v>0</v>
      </c>
      <c r="D153" s="113" t="str">
        <f aca="false">ExportRaw!$E153</f>
        <v/>
      </c>
      <c r="E153" s="114" t="str">
        <f aca="false">ExportRaw!$D153</f>
        <v/>
      </c>
      <c r="F153" s="113" t="str">
        <f aca="false">ExportRaw!$H153</f>
        <v/>
      </c>
      <c r="G153" s="113" t="str">
        <f aca="false">ExportRaw!$I153</f>
        <v/>
      </c>
      <c r="H153" s="113" t="str">
        <f aca="false">ExportRaw!$A153</f>
        <v/>
      </c>
      <c r="I153" s="113" t="str">
        <f aca="false">ExportRaw!$B153</f>
        <v/>
      </c>
    </row>
    <row r="154" customFormat="false" ht="15.75" hidden="false" customHeight="false" outlineLevel="0" collapsed="false">
      <c r="A154" s="113" t="n">
        <f aca="false">ExportRaw!$F154</f>
        <v>0</v>
      </c>
      <c r="B154" s="113" t="n">
        <f aca="false">ExportRaw!$C154</f>
        <v>0</v>
      </c>
      <c r="C154" s="113" t="n">
        <f aca="false">ExportRaw!$G154</f>
        <v>0</v>
      </c>
      <c r="D154" s="113" t="str">
        <f aca="false">ExportRaw!$E154</f>
        <v/>
      </c>
      <c r="E154" s="114" t="str">
        <f aca="false">ExportRaw!$D154</f>
        <v/>
      </c>
      <c r="F154" s="113" t="str">
        <f aca="false">ExportRaw!$H154</f>
        <v/>
      </c>
      <c r="G154" s="113" t="str">
        <f aca="false">ExportRaw!$I154</f>
        <v/>
      </c>
      <c r="H154" s="113" t="str">
        <f aca="false">ExportRaw!$A154</f>
        <v/>
      </c>
      <c r="I154" s="113" t="str">
        <f aca="false">ExportRaw!$B154</f>
        <v/>
      </c>
    </row>
    <row r="155" customFormat="false" ht="15.75" hidden="false" customHeight="false" outlineLevel="0" collapsed="false">
      <c r="A155" s="113" t="n">
        <f aca="false">ExportRaw!$F155</f>
        <v>0</v>
      </c>
      <c r="B155" s="113" t="n">
        <f aca="false">ExportRaw!$C155</f>
        <v>0</v>
      </c>
      <c r="C155" s="113" t="n">
        <f aca="false">ExportRaw!$G155</f>
        <v>0</v>
      </c>
      <c r="D155" s="113" t="str">
        <f aca="false">ExportRaw!$E155</f>
        <v/>
      </c>
      <c r="E155" s="114" t="str">
        <f aca="false">ExportRaw!$D155</f>
        <v/>
      </c>
      <c r="F155" s="113" t="str">
        <f aca="false">ExportRaw!$H155</f>
        <v/>
      </c>
      <c r="G155" s="113" t="str">
        <f aca="false">ExportRaw!$I155</f>
        <v/>
      </c>
      <c r="H155" s="113" t="str">
        <f aca="false">ExportRaw!$A155</f>
        <v/>
      </c>
      <c r="I155" s="113" t="str">
        <f aca="false">ExportRaw!$B155</f>
        <v/>
      </c>
    </row>
    <row r="156" customFormat="false" ht="15.75" hidden="false" customHeight="false" outlineLevel="0" collapsed="false">
      <c r="A156" s="113" t="n">
        <f aca="false">ExportRaw!$F156</f>
        <v>0</v>
      </c>
      <c r="B156" s="113" t="n">
        <f aca="false">ExportRaw!$C156</f>
        <v>0</v>
      </c>
      <c r="C156" s="113" t="n">
        <f aca="false">ExportRaw!$G156</f>
        <v>0</v>
      </c>
      <c r="D156" s="113" t="str">
        <f aca="false">ExportRaw!$E156</f>
        <v/>
      </c>
      <c r="E156" s="114" t="str">
        <f aca="false">ExportRaw!$D156</f>
        <v/>
      </c>
      <c r="F156" s="113" t="str">
        <f aca="false">ExportRaw!$H156</f>
        <v/>
      </c>
      <c r="G156" s="113" t="str">
        <f aca="false">ExportRaw!$I156</f>
        <v/>
      </c>
      <c r="H156" s="113" t="str">
        <f aca="false">ExportRaw!$A156</f>
        <v/>
      </c>
      <c r="I156" s="113" t="str">
        <f aca="false">ExportRaw!$B156</f>
        <v/>
      </c>
    </row>
    <row r="157" customFormat="false" ht="15.75" hidden="false" customHeight="false" outlineLevel="0" collapsed="false">
      <c r="A157" s="113" t="n">
        <f aca="false">ExportRaw!$F157</f>
        <v>0</v>
      </c>
      <c r="B157" s="113" t="n">
        <f aca="false">ExportRaw!$C157</f>
        <v>0</v>
      </c>
      <c r="C157" s="113" t="n">
        <f aca="false">ExportRaw!$G157</f>
        <v>0</v>
      </c>
      <c r="D157" s="113" t="str">
        <f aca="false">ExportRaw!$E157</f>
        <v/>
      </c>
      <c r="E157" s="114" t="str">
        <f aca="false">ExportRaw!$D157</f>
        <v/>
      </c>
      <c r="F157" s="113" t="str">
        <f aca="false">ExportRaw!$H157</f>
        <v/>
      </c>
      <c r="G157" s="113" t="str">
        <f aca="false">ExportRaw!$I157</f>
        <v/>
      </c>
      <c r="H157" s="113" t="str">
        <f aca="false">ExportRaw!$A157</f>
        <v/>
      </c>
      <c r="I157" s="113" t="str">
        <f aca="false">ExportRaw!$B157</f>
        <v/>
      </c>
    </row>
    <row r="158" customFormat="false" ht="15.75" hidden="false" customHeight="false" outlineLevel="0" collapsed="false">
      <c r="A158" s="113" t="n">
        <f aca="false">ExportRaw!$F158</f>
        <v>0</v>
      </c>
      <c r="B158" s="113" t="n">
        <f aca="false">ExportRaw!$C158</f>
        <v>0</v>
      </c>
      <c r="C158" s="113" t="n">
        <f aca="false">ExportRaw!$G158</f>
        <v>0</v>
      </c>
      <c r="D158" s="113" t="str">
        <f aca="false">ExportRaw!$E158</f>
        <v/>
      </c>
      <c r="E158" s="114" t="str">
        <f aca="false">ExportRaw!$D158</f>
        <v/>
      </c>
      <c r="F158" s="113" t="str">
        <f aca="false">ExportRaw!$H158</f>
        <v/>
      </c>
      <c r="G158" s="113" t="str">
        <f aca="false">ExportRaw!$I158</f>
        <v/>
      </c>
      <c r="H158" s="113" t="str">
        <f aca="false">ExportRaw!$A158</f>
        <v/>
      </c>
      <c r="I158" s="113" t="str">
        <f aca="false">ExportRaw!$B158</f>
        <v/>
      </c>
    </row>
    <row r="159" customFormat="false" ht="15.75" hidden="false" customHeight="false" outlineLevel="0" collapsed="false">
      <c r="A159" s="113" t="n">
        <f aca="false">ExportRaw!$F159</f>
        <v>0</v>
      </c>
      <c r="B159" s="113" t="n">
        <f aca="false">ExportRaw!$C159</f>
        <v>0</v>
      </c>
      <c r="C159" s="113" t="n">
        <f aca="false">ExportRaw!$G159</f>
        <v>0</v>
      </c>
      <c r="D159" s="113" t="str">
        <f aca="false">ExportRaw!$E159</f>
        <v/>
      </c>
      <c r="E159" s="114" t="str">
        <f aca="false">ExportRaw!$D159</f>
        <v/>
      </c>
      <c r="F159" s="113" t="str">
        <f aca="false">ExportRaw!$H159</f>
        <v/>
      </c>
      <c r="G159" s="113" t="str">
        <f aca="false">ExportRaw!$I159</f>
        <v/>
      </c>
      <c r="H159" s="113" t="str">
        <f aca="false">ExportRaw!$A159</f>
        <v/>
      </c>
      <c r="I159" s="113" t="str">
        <f aca="false">ExportRaw!$B159</f>
        <v/>
      </c>
    </row>
    <row r="160" customFormat="false" ht="15.75" hidden="false" customHeight="false" outlineLevel="0" collapsed="false">
      <c r="A160" s="113" t="n">
        <f aca="false">ExportRaw!$F160</f>
        <v>0</v>
      </c>
      <c r="B160" s="113" t="n">
        <f aca="false">ExportRaw!$C160</f>
        <v>0</v>
      </c>
      <c r="C160" s="113" t="n">
        <f aca="false">ExportRaw!$G160</f>
        <v>0</v>
      </c>
      <c r="D160" s="113" t="str">
        <f aca="false">ExportRaw!$E160</f>
        <v/>
      </c>
      <c r="E160" s="114" t="str">
        <f aca="false">ExportRaw!$D160</f>
        <v/>
      </c>
      <c r="F160" s="113" t="str">
        <f aca="false">ExportRaw!$H160</f>
        <v/>
      </c>
      <c r="G160" s="113" t="str">
        <f aca="false">ExportRaw!$I160</f>
        <v/>
      </c>
      <c r="H160" s="113" t="str">
        <f aca="false">ExportRaw!$A160</f>
        <v/>
      </c>
      <c r="I160" s="113" t="str">
        <f aca="false">ExportRaw!$B160</f>
        <v/>
      </c>
    </row>
    <row r="161" customFormat="false" ht="15.75" hidden="false" customHeight="false" outlineLevel="0" collapsed="false">
      <c r="A161" s="113" t="n">
        <f aca="false">ExportRaw!$F161</f>
        <v>0</v>
      </c>
      <c r="B161" s="113" t="n">
        <f aca="false">ExportRaw!$C161</f>
        <v>0</v>
      </c>
      <c r="C161" s="113" t="n">
        <f aca="false">ExportRaw!$G161</f>
        <v>0</v>
      </c>
      <c r="D161" s="113" t="str">
        <f aca="false">ExportRaw!$E161</f>
        <v/>
      </c>
      <c r="E161" s="114" t="str">
        <f aca="false">ExportRaw!$D161</f>
        <v/>
      </c>
      <c r="F161" s="113" t="str">
        <f aca="false">ExportRaw!$H161</f>
        <v/>
      </c>
      <c r="G161" s="113" t="str">
        <f aca="false">ExportRaw!$I161</f>
        <v/>
      </c>
      <c r="H161" s="113" t="str">
        <f aca="false">ExportRaw!$A161</f>
        <v/>
      </c>
      <c r="I161" s="113" t="str">
        <f aca="false">ExportRaw!$B161</f>
        <v/>
      </c>
    </row>
    <row r="162" customFormat="false" ht="15.75" hidden="false" customHeight="false" outlineLevel="0" collapsed="false">
      <c r="A162" s="113" t="n">
        <f aca="false">ExportRaw!$F162</f>
        <v>0</v>
      </c>
      <c r="B162" s="113" t="n">
        <f aca="false">ExportRaw!$C162</f>
        <v>0</v>
      </c>
      <c r="C162" s="113" t="n">
        <f aca="false">ExportRaw!$G162</f>
        <v>0</v>
      </c>
      <c r="D162" s="113" t="str">
        <f aca="false">ExportRaw!$E162</f>
        <v/>
      </c>
      <c r="E162" s="114" t="str">
        <f aca="false">ExportRaw!$D162</f>
        <v/>
      </c>
      <c r="F162" s="113" t="str">
        <f aca="false">ExportRaw!$H162</f>
        <v/>
      </c>
      <c r="G162" s="113" t="str">
        <f aca="false">ExportRaw!$I162</f>
        <v/>
      </c>
      <c r="H162" s="113" t="str">
        <f aca="false">ExportRaw!$A162</f>
        <v/>
      </c>
      <c r="I162" s="113" t="str">
        <f aca="false">ExportRaw!$B162</f>
        <v/>
      </c>
    </row>
    <row r="163" customFormat="false" ht="15.75" hidden="false" customHeight="false" outlineLevel="0" collapsed="false">
      <c r="A163" s="113" t="n">
        <f aca="false">ExportRaw!$F163</f>
        <v>0</v>
      </c>
      <c r="B163" s="113" t="n">
        <f aca="false">ExportRaw!$C163</f>
        <v>0</v>
      </c>
      <c r="C163" s="113" t="n">
        <f aca="false">ExportRaw!$G163</f>
        <v>0</v>
      </c>
      <c r="D163" s="113" t="str">
        <f aca="false">ExportRaw!$E163</f>
        <v/>
      </c>
      <c r="E163" s="114" t="str">
        <f aca="false">ExportRaw!$D163</f>
        <v/>
      </c>
      <c r="F163" s="113" t="str">
        <f aca="false">ExportRaw!$H163</f>
        <v/>
      </c>
      <c r="G163" s="113" t="str">
        <f aca="false">ExportRaw!$I163</f>
        <v/>
      </c>
      <c r="H163" s="113" t="str">
        <f aca="false">ExportRaw!$A163</f>
        <v/>
      </c>
      <c r="I163" s="113" t="str">
        <f aca="false">ExportRaw!$B163</f>
        <v/>
      </c>
    </row>
    <row r="164" customFormat="false" ht="15.75" hidden="false" customHeight="false" outlineLevel="0" collapsed="false">
      <c r="A164" s="113" t="n">
        <f aca="false">ExportRaw!$F164</f>
        <v>0</v>
      </c>
      <c r="B164" s="113" t="n">
        <f aca="false">ExportRaw!$C164</f>
        <v>0</v>
      </c>
      <c r="C164" s="113" t="n">
        <f aca="false">ExportRaw!$G164</f>
        <v>0</v>
      </c>
      <c r="D164" s="113" t="str">
        <f aca="false">ExportRaw!$E164</f>
        <v/>
      </c>
      <c r="E164" s="114" t="str">
        <f aca="false">ExportRaw!$D164</f>
        <v/>
      </c>
      <c r="F164" s="113" t="str">
        <f aca="false">ExportRaw!$H164</f>
        <v/>
      </c>
      <c r="G164" s="113" t="str">
        <f aca="false">ExportRaw!$I164</f>
        <v/>
      </c>
      <c r="H164" s="113" t="str">
        <f aca="false">ExportRaw!$A164</f>
        <v/>
      </c>
      <c r="I164" s="113" t="str">
        <f aca="false">ExportRaw!$B164</f>
        <v/>
      </c>
    </row>
    <row r="165" customFormat="false" ht="15.75" hidden="false" customHeight="false" outlineLevel="0" collapsed="false">
      <c r="A165" s="113" t="n">
        <f aca="false">ExportRaw!$F165</f>
        <v>0</v>
      </c>
      <c r="B165" s="113" t="n">
        <f aca="false">ExportRaw!$C165</f>
        <v>0</v>
      </c>
      <c r="C165" s="113" t="n">
        <f aca="false">ExportRaw!$G165</f>
        <v>0</v>
      </c>
      <c r="D165" s="113" t="str">
        <f aca="false">ExportRaw!$E165</f>
        <v/>
      </c>
      <c r="E165" s="114" t="str">
        <f aca="false">ExportRaw!$D165</f>
        <v/>
      </c>
      <c r="F165" s="113" t="str">
        <f aca="false">ExportRaw!$H165</f>
        <v/>
      </c>
      <c r="G165" s="113" t="str">
        <f aca="false">ExportRaw!$I165</f>
        <v/>
      </c>
      <c r="H165" s="113" t="str">
        <f aca="false">ExportRaw!$A165</f>
        <v/>
      </c>
      <c r="I165" s="113" t="str">
        <f aca="false">ExportRaw!$B165</f>
        <v/>
      </c>
    </row>
    <row r="166" customFormat="false" ht="15.75" hidden="false" customHeight="false" outlineLevel="0" collapsed="false">
      <c r="A166" s="113" t="n">
        <f aca="false">ExportRaw!$F166</f>
        <v>0</v>
      </c>
      <c r="B166" s="113" t="n">
        <f aca="false">ExportRaw!$C166</f>
        <v>0</v>
      </c>
      <c r="C166" s="113" t="n">
        <f aca="false">ExportRaw!$G166</f>
        <v>0</v>
      </c>
      <c r="D166" s="113" t="str">
        <f aca="false">ExportRaw!$E166</f>
        <v/>
      </c>
      <c r="E166" s="114" t="str">
        <f aca="false">ExportRaw!$D166</f>
        <v/>
      </c>
      <c r="F166" s="113" t="str">
        <f aca="false">ExportRaw!$H166</f>
        <v/>
      </c>
      <c r="G166" s="113" t="str">
        <f aca="false">ExportRaw!$I166</f>
        <v/>
      </c>
      <c r="H166" s="113" t="str">
        <f aca="false">ExportRaw!$A166</f>
        <v/>
      </c>
      <c r="I166" s="113" t="str">
        <f aca="false">ExportRaw!$B166</f>
        <v/>
      </c>
    </row>
    <row r="167" customFormat="false" ht="15.75" hidden="false" customHeight="false" outlineLevel="0" collapsed="false">
      <c r="A167" s="113" t="n">
        <f aca="false">ExportRaw!$F167</f>
        <v>0</v>
      </c>
      <c r="B167" s="113" t="n">
        <f aca="false">ExportRaw!$C167</f>
        <v>0</v>
      </c>
      <c r="C167" s="113" t="n">
        <f aca="false">ExportRaw!$G167</f>
        <v>0</v>
      </c>
      <c r="D167" s="113" t="str">
        <f aca="false">ExportRaw!$E167</f>
        <v/>
      </c>
      <c r="E167" s="114" t="str">
        <f aca="false">ExportRaw!$D167</f>
        <v/>
      </c>
      <c r="F167" s="113" t="str">
        <f aca="false">ExportRaw!$H167</f>
        <v/>
      </c>
      <c r="G167" s="113" t="str">
        <f aca="false">ExportRaw!$I167</f>
        <v/>
      </c>
      <c r="H167" s="113" t="str">
        <f aca="false">ExportRaw!$A167</f>
        <v/>
      </c>
      <c r="I167" s="113" t="str">
        <f aca="false">ExportRaw!$B167</f>
        <v/>
      </c>
    </row>
    <row r="168" customFormat="false" ht="15.75" hidden="false" customHeight="false" outlineLevel="0" collapsed="false">
      <c r="A168" s="113" t="n">
        <f aca="false">ExportRaw!$F168</f>
        <v>0</v>
      </c>
      <c r="B168" s="113" t="n">
        <f aca="false">ExportRaw!$C168</f>
        <v>0</v>
      </c>
      <c r="C168" s="113" t="n">
        <f aca="false">ExportRaw!$G168</f>
        <v>0</v>
      </c>
      <c r="D168" s="113" t="str">
        <f aca="false">ExportRaw!$E168</f>
        <v/>
      </c>
      <c r="E168" s="114" t="str">
        <f aca="false">ExportRaw!$D168</f>
        <v/>
      </c>
      <c r="F168" s="113" t="str">
        <f aca="false">ExportRaw!$H168</f>
        <v/>
      </c>
      <c r="G168" s="113" t="str">
        <f aca="false">ExportRaw!$I168</f>
        <v/>
      </c>
      <c r="H168" s="113" t="str">
        <f aca="false">ExportRaw!$A168</f>
        <v/>
      </c>
      <c r="I168" s="113" t="str">
        <f aca="false">ExportRaw!$B168</f>
        <v/>
      </c>
    </row>
    <row r="169" customFormat="false" ht="15.75" hidden="false" customHeight="false" outlineLevel="0" collapsed="false">
      <c r="A169" s="113" t="n">
        <f aca="false">ExportRaw!$F169</f>
        <v>0</v>
      </c>
      <c r="B169" s="113" t="n">
        <f aca="false">ExportRaw!$C169</f>
        <v>0</v>
      </c>
      <c r="C169" s="113" t="n">
        <f aca="false">ExportRaw!$G169</f>
        <v>0</v>
      </c>
      <c r="D169" s="113" t="str">
        <f aca="false">ExportRaw!$E169</f>
        <v/>
      </c>
      <c r="E169" s="114" t="str">
        <f aca="false">ExportRaw!$D169</f>
        <v/>
      </c>
      <c r="F169" s="113" t="str">
        <f aca="false">ExportRaw!$H169</f>
        <v/>
      </c>
      <c r="G169" s="113" t="str">
        <f aca="false">ExportRaw!$I169</f>
        <v/>
      </c>
      <c r="H169" s="113" t="str">
        <f aca="false">ExportRaw!$A169</f>
        <v/>
      </c>
      <c r="I169" s="113" t="str">
        <f aca="false">ExportRaw!$B169</f>
        <v/>
      </c>
    </row>
    <row r="170" customFormat="false" ht="15.75" hidden="false" customHeight="false" outlineLevel="0" collapsed="false">
      <c r="A170" s="113" t="n">
        <f aca="false">ExportRaw!$F170</f>
        <v>0</v>
      </c>
      <c r="B170" s="113" t="n">
        <f aca="false">ExportRaw!$C170</f>
        <v>0</v>
      </c>
      <c r="C170" s="113" t="n">
        <f aca="false">ExportRaw!$G170</f>
        <v>0</v>
      </c>
      <c r="D170" s="113" t="str">
        <f aca="false">ExportRaw!$E170</f>
        <v/>
      </c>
      <c r="E170" s="114" t="str">
        <f aca="false">ExportRaw!$D170</f>
        <v/>
      </c>
      <c r="F170" s="113" t="str">
        <f aca="false">ExportRaw!$H170</f>
        <v/>
      </c>
      <c r="G170" s="113" t="str">
        <f aca="false">ExportRaw!$I170</f>
        <v/>
      </c>
      <c r="H170" s="113" t="str">
        <f aca="false">ExportRaw!$A170</f>
        <v/>
      </c>
      <c r="I170" s="113" t="str">
        <f aca="false">ExportRaw!$B170</f>
        <v/>
      </c>
    </row>
    <row r="171" customFormat="false" ht="15.75" hidden="false" customHeight="false" outlineLevel="0" collapsed="false">
      <c r="A171" s="113" t="n">
        <f aca="false">ExportRaw!$F171</f>
        <v>0</v>
      </c>
      <c r="B171" s="113" t="n">
        <f aca="false">ExportRaw!$C171</f>
        <v>0</v>
      </c>
      <c r="C171" s="113" t="n">
        <f aca="false">ExportRaw!$G171</f>
        <v>0</v>
      </c>
      <c r="D171" s="113" t="str">
        <f aca="false">ExportRaw!$E171</f>
        <v/>
      </c>
      <c r="E171" s="114" t="str">
        <f aca="false">ExportRaw!$D171</f>
        <v/>
      </c>
      <c r="F171" s="113" t="str">
        <f aca="false">ExportRaw!$H171</f>
        <v/>
      </c>
      <c r="G171" s="113" t="str">
        <f aca="false">ExportRaw!$I171</f>
        <v/>
      </c>
      <c r="H171" s="113" t="str">
        <f aca="false">ExportRaw!$A171</f>
        <v/>
      </c>
      <c r="I171" s="113" t="str">
        <f aca="false">ExportRaw!$B171</f>
        <v/>
      </c>
    </row>
    <row r="172" customFormat="false" ht="15.75" hidden="false" customHeight="false" outlineLevel="0" collapsed="false">
      <c r="A172" s="113" t="n">
        <f aca="false">ExportRaw!$F172</f>
        <v>0</v>
      </c>
      <c r="B172" s="113" t="n">
        <f aca="false">ExportRaw!$C172</f>
        <v>0</v>
      </c>
      <c r="C172" s="113" t="n">
        <f aca="false">ExportRaw!$G172</f>
        <v>0</v>
      </c>
      <c r="D172" s="113" t="str">
        <f aca="false">ExportRaw!$E172</f>
        <v/>
      </c>
      <c r="E172" s="114" t="str">
        <f aca="false">ExportRaw!$D172</f>
        <v/>
      </c>
      <c r="F172" s="113" t="str">
        <f aca="false">ExportRaw!$H172</f>
        <v/>
      </c>
      <c r="G172" s="113" t="str">
        <f aca="false">ExportRaw!$I172</f>
        <v/>
      </c>
      <c r="H172" s="113" t="str">
        <f aca="false">ExportRaw!$A172</f>
        <v/>
      </c>
      <c r="I172" s="113" t="str">
        <f aca="false">ExportRaw!$B172</f>
        <v/>
      </c>
    </row>
    <row r="173" customFormat="false" ht="15.75" hidden="false" customHeight="false" outlineLevel="0" collapsed="false">
      <c r="A173" s="113" t="n">
        <f aca="false">ExportRaw!$F173</f>
        <v>0</v>
      </c>
      <c r="B173" s="113" t="n">
        <f aca="false">ExportRaw!$C173</f>
        <v>0</v>
      </c>
      <c r="C173" s="113" t="n">
        <f aca="false">ExportRaw!$G173</f>
        <v>0</v>
      </c>
      <c r="D173" s="113" t="str">
        <f aca="false">ExportRaw!$E173</f>
        <v/>
      </c>
      <c r="E173" s="114" t="str">
        <f aca="false">ExportRaw!$D173</f>
        <v/>
      </c>
      <c r="F173" s="113" t="str">
        <f aca="false">ExportRaw!$H173</f>
        <v/>
      </c>
      <c r="G173" s="113" t="str">
        <f aca="false">ExportRaw!$I173</f>
        <v/>
      </c>
      <c r="H173" s="113" t="str">
        <f aca="false">ExportRaw!$A173</f>
        <v/>
      </c>
      <c r="I173" s="113" t="str">
        <f aca="false">ExportRaw!$B173</f>
        <v/>
      </c>
    </row>
    <row r="174" customFormat="false" ht="15.75" hidden="false" customHeight="false" outlineLevel="0" collapsed="false">
      <c r="A174" s="113" t="n">
        <f aca="false">ExportRaw!$F174</f>
        <v>0</v>
      </c>
      <c r="B174" s="113" t="n">
        <f aca="false">ExportRaw!$C174</f>
        <v>0</v>
      </c>
      <c r="C174" s="113" t="n">
        <f aca="false">ExportRaw!$G174</f>
        <v>0</v>
      </c>
      <c r="D174" s="113" t="str">
        <f aca="false">ExportRaw!$E174</f>
        <v/>
      </c>
      <c r="E174" s="114" t="str">
        <f aca="false">ExportRaw!$D174</f>
        <v/>
      </c>
      <c r="F174" s="113" t="str">
        <f aca="false">ExportRaw!$H174</f>
        <v/>
      </c>
      <c r="G174" s="113" t="str">
        <f aca="false">ExportRaw!$I174</f>
        <v/>
      </c>
      <c r="H174" s="113" t="str">
        <f aca="false">ExportRaw!$A174</f>
        <v/>
      </c>
      <c r="I174" s="113" t="str">
        <f aca="false">ExportRaw!$B174</f>
        <v/>
      </c>
    </row>
    <row r="175" customFormat="false" ht="15.75" hidden="false" customHeight="false" outlineLevel="0" collapsed="false">
      <c r="A175" s="113" t="n">
        <f aca="false">ExportRaw!$F175</f>
        <v>0</v>
      </c>
      <c r="B175" s="113" t="n">
        <f aca="false">ExportRaw!$C175</f>
        <v>0</v>
      </c>
      <c r="C175" s="113" t="n">
        <f aca="false">ExportRaw!$G175</f>
        <v>0</v>
      </c>
      <c r="D175" s="113" t="str">
        <f aca="false">ExportRaw!$E175</f>
        <v/>
      </c>
      <c r="E175" s="114" t="str">
        <f aca="false">ExportRaw!$D175</f>
        <v/>
      </c>
      <c r="F175" s="113" t="str">
        <f aca="false">ExportRaw!$H175</f>
        <v/>
      </c>
      <c r="G175" s="113" t="str">
        <f aca="false">ExportRaw!$I175</f>
        <v/>
      </c>
      <c r="H175" s="113" t="str">
        <f aca="false">ExportRaw!$A175</f>
        <v/>
      </c>
      <c r="I175" s="113" t="str">
        <f aca="false">ExportRaw!$B175</f>
        <v/>
      </c>
    </row>
    <row r="176" customFormat="false" ht="15.75" hidden="false" customHeight="false" outlineLevel="0" collapsed="false">
      <c r="A176" s="113" t="n">
        <f aca="false">ExportRaw!$F176</f>
        <v>0</v>
      </c>
      <c r="B176" s="113" t="n">
        <f aca="false">ExportRaw!$C176</f>
        <v>0</v>
      </c>
      <c r="C176" s="113" t="n">
        <f aca="false">ExportRaw!$G176</f>
        <v>0</v>
      </c>
      <c r="D176" s="113" t="str">
        <f aca="false">ExportRaw!$E176</f>
        <v/>
      </c>
      <c r="E176" s="114" t="str">
        <f aca="false">ExportRaw!$D176</f>
        <v/>
      </c>
      <c r="F176" s="113" t="str">
        <f aca="false">ExportRaw!$H176</f>
        <v/>
      </c>
      <c r="G176" s="113" t="str">
        <f aca="false">ExportRaw!$I176</f>
        <v/>
      </c>
      <c r="H176" s="113" t="str">
        <f aca="false">ExportRaw!$A176</f>
        <v/>
      </c>
      <c r="I176" s="113" t="str">
        <f aca="false">ExportRaw!$B176</f>
        <v/>
      </c>
    </row>
    <row r="177" customFormat="false" ht="15.75" hidden="false" customHeight="false" outlineLevel="0" collapsed="false">
      <c r="A177" s="113" t="n">
        <f aca="false">ExportRaw!$F177</f>
        <v>0</v>
      </c>
      <c r="B177" s="113" t="n">
        <f aca="false">ExportRaw!$C177</f>
        <v>0</v>
      </c>
      <c r="C177" s="113" t="n">
        <f aca="false">ExportRaw!$G177</f>
        <v>0</v>
      </c>
      <c r="D177" s="113" t="str">
        <f aca="false">ExportRaw!$E177</f>
        <v/>
      </c>
      <c r="E177" s="114" t="str">
        <f aca="false">ExportRaw!$D177</f>
        <v/>
      </c>
      <c r="F177" s="113" t="str">
        <f aca="false">ExportRaw!$H177</f>
        <v/>
      </c>
      <c r="G177" s="113" t="str">
        <f aca="false">ExportRaw!$I177</f>
        <v/>
      </c>
      <c r="H177" s="113" t="str">
        <f aca="false">ExportRaw!$A177</f>
        <v/>
      </c>
      <c r="I177" s="113" t="str">
        <f aca="false">ExportRaw!$B177</f>
        <v/>
      </c>
    </row>
    <row r="178" customFormat="false" ht="15.75" hidden="false" customHeight="false" outlineLevel="0" collapsed="false">
      <c r="A178" s="113" t="n">
        <f aca="false">ExportRaw!$F178</f>
        <v>0</v>
      </c>
      <c r="B178" s="113" t="n">
        <f aca="false">ExportRaw!$C178</f>
        <v>0</v>
      </c>
      <c r="C178" s="113" t="n">
        <f aca="false">ExportRaw!$G178</f>
        <v>0</v>
      </c>
      <c r="D178" s="113" t="str">
        <f aca="false">ExportRaw!$E178</f>
        <v/>
      </c>
      <c r="E178" s="114" t="str">
        <f aca="false">ExportRaw!$D178</f>
        <v/>
      </c>
      <c r="F178" s="113" t="str">
        <f aca="false">ExportRaw!$H178</f>
        <v/>
      </c>
      <c r="G178" s="113" t="str">
        <f aca="false">ExportRaw!$I178</f>
        <v/>
      </c>
      <c r="H178" s="113" t="str">
        <f aca="false">ExportRaw!$A178</f>
        <v/>
      </c>
      <c r="I178" s="113" t="str">
        <f aca="false">ExportRaw!$B178</f>
        <v/>
      </c>
    </row>
    <row r="179" customFormat="false" ht="15.75" hidden="false" customHeight="false" outlineLevel="0" collapsed="false">
      <c r="A179" s="113" t="n">
        <f aca="false">ExportRaw!$F179</f>
        <v>0</v>
      </c>
      <c r="B179" s="113" t="n">
        <f aca="false">ExportRaw!$C179</f>
        <v>0</v>
      </c>
      <c r="C179" s="113" t="n">
        <f aca="false">ExportRaw!$G179</f>
        <v>0</v>
      </c>
      <c r="D179" s="113" t="str">
        <f aca="false">ExportRaw!$E179</f>
        <v/>
      </c>
      <c r="E179" s="114" t="str">
        <f aca="false">ExportRaw!$D179</f>
        <v/>
      </c>
      <c r="F179" s="113" t="str">
        <f aca="false">ExportRaw!$H179</f>
        <v/>
      </c>
      <c r="G179" s="113" t="str">
        <f aca="false">ExportRaw!$I179</f>
        <v/>
      </c>
      <c r="H179" s="113" t="str">
        <f aca="false">ExportRaw!$A179</f>
        <v/>
      </c>
      <c r="I179" s="113" t="str">
        <f aca="false">ExportRaw!$B179</f>
        <v/>
      </c>
    </row>
    <row r="180" customFormat="false" ht="15.75" hidden="false" customHeight="false" outlineLevel="0" collapsed="false">
      <c r="A180" s="113" t="n">
        <f aca="false">ExportRaw!$F180</f>
        <v>0</v>
      </c>
      <c r="B180" s="113" t="n">
        <f aca="false">ExportRaw!$C180</f>
        <v>0</v>
      </c>
      <c r="C180" s="113" t="n">
        <f aca="false">ExportRaw!$G180</f>
        <v>0</v>
      </c>
      <c r="D180" s="113" t="str">
        <f aca="false">ExportRaw!$E180</f>
        <v/>
      </c>
      <c r="E180" s="114" t="str">
        <f aca="false">ExportRaw!$D180</f>
        <v/>
      </c>
      <c r="F180" s="113" t="str">
        <f aca="false">ExportRaw!$H180</f>
        <v/>
      </c>
      <c r="G180" s="113" t="str">
        <f aca="false">ExportRaw!$I180</f>
        <v/>
      </c>
      <c r="H180" s="113" t="str">
        <f aca="false">ExportRaw!$A180</f>
        <v/>
      </c>
      <c r="I180" s="113" t="str">
        <f aca="false">ExportRaw!$B180</f>
        <v/>
      </c>
    </row>
    <row r="181" customFormat="false" ht="15.75" hidden="false" customHeight="false" outlineLevel="0" collapsed="false">
      <c r="A181" s="113" t="n">
        <f aca="false">ExportRaw!$F181</f>
        <v>0</v>
      </c>
      <c r="B181" s="113" t="n">
        <f aca="false">ExportRaw!$C181</f>
        <v>0</v>
      </c>
      <c r="C181" s="113" t="n">
        <f aca="false">ExportRaw!$G181</f>
        <v>0</v>
      </c>
      <c r="D181" s="113" t="str">
        <f aca="false">ExportRaw!$E181</f>
        <v/>
      </c>
      <c r="E181" s="114" t="str">
        <f aca="false">ExportRaw!$D181</f>
        <v/>
      </c>
      <c r="F181" s="113" t="str">
        <f aca="false">ExportRaw!$H181</f>
        <v/>
      </c>
      <c r="G181" s="113" t="str">
        <f aca="false">ExportRaw!$I181</f>
        <v/>
      </c>
      <c r="H181" s="113" t="str">
        <f aca="false">ExportRaw!$A181</f>
        <v/>
      </c>
      <c r="I181" s="113" t="str">
        <f aca="false">ExportRaw!$B181</f>
        <v/>
      </c>
    </row>
    <row r="182" customFormat="false" ht="15.75" hidden="false" customHeight="false" outlineLevel="0" collapsed="false">
      <c r="A182" s="113" t="n">
        <f aca="false">ExportRaw!$F182</f>
        <v>0</v>
      </c>
      <c r="B182" s="113" t="n">
        <f aca="false">ExportRaw!$C182</f>
        <v>0</v>
      </c>
      <c r="C182" s="113" t="n">
        <f aca="false">ExportRaw!$G182</f>
        <v>0</v>
      </c>
      <c r="D182" s="113" t="str">
        <f aca="false">ExportRaw!$E182</f>
        <v/>
      </c>
      <c r="E182" s="114" t="str">
        <f aca="false">ExportRaw!$D182</f>
        <v/>
      </c>
      <c r="F182" s="113" t="str">
        <f aca="false">ExportRaw!$H182</f>
        <v/>
      </c>
      <c r="G182" s="113" t="str">
        <f aca="false">ExportRaw!$I182</f>
        <v/>
      </c>
      <c r="H182" s="113" t="str">
        <f aca="false">ExportRaw!$A182</f>
        <v/>
      </c>
      <c r="I182" s="113" t="str">
        <f aca="false">ExportRaw!$B182</f>
        <v/>
      </c>
    </row>
    <row r="183" customFormat="false" ht="15.75" hidden="false" customHeight="false" outlineLevel="0" collapsed="false">
      <c r="A183" s="113" t="n">
        <f aca="false">ExportRaw!$F183</f>
        <v>0</v>
      </c>
      <c r="B183" s="113" t="n">
        <f aca="false">ExportRaw!$C183</f>
        <v>0</v>
      </c>
      <c r="C183" s="113" t="n">
        <f aca="false">ExportRaw!$G183</f>
        <v>0</v>
      </c>
      <c r="D183" s="113" t="str">
        <f aca="false">ExportRaw!$E183</f>
        <v/>
      </c>
      <c r="E183" s="114" t="str">
        <f aca="false">ExportRaw!$D183</f>
        <v/>
      </c>
      <c r="F183" s="113" t="str">
        <f aca="false">ExportRaw!$H183</f>
        <v/>
      </c>
      <c r="G183" s="113" t="str">
        <f aca="false">ExportRaw!$I183</f>
        <v/>
      </c>
      <c r="H183" s="113" t="str">
        <f aca="false">ExportRaw!$A183</f>
        <v/>
      </c>
      <c r="I183" s="113" t="str">
        <f aca="false">ExportRaw!$B183</f>
        <v/>
      </c>
    </row>
    <row r="184" customFormat="false" ht="15.75" hidden="false" customHeight="false" outlineLevel="0" collapsed="false">
      <c r="A184" s="113" t="n">
        <f aca="false">ExportRaw!$F184</f>
        <v>0</v>
      </c>
      <c r="B184" s="113" t="n">
        <f aca="false">ExportRaw!$C184</f>
        <v>0</v>
      </c>
      <c r="C184" s="113" t="n">
        <f aca="false">ExportRaw!$G184</f>
        <v>0</v>
      </c>
      <c r="D184" s="113" t="str">
        <f aca="false">ExportRaw!$E184</f>
        <v/>
      </c>
      <c r="E184" s="114" t="str">
        <f aca="false">ExportRaw!$D184</f>
        <v/>
      </c>
      <c r="F184" s="113" t="str">
        <f aca="false">ExportRaw!$H184</f>
        <v/>
      </c>
      <c r="G184" s="113" t="str">
        <f aca="false">ExportRaw!$I184</f>
        <v/>
      </c>
      <c r="H184" s="113" t="str">
        <f aca="false">ExportRaw!$A184</f>
        <v/>
      </c>
      <c r="I184" s="113" t="str">
        <f aca="false">ExportRaw!$B184</f>
        <v/>
      </c>
    </row>
    <row r="185" customFormat="false" ht="15.75" hidden="false" customHeight="false" outlineLevel="0" collapsed="false">
      <c r="A185" s="113" t="n">
        <f aca="false">ExportRaw!$F185</f>
        <v>0</v>
      </c>
      <c r="B185" s="113" t="n">
        <f aca="false">ExportRaw!$C185</f>
        <v>0</v>
      </c>
      <c r="C185" s="113" t="n">
        <f aca="false">ExportRaw!$G185</f>
        <v>0</v>
      </c>
      <c r="D185" s="113" t="str">
        <f aca="false">ExportRaw!$E185</f>
        <v/>
      </c>
      <c r="E185" s="114" t="str">
        <f aca="false">ExportRaw!$D185</f>
        <v/>
      </c>
      <c r="F185" s="113" t="str">
        <f aca="false">ExportRaw!$H185</f>
        <v/>
      </c>
      <c r="G185" s="113" t="str">
        <f aca="false">ExportRaw!$I185</f>
        <v/>
      </c>
      <c r="H185" s="113" t="str">
        <f aca="false">ExportRaw!$A185</f>
        <v/>
      </c>
      <c r="I185" s="113" t="str">
        <f aca="false">ExportRaw!$B185</f>
        <v/>
      </c>
    </row>
    <row r="186" customFormat="false" ht="15.75" hidden="false" customHeight="false" outlineLevel="0" collapsed="false">
      <c r="A186" s="113" t="n">
        <f aca="false">ExportRaw!$F186</f>
        <v>0</v>
      </c>
      <c r="B186" s="113" t="n">
        <f aca="false">ExportRaw!$C186</f>
        <v>0</v>
      </c>
      <c r="C186" s="113" t="n">
        <f aca="false">ExportRaw!$G186</f>
        <v>0</v>
      </c>
      <c r="D186" s="113" t="str">
        <f aca="false">ExportRaw!$E186</f>
        <v/>
      </c>
      <c r="E186" s="114" t="str">
        <f aca="false">ExportRaw!$D186</f>
        <v/>
      </c>
      <c r="F186" s="113" t="str">
        <f aca="false">ExportRaw!$H186</f>
        <v/>
      </c>
      <c r="G186" s="113" t="str">
        <f aca="false">ExportRaw!$I186</f>
        <v/>
      </c>
      <c r="H186" s="113" t="str">
        <f aca="false">ExportRaw!$A186</f>
        <v/>
      </c>
      <c r="I186" s="113" t="str">
        <f aca="false">ExportRaw!$B186</f>
        <v/>
      </c>
    </row>
    <row r="187" customFormat="false" ht="15.75" hidden="false" customHeight="false" outlineLevel="0" collapsed="false">
      <c r="A187" s="113" t="n">
        <f aca="false">ExportRaw!$F187</f>
        <v>0</v>
      </c>
      <c r="B187" s="113" t="n">
        <f aca="false">ExportRaw!$C187</f>
        <v>0</v>
      </c>
      <c r="C187" s="113" t="n">
        <f aca="false">ExportRaw!$G187</f>
        <v>0</v>
      </c>
      <c r="D187" s="113" t="str">
        <f aca="false">ExportRaw!$E187</f>
        <v/>
      </c>
      <c r="E187" s="114" t="str">
        <f aca="false">ExportRaw!$D187</f>
        <v/>
      </c>
      <c r="F187" s="113" t="str">
        <f aca="false">ExportRaw!$H187</f>
        <v/>
      </c>
      <c r="G187" s="113" t="str">
        <f aca="false">ExportRaw!$I187</f>
        <v/>
      </c>
      <c r="H187" s="113" t="str">
        <f aca="false">ExportRaw!$A187</f>
        <v/>
      </c>
      <c r="I187" s="113" t="str">
        <f aca="false">ExportRaw!$B187</f>
        <v/>
      </c>
    </row>
    <row r="188" customFormat="false" ht="15.75" hidden="false" customHeight="false" outlineLevel="0" collapsed="false">
      <c r="A188" s="113" t="n">
        <f aca="false">ExportRaw!$F188</f>
        <v>0</v>
      </c>
      <c r="B188" s="113" t="n">
        <f aca="false">ExportRaw!$C188</f>
        <v>0</v>
      </c>
      <c r="C188" s="113" t="n">
        <f aca="false">ExportRaw!$G188</f>
        <v>0</v>
      </c>
      <c r="D188" s="113" t="str">
        <f aca="false">ExportRaw!$E188</f>
        <v/>
      </c>
      <c r="E188" s="114" t="str">
        <f aca="false">ExportRaw!$D188</f>
        <v/>
      </c>
      <c r="F188" s="113" t="str">
        <f aca="false">ExportRaw!$H188</f>
        <v/>
      </c>
      <c r="G188" s="113" t="str">
        <f aca="false">ExportRaw!$I188</f>
        <v/>
      </c>
      <c r="H188" s="113" t="str">
        <f aca="false">ExportRaw!$A188</f>
        <v/>
      </c>
      <c r="I188" s="113" t="str">
        <f aca="false">ExportRaw!$B188</f>
        <v/>
      </c>
    </row>
    <row r="189" customFormat="false" ht="15.75" hidden="false" customHeight="false" outlineLevel="0" collapsed="false">
      <c r="A189" s="113" t="n">
        <f aca="false">ExportRaw!$F189</f>
        <v>0</v>
      </c>
      <c r="B189" s="113" t="n">
        <f aca="false">ExportRaw!$C189</f>
        <v>0</v>
      </c>
      <c r="C189" s="113" t="n">
        <f aca="false">ExportRaw!$G189</f>
        <v>0</v>
      </c>
      <c r="D189" s="113" t="str">
        <f aca="false">ExportRaw!$E189</f>
        <v/>
      </c>
      <c r="E189" s="114" t="str">
        <f aca="false">ExportRaw!$D189</f>
        <v/>
      </c>
      <c r="F189" s="113" t="str">
        <f aca="false">ExportRaw!$H189</f>
        <v/>
      </c>
      <c r="G189" s="113" t="str">
        <f aca="false">ExportRaw!$I189</f>
        <v/>
      </c>
      <c r="H189" s="113" t="str">
        <f aca="false">ExportRaw!$A189</f>
        <v/>
      </c>
      <c r="I189" s="113" t="str">
        <f aca="false">ExportRaw!$B189</f>
        <v/>
      </c>
    </row>
    <row r="190" customFormat="false" ht="15.75" hidden="false" customHeight="false" outlineLevel="0" collapsed="false">
      <c r="A190" s="113" t="n">
        <f aca="false">ExportRaw!$F190</f>
        <v>0</v>
      </c>
      <c r="B190" s="113" t="n">
        <f aca="false">ExportRaw!$C190</f>
        <v>0</v>
      </c>
      <c r="C190" s="113" t="n">
        <f aca="false">ExportRaw!$G190</f>
        <v>0</v>
      </c>
      <c r="D190" s="113" t="str">
        <f aca="false">ExportRaw!$E190</f>
        <v/>
      </c>
      <c r="E190" s="114" t="str">
        <f aca="false">ExportRaw!$D190</f>
        <v/>
      </c>
      <c r="F190" s="113" t="str">
        <f aca="false">ExportRaw!$H190</f>
        <v/>
      </c>
      <c r="G190" s="113" t="str">
        <f aca="false">ExportRaw!$I190</f>
        <v/>
      </c>
      <c r="H190" s="113" t="str">
        <f aca="false">ExportRaw!$A190</f>
        <v/>
      </c>
      <c r="I190" s="113" t="str">
        <f aca="false">ExportRaw!$B190</f>
        <v/>
      </c>
    </row>
    <row r="191" customFormat="false" ht="15.75" hidden="false" customHeight="false" outlineLevel="0" collapsed="false">
      <c r="A191" s="113" t="n">
        <f aca="false">ExportRaw!$F191</f>
        <v>0</v>
      </c>
      <c r="B191" s="113" t="n">
        <f aca="false">ExportRaw!$C191</f>
        <v>0</v>
      </c>
      <c r="C191" s="113" t="n">
        <f aca="false">ExportRaw!$G191</f>
        <v>0</v>
      </c>
      <c r="D191" s="113" t="str">
        <f aca="false">ExportRaw!$E191</f>
        <v/>
      </c>
      <c r="E191" s="114" t="str">
        <f aca="false">ExportRaw!$D191</f>
        <v/>
      </c>
      <c r="F191" s="113" t="str">
        <f aca="false">ExportRaw!$H191</f>
        <v/>
      </c>
      <c r="G191" s="113" t="str">
        <f aca="false">ExportRaw!$I191</f>
        <v/>
      </c>
      <c r="H191" s="113" t="str">
        <f aca="false">ExportRaw!$A191</f>
        <v/>
      </c>
      <c r="I191" s="113" t="str">
        <f aca="false">ExportRaw!$B191</f>
        <v/>
      </c>
    </row>
    <row r="192" customFormat="false" ht="15.75" hidden="false" customHeight="false" outlineLevel="0" collapsed="false">
      <c r="A192" s="113" t="n">
        <f aca="false">ExportRaw!$F192</f>
        <v>0</v>
      </c>
      <c r="B192" s="113" t="n">
        <f aca="false">ExportRaw!$C192</f>
        <v>0</v>
      </c>
      <c r="C192" s="113" t="n">
        <f aca="false">ExportRaw!$G192</f>
        <v>0</v>
      </c>
      <c r="D192" s="113" t="str">
        <f aca="false">ExportRaw!$E192</f>
        <v/>
      </c>
      <c r="E192" s="114" t="str">
        <f aca="false">ExportRaw!$D192</f>
        <v/>
      </c>
      <c r="F192" s="113" t="str">
        <f aca="false">ExportRaw!$H192</f>
        <v/>
      </c>
      <c r="G192" s="113" t="str">
        <f aca="false">ExportRaw!$I192</f>
        <v/>
      </c>
      <c r="H192" s="113" t="str">
        <f aca="false">ExportRaw!$A192</f>
        <v/>
      </c>
      <c r="I192" s="113" t="str">
        <f aca="false">ExportRaw!$B192</f>
        <v/>
      </c>
    </row>
    <row r="193" customFormat="false" ht="15.75" hidden="false" customHeight="false" outlineLevel="0" collapsed="false">
      <c r="A193" s="113" t="n">
        <f aca="false">ExportRaw!$F193</f>
        <v>0</v>
      </c>
      <c r="B193" s="113" t="n">
        <f aca="false">ExportRaw!$C193</f>
        <v>0</v>
      </c>
      <c r="C193" s="113" t="n">
        <f aca="false">ExportRaw!$G193</f>
        <v>0</v>
      </c>
      <c r="D193" s="113" t="str">
        <f aca="false">ExportRaw!$E193</f>
        <v/>
      </c>
      <c r="E193" s="114" t="str">
        <f aca="false">ExportRaw!$D193</f>
        <v/>
      </c>
      <c r="F193" s="113" t="str">
        <f aca="false">ExportRaw!$H193</f>
        <v/>
      </c>
      <c r="G193" s="113" t="str">
        <f aca="false">ExportRaw!$I193</f>
        <v/>
      </c>
      <c r="H193" s="113" t="str">
        <f aca="false">ExportRaw!$A193</f>
        <v/>
      </c>
      <c r="I193" s="113" t="str">
        <f aca="false">ExportRaw!$B193</f>
        <v/>
      </c>
    </row>
    <row r="194" customFormat="false" ht="15.75" hidden="false" customHeight="false" outlineLevel="0" collapsed="false">
      <c r="A194" s="113" t="n">
        <f aca="false">ExportRaw!$F194</f>
        <v>0</v>
      </c>
      <c r="B194" s="113" t="n">
        <f aca="false">ExportRaw!$C194</f>
        <v>0</v>
      </c>
      <c r="C194" s="113" t="n">
        <f aca="false">ExportRaw!$G194</f>
        <v>0</v>
      </c>
      <c r="D194" s="113" t="str">
        <f aca="false">ExportRaw!$E194</f>
        <v/>
      </c>
      <c r="E194" s="114" t="str">
        <f aca="false">ExportRaw!$D194</f>
        <v/>
      </c>
      <c r="F194" s="113" t="str">
        <f aca="false">ExportRaw!$H194</f>
        <v/>
      </c>
      <c r="G194" s="113" t="str">
        <f aca="false">ExportRaw!$I194</f>
        <v/>
      </c>
      <c r="H194" s="113" t="str">
        <f aca="false">ExportRaw!$A194</f>
        <v/>
      </c>
      <c r="I194" s="113" t="str">
        <f aca="false">ExportRaw!$B194</f>
        <v/>
      </c>
    </row>
    <row r="195" customFormat="false" ht="15.75" hidden="false" customHeight="false" outlineLevel="0" collapsed="false">
      <c r="A195" s="113" t="n">
        <f aca="false">ExportRaw!$F195</f>
        <v>0</v>
      </c>
      <c r="B195" s="113" t="n">
        <f aca="false">ExportRaw!$C195</f>
        <v>0</v>
      </c>
      <c r="C195" s="113" t="n">
        <f aca="false">ExportRaw!$G195</f>
        <v>0</v>
      </c>
      <c r="D195" s="113" t="str">
        <f aca="false">ExportRaw!$E195</f>
        <v/>
      </c>
      <c r="E195" s="114" t="str">
        <f aca="false">ExportRaw!$D195</f>
        <v/>
      </c>
      <c r="F195" s="113" t="str">
        <f aca="false">ExportRaw!$H195</f>
        <v/>
      </c>
      <c r="G195" s="113" t="str">
        <f aca="false">ExportRaw!$I195</f>
        <v/>
      </c>
      <c r="H195" s="113" t="str">
        <f aca="false">ExportRaw!$A195</f>
        <v/>
      </c>
      <c r="I195" s="113" t="str">
        <f aca="false">ExportRaw!$B195</f>
        <v/>
      </c>
    </row>
    <row r="196" customFormat="false" ht="15.75" hidden="false" customHeight="false" outlineLevel="0" collapsed="false">
      <c r="A196" s="113" t="n">
        <f aca="false">ExportRaw!$F196</f>
        <v>0</v>
      </c>
      <c r="B196" s="113" t="n">
        <f aca="false">ExportRaw!$C196</f>
        <v>0</v>
      </c>
      <c r="C196" s="113" t="n">
        <f aca="false">ExportRaw!$G196</f>
        <v>0</v>
      </c>
      <c r="D196" s="113" t="str">
        <f aca="false">ExportRaw!$E196</f>
        <v/>
      </c>
      <c r="E196" s="114" t="str">
        <f aca="false">ExportRaw!$D196</f>
        <v/>
      </c>
      <c r="F196" s="113" t="str">
        <f aca="false">ExportRaw!$H196</f>
        <v/>
      </c>
      <c r="G196" s="113" t="str">
        <f aca="false">ExportRaw!$I196</f>
        <v/>
      </c>
      <c r="H196" s="113" t="str">
        <f aca="false">ExportRaw!$A196</f>
        <v/>
      </c>
      <c r="I196" s="113" t="str">
        <f aca="false">ExportRaw!$B196</f>
        <v/>
      </c>
    </row>
    <row r="197" customFormat="false" ht="15.75" hidden="false" customHeight="false" outlineLevel="0" collapsed="false">
      <c r="A197" s="113" t="n">
        <f aca="false">ExportRaw!$F197</f>
        <v>0</v>
      </c>
      <c r="B197" s="113" t="n">
        <f aca="false">ExportRaw!$C197</f>
        <v>0</v>
      </c>
      <c r="C197" s="113" t="n">
        <f aca="false">ExportRaw!$G197</f>
        <v>0</v>
      </c>
      <c r="D197" s="113" t="str">
        <f aca="false">ExportRaw!$E197</f>
        <v/>
      </c>
      <c r="E197" s="114" t="str">
        <f aca="false">ExportRaw!$D197</f>
        <v/>
      </c>
      <c r="F197" s="113" t="str">
        <f aca="false">ExportRaw!$H197</f>
        <v/>
      </c>
      <c r="G197" s="113" t="str">
        <f aca="false">ExportRaw!$I197</f>
        <v/>
      </c>
      <c r="H197" s="113" t="str">
        <f aca="false">ExportRaw!$A197</f>
        <v/>
      </c>
      <c r="I197" s="113" t="str">
        <f aca="false">ExportRaw!$B197</f>
        <v/>
      </c>
    </row>
    <row r="198" customFormat="false" ht="15.75" hidden="false" customHeight="false" outlineLevel="0" collapsed="false">
      <c r="A198" s="113" t="n">
        <f aca="false">ExportRaw!$F198</f>
        <v>0</v>
      </c>
      <c r="B198" s="113" t="n">
        <f aca="false">ExportRaw!$C198</f>
        <v>0</v>
      </c>
      <c r="C198" s="113" t="n">
        <f aca="false">ExportRaw!$G198</f>
        <v>0</v>
      </c>
      <c r="D198" s="113" t="str">
        <f aca="false">ExportRaw!$E198</f>
        <v/>
      </c>
      <c r="E198" s="114" t="str">
        <f aca="false">ExportRaw!$D198</f>
        <v/>
      </c>
      <c r="F198" s="113" t="str">
        <f aca="false">ExportRaw!$H198</f>
        <v/>
      </c>
      <c r="G198" s="113" t="str">
        <f aca="false">ExportRaw!$I198</f>
        <v/>
      </c>
      <c r="H198" s="113" t="str">
        <f aca="false">ExportRaw!$A198</f>
        <v/>
      </c>
      <c r="I198" s="113" t="str">
        <f aca="false">ExportRaw!$B198</f>
        <v/>
      </c>
    </row>
    <row r="199" customFormat="false" ht="15.75" hidden="false" customHeight="false" outlineLevel="0" collapsed="false">
      <c r="A199" s="113" t="n">
        <f aca="false">ExportRaw!$F199</f>
        <v>0</v>
      </c>
      <c r="B199" s="113" t="n">
        <f aca="false">ExportRaw!$C199</f>
        <v>0</v>
      </c>
      <c r="C199" s="113" t="n">
        <f aca="false">ExportRaw!$G199</f>
        <v>0</v>
      </c>
      <c r="D199" s="113" t="str">
        <f aca="false">ExportRaw!$E199</f>
        <v/>
      </c>
      <c r="E199" s="114" t="str">
        <f aca="false">ExportRaw!$D199</f>
        <v/>
      </c>
      <c r="F199" s="113" t="str">
        <f aca="false">ExportRaw!$H199</f>
        <v/>
      </c>
      <c r="G199" s="113" t="str">
        <f aca="false">ExportRaw!$I199</f>
        <v/>
      </c>
      <c r="H199" s="113" t="str">
        <f aca="false">ExportRaw!$A199</f>
        <v/>
      </c>
      <c r="I199" s="113" t="str">
        <f aca="false">ExportRaw!$B199</f>
        <v/>
      </c>
    </row>
    <row r="200" customFormat="false" ht="15.75" hidden="false" customHeight="false" outlineLevel="0" collapsed="false">
      <c r="A200" s="113" t="n">
        <f aca="false">ExportRaw!$F200</f>
        <v>0</v>
      </c>
      <c r="B200" s="113" t="n">
        <f aca="false">ExportRaw!$C200</f>
        <v>0</v>
      </c>
      <c r="C200" s="113" t="n">
        <f aca="false">ExportRaw!$G200</f>
        <v>0</v>
      </c>
      <c r="D200" s="113" t="str">
        <f aca="false">ExportRaw!$E200</f>
        <v/>
      </c>
      <c r="E200" s="114" t="str">
        <f aca="false">ExportRaw!$D200</f>
        <v/>
      </c>
      <c r="F200" s="113" t="str">
        <f aca="false">ExportRaw!$H200</f>
        <v/>
      </c>
      <c r="G200" s="113" t="str">
        <f aca="false">ExportRaw!$I200</f>
        <v/>
      </c>
      <c r="H200" s="113" t="str">
        <f aca="false">ExportRaw!$A200</f>
        <v/>
      </c>
      <c r="I200" s="113" t="str">
        <f aca="false">ExportRaw!$B200</f>
        <v/>
      </c>
    </row>
    <row r="201" customFormat="false" ht="15.75" hidden="false" customHeight="false" outlineLevel="0" collapsed="false">
      <c r="A201" s="113" t="n">
        <f aca="false">ExportRaw!$F201</f>
        <v>0</v>
      </c>
      <c r="B201" s="113" t="n">
        <f aca="false">ExportRaw!$C201</f>
        <v>0</v>
      </c>
      <c r="C201" s="113" t="n">
        <f aca="false">ExportRaw!$G201</f>
        <v>0</v>
      </c>
      <c r="D201" s="113" t="str">
        <f aca="false">ExportRaw!$E201</f>
        <v/>
      </c>
      <c r="E201" s="114" t="str">
        <f aca="false">ExportRaw!$D201</f>
        <v/>
      </c>
      <c r="F201" s="113" t="str">
        <f aca="false">ExportRaw!$H201</f>
        <v/>
      </c>
      <c r="G201" s="113" t="str">
        <f aca="false">ExportRaw!$I201</f>
        <v/>
      </c>
      <c r="H201" s="113" t="str">
        <f aca="false">ExportRaw!$A201</f>
        <v/>
      </c>
      <c r="I201" s="113" t="str">
        <f aca="false">ExportRaw!$B201</f>
        <v/>
      </c>
    </row>
    <row r="202" customFormat="false" ht="15.75" hidden="false" customHeight="false" outlineLevel="0" collapsed="false">
      <c r="A202" s="113" t="n">
        <f aca="false">ExportRaw!$F202</f>
        <v>0</v>
      </c>
      <c r="B202" s="113" t="n">
        <f aca="false">ExportRaw!$C202</f>
        <v>0</v>
      </c>
      <c r="C202" s="113" t="n">
        <f aca="false">ExportRaw!$G202</f>
        <v>0</v>
      </c>
      <c r="D202" s="113" t="str">
        <f aca="false">ExportRaw!$E202</f>
        <v/>
      </c>
      <c r="E202" s="114" t="str">
        <f aca="false">ExportRaw!$D202</f>
        <v/>
      </c>
      <c r="F202" s="113" t="str">
        <f aca="false">ExportRaw!$H202</f>
        <v/>
      </c>
      <c r="G202" s="113" t="str">
        <f aca="false">ExportRaw!$I202</f>
        <v/>
      </c>
      <c r="H202" s="113" t="str">
        <f aca="false">ExportRaw!$A202</f>
        <v/>
      </c>
      <c r="I202" s="113" t="str">
        <f aca="false">ExportRaw!$B202</f>
        <v/>
      </c>
    </row>
    <row r="203" customFormat="false" ht="15.75" hidden="false" customHeight="false" outlineLevel="0" collapsed="false">
      <c r="A203" s="113" t="n">
        <f aca="false">ExportRaw!$F203</f>
        <v>0</v>
      </c>
      <c r="B203" s="113" t="n">
        <f aca="false">ExportRaw!$C203</f>
        <v>0</v>
      </c>
      <c r="C203" s="113" t="n">
        <f aca="false">ExportRaw!$G203</f>
        <v>0</v>
      </c>
      <c r="D203" s="113" t="str">
        <f aca="false">ExportRaw!$E203</f>
        <v/>
      </c>
      <c r="E203" s="114" t="str">
        <f aca="false">ExportRaw!$D203</f>
        <v/>
      </c>
      <c r="F203" s="113" t="str">
        <f aca="false">ExportRaw!$H203</f>
        <v/>
      </c>
      <c r="G203" s="113" t="str">
        <f aca="false">ExportRaw!$I203</f>
        <v/>
      </c>
      <c r="H203" s="113" t="str">
        <f aca="false">ExportRaw!$A203</f>
        <v/>
      </c>
      <c r="I203" s="113" t="str">
        <f aca="false">ExportRaw!$B203</f>
        <v/>
      </c>
    </row>
    <row r="204" customFormat="false" ht="15.75" hidden="false" customHeight="false" outlineLevel="0" collapsed="false">
      <c r="A204" s="113" t="n">
        <f aca="false">ExportRaw!$F204</f>
        <v>0</v>
      </c>
      <c r="B204" s="113" t="n">
        <f aca="false">ExportRaw!$C204</f>
        <v>0</v>
      </c>
      <c r="C204" s="113" t="n">
        <f aca="false">ExportRaw!$G204</f>
        <v>0</v>
      </c>
      <c r="D204" s="113" t="str">
        <f aca="false">ExportRaw!$E204</f>
        <v/>
      </c>
      <c r="E204" s="114" t="str">
        <f aca="false">ExportRaw!$D204</f>
        <v/>
      </c>
      <c r="F204" s="113" t="str">
        <f aca="false">ExportRaw!$H204</f>
        <v/>
      </c>
      <c r="G204" s="113" t="str">
        <f aca="false">ExportRaw!$I204</f>
        <v/>
      </c>
      <c r="H204" s="113" t="str">
        <f aca="false">ExportRaw!$A204</f>
        <v/>
      </c>
      <c r="I204" s="113" t="str">
        <f aca="false">ExportRaw!$B204</f>
        <v/>
      </c>
    </row>
    <row r="205" customFormat="false" ht="15.75" hidden="false" customHeight="false" outlineLevel="0" collapsed="false">
      <c r="A205" s="113" t="n">
        <f aca="false">ExportRaw!$F205</f>
        <v>0</v>
      </c>
      <c r="B205" s="113" t="n">
        <f aca="false">ExportRaw!$C205</f>
        <v>0</v>
      </c>
      <c r="C205" s="113" t="n">
        <f aca="false">ExportRaw!$G205</f>
        <v>0</v>
      </c>
      <c r="D205" s="113" t="str">
        <f aca="false">ExportRaw!$E205</f>
        <v/>
      </c>
      <c r="E205" s="114" t="str">
        <f aca="false">ExportRaw!$D205</f>
        <v/>
      </c>
      <c r="F205" s="113" t="str">
        <f aca="false">ExportRaw!$H205</f>
        <v/>
      </c>
      <c r="G205" s="113" t="str">
        <f aca="false">ExportRaw!$I205</f>
        <v/>
      </c>
      <c r="H205" s="113" t="str">
        <f aca="false">ExportRaw!$A205</f>
        <v/>
      </c>
      <c r="I205" s="113" t="str">
        <f aca="false">ExportRaw!$B205</f>
        <v/>
      </c>
    </row>
    <row r="206" customFormat="false" ht="15.75" hidden="false" customHeight="false" outlineLevel="0" collapsed="false">
      <c r="A206" s="113" t="n">
        <f aca="false">ExportRaw!$F206</f>
        <v>0</v>
      </c>
      <c r="B206" s="113" t="n">
        <f aca="false">ExportRaw!$C206</f>
        <v>0</v>
      </c>
      <c r="C206" s="113" t="n">
        <f aca="false">ExportRaw!$G206</f>
        <v>0</v>
      </c>
      <c r="D206" s="113" t="str">
        <f aca="false">ExportRaw!$E206</f>
        <v/>
      </c>
      <c r="E206" s="114" t="str">
        <f aca="false">ExportRaw!$D206</f>
        <v/>
      </c>
      <c r="F206" s="113" t="str">
        <f aca="false">ExportRaw!$H206</f>
        <v/>
      </c>
      <c r="G206" s="113" t="str">
        <f aca="false">ExportRaw!$I206</f>
        <v/>
      </c>
      <c r="H206" s="113" t="str">
        <f aca="false">ExportRaw!$A206</f>
        <v/>
      </c>
      <c r="I206" s="113" t="str">
        <f aca="false">ExportRaw!$B206</f>
        <v/>
      </c>
    </row>
    <row r="207" customFormat="false" ht="15.75" hidden="false" customHeight="false" outlineLevel="0" collapsed="false">
      <c r="A207" s="113" t="n">
        <f aca="false">ExportRaw!$F207</f>
        <v>0</v>
      </c>
      <c r="B207" s="113" t="n">
        <f aca="false">ExportRaw!$C207</f>
        <v>0</v>
      </c>
      <c r="C207" s="113" t="n">
        <f aca="false">ExportRaw!$G207</f>
        <v>0</v>
      </c>
      <c r="D207" s="113" t="str">
        <f aca="false">ExportRaw!$E207</f>
        <v/>
      </c>
      <c r="E207" s="114" t="str">
        <f aca="false">ExportRaw!$D207</f>
        <v/>
      </c>
      <c r="F207" s="113" t="str">
        <f aca="false">ExportRaw!$H207</f>
        <v/>
      </c>
      <c r="G207" s="113" t="str">
        <f aca="false">ExportRaw!$I207</f>
        <v/>
      </c>
      <c r="H207" s="113" t="str">
        <f aca="false">ExportRaw!$A207</f>
        <v/>
      </c>
      <c r="I207" s="113" t="str">
        <f aca="false">ExportRaw!$B207</f>
        <v/>
      </c>
    </row>
    <row r="208" customFormat="false" ht="15.75" hidden="false" customHeight="false" outlineLevel="0" collapsed="false">
      <c r="A208" s="113" t="n">
        <f aca="false">ExportRaw!$F208</f>
        <v>0</v>
      </c>
      <c r="B208" s="113" t="n">
        <f aca="false">ExportRaw!$C208</f>
        <v>0</v>
      </c>
      <c r="C208" s="113" t="n">
        <f aca="false">ExportRaw!$G208</f>
        <v>0</v>
      </c>
      <c r="D208" s="113" t="str">
        <f aca="false">ExportRaw!$E208</f>
        <v/>
      </c>
      <c r="E208" s="114" t="str">
        <f aca="false">ExportRaw!$D208</f>
        <v/>
      </c>
      <c r="F208" s="113" t="str">
        <f aca="false">ExportRaw!$H208</f>
        <v/>
      </c>
      <c r="G208" s="113" t="str">
        <f aca="false">ExportRaw!$I208</f>
        <v/>
      </c>
      <c r="H208" s="113" t="str">
        <f aca="false">ExportRaw!$A208</f>
        <v/>
      </c>
      <c r="I208" s="113" t="str">
        <f aca="false">ExportRaw!$B208</f>
        <v/>
      </c>
    </row>
    <row r="209" customFormat="false" ht="15.75" hidden="false" customHeight="false" outlineLevel="0" collapsed="false">
      <c r="A209" s="113" t="n">
        <f aca="false">ExportRaw!$F209</f>
        <v>0</v>
      </c>
      <c r="B209" s="113" t="n">
        <f aca="false">ExportRaw!$C209</f>
        <v>0</v>
      </c>
      <c r="C209" s="113" t="n">
        <f aca="false">ExportRaw!$G209</f>
        <v>0</v>
      </c>
      <c r="D209" s="113" t="str">
        <f aca="false">ExportRaw!$E209</f>
        <v/>
      </c>
      <c r="E209" s="114" t="str">
        <f aca="false">ExportRaw!$D209</f>
        <v/>
      </c>
      <c r="F209" s="113" t="str">
        <f aca="false">ExportRaw!$H209</f>
        <v/>
      </c>
      <c r="G209" s="113" t="str">
        <f aca="false">ExportRaw!$I209</f>
        <v/>
      </c>
      <c r="H209" s="113" t="str">
        <f aca="false">ExportRaw!$A209</f>
        <v/>
      </c>
      <c r="I209" s="113" t="str">
        <f aca="false">ExportRaw!$B209</f>
        <v/>
      </c>
    </row>
    <row r="210" customFormat="false" ht="15.75" hidden="false" customHeight="false" outlineLevel="0" collapsed="false">
      <c r="A210" s="113" t="n">
        <f aca="false">ExportRaw!$F210</f>
        <v>0</v>
      </c>
      <c r="B210" s="113" t="n">
        <f aca="false">ExportRaw!$C210</f>
        <v>0</v>
      </c>
      <c r="C210" s="113" t="n">
        <f aca="false">ExportRaw!$G210</f>
        <v>0</v>
      </c>
      <c r="D210" s="113" t="str">
        <f aca="false">ExportRaw!$E210</f>
        <v/>
      </c>
      <c r="E210" s="114" t="str">
        <f aca="false">ExportRaw!$D210</f>
        <v/>
      </c>
      <c r="F210" s="113" t="str">
        <f aca="false">ExportRaw!$H210</f>
        <v/>
      </c>
      <c r="G210" s="113" t="str">
        <f aca="false">ExportRaw!$I210</f>
        <v/>
      </c>
      <c r="H210" s="113" t="str">
        <f aca="false">ExportRaw!$A210</f>
        <v/>
      </c>
      <c r="I210" s="113" t="str">
        <f aca="false">ExportRaw!$B210</f>
        <v/>
      </c>
    </row>
    <row r="211" customFormat="false" ht="15.75" hidden="false" customHeight="false" outlineLevel="0" collapsed="false">
      <c r="A211" s="113" t="n">
        <f aca="false">ExportRaw!$F211</f>
        <v>0</v>
      </c>
      <c r="B211" s="113" t="n">
        <f aca="false">ExportRaw!$C211</f>
        <v>0</v>
      </c>
      <c r="C211" s="113" t="n">
        <f aca="false">ExportRaw!$G211</f>
        <v>0</v>
      </c>
      <c r="D211" s="113" t="str">
        <f aca="false">ExportRaw!$E211</f>
        <v/>
      </c>
      <c r="E211" s="114" t="str">
        <f aca="false">ExportRaw!$D211</f>
        <v/>
      </c>
      <c r="F211" s="113" t="str">
        <f aca="false">ExportRaw!$H211</f>
        <v/>
      </c>
      <c r="G211" s="113" t="str">
        <f aca="false">ExportRaw!$I211</f>
        <v/>
      </c>
      <c r="H211" s="113" t="str">
        <f aca="false">ExportRaw!$A211</f>
        <v/>
      </c>
      <c r="I211" s="113" t="str">
        <f aca="false">ExportRaw!$B211</f>
        <v/>
      </c>
    </row>
    <row r="212" customFormat="false" ht="15.75" hidden="false" customHeight="false" outlineLevel="0" collapsed="false">
      <c r="A212" s="113" t="n">
        <f aca="false">ExportRaw!$F212</f>
        <v>0</v>
      </c>
      <c r="B212" s="113" t="n">
        <f aca="false">ExportRaw!$C212</f>
        <v>0</v>
      </c>
      <c r="C212" s="113" t="n">
        <f aca="false">ExportRaw!$G212</f>
        <v>0</v>
      </c>
      <c r="D212" s="113" t="str">
        <f aca="false">ExportRaw!$E212</f>
        <v/>
      </c>
      <c r="E212" s="114" t="str">
        <f aca="false">ExportRaw!$D212</f>
        <v/>
      </c>
      <c r="F212" s="113" t="str">
        <f aca="false">ExportRaw!$H212</f>
        <v/>
      </c>
      <c r="G212" s="113" t="str">
        <f aca="false">ExportRaw!$I212</f>
        <v/>
      </c>
      <c r="H212" s="113" t="str">
        <f aca="false">ExportRaw!$A212</f>
        <v/>
      </c>
      <c r="I212" s="113" t="str">
        <f aca="false">ExportRaw!$B212</f>
        <v/>
      </c>
    </row>
    <row r="213" customFormat="false" ht="15.75" hidden="false" customHeight="false" outlineLevel="0" collapsed="false">
      <c r="A213" s="113" t="n">
        <f aca="false">ExportRaw!$F213</f>
        <v>0</v>
      </c>
      <c r="B213" s="113" t="n">
        <f aca="false">ExportRaw!$C213</f>
        <v>0</v>
      </c>
      <c r="C213" s="113" t="n">
        <f aca="false">ExportRaw!$G213</f>
        <v>0</v>
      </c>
      <c r="D213" s="113" t="str">
        <f aca="false">ExportRaw!$E213</f>
        <v/>
      </c>
      <c r="E213" s="114" t="str">
        <f aca="false">ExportRaw!$D213</f>
        <v/>
      </c>
      <c r="F213" s="113" t="str">
        <f aca="false">ExportRaw!$H213</f>
        <v/>
      </c>
      <c r="G213" s="113" t="str">
        <f aca="false">ExportRaw!$I213</f>
        <v/>
      </c>
      <c r="H213" s="113" t="str">
        <f aca="false">ExportRaw!$A213</f>
        <v/>
      </c>
      <c r="I213" s="113" t="str">
        <f aca="false">ExportRaw!$B213</f>
        <v/>
      </c>
    </row>
    <row r="214" customFormat="false" ht="15.75" hidden="false" customHeight="false" outlineLevel="0" collapsed="false">
      <c r="A214" s="113" t="n">
        <f aca="false">ExportRaw!$F214</f>
        <v>0</v>
      </c>
      <c r="B214" s="113" t="n">
        <f aca="false">ExportRaw!$C214</f>
        <v>0</v>
      </c>
      <c r="C214" s="113" t="n">
        <f aca="false">ExportRaw!$G214</f>
        <v>0</v>
      </c>
      <c r="D214" s="113" t="str">
        <f aca="false">ExportRaw!$E214</f>
        <v/>
      </c>
      <c r="E214" s="114" t="str">
        <f aca="false">ExportRaw!$D214</f>
        <v/>
      </c>
      <c r="F214" s="113" t="str">
        <f aca="false">ExportRaw!$H214</f>
        <v/>
      </c>
      <c r="G214" s="113" t="str">
        <f aca="false">ExportRaw!$I214</f>
        <v/>
      </c>
      <c r="H214" s="113" t="str">
        <f aca="false">ExportRaw!$A214</f>
        <v/>
      </c>
      <c r="I214" s="113" t="str">
        <f aca="false">ExportRaw!$B214</f>
        <v/>
      </c>
    </row>
    <row r="215" customFormat="false" ht="15.75" hidden="false" customHeight="false" outlineLevel="0" collapsed="false">
      <c r="A215" s="113" t="n">
        <f aca="false">ExportRaw!$F215</f>
        <v>0</v>
      </c>
      <c r="B215" s="113" t="n">
        <f aca="false">ExportRaw!$C215</f>
        <v>0</v>
      </c>
      <c r="C215" s="113" t="n">
        <f aca="false">ExportRaw!$G215</f>
        <v>0</v>
      </c>
      <c r="D215" s="113" t="str">
        <f aca="false">ExportRaw!$E215</f>
        <v/>
      </c>
      <c r="E215" s="114" t="str">
        <f aca="false">ExportRaw!$D215</f>
        <v/>
      </c>
      <c r="F215" s="113" t="str">
        <f aca="false">ExportRaw!$H215</f>
        <v/>
      </c>
      <c r="G215" s="113" t="str">
        <f aca="false">ExportRaw!$I215</f>
        <v/>
      </c>
      <c r="H215" s="113" t="str">
        <f aca="false">ExportRaw!$A215</f>
        <v/>
      </c>
      <c r="I215" s="113" t="str">
        <f aca="false">ExportRaw!$B215</f>
        <v/>
      </c>
    </row>
    <row r="216" customFormat="false" ht="15.75" hidden="false" customHeight="false" outlineLevel="0" collapsed="false">
      <c r="A216" s="113" t="n">
        <f aca="false">ExportRaw!$F216</f>
        <v>0</v>
      </c>
      <c r="B216" s="113" t="n">
        <f aca="false">ExportRaw!$C216</f>
        <v>0</v>
      </c>
      <c r="C216" s="113" t="n">
        <f aca="false">ExportRaw!$G216</f>
        <v>0</v>
      </c>
      <c r="D216" s="113" t="str">
        <f aca="false">ExportRaw!$E216</f>
        <v/>
      </c>
      <c r="E216" s="114" t="str">
        <f aca="false">ExportRaw!$D216</f>
        <v/>
      </c>
      <c r="F216" s="113" t="str">
        <f aca="false">ExportRaw!$H216</f>
        <v/>
      </c>
      <c r="G216" s="113" t="str">
        <f aca="false">ExportRaw!$I216</f>
        <v/>
      </c>
      <c r="H216" s="113" t="str">
        <f aca="false">ExportRaw!$A216</f>
        <v/>
      </c>
      <c r="I216" s="113" t="str">
        <f aca="false">ExportRaw!$B216</f>
        <v/>
      </c>
    </row>
    <row r="217" customFormat="false" ht="15.75" hidden="false" customHeight="false" outlineLevel="0" collapsed="false">
      <c r="A217" s="113" t="n">
        <f aca="false">ExportRaw!$F217</f>
        <v>0</v>
      </c>
      <c r="B217" s="113" t="n">
        <f aca="false">ExportRaw!$C217</f>
        <v>0</v>
      </c>
      <c r="C217" s="113" t="n">
        <f aca="false">ExportRaw!$G217</f>
        <v>0</v>
      </c>
      <c r="D217" s="113" t="str">
        <f aca="false">ExportRaw!$E217</f>
        <v/>
      </c>
      <c r="E217" s="114" t="str">
        <f aca="false">ExportRaw!$D217</f>
        <v/>
      </c>
      <c r="F217" s="113" t="str">
        <f aca="false">ExportRaw!$H217</f>
        <v/>
      </c>
      <c r="G217" s="113" t="str">
        <f aca="false">ExportRaw!$I217</f>
        <v/>
      </c>
      <c r="H217" s="113" t="str">
        <f aca="false">ExportRaw!$A217</f>
        <v/>
      </c>
      <c r="I217" s="113" t="str">
        <f aca="false">ExportRaw!$B217</f>
        <v/>
      </c>
    </row>
    <row r="218" customFormat="false" ht="15.75" hidden="false" customHeight="false" outlineLevel="0" collapsed="false">
      <c r="A218" s="113" t="n">
        <f aca="false">ExportRaw!$F218</f>
        <v>0</v>
      </c>
      <c r="B218" s="113" t="n">
        <f aca="false">ExportRaw!$C218</f>
        <v>0</v>
      </c>
      <c r="C218" s="113" t="n">
        <f aca="false">ExportRaw!$G218</f>
        <v>0</v>
      </c>
      <c r="D218" s="113" t="str">
        <f aca="false">ExportRaw!$E218</f>
        <v/>
      </c>
      <c r="E218" s="114" t="str">
        <f aca="false">ExportRaw!$D218</f>
        <v/>
      </c>
      <c r="F218" s="113" t="str">
        <f aca="false">ExportRaw!$H218</f>
        <v/>
      </c>
      <c r="G218" s="113" t="str">
        <f aca="false">ExportRaw!$I218</f>
        <v/>
      </c>
      <c r="H218" s="113" t="str">
        <f aca="false">ExportRaw!$A218</f>
        <v/>
      </c>
      <c r="I218" s="113" t="str">
        <f aca="false">ExportRaw!$B218</f>
        <v/>
      </c>
    </row>
    <row r="219" customFormat="false" ht="15.75" hidden="false" customHeight="false" outlineLevel="0" collapsed="false">
      <c r="A219" s="113" t="n">
        <f aca="false">ExportRaw!$F219</f>
        <v>0</v>
      </c>
      <c r="B219" s="113" t="n">
        <f aca="false">ExportRaw!$C219</f>
        <v>0</v>
      </c>
      <c r="C219" s="113" t="n">
        <f aca="false">ExportRaw!$G219</f>
        <v>0</v>
      </c>
      <c r="D219" s="113" t="str">
        <f aca="false">ExportRaw!$E219</f>
        <v/>
      </c>
      <c r="E219" s="114" t="str">
        <f aca="false">ExportRaw!$D219</f>
        <v/>
      </c>
      <c r="F219" s="113" t="str">
        <f aca="false">ExportRaw!$H219</f>
        <v/>
      </c>
      <c r="G219" s="113" t="str">
        <f aca="false">ExportRaw!$I219</f>
        <v/>
      </c>
      <c r="H219" s="113" t="str">
        <f aca="false">ExportRaw!$A219</f>
        <v/>
      </c>
      <c r="I219" s="113" t="str">
        <f aca="false">ExportRaw!$B219</f>
        <v/>
      </c>
    </row>
    <row r="220" customFormat="false" ht="15.75" hidden="false" customHeight="false" outlineLevel="0" collapsed="false">
      <c r="A220" s="113" t="n">
        <f aca="false">ExportRaw!$F220</f>
        <v>0</v>
      </c>
      <c r="B220" s="113" t="n">
        <f aca="false">ExportRaw!$C220</f>
        <v>0</v>
      </c>
      <c r="C220" s="113" t="n">
        <f aca="false">ExportRaw!$G220</f>
        <v>0</v>
      </c>
      <c r="D220" s="113" t="str">
        <f aca="false">ExportRaw!$E220</f>
        <v/>
      </c>
      <c r="E220" s="114" t="str">
        <f aca="false">ExportRaw!$D220</f>
        <v/>
      </c>
      <c r="F220" s="113" t="str">
        <f aca="false">ExportRaw!$H220</f>
        <v/>
      </c>
      <c r="G220" s="113" t="str">
        <f aca="false">ExportRaw!$I220</f>
        <v/>
      </c>
      <c r="H220" s="113" t="str">
        <f aca="false">ExportRaw!$A220</f>
        <v/>
      </c>
      <c r="I220" s="113" t="str">
        <f aca="false">ExportRaw!$B220</f>
        <v/>
      </c>
    </row>
    <row r="221" customFormat="false" ht="15.75" hidden="false" customHeight="false" outlineLevel="0" collapsed="false">
      <c r="A221" s="113" t="n">
        <f aca="false">ExportRaw!$F221</f>
        <v>0</v>
      </c>
      <c r="B221" s="113" t="n">
        <f aca="false">ExportRaw!$C221</f>
        <v>0</v>
      </c>
      <c r="C221" s="113" t="n">
        <f aca="false">ExportRaw!$G221</f>
        <v>0</v>
      </c>
      <c r="D221" s="113" t="str">
        <f aca="false">ExportRaw!$E221</f>
        <v/>
      </c>
      <c r="E221" s="114" t="str">
        <f aca="false">ExportRaw!$D221</f>
        <v/>
      </c>
      <c r="F221" s="113" t="str">
        <f aca="false">ExportRaw!$H221</f>
        <v/>
      </c>
      <c r="G221" s="113" t="str">
        <f aca="false">ExportRaw!$I221</f>
        <v/>
      </c>
      <c r="H221" s="113" t="str">
        <f aca="false">ExportRaw!$A221</f>
        <v/>
      </c>
      <c r="I221" s="113" t="str">
        <f aca="false">ExportRaw!$B221</f>
        <v/>
      </c>
    </row>
    <row r="222" customFormat="false" ht="15.75" hidden="false" customHeight="false" outlineLevel="0" collapsed="false">
      <c r="A222" s="113" t="n">
        <f aca="false">ExportRaw!$F222</f>
        <v>0</v>
      </c>
      <c r="B222" s="113" t="n">
        <f aca="false">ExportRaw!$C222</f>
        <v>0</v>
      </c>
      <c r="C222" s="113" t="n">
        <f aca="false">ExportRaw!$G222</f>
        <v>0</v>
      </c>
      <c r="D222" s="113" t="str">
        <f aca="false">ExportRaw!$E222</f>
        <v/>
      </c>
      <c r="E222" s="114" t="str">
        <f aca="false">ExportRaw!$D222</f>
        <v/>
      </c>
      <c r="F222" s="113" t="str">
        <f aca="false">ExportRaw!$H222</f>
        <v/>
      </c>
      <c r="G222" s="113" t="str">
        <f aca="false">ExportRaw!$I222</f>
        <v/>
      </c>
      <c r="H222" s="113" t="str">
        <f aca="false">ExportRaw!$A222</f>
        <v/>
      </c>
      <c r="I222" s="113" t="str">
        <f aca="false">ExportRaw!$B222</f>
        <v/>
      </c>
    </row>
    <row r="223" customFormat="false" ht="15.75" hidden="false" customHeight="false" outlineLevel="0" collapsed="false">
      <c r="A223" s="113" t="n">
        <f aca="false">ExportRaw!$F223</f>
        <v>0</v>
      </c>
      <c r="B223" s="113" t="n">
        <f aca="false">ExportRaw!$C223</f>
        <v>0</v>
      </c>
      <c r="C223" s="113" t="n">
        <f aca="false">ExportRaw!$G223</f>
        <v>0</v>
      </c>
      <c r="D223" s="113" t="str">
        <f aca="false">ExportRaw!$E223</f>
        <v/>
      </c>
      <c r="E223" s="114" t="str">
        <f aca="false">ExportRaw!$D223</f>
        <v/>
      </c>
      <c r="F223" s="113" t="str">
        <f aca="false">ExportRaw!$H223</f>
        <v/>
      </c>
      <c r="G223" s="113" t="str">
        <f aca="false">ExportRaw!$I223</f>
        <v/>
      </c>
      <c r="H223" s="113" t="str">
        <f aca="false">ExportRaw!$A223</f>
        <v/>
      </c>
      <c r="I223" s="113" t="str">
        <f aca="false">ExportRaw!$B223</f>
        <v/>
      </c>
    </row>
    <row r="224" customFormat="false" ht="15.75" hidden="false" customHeight="false" outlineLevel="0" collapsed="false">
      <c r="A224" s="113" t="n">
        <f aca="false">ExportRaw!$F224</f>
        <v>0</v>
      </c>
      <c r="B224" s="113" t="n">
        <f aca="false">ExportRaw!$C224</f>
        <v>0</v>
      </c>
      <c r="C224" s="113" t="n">
        <f aca="false">ExportRaw!$G224</f>
        <v>0</v>
      </c>
      <c r="D224" s="113" t="str">
        <f aca="false">ExportRaw!$E224</f>
        <v/>
      </c>
      <c r="E224" s="114" t="str">
        <f aca="false">ExportRaw!$D224</f>
        <v/>
      </c>
      <c r="F224" s="113" t="str">
        <f aca="false">ExportRaw!$H224</f>
        <v/>
      </c>
      <c r="G224" s="113" t="str">
        <f aca="false">ExportRaw!$I224</f>
        <v/>
      </c>
      <c r="H224" s="113" t="str">
        <f aca="false">ExportRaw!$A224</f>
        <v/>
      </c>
      <c r="I224" s="113" t="str">
        <f aca="false">ExportRaw!$B224</f>
        <v/>
      </c>
    </row>
    <row r="225" customFormat="false" ht="15.75" hidden="false" customHeight="false" outlineLevel="0" collapsed="false">
      <c r="A225" s="113" t="n">
        <f aca="false">ExportRaw!$F225</f>
        <v>0</v>
      </c>
      <c r="B225" s="113" t="n">
        <f aca="false">ExportRaw!$C225</f>
        <v>0</v>
      </c>
      <c r="C225" s="113" t="n">
        <f aca="false">ExportRaw!$G225</f>
        <v>0</v>
      </c>
      <c r="D225" s="113" t="str">
        <f aca="false">ExportRaw!$E225</f>
        <v/>
      </c>
      <c r="E225" s="114" t="str">
        <f aca="false">ExportRaw!$D225</f>
        <v/>
      </c>
      <c r="F225" s="113" t="str">
        <f aca="false">ExportRaw!$H225</f>
        <v/>
      </c>
      <c r="G225" s="113" t="str">
        <f aca="false">ExportRaw!$I225</f>
        <v/>
      </c>
      <c r="H225" s="113" t="str">
        <f aca="false">ExportRaw!$A225</f>
        <v/>
      </c>
      <c r="I225" s="113" t="str">
        <f aca="false">ExportRaw!$B225</f>
        <v/>
      </c>
    </row>
    <row r="226" customFormat="false" ht="15.75" hidden="false" customHeight="false" outlineLevel="0" collapsed="false">
      <c r="A226" s="113" t="n">
        <f aca="false">ExportRaw!$F226</f>
        <v>0</v>
      </c>
      <c r="B226" s="113" t="n">
        <f aca="false">ExportRaw!$C226</f>
        <v>0</v>
      </c>
      <c r="C226" s="113" t="n">
        <f aca="false">ExportRaw!$G226</f>
        <v>0</v>
      </c>
      <c r="D226" s="113" t="str">
        <f aca="false">ExportRaw!$E226</f>
        <v/>
      </c>
      <c r="E226" s="114" t="str">
        <f aca="false">ExportRaw!$D226</f>
        <v/>
      </c>
      <c r="F226" s="113" t="str">
        <f aca="false">ExportRaw!$H226</f>
        <v/>
      </c>
      <c r="G226" s="113" t="str">
        <f aca="false">ExportRaw!$I226</f>
        <v/>
      </c>
      <c r="H226" s="113" t="str">
        <f aca="false">ExportRaw!$A226</f>
        <v/>
      </c>
      <c r="I226" s="113" t="str">
        <f aca="false">ExportRaw!$B226</f>
        <v/>
      </c>
    </row>
    <row r="227" customFormat="false" ht="15.75" hidden="false" customHeight="false" outlineLevel="0" collapsed="false">
      <c r="A227" s="113" t="n">
        <f aca="false">ExportRaw!$F227</f>
        <v>0</v>
      </c>
      <c r="B227" s="113" t="n">
        <f aca="false">ExportRaw!$C227</f>
        <v>0</v>
      </c>
      <c r="C227" s="113" t="n">
        <f aca="false">ExportRaw!$G227</f>
        <v>0</v>
      </c>
      <c r="D227" s="113" t="str">
        <f aca="false">ExportRaw!$E227</f>
        <v/>
      </c>
      <c r="E227" s="114" t="str">
        <f aca="false">ExportRaw!$D227</f>
        <v/>
      </c>
      <c r="F227" s="113" t="str">
        <f aca="false">ExportRaw!$H227</f>
        <v/>
      </c>
      <c r="G227" s="113" t="str">
        <f aca="false">ExportRaw!$I227</f>
        <v/>
      </c>
      <c r="H227" s="113" t="str">
        <f aca="false">ExportRaw!$A227</f>
        <v/>
      </c>
      <c r="I227" s="113" t="str">
        <f aca="false">ExportRaw!$B227</f>
        <v/>
      </c>
    </row>
    <row r="228" customFormat="false" ht="15.75" hidden="false" customHeight="false" outlineLevel="0" collapsed="false">
      <c r="A228" s="113" t="n">
        <f aca="false">ExportRaw!$F228</f>
        <v>0</v>
      </c>
      <c r="B228" s="113" t="n">
        <f aca="false">ExportRaw!$C228</f>
        <v>0</v>
      </c>
      <c r="C228" s="113" t="n">
        <f aca="false">ExportRaw!$G228</f>
        <v>0</v>
      </c>
      <c r="D228" s="113" t="str">
        <f aca="false">ExportRaw!$E228</f>
        <v/>
      </c>
      <c r="E228" s="114" t="str">
        <f aca="false">ExportRaw!$D228</f>
        <v/>
      </c>
      <c r="F228" s="113" t="str">
        <f aca="false">ExportRaw!$H228</f>
        <v/>
      </c>
      <c r="G228" s="113" t="str">
        <f aca="false">ExportRaw!$I228</f>
        <v/>
      </c>
      <c r="H228" s="113" t="str">
        <f aca="false">ExportRaw!$A228</f>
        <v/>
      </c>
      <c r="I228" s="113" t="str">
        <f aca="false">ExportRaw!$B228</f>
        <v/>
      </c>
    </row>
    <row r="229" customFormat="false" ht="15.75" hidden="false" customHeight="false" outlineLevel="0" collapsed="false">
      <c r="A229" s="113" t="n">
        <f aca="false">ExportRaw!$F229</f>
        <v>0</v>
      </c>
      <c r="B229" s="113" t="n">
        <f aca="false">ExportRaw!$C229</f>
        <v>0</v>
      </c>
      <c r="C229" s="113" t="n">
        <f aca="false">ExportRaw!$G229</f>
        <v>0</v>
      </c>
      <c r="D229" s="113" t="str">
        <f aca="false">ExportRaw!$E229</f>
        <v/>
      </c>
      <c r="E229" s="114" t="str">
        <f aca="false">ExportRaw!$D229</f>
        <v/>
      </c>
      <c r="F229" s="113" t="str">
        <f aca="false">ExportRaw!$H229</f>
        <v/>
      </c>
      <c r="G229" s="113" t="str">
        <f aca="false">ExportRaw!$I229</f>
        <v/>
      </c>
      <c r="H229" s="113" t="str">
        <f aca="false">ExportRaw!$A229</f>
        <v/>
      </c>
      <c r="I229" s="113" t="str">
        <f aca="false">ExportRaw!$B229</f>
        <v/>
      </c>
    </row>
    <row r="230" customFormat="false" ht="15.75" hidden="false" customHeight="false" outlineLevel="0" collapsed="false">
      <c r="A230" s="113" t="n">
        <f aca="false">ExportRaw!$F230</f>
        <v>0</v>
      </c>
      <c r="B230" s="113" t="n">
        <f aca="false">ExportRaw!$C230</f>
        <v>0</v>
      </c>
      <c r="C230" s="113" t="n">
        <f aca="false">ExportRaw!$G230</f>
        <v>0</v>
      </c>
      <c r="D230" s="113" t="str">
        <f aca="false">ExportRaw!$E230</f>
        <v/>
      </c>
      <c r="E230" s="114" t="str">
        <f aca="false">ExportRaw!$D230</f>
        <v/>
      </c>
      <c r="F230" s="113" t="str">
        <f aca="false">ExportRaw!$H230</f>
        <v/>
      </c>
      <c r="G230" s="113" t="str">
        <f aca="false">ExportRaw!$I230</f>
        <v/>
      </c>
      <c r="H230" s="113" t="str">
        <f aca="false">ExportRaw!$A230</f>
        <v/>
      </c>
      <c r="I230" s="113" t="str">
        <f aca="false">ExportRaw!$B230</f>
        <v/>
      </c>
    </row>
    <row r="231" customFormat="false" ht="15.75" hidden="false" customHeight="false" outlineLevel="0" collapsed="false">
      <c r="A231" s="113" t="n">
        <f aca="false">ExportRaw!$F231</f>
        <v>0</v>
      </c>
      <c r="B231" s="113" t="n">
        <f aca="false">ExportRaw!$C231</f>
        <v>0</v>
      </c>
      <c r="C231" s="113" t="n">
        <f aca="false">ExportRaw!$G231</f>
        <v>0</v>
      </c>
      <c r="D231" s="113" t="str">
        <f aca="false">ExportRaw!$E231</f>
        <v/>
      </c>
      <c r="E231" s="114" t="str">
        <f aca="false">ExportRaw!$D231</f>
        <v/>
      </c>
      <c r="F231" s="113" t="str">
        <f aca="false">ExportRaw!$H231</f>
        <v/>
      </c>
      <c r="G231" s="113" t="str">
        <f aca="false">ExportRaw!$I231</f>
        <v/>
      </c>
      <c r="H231" s="113" t="str">
        <f aca="false">ExportRaw!$A231</f>
        <v/>
      </c>
      <c r="I231" s="113" t="str">
        <f aca="false">ExportRaw!$B231</f>
        <v/>
      </c>
    </row>
    <row r="232" customFormat="false" ht="15.75" hidden="false" customHeight="false" outlineLevel="0" collapsed="false">
      <c r="A232" s="113" t="n">
        <f aca="false">ExportRaw!$F232</f>
        <v>0</v>
      </c>
      <c r="B232" s="113" t="n">
        <f aca="false">ExportRaw!$C232</f>
        <v>0</v>
      </c>
      <c r="C232" s="113" t="n">
        <f aca="false">ExportRaw!$G232</f>
        <v>0</v>
      </c>
      <c r="D232" s="113" t="str">
        <f aca="false">ExportRaw!$E232</f>
        <v/>
      </c>
      <c r="E232" s="114" t="str">
        <f aca="false">ExportRaw!$D232</f>
        <v/>
      </c>
      <c r="F232" s="113" t="str">
        <f aca="false">ExportRaw!$H232</f>
        <v/>
      </c>
      <c r="G232" s="113" t="str">
        <f aca="false">ExportRaw!$I232</f>
        <v/>
      </c>
      <c r="H232" s="113" t="str">
        <f aca="false">ExportRaw!$A232</f>
        <v/>
      </c>
      <c r="I232" s="113" t="str">
        <f aca="false">ExportRaw!$B232</f>
        <v/>
      </c>
    </row>
    <row r="233" customFormat="false" ht="15.75" hidden="false" customHeight="false" outlineLevel="0" collapsed="false">
      <c r="A233" s="113" t="n">
        <f aca="false">ExportRaw!$F233</f>
        <v>0</v>
      </c>
      <c r="B233" s="113" t="n">
        <f aca="false">ExportRaw!$C233</f>
        <v>0</v>
      </c>
      <c r="C233" s="113" t="n">
        <f aca="false">ExportRaw!$G233</f>
        <v>0</v>
      </c>
      <c r="D233" s="113" t="str">
        <f aca="false">ExportRaw!$E233</f>
        <v/>
      </c>
      <c r="E233" s="114" t="str">
        <f aca="false">ExportRaw!$D233</f>
        <v/>
      </c>
      <c r="F233" s="113" t="str">
        <f aca="false">ExportRaw!$H233</f>
        <v/>
      </c>
      <c r="G233" s="113" t="str">
        <f aca="false">ExportRaw!$I233</f>
        <v/>
      </c>
      <c r="H233" s="113" t="str">
        <f aca="false">ExportRaw!$A233</f>
        <v/>
      </c>
      <c r="I233" s="113" t="str">
        <f aca="false">ExportRaw!$B233</f>
        <v/>
      </c>
    </row>
    <row r="234" customFormat="false" ht="15.75" hidden="false" customHeight="false" outlineLevel="0" collapsed="false">
      <c r="A234" s="113" t="n">
        <f aca="false">ExportRaw!$F234</f>
        <v>0</v>
      </c>
      <c r="B234" s="113" t="n">
        <f aca="false">ExportRaw!$C234</f>
        <v>0</v>
      </c>
      <c r="C234" s="113" t="n">
        <f aca="false">ExportRaw!$G234</f>
        <v>0</v>
      </c>
      <c r="D234" s="113" t="str">
        <f aca="false">ExportRaw!$E234</f>
        <v/>
      </c>
      <c r="E234" s="114" t="str">
        <f aca="false">ExportRaw!$D234</f>
        <v/>
      </c>
      <c r="F234" s="113" t="str">
        <f aca="false">ExportRaw!$H234</f>
        <v/>
      </c>
      <c r="G234" s="113" t="str">
        <f aca="false">ExportRaw!$I234</f>
        <v/>
      </c>
      <c r="H234" s="113" t="str">
        <f aca="false">ExportRaw!$A234</f>
        <v/>
      </c>
      <c r="I234" s="113" t="str">
        <f aca="false">ExportRaw!$B234</f>
        <v/>
      </c>
    </row>
    <row r="235" customFormat="false" ht="15.75" hidden="false" customHeight="false" outlineLevel="0" collapsed="false">
      <c r="A235" s="113" t="n">
        <f aca="false">ExportRaw!$F235</f>
        <v>0</v>
      </c>
      <c r="B235" s="113" t="n">
        <f aca="false">ExportRaw!$C235</f>
        <v>0</v>
      </c>
      <c r="C235" s="113" t="n">
        <f aca="false">ExportRaw!$G235</f>
        <v>0</v>
      </c>
      <c r="D235" s="113" t="str">
        <f aca="false">ExportRaw!$E235</f>
        <v/>
      </c>
      <c r="E235" s="114" t="str">
        <f aca="false">ExportRaw!$D235</f>
        <v/>
      </c>
      <c r="F235" s="113" t="str">
        <f aca="false">ExportRaw!$H235</f>
        <v/>
      </c>
      <c r="G235" s="113" t="str">
        <f aca="false">ExportRaw!$I235</f>
        <v/>
      </c>
      <c r="H235" s="113" t="str">
        <f aca="false">ExportRaw!$A235</f>
        <v/>
      </c>
      <c r="I235" s="113" t="str">
        <f aca="false">ExportRaw!$B235</f>
        <v/>
      </c>
    </row>
    <row r="236" customFormat="false" ht="15.75" hidden="false" customHeight="false" outlineLevel="0" collapsed="false">
      <c r="A236" s="113" t="n">
        <f aca="false">ExportRaw!$F236</f>
        <v>0</v>
      </c>
      <c r="B236" s="113" t="n">
        <f aca="false">ExportRaw!$C236</f>
        <v>0</v>
      </c>
      <c r="C236" s="113" t="n">
        <f aca="false">ExportRaw!$G236</f>
        <v>0</v>
      </c>
      <c r="D236" s="113" t="str">
        <f aca="false">ExportRaw!$E236</f>
        <v/>
      </c>
      <c r="E236" s="114" t="str">
        <f aca="false">ExportRaw!$D236</f>
        <v/>
      </c>
      <c r="F236" s="113" t="str">
        <f aca="false">ExportRaw!$H236</f>
        <v/>
      </c>
      <c r="G236" s="113" t="str">
        <f aca="false">ExportRaw!$I236</f>
        <v/>
      </c>
      <c r="H236" s="113" t="str">
        <f aca="false">ExportRaw!$A236</f>
        <v/>
      </c>
      <c r="I236" s="113" t="str">
        <f aca="false">ExportRaw!$B236</f>
        <v/>
      </c>
    </row>
    <row r="237" customFormat="false" ht="15.75" hidden="false" customHeight="false" outlineLevel="0" collapsed="false">
      <c r="A237" s="113" t="n">
        <f aca="false">ExportRaw!$F237</f>
        <v>0</v>
      </c>
      <c r="B237" s="113" t="n">
        <f aca="false">ExportRaw!$C237</f>
        <v>0</v>
      </c>
      <c r="C237" s="113" t="n">
        <f aca="false">ExportRaw!$G237</f>
        <v>0</v>
      </c>
      <c r="D237" s="113" t="str">
        <f aca="false">ExportRaw!$E237</f>
        <v/>
      </c>
      <c r="E237" s="114" t="str">
        <f aca="false">ExportRaw!$D237</f>
        <v/>
      </c>
      <c r="F237" s="113" t="str">
        <f aca="false">ExportRaw!$H237</f>
        <v/>
      </c>
      <c r="G237" s="113" t="str">
        <f aca="false">ExportRaw!$I237</f>
        <v/>
      </c>
      <c r="H237" s="113" t="str">
        <f aca="false">ExportRaw!$A237</f>
        <v/>
      </c>
      <c r="I237" s="113" t="str">
        <f aca="false">ExportRaw!$B237</f>
        <v/>
      </c>
    </row>
    <row r="238" customFormat="false" ht="15.75" hidden="false" customHeight="false" outlineLevel="0" collapsed="false">
      <c r="A238" s="113" t="n">
        <f aca="false">ExportRaw!$F238</f>
        <v>0</v>
      </c>
      <c r="B238" s="113" t="n">
        <f aca="false">ExportRaw!$C238</f>
        <v>0</v>
      </c>
      <c r="C238" s="113" t="n">
        <f aca="false">ExportRaw!$G238</f>
        <v>0</v>
      </c>
      <c r="D238" s="113" t="str">
        <f aca="false">ExportRaw!$E238</f>
        <v/>
      </c>
      <c r="E238" s="114" t="str">
        <f aca="false">ExportRaw!$D238</f>
        <v/>
      </c>
      <c r="F238" s="113" t="str">
        <f aca="false">ExportRaw!$H238</f>
        <v/>
      </c>
      <c r="G238" s="113" t="str">
        <f aca="false">ExportRaw!$I238</f>
        <v/>
      </c>
      <c r="H238" s="113" t="str">
        <f aca="false">ExportRaw!$A238</f>
        <v/>
      </c>
      <c r="I238" s="113" t="str">
        <f aca="false">ExportRaw!$B238</f>
        <v/>
      </c>
    </row>
    <row r="239" customFormat="false" ht="15.75" hidden="false" customHeight="false" outlineLevel="0" collapsed="false">
      <c r="A239" s="113" t="n">
        <f aca="false">ExportRaw!$F239</f>
        <v>0</v>
      </c>
      <c r="B239" s="113" t="n">
        <f aca="false">ExportRaw!$C239</f>
        <v>0</v>
      </c>
      <c r="C239" s="113" t="n">
        <f aca="false">ExportRaw!$G239</f>
        <v>0</v>
      </c>
      <c r="D239" s="113" t="str">
        <f aca="false">ExportRaw!$E239</f>
        <v/>
      </c>
      <c r="E239" s="114" t="str">
        <f aca="false">ExportRaw!$D239</f>
        <v/>
      </c>
      <c r="F239" s="113" t="str">
        <f aca="false">ExportRaw!$H239</f>
        <v/>
      </c>
      <c r="G239" s="113" t="str">
        <f aca="false">ExportRaw!$I239</f>
        <v/>
      </c>
      <c r="H239" s="113" t="str">
        <f aca="false">ExportRaw!$A239</f>
        <v/>
      </c>
      <c r="I239" s="113" t="str">
        <f aca="false">ExportRaw!$B239</f>
        <v/>
      </c>
    </row>
    <row r="240" customFormat="false" ht="15.75" hidden="false" customHeight="false" outlineLevel="0" collapsed="false">
      <c r="A240" s="113" t="n">
        <f aca="false">ExportRaw!$F240</f>
        <v>0</v>
      </c>
      <c r="B240" s="113" t="n">
        <f aca="false">ExportRaw!$C240</f>
        <v>0</v>
      </c>
      <c r="C240" s="113" t="n">
        <f aca="false">ExportRaw!$G240</f>
        <v>0</v>
      </c>
      <c r="D240" s="113" t="str">
        <f aca="false">ExportRaw!$E240</f>
        <v/>
      </c>
      <c r="E240" s="114" t="str">
        <f aca="false">ExportRaw!$D240</f>
        <v/>
      </c>
      <c r="F240" s="113" t="str">
        <f aca="false">ExportRaw!$H240</f>
        <v/>
      </c>
      <c r="G240" s="113" t="str">
        <f aca="false">ExportRaw!$I240</f>
        <v/>
      </c>
      <c r="H240" s="113" t="str">
        <f aca="false">ExportRaw!$A240</f>
        <v/>
      </c>
      <c r="I240" s="113" t="str">
        <f aca="false">ExportRaw!$B240</f>
        <v/>
      </c>
    </row>
    <row r="241" customFormat="false" ht="15.75" hidden="false" customHeight="false" outlineLevel="0" collapsed="false">
      <c r="A241" s="113" t="n">
        <f aca="false">ExportRaw!$F241</f>
        <v>0</v>
      </c>
      <c r="B241" s="113" t="n">
        <f aca="false">ExportRaw!$C241</f>
        <v>0</v>
      </c>
      <c r="C241" s="113" t="n">
        <f aca="false">ExportRaw!$G241</f>
        <v>0</v>
      </c>
      <c r="D241" s="113" t="str">
        <f aca="false">ExportRaw!$E241</f>
        <v/>
      </c>
      <c r="E241" s="114" t="str">
        <f aca="false">ExportRaw!$D241</f>
        <v/>
      </c>
      <c r="F241" s="113" t="str">
        <f aca="false">ExportRaw!$H241</f>
        <v/>
      </c>
      <c r="G241" s="113" t="str">
        <f aca="false">ExportRaw!$I241</f>
        <v/>
      </c>
      <c r="H241" s="113" t="str">
        <f aca="false">ExportRaw!$A241</f>
        <v/>
      </c>
      <c r="I241" s="113" t="str">
        <f aca="false">ExportRaw!$B241</f>
        <v/>
      </c>
    </row>
    <row r="242" customFormat="false" ht="15.75" hidden="false" customHeight="false" outlineLevel="0" collapsed="false">
      <c r="A242" s="113" t="n">
        <f aca="false">ExportRaw!$F242</f>
        <v>0</v>
      </c>
      <c r="B242" s="113" t="n">
        <f aca="false">ExportRaw!$C242</f>
        <v>0</v>
      </c>
      <c r="C242" s="113" t="n">
        <f aca="false">ExportRaw!$G242</f>
        <v>0</v>
      </c>
      <c r="D242" s="113" t="str">
        <f aca="false">ExportRaw!$E242</f>
        <v/>
      </c>
      <c r="E242" s="114" t="str">
        <f aca="false">ExportRaw!$D242</f>
        <v/>
      </c>
      <c r="F242" s="113" t="str">
        <f aca="false">ExportRaw!$H242</f>
        <v/>
      </c>
      <c r="G242" s="113" t="str">
        <f aca="false">ExportRaw!$I242</f>
        <v/>
      </c>
      <c r="H242" s="113" t="str">
        <f aca="false">ExportRaw!$A242</f>
        <v/>
      </c>
      <c r="I242" s="113" t="str">
        <f aca="false">ExportRaw!$B242</f>
        <v/>
      </c>
    </row>
    <row r="243" customFormat="false" ht="15.75" hidden="false" customHeight="false" outlineLevel="0" collapsed="false">
      <c r="A243" s="113" t="n">
        <f aca="false">ExportRaw!$F243</f>
        <v>0</v>
      </c>
      <c r="B243" s="113" t="n">
        <f aca="false">ExportRaw!$C243</f>
        <v>0</v>
      </c>
      <c r="C243" s="113" t="n">
        <f aca="false">ExportRaw!$G243</f>
        <v>0</v>
      </c>
      <c r="D243" s="113" t="str">
        <f aca="false">ExportRaw!$E243</f>
        <v/>
      </c>
      <c r="E243" s="114" t="str">
        <f aca="false">ExportRaw!$D243</f>
        <v/>
      </c>
      <c r="F243" s="113" t="str">
        <f aca="false">ExportRaw!$H243</f>
        <v/>
      </c>
      <c r="G243" s="113" t="str">
        <f aca="false">ExportRaw!$I243</f>
        <v/>
      </c>
      <c r="H243" s="113" t="str">
        <f aca="false">ExportRaw!$A243</f>
        <v/>
      </c>
      <c r="I243" s="113" t="str">
        <f aca="false">ExportRaw!$B243</f>
        <v/>
      </c>
    </row>
    <row r="244" customFormat="false" ht="15.75" hidden="false" customHeight="false" outlineLevel="0" collapsed="false">
      <c r="A244" s="113" t="n">
        <f aca="false">ExportRaw!$F244</f>
        <v>0</v>
      </c>
      <c r="B244" s="113" t="n">
        <f aca="false">ExportRaw!$C244</f>
        <v>0</v>
      </c>
      <c r="C244" s="113" t="n">
        <f aca="false">ExportRaw!$G244</f>
        <v>0</v>
      </c>
      <c r="D244" s="113" t="str">
        <f aca="false">ExportRaw!$E244</f>
        <v/>
      </c>
      <c r="E244" s="114" t="str">
        <f aca="false">ExportRaw!$D244</f>
        <v/>
      </c>
      <c r="F244" s="113" t="str">
        <f aca="false">ExportRaw!$H244</f>
        <v/>
      </c>
      <c r="G244" s="113" t="str">
        <f aca="false">ExportRaw!$I244</f>
        <v/>
      </c>
      <c r="H244" s="113" t="str">
        <f aca="false">ExportRaw!$A244</f>
        <v/>
      </c>
      <c r="I244" s="113" t="str">
        <f aca="false">ExportRaw!$B244</f>
        <v/>
      </c>
    </row>
    <row r="245" customFormat="false" ht="15.75" hidden="false" customHeight="false" outlineLevel="0" collapsed="false">
      <c r="A245" s="113" t="n">
        <f aca="false">ExportRaw!$F245</f>
        <v>0</v>
      </c>
      <c r="B245" s="113" t="n">
        <f aca="false">ExportRaw!$C245</f>
        <v>0</v>
      </c>
      <c r="C245" s="113" t="n">
        <f aca="false">ExportRaw!$G245</f>
        <v>0</v>
      </c>
      <c r="D245" s="113" t="str">
        <f aca="false">ExportRaw!$E245</f>
        <v/>
      </c>
      <c r="E245" s="114" t="str">
        <f aca="false">ExportRaw!$D245</f>
        <v/>
      </c>
      <c r="F245" s="113" t="str">
        <f aca="false">ExportRaw!$H245</f>
        <v/>
      </c>
      <c r="G245" s="113" t="str">
        <f aca="false">ExportRaw!$I245</f>
        <v/>
      </c>
      <c r="H245" s="113" t="str">
        <f aca="false">ExportRaw!$A245</f>
        <v/>
      </c>
      <c r="I245" s="113" t="str">
        <f aca="false">ExportRaw!$B245</f>
        <v/>
      </c>
    </row>
    <row r="246" customFormat="false" ht="15.75" hidden="false" customHeight="false" outlineLevel="0" collapsed="false">
      <c r="A246" s="113" t="n">
        <f aca="false">ExportRaw!$F246</f>
        <v>0</v>
      </c>
      <c r="B246" s="113" t="n">
        <f aca="false">ExportRaw!$C246</f>
        <v>0</v>
      </c>
      <c r="C246" s="113" t="n">
        <f aca="false">ExportRaw!$G246</f>
        <v>0</v>
      </c>
      <c r="D246" s="113" t="str">
        <f aca="false">ExportRaw!$E246</f>
        <v/>
      </c>
      <c r="E246" s="114" t="str">
        <f aca="false">ExportRaw!$D246</f>
        <v/>
      </c>
      <c r="F246" s="113" t="str">
        <f aca="false">ExportRaw!$H246</f>
        <v/>
      </c>
      <c r="G246" s="113" t="str">
        <f aca="false">ExportRaw!$I246</f>
        <v/>
      </c>
      <c r="H246" s="113" t="str">
        <f aca="false">ExportRaw!$A246</f>
        <v/>
      </c>
      <c r="I246" s="113" t="str">
        <f aca="false">ExportRaw!$B246</f>
        <v/>
      </c>
    </row>
    <row r="247" customFormat="false" ht="15.75" hidden="false" customHeight="false" outlineLevel="0" collapsed="false">
      <c r="A247" s="113" t="n">
        <f aca="false">ExportRaw!$F247</f>
        <v>0</v>
      </c>
      <c r="B247" s="113" t="n">
        <f aca="false">ExportRaw!$C247</f>
        <v>0</v>
      </c>
      <c r="C247" s="113" t="n">
        <f aca="false">ExportRaw!$G247</f>
        <v>0</v>
      </c>
      <c r="D247" s="113" t="str">
        <f aca="false">ExportRaw!$E247</f>
        <v/>
      </c>
      <c r="E247" s="114" t="str">
        <f aca="false">ExportRaw!$D247</f>
        <v/>
      </c>
      <c r="F247" s="113" t="str">
        <f aca="false">ExportRaw!$H247</f>
        <v/>
      </c>
      <c r="G247" s="113" t="str">
        <f aca="false">ExportRaw!$I247</f>
        <v/>
      </c>
      <c r="H247" s="113" t="str">
        <f aca="false">ExportRaw!$A247</f>
        <v/>
      </c>
      <c r="I247" s="113" t="str">
        <f aca="false">ExportRaw!$B247</f>
        <v/>
      </c>
    </row>
    <row r="248" customFormat="false" ht="15.75" hidden="false" customHeight="false" outlineLevel="0" collapsed="false">
      <c r="A248" s="113" t="n">
        <f aca="false">ExportRaw!$F248</f>
        <v>0</v>
      </c>
      <c r="B248" s="113" t="n">
        <f aca="false">ExportRaw!$C248</f>
        <v>0</v>
      </c>
      <c r="C248" s="113" t="n">
        <f aca="false">ExportRaw!$G248</f>
        <v>0</v>
      </c>
      <c r="D248" s="113" t="str">
        <f aca="false">ExportRaw!$E248</f>
        <v/>
      </c>
      <c r="E248" s="114" t="str">
        <f aca="false">ExportRaw!$D248</f>
        <v/>
      </c>
      <c r="F248" s="113" t="str">
        <f aca="false">ExportRaw!$H248</f>
        <v/>
      </c>
      <c r="G248" s="113" t="str">
        <f aca="false">ExportRaw!$I248</f>
        <v/>
      </c>
      <c r="H248" s="113" t="str">
        <f aca="false">ExportRaw!$A248</f>
        <v/>
      </c>
      <c r="I248" s="113" t="str">
        <f aca="false">ExportRaw!$B248</f>
        <v/>
      </c>
    </row>
    <row r="249" customFormat="false" ht="15.75" hidden="false" customHeight="false" outlineLevel="0" collapsed="false">
      <c r="A249" s="113" t="n">
        <f aca="false">ExportRaw!$F249</f>
        <v>0</v>
      </c>
      <c r="B249" s="113" t="n">
        <f aca="false">ExportRaw!$C249</f>
        <v>0</v>
      </c>
      <c r="C249" s="113" t="n">
        <f aca="false">ExportRaw!$G249</f>
        <v>0</v>
      </c>
      <c r="D249" s="113" t="str">
        <f aca="false">ExportRaw!$E249</f>
        <v/>
      </c>
      <c r="E249" s="114" t="str">
        <f aca="false">ExportRaw!$D249</f>
        <v/>
      </c>
      <c r="F249" s="113" t="str">
        <f aca="false">ExportRaw!$H249</f>
        <v/>
      </c>
      <c r="G249" s="113" t="str">
        <f aca="false">ExportRaw!$I249</f>
        <v/>
      </c>
      <c r="H249" s="113" t="str">
        <f aca="false">ExportRaw!$A249</f>
        <v/>
      </c>
      <c r="I249" s="113" t="str">
        <f aca="false">ExportRaw!$B249</f>
        <v/>
      </c>
    </row>
    <row r="250" customFormat="false" ht="15.75" hidden="false" customHeight="false" outlineLevel="0" collapsed="false">
      <c r="A250" s="113" t="n">
        <f aca="false">ExportRaw!$F250</f>
        <v>0</v>
      </c>
      <c r="B250" s="113" t="n">
        <f aca="false">ExportRaw!$C250</f>
        <v>0</v>
      </c>
      <c r="C250" s="113" t="n">
        <f aca="false">ExportRaw!$G250</f>
        <v>0</v>
      </c>
      <c r="D250" s="113" t="str">
        <f aca="false">ExportRaw!$E250</f>
        <v/>
      </c>
      <c r="E250" s="114" t="str">
        <f aca="false">ExportRaw!$D250</f>
        <v/>
      </c>
      <c r="F250" s="113" t="str">
        <f aca="false">ExportRaw!$H250</f>
        <v/>
      </c>
      <c r="G250" s="113" t="str">
        <f aca="false">ExportRaw!$I250</f>
        <v/>
      </c>
      <c r="H250" s="113" t="str">
        <f aca="false">ExportRaw!$A250</f>
        <v/>
      </c>
      <c r="I250" s="113" t="str">
        <f aca="false">ExportRaw!$B250</f>
        <v/>
      </c>
    </row>
    <row r="251" customFormat="false" ht="15.75" hidden="false" customHeight="false" outlineLevel="0" collapsed="false">
      <c r="A251" s="113" t="n">
        <f aca="false">ExportRaw!$F251</f>
        <v>0</v>
      </c>
      <c r="B251" s="113" t="n">
        <f aca="false">ExportRaw!$C251</f>
        <v>0</v>
      </c>
      <c r="C251" s="113" t="n">
        <f aca="false">ExportRaw!$G251</f>
        <v>0</v>
      </c>
      <c r="D251" s="113" t="str">
        <f aca="false">ExportRaw!$E251</f>
        <v/>
      </c>
      <c r="E251" s="114" t="str">
        <f aca="false">ExportRaw!$D251</f>
        <v/>
      </c>
      <c r="F251" s="113" t="str">
        <f aca="false">ExportRaw!$H251</f>
        <v/>
      </c>
      <c r="G251" s="113" t="str">
        <f aca="false">ExportRaw!$I251</f>
        <v/>
      </c>
      <c r="H251" s="113" t="str">
        <f aca="false">ExportRaw!$A251</f>
        <v/>
      </c>
      <c r="I251" s="113" t="str">
        <f aca="false">ExportRaw!$B251</f>
        <v/>
      </c>
    </row>
    <row r="252" customFormat="false" ht="15.75" hidden="false" customHeight="false" outlineLevel="0" collapsed="false">
      <c r="A252" s="113" t="n">
        <f aca="false">ExportRaw!$F252</f>
        <v>0</v>
      </c>
      <c r="B252" s="113" t="n">
        <f aca="false">ExportRaw!$C252</f>
        <v>0</v>
      </c>
      <c r="C252" s="113" t="n">
        <f aca="false">ExportRaw!$G252</f>
        <v>0</v>
      </c>
      <c r="D252" s="113" t="str">
        <f aca="false">ExportRaw!$E252</f>
        <v/>
      </c>
      <c r="E252" s="114" t="str">
        <f aca="false">ExportRaw!$D252</f>
        <v/>
      </c>
      <c r="F252" s="113" t="str">
        <f aca="false">ExportRaw!$H252</f>
        <v/>
      </c>
      <c r="G252" s="113" t="str">
        <f aca="false">ExportRaw!$I252</f>
        <v/>
      </c>
      <c r="H252" s="113" t="str">
        <f aca="false">ExportRaw!$A252</f>
        <v/>
      </c>
      <c r="I252" s="113" t="str">
        <f aca="false">ExportRaw!$B252</f>
        <v/>
      </c>
    </row>
    <row r="253" customFormat="false" ht="15.75" hidden="false" customHeight="false" outlineLevel="0" collapsed="false">
      <c r="A253" s="113" t="n">
        <f aca="false">ExportRaw!$F253</f>
        <v>0</v>
      </c>
      <c r="B253" s="113" t="n">
        <f aca="false">ExportRaw!$C253</f>
        <v>0</v>
      </c>
      <c r="C253" s="113" t="n">
        <f aca="false">ExportRaw!$G253</f>
        <v>0</v>
      </c>
      <c r="D253" s="113" t="str">
        <f aca="false">ExportRaw!$E253</f>
        <v/>
      </c>
      <c r="E253" s="114" t="str">
        <f aca="false">ExportRaw!$D253</f>
        <v/>
      </c>
      <c r="F253" s="113" t="str">
        <f aca="false">ExportRaw!$H253</f>
        <v/>
      </c>
      <c r="G253" s="113" t="str">
        <f aca="false">ExportRaw!$I253</f>
        <v/>
      </c>
      <c r="H253" s="113" t="str">
        <f aca="false">ExportRaw!$A253</f>
        <v/>
      </c>
      <c r="I253" s="113" t="str">
        <f aca="false">ExportRaw!$B253</f>
        <v/>
      </c>
    </row>
    <row r="254" customFormat="false" ht="15.75" hidden="false" customHeight="false" outlineLevel="0" collapsed="false">
      <c r="A254" s="113" t="n">
        <f aca="false">ExportRaw!$F254</f>
        <v>0</v>
      </c>
      <c r="B254" s="113" t="n">
        <f aca="false">ExportRaw!$C254</f>
        <v>0</v>
      </c>
      <c r="C254" s="113" t="n">
        <f aca="false">ExportRaw!$G254</f>
        <v>0</v>
      </c>
      <c r="D254" s="113" t="str">
        <f aca="false">ExportRaw!$E254</f>
        <v/>
      </c>
      <c r="E254" s="114" t="str">
        <f aca="false">ExportRaw!$D254</f>
        <v/>
      </c>
      <c r="F254" s="113" t="str">
        <f aca="false">ExportRaw!$H254</f>
        <v/>
      </c>
      <c r="G254" s="113" t="str">
        <f aca="false">ExportRaw!$I254</f>
        <v/>
      </c>
      <c r="H254" s="113" t="str">
        <f aca="false">ExportRaw!$A254</f>
        <v/>
      </c>
      <c r="I254" s="113" t="str">
        <f aca="false">ExportRaw!$B254</f>
        <v/>
      </c>
    </row>
    <row r="255" customFormat="false" ht="15.75" hidden="false" customHeight="false" outlineLevel="0" collapsed="false">
      <c r="A255" s="113" t="n">
        <f aca="false">ExportRaw!$F255</f>
        <v>0</v>
      </c>
      <c r="B255" s="113" t="n">
        <f aca="false">ExportRaw!$C255</f>
        <v>0</v>
      </c>
      <c r="C255" s="113" t="n">
        <f aca="false">ExportRaw!$G255</f>
        <v>0</v>
      </c>
      <c r="D255" s="113" t="str">
        <f aca="false">ExportRaw!$E255</f>
        <v/>
      </c>
      <c r="E255" s="114" t="str">
        <f aca="false">ExportRaw!$D255</f>
        <v/>
      </c>
      <c r="F255" s="113" t="str">
        <f aca="false">ExportRaw!$H255</f>
        <v/>
      </c>
      <c r="G255" s="113" t="str">
        <f aca="false">ExportRaw!$I255</f>
        <v/>
      </c>
      <c r="H255" s="113" t="str">
        <f aca="false">ExportRaw!$A255</f>
        <v/>
      </c>
      <c r="I255" s="113" t="str">
        <f aca="false">ExportRaw!$B255</f>
        <v/>
      </c>
    </row>
    <row r="256" customFormat="false" ht="15.75" hidden="false" customHeight="false" outlineLevel="0" collapsed="false">
      <c r="A256" s="113" t="n">
        <f aca="false">ExportRaw!$F256</f>
        <v>0</v>
      </c>
      <c r="B256" s="113" t="n">
        <f aca="false">ExportRaw!$C256</f>
        <v>0</v>
      </c>
      <c r="C256" s="113" t="n">
        <f aca="false">ExportRaw!$G256</f>
        <v>0</v>
      </c>
      <c r="D256" s="113" t="str">
        <f aca="false">ExportRaw!$E256</f>
        <v/>
      </c>
      <c r="E256" s="114" t="str">
        <f aca="false">ExportRaw!$D256</f>
        <v/>
      </c>
      <c r="F256" s="113" t="str">
        <f aca="false">ExportRaw!$H256</f>
        <v/>
      </c>
      <c r="G256" s="113" t="str">
        <f aca="false">ExportRaw!$I256</f>
        <v/>
      </c>
      <c r="H256" s="113" t="str">
        <f aca="false">ExportRaw!$A256</f>
        <v/>
      </c>
      <c r="I256" s="113" t="str">
        <f aca="false">ExportRaw!$B256</f>
        <v/>
      </c>
    </row>
    <row r="257" customFormat="false" ht="15.75" hidden="false" customHeight="false" outlineLevel="0" collapsed="false">
      <c r="A257" s="113" t="n">
        <f aca="false">ExportRaw!$F257</f>
        <v>0</v>
      </c>
      <c r="B257" s="113" t="n">
        <f aca="false">ExportRaw!$C257</f>
        <v>0</v>
      </c>
      <c r="C257" s="113" t="n">
        <f aca="false">ExportRaw!$G257</f>
        <v>0</v>
      </c>
      <c r="D257" s="113" t="str">
        <f aca="false">ExportRaw!$E257</f>
        <v/>
      </c>
      <c r="E257" s="114" t="str">
        <f aca="false">ExportRaw!$D257</f>
        <v/>
      </c>
      <c r="F257" s="113" t="str">
        <f aca="false">ExportRaw!$H257</f>
        <v/>
      </c>
      <c r="G257" s="113" t="str">
        <f aca="false">ExportRaw!$I257</f>
        <v/>
      </c>
      <c r="H257" s="113" t="str">
        <f aca="false">ExportRaw!$A257</f>
        <v/>
      </c>
      <c r="I257" s="113" t="str">
        <f aca="false">ExportRaw!$B257</f>
        <v/>
      </c>
    </row>
    <row r="258" customFormat="false" ht="15.75" hidden="false" customHeight="false" outlineLevel="0" collapsed="false">
      <c r="A258" s="113" t="n">
        <f aca="false">ExportRaw!$F258</f>
        <v>0</v>
      </c>
      <c r="B258" s="113" t="n">
        <f aca="false">ExportRaw!$C258</f>
        <v>0</v>
      </c>
      <c r="C258" s="113" t="n">
        <f aca="false">ExportRaw!$G258</f>
        <v>0</v>
      </c>
      <c r="D258" s="113" t="str">
        <f aca="false">ExportRaw!$E258</f>
        <v/>
      </c>
      <c r="E258" s="114" t="str">
        <f aca="false">ExportRaw!$D258</f>
        <v/>
      </c>
      <c r="F258" s="113" t="str">
        <f aca="false">ExportRaw!$H258</f>
        <v/>
      </c>
      <c r="G258" s="113" t="str">
        <f aca="false">ExportRaw!$I258</f>
        <v/>
      </c>
      <c r="H258" s="113" t="str">
        <f aca="false">ExportRaw!$A258</f>
        <v/>
      </c>
      <c r="I258" s="113" t="str">
        <f aca="false">ExportRaw!$B258</f>
        <v/>
      </c>
    </row>
    <row r="259" customFormat="false" ht="15.75" hidden="false" customHeight="false" outlineLevel="0" collapsed="false">
      <c r="A259" s="113" t="n">
        <f aca="false">ExportRaw!$F259</f>
        <v>0</v>
      </c>
      <c r="B259" s="113" t="n">
        <f aca="false">ExportRaw!$C259</f>
        <v>0</v>
      </c>
      <c r="C259" s="113" t="n">
        <f aca="false">ExportRaw!$G259</f>
        <v>0</v>
      </c>
      <c r="D259" s="113" t="str">
        <f aca="false">ExportRaw!$E259</f>
        <v/>
      </c>
      <c r="E259" s="114" t="str">
        <f aca="false">ExportRaw!$D259</f>
        <v/>
      </c>
      <c r="F259" s="113" t="str">
        <f aca="false">ExportRaw!$H259</f>
        <v/>
      </c>
      <c r="G259" s="113" t="str">
        <f aca="false">ExportRaw!$I259</f>
        <v/>
      </c>
      <c r="H259" s="113" t="str">
        <f aca="false">ExportRaw!$A259</f>
        <v/>
      </c>
      <c r="I259" s="113" t="str">
        <f aca="false">ExportRaw!$B259</f>
        <v/>
      </c>
    </row>
    <row r="260" customFormat="false" ht="15.75" hidden="false" customHeight="false" outlineLevel="0" collapsed="false">
      <c r="A260" s="113" t="n">
        <f aca="false">ExportRaw!$F260</f>
        <v>0</v>
      </c>
      <c r="B260" s="113" t="n">
        <f aca="false">ExportRaw!$C260</f>
        <v>0</v>
      </c>
      <c r="C260" s="113" t="n">
        <f aca="false">ExportRaw!$G260</f>
        <v>0</v>
      </c>
      <c r="D260" s="113" t="str">
        <f aca="false">ExportRaw!$E260</f>
        <v/>
      </c>
      <c r="E260" s="114" t="str">
        <f aca="false">ExportRaw!$D260</f>
        <v/>
      </c>
      <c r="F260" s="113" t="str">
        <f aca="false">ExportRaw!$H260</f>
        <v/>
      </c>
      <c r="G260" s="113" t="str">
        <f aca="false">ExportRaw!$I260</f>
        <v/>
      </c>
      <c r="H260" s="113" t="str">
        <f aca="false">ExportRaw!$A260</f>
        <v/>
      </c>
      <c r="I260" s="113" t="str">
        <f aca="false">ExportRaw!$B260</f>
        <v/>
      </c>
    </row>
    <row r="261" customFormat="false" ht="15.75" hidden="false" customHeight="false" outlineLevel="0" collapsed="false">
      <c r="A261" s="113" t="n">
        <f aca="false">ExportRaw!$F261</f>
        <v>0</v>
      </c>
      <c r="B261" s="113" t="n">
        <f aca="false">ExportRaw!$C261</f>
        <v>0</v>
      </c>
      <c r="C261" s="113" t="n">
        <f aca="false">ExportRaw!$G261</f>
        <v>0</v>
      </c>
      <c r="D261" s="113" t="str">
        <f aca="false">ExportRaw!$E261</f>
        <v/>
      </c>
      <c r="E261" s="114" t="str">
        <f aca="false">ExportRaw!$D261</f>
        <v/>
      </c>
      <c r="F261" s="113" t="str">
        <f aca="false">ExportRaw!$H261</f>
        <v/>
      </c>
      <c r="G261" s="113" t="str">
        <f aca="false">ExportRaw!$I261</f>
        <v/>
      </c>
      <c r="H261" s="113" t="str">
        <f aca="false">ExportRaw!$A261</f>
        <v/>
      </c>
      <c r="I261" s="113" t="str">
        <f aca="false">ExportRaw!$B261</f>
        <v/>
      </c>
    </row>
    <row r="262" customFormat="false" ht="15.75" hidden="false" customHeight="false" outlineLevel="0" collapsed="false">
      <c r="A262" s="113" t="n">
        <f aca="false">ExportRaw!$F262</f>
        <v>0</v>
      </c>
      <c r="B262" s="113" t="n">
        <f aca="false">ExportRaw!$C262</f>
        <v>0</v>
      </c>
      <c r="C262" s="113" t="n">
        <f aca="false">ExportRaw!$G262</f>
        <v>0</v>
      </c>
      <c r="D262" s="113" t="str">
        <f aca="false">ExportRaw!$E262</f>
        <v/>
      </c>
      <c r="E262" s="114" t="str">
        <f aca="false">ExportRaw!$D262</f>
        <v/>
      </c>
      <c r="F262" s="113" t="str">
        <f aca="false">ExportRaw!$H262</f>
        <v/>
      </c>
      <c r="G262" s="113" t="str">
        <f aca="false">ExportRaw!$I262</f>
        <v/>
      </c>
      <c r="H262" s="113" t="str">
        <f aca="false">ExportRaw!$A262</f>
        <v/>
      </c>
      <c r="I262" s="113" t="str">
        <f aca="false">ExportRaw!$B262</f>
        <v/>
      </c>
    </row>
    <row r="263" customFormat="false" ht="15.75" hidden="false" customHeight="false" outlineLevel="0" collapsed="false">
      <c r="A263" s="113" t="n">
        <f aca="false">ExportRaw!$F263</f>
        <v>0</v>
      </c>
      <c r="B263" s="113" t="n">
        <f aca="false">ExportRaw!$C263</f>
        <v>0</v>
      </c>
      <c r="C263" s="113" t="n">
        <f aca="false">ExportRaw!$G263</f>
        <v>0</v>
      </c>
      <c r="D263" s="113" t="str">
        <f aca="false">ExportRaw!$E263</f>
        <v/>
      </c>
      <c r="E263" s="114" t="str">
        <f aca="false">ExportRaw!$D263</f>
        <v/>
      </c>
      <c r="F263" s="113" t="str">
        <f aca="false">ExportRaw!$H263</f>
        <v/>
      </c>
      <c r="G263" s="113" t="str">
        <f aca="false">ExportRaw!$I263</f>
        <v/>
      </c>
      <c r="H263" s="113" t="str">
        <f aca="false">ExportRaw!$A263</f>
        <v/>
      </c>
      <c r="I263" s="113" t="str">
        <f aca="false">ExportRaw!$B263</f>
        <v/>
      </c>
    </row>
    <row r="264" customFormat="false" ht="15.75" hidden="false" customHeight="false" outlineLevel="0" collapsed="false">
      <c r="A264" s="113" t="n">
        <f aca="false">ExportRaw!$F264</f>
        <v>0</v>
      </c>
      <c r="B264" s="113" t="n">
        <f aca="false">ExportRaw!$C264</f>
        <v>0</v>
      </c>
      <c r="C264" s="113" t="n">
        <f aca="false">ExportRaw!$G264</f>
        <v>0</v>
      </c>
      <c r="D264" s="113" t="str">
        <f aca="false">ExportRaw!$E264</f>
        <v/>
      </c>
      <c r="E264" s="114" t="str">
        <f aca="false">ExportRaw!$D264</f>
        <v/>
      </c>
      <c r="F264" s="113" t="str">
        <f aca="false">ExportRaw!$H264</f>
        <v/>
      </c>
      <c r="G264" s="113" t="str">
        <f aca="false">ExportRaw!$I264</f>
        <v/>
      </c>
      <c r="H264" s="113" t="str">
        <f aca="false">ExportRaw!$A264</f>
        <v/>
      </c>
      <c r="I264" s="113" t="str">
        <f aca="false">ExportRaw!$B264</f>
        <v/>
      </c>
    </row>
    <row r="265" customFormat="false" ht="15.75" hidden="false" customHeight="false" outlineLevel="0" collapsed="false">
      <c r="A265" s="113" t="n">
        <f aca="false">ExportRaw!$F265</f>
        <v>0</v>
      </c>
      <c r="B265" s="113" t="n">
        <f aca="false">ExportRaw!$C265</f>
        <v>0</v>
      </c>
      <c r="C265" s="113" t="n">
        <f aca="false">ExportRaw!$G265</f>
        <v>0</v>
      </c>
      <c r="D265" s="113" t="str">
        <f aca="false">ExportRaw!$E265</f>
        <v/>
      </c>
      <c r="E265" s="114" t="str">
        <f aca="false">ExportRaw!$D265</f>
        <v/>
      </c>
      <c r="F265" s="113" t="str">
        <f aca="false">ExportRaw!$H265</f>
        <v/>
      </c>
      <c r="G265" s="113" t="str">
        <f aca="false">ExportRaw!$I265</f>
        <v/>
      </c>
      <c r="H265" s="113" t="str">
        <f aca="false">ExportRaw!$A265</f>
        <v/>
      </c>
      <c r="I265" s="113" t="str">
        <f aca="false">ExportRaw!$B265</f>
        <v/>
      </c>
    </row>
    <row r="266" customFormat="false" ht="15.75" hidden="false" customHeight="false" outlineLevel="0" collapsed="false">
      <c r="A266" s="113" t="n">
        <f aca="false">ExportRaw!$F266</f>
        <v>0</v>
      </c>
      <c r="B266" s="113" t="n">
        <f aca="false">ExportRaw!$C266</f>
        <v>0</v>
      </c>
      <c r="C266" s="113" t="n">
        <f aca="false">ExportRaw!$G266</f>
        <v>0</v>
      </c>
      <c r="D266" s="113" t="str">
        <f aca="false">ExportRaw!$E266</f>
        <v/>
      </c>
      <c r="E266" s="114" t="str">
        <f aca="false">ExportRaw!$D266</f>
        <v/>
      </c>
      <c r="F266" s="113" t="str">
        <f aca="false">ExportRaw!$H266</f>
        <v/>
      </c>
      <c r="G266" s="113" t="str">
        <f aca="false">ExportRaw!$I266</f>
        <v/>
      </c>
      <c r="H266" s="113" t="str">
        <f aca="false">ExportRaw!$A266</f>
        <v/>
      </c>
      <c r="I266" s="113" t="str">
        <f aca="false">ExportRaw!$B266</f>
        <v/>
      </c>
    </row>
    <row r="267" customFormat="false" ht="15.75" hidden="false" customHeight="false" outlineLevel="0" collapsed="false">
      <c r="A267" s="113" t="n">
        <f aca="false">ExportRaw!$F267</f>
        <v>0</v>
      </c>
      <c r="B267" s="113" t="n">
        <f aca="false">ExportRaw!$C267</f>
        <v>0</v>
      </c>
      <c r="C267" s="113" t="n">
        <f aca="false">ExportRaw!$G267</f>
        <v>0</v>
      </c>
      <c r="D267" s="113" t="str">
        <f aca="false">ExportRaw!$E267</f>
        <v/>
      </c>
      <c r="E267" s="114" t="str">
        <f aca="false">ExportRaw!$D267</f>
        <v/>
      </c>
      <c r="F267" s="113" t="str">
        <f aca="false">ExportRaw!$H267</f>
        <v/>
      </c>
      <c r="G267" s="113" t="str">
        <f aca="false">ExportRaw!$I267</f>
        <v/>
      </c>
      <c r="H267" s="113" t="str">
        <f aca="false">ExportRaw!$A267</f>
        <v/>
      </c>
      <c r="I267" s="113" t="str">
        <f aca="false">ExportRaw!$B267</f>
        <v/>
      </c>
    </row>
    <row r="268" customFormat="false" ht="15.75" hidden="false" customHeight="false" outlineLevel="0" collapsed="false">
      <c r="A268" s="113" t="n">
        <f aca="false">ExportRaw!$F268</f>
        <v>0</v>
      </c>
      <c r="B268" s="113" t="n">
        <f aca="false">ExportRaw!$C268</f>
        <v>0</v>
      </c>
      <c r="C268" s="113" t="n">
        <f aca="false">ExportRaw!$G268</f>
        <v>0</v>
      </c>
      <c r="D268" s="113" t="str">
        <f aca="false">ExportRaw!$E268</f>
        <v/>
      </c>
      <c r="E268" s="114" t="str">
        <f aca="false">ExportRaw!$D268</f>
        <v/>
      </c>
      <c r="F268" s="113" t="str">
        <f aca="false">ExportRaw!$H268</f>
        <v/>
      </c>
      <c r="G268" s="113" t="str">
        <f aca="false">ExportRaw!$I268</f>
        <v/>
      </c>
      <c r="H268" s="113" t="str">
        <f aca="false">ExportRaw!$A268</f>
        <v/>
      </c>
      <c r="I268" s="113" t="str">
        <f aca="false">ExportRaw!$B268</f>
        <v/>
      </c>
    </row>
    <row r="269" customFormat="false" ht="15.75" hidden="false" customHeight="false" outlineLevel="0" collapsed="false">
      <c r="A269" s="113" t="n">
        <f aca="false">ExportRaw!$F269</f>
        <v>0</v>
      </c>
      <c r="B269" s="113" t="n">
        <f aca="false">ExportRaw!$C269</f>
        <v>0</v>
      </c>
      <c r="C269" s="113" t="n">
        <f aca="false">ExportRaw!$G269</f>
        <v>0</v>
      </c>
      <c r="D269" s="113" t="str">
        <f aca="false">ExportRaw!$E269</f>
        <v/>
      </c>
      <c r="E269" s="114" t="str">
        <f aca="false">ExportRaw!$D269</f>
        <v/>
      </c>
      <c r="F269" s="113" t="str">
        <f aca="false">ExportRaw!$H269</f>
        <v/>
      </c>
      <c r="G269" s="113" t="str">
        <f aca="false">ExportRaw!$I269</f>
        <v/>
      </c>
      <c r="H269" s="113" t="str">
        <f aca="false">ExportRaw!$A269</f>
        <v/>
      </c>
      <c r="I269" s="113" t="str">
        <f aca="false">ExportRaw!$B269</f>
        <v/>
      </c>
    </row>
    <row r="270" customFormat="false" ht="15.75" hidden="false" customHeight="false" outlineLevel="0" collapsed="false">
      <c r="A270" s="113" t="n">
        <f aca="false">ExportRaw!$F270</f>
        <v>0</v>
      </c>
      <c r="B270" s="113" t="n">
        <f aca="false">ExportRaw!$C270</f>
        <v>0</v>
      </c>
      <c r="C270" s="113" t="n">
        <f aca="false">ExportRaw!$G270</f>
        <v>0</v>
      </c>
      <c r="D270" s="113" t="str">
        <f aca="false">ExportRaw!$E270</f>
        <v/>
      </c>
      <c r="E270" s="114" t="str">
        <f aca="false">ExportRaw!$D270</f>
        <v/>
      </c>
      <c r="F270" s="113" t="str">
        <f aca="false">ExportRaw!$H270</f>
        <v/>
      </c>
      <c r="G270" s="113" t="str">
        <f aca="false">ExportRaw!$I270</f>
        <v/>
      </c>
      <c r="H270" s="113" t="str">
        <f aca="false">ExportRaw!$A270</f>
        <v/>
      </c>
      <c r="I270" s="113" t="str">
        <f aca="false">ExportRaw!$B270</f>
        <v/>
      </c>
    </row>
    <row r="271" customFormat="false" ht="15.75" hidden="false" customHeight="false" outlineLevel="0" collapsed="false">
      <c r="A271" s="113" t="n">
        <f aca="false">ExportRaw!$F271</f>
        <v>0</v>
      </c>
      <c r="B271" s="113" t="n">
        <f aca="false">ExportRaw!$C271</f>
        <v>0</v>
      </c>
      <c r="C271" s="113" t="n">
        <f aca="false">ExportRaw!$G271</f>
        <v>0</v>
      </c>
      <c r="D271" s="113" t="str">
        <f aca="false">ExportRaw!$E271</f>
        <v/>
      </c>
      <c r="E271" s="114" t="str">
        <f aca="false">ExportRaw!$D271</f>
        <v/>
      </c>
      <c r="F271" s="113" t="str">
        <f aca="false">ExportRaw!$H271</f>
        <v/>
      </c>
      <c r="G271" s="113" t="str">
        <f aca="false">ExportRaw!$I271</f>
        <v/>
      </c>
      <c r="H271" s="113" t="str">
        <f aca="false">ExportRaw!$A271</f>
        <v/>
      </c>
      <c r="I271" s="113" t="str">
        <f aca="false">ExportRaw!$B271</f>
        <v/>
      </c>
    </row>
    <row r="272" customFormat="false" ht="15.75" hidden="false" customHeight="false" outlineLevel="0" collapsed="false">
      <c r="A272" s="113" t="n">
        <f aca="false">ExportRaw!$F272</f>
        <v>0</v>
      </c>
      <c r="B272" s="113" t="n">
        <f aca="false">ExportRaw!$C272</f>
        <v>0</v>
      </c>
      <c r="C272" s="113" t="n">
        <f aca="false">ExportRaw!$G272</f>
        <v>0</v>
      </c>
      <c r="D272" s="113" t="str">
        <f aca="false">ExportRaw!$E272</f>
        <v/>
      </c>
      <c r="E272" s="114" t="str">
        <f aca="false">ExportRaw!$D272</f>
        <v/>
      </c>
      <c r="F272" s="113" t="str">
        <f aca="false">ExportRaw!$H272</f>
        <v/>
      </c>
      <c r="G272" s="113" t="str">
        <f aca="false">ExportRaw!$I272</f>
        <v/>
      </c>
      <c r="H272" s="113" t="str">
        <f aca="false">ExportRaw!$A272</f>
        <v/>
      </c>
      <c r="I272" s="113" t="str">
        <f aca="false">ExportRaw!$B272</f>
        <v/>
      </c>
    </row>
    <row r="273" customFormat="false" ht="15.75" hidden="false" customHeight="false" outlineLevel="0" collapsed="false">
      <c r="A273" s="113" t="n">
        <f aca="false">ExportRaw!$F273</f>
        <v>0</v>
      </c>
      <c r="B273" s="113" t="n">
        <f aca="false">ExportRaw!$C273</f>
        <v>0</v>
      </c>
      <c r="C273" s="113" t="n">
        <f aca="false">ExportRaw!$G273</f>
        <v>0</v>
      </c>
      <c r="D273" s="113" t="str">
        <f aca="false">ExportRaw!$E273</f>
        <v/>
      </c>
      <c r="E273" s="114" t="str">
        <f aca="false">ExportRaw!$D273</f>
        <v/>
      </c>
      <c r="F273" s="113" t="str">
        <f aca="false">ExportRaw!$H273</f>
        <v/>
      </c>
      <c r="G273" s="113" t="str">
        <f aca="false">ExportRaw!$I273</f>
        <v/>
      </c>
      <c r="H273" s="113" t="str">
        <f aca="false">ExportRaw!$A273</f>
        <v/>
      </c>
      <c r="I273" s="113" t="str">
        <f aca="false">ExportRaw!$B273</f>
        <v/>
      </c>
    </row>
    <row r="274" customFormat="false" ht="15.75" hidden="false" customHeight="false" outlineLevel="0" collapsed="false">
      <c r="A274" s="113" t="n">
        <f aca="false">ExportRaw!$F274</f>
        <v>0</v>
      </c>
      <c r="B274" s="113" t="n">
        <f aca="false">ExportRaw!$C274</f>
        <v>0</v>
      </c>
      <c r="C274" s="113" t="n">
        <f aca="false">ExportRaw!$G274</f>
        <v>0</v>
      </c>
      <c r="D274" s="113" t="str">
        <f aca="false">ExportRaw!$E274</f>
        <v/>
      </c>
      <c r="E274" s="114" t="str">
        <f aca="false">ExportRaw!$D274</f>
        <v/>
      </c>
      <c r="F274" s="113" t="str">
        <f aca="false">ExportRaw!$H274</f>
        <v/>
      </c>
      <c r="G274" s="113" t="str">
        <f aca="false">ExportRaw!$I274</f>
        <v/>
      </c>
      <c r="H274" s="113" t="str">
        <f aca="false">ExportRaw!$A274</f>
        <v/>
      </c>
      <c r="I274" s="113" t="str">
        <f aca="false">ExportRaw!$B274</f>
        <v/>
      </c>
    </row>
    <row r="275" customFormat="false" ht="15.75" hidden="false" customHeight="false" outlineLevel="0" collapsed="false">
      <c r="A275" s="113" t="n">
        <f aca="false">ExportRaw!$F275</f>
        <v>0</v>
      </c>
      <c r="B275" s="113" t="n">
        <f aca="false">ExportRaw!$C275</f>
        <v>0</v>
      </c>
      <c r="C275" s="113" t="n">
        <f aca="false">ExportRaw!$G275</f>
        <v>0</v>
      </c>
      <c r="D275" s="113" t="str">
        <f aca="false">ExportRaw!$E275</f>
        <v/>
      </c>
      <c r="E275" s="114" t="str">
        <f aca="false">ExportRaw!$D275</f>
        <v/>
      </c>
      <c r="F275" s="113" t="str">
        <f aca="false">ExportRaw!$H275</f>
        <v/>
      </c>
      <c r="G275" s="113" t="str">
        <f aca="false">ExportRaw!$I275</f>
        <v/>
      </c>
      <c r="H275" s="113" t="str">
        <f aca="false">ExportRaw!$A275</f>
        <v/>
      </c>
      <c r="I275" s="113" t="str">
        <f aca="false">ExportRaw!$B275</f>
        <v/>
      </c>
    </row>
    <row r="276" customFormat="false" ht="15.75" hidden="false" customHeight="false" outlineLevel="0" collapsed="false">
      <c r="A276" s="113" t="n">
        <f aca="false">ExportRaw!$F276</f>
        <v>0</v>
      </c>
      <c r="B276" s="113" t="n">
        <f aca="false">ExportRaw!$C276</f>
        <v>0</v>
      </c>
      <c r="C276" s="113" t="n">
        <f aca="false">ExportRaw!$G276</f>
        <v>0</v>
      </c>
      <c r="D276" s="113" t="str">
        <f aca="false">ExportRaw!$E276</f>
        <v/>
      </c>
      <c r="E276" s="114" t="str">
        <f aca="false">ExportRaw!$D276</f>
        <v/>
      </c>
      <c r="F276" s="113" t="str">
        <f aca="false">ExportRaw!$H276</f>
        <v/>
      </c>
      <c r="G276" s="113" t="str">
        <f aca="false">ExportRaw!$I276</f>
        <v/>
      </c>
      <c r="H276" s="113" t="str">
        <f aca="false">ExportRaw!$A276</f>
        <v/>
      </c>
      <c r="I276" s="113" t="str">
        <f aca="false">ExportRaw!$B276</f>
        <v/>
      </c>
    </row>
    <row r="277" customFormat="false" ht="15.75" hidden="false" customHeight="false" outlineLevel="0" collapsed="false">
      <c r="A277" s="113" t="n">
        <f aca="false">ExportRaw!$F277</f>
        <v>0</v>
      </c>
      <c r="B277" s="113" t="n">
        <f aca="false">ExportRaw!$C277</f>
        <v>0</v>
      </c>
      <c r="C277" s="113" t="n">
        <f aca="false">ExportRaw!$G277</f>
        <v>0</v>
      </c>
      <c r="D277" s="113" t="str">
        <f aca="false">ExportRaw!$E277</f>
        <v/>
      </c>
      <c r="E277" s="114" t="str">
        <f aca="false">ExportRaw!$D277</f>
        <v/>
      </c>
      <c r="F277" s="113" t="str">
        <f aca="false">ExportRaw!$H277</f>
        <v/>
      </c>
      <c r="G277" s="113" t="str">
        <f aca="false">ExportRaw!$I277</f>
        <v/>
      </c>
      <c r="H277" s="113" t="str">
        <f aca="false">ExportRaw!$A277</f>
        <v/>
      </c>
      <c r="I277" s="113" t="str">
        <f aca="false">ExportRaw!$B277</f>
        <v/>
      </c>
    </row>
    <row r="278" customFormat="false" ht="15.75" hidden="false" customHeight="false" outlineLevel="0" collapsed="false">
      <c r="A278" s="113" t="n">
        <f aca="false">ExportRaw!$F278</f>
        <v>0</v>
      </c>
      <c r="B278" s="113" t="n">
        <f aca="false">ExportRaw!$C278</f>
        <v>0</v>
      </c>
      <c r="C278" s="113" t="n">
        <f aca="false">ExportRaw!$G278</f>
        <v>0</v>
      </c>
      <c r="D278" s="113" t="str">
        <f aca="false">ExportRaw!$E278</f>
        <v/>
      </c>
      <c r="E278" s="114" t="str">
        <f aca="false">ExportRaw!$D278</f>
        <v/>
      </c>
      <c r="F278" s="113" t="str">
        <f aca="false">ExportRaw!$H278</f>
        <v/>
      </c>
      <c r="G278" s="113" t="str">
        <f aca="false">ExportRaw!$I278</f>
        <v/>
      </c>
      <c r="H278" s="113" t="str">
        <f aca="false">ExportRaw!$A278</f>
        <v/>
      </c>
      <c r="I278" s="113" t="str">
        <f aca="false">ExportRaw!$B278</f>
        <v/>
      </c>
    </row>
    <row r="279" customFormat="false" ht="15.75" hidden="false" customHeight="false" outlineLevel="0" collapsed="false">
      <c r="A279" s="113" t="n">
        <f aca="false">ExportRaw!$F279</f>
        <v>0</v>
      </c>
      <c r="B279" s="113" t="n">
        <f aca="false">ExportRaw!$C279</f>
        <v>0</v>
      </c>
      <c r="C279" s="113" t="n">
        <f aca="false">ExportRaw!$G279</f>
        <v>0</v>
      </c>
      <c r="D279" s="113" t="str">
        <f aca="false">ExportRaw!$E279</f>
        <v/>
      </c>
      <c r="E279" s="114" t="str">
        <f aca="false">ExportRaw!$D279</f>
        <v/>
      </c>
      <c r="F279" s="113" t="str">
        <f aca="false">ExportRaw!$H279</f>
        <v/>
      </c>
      <c r="G279" s="113" t="str">
        <f aca="false">ExportRaw!$I279</f>
        <v/>
      </c>
      <c r="H279" s="113" t="str">
        <f aca="false">ExportRaw!$A279</f>
        <v/>
      </c>
      <c r="I279" s="113" t="str">
        <f aca="false">ExportRaw!$B279</f>
        <v/>
      </c>
    </row>
    <row r="280" customFormat="false" ht="15.75" hidden="false" customHeight="false" outlineLevel="0" collapsed="false">
      <c r="A280" s="113" t="n">
        <f aca="false">ExportRaw!$F280</f>
        <v>0</v>
      </c>
      <c r="B280" s="113" t="n">
        <f aca="false">ExportRaw!$C280</f>
        <v>0</v>
      </c>
      <c r="C280" s="113" t="n">
        <f aca="false">ExportRaw!$G280</f>
        <v>0</v>
      </c>
      <c r="D280" s="113" t="str">
        <f aca="false">ExportRaw!$E280</f>
        <v/>
      </c>
      <c r="E280" s="114" t="str">
        <f aca="false">ExportRaw!$D280</f>
        <v/>
      </c>
      <c r="F280" s="113" t="str">
        <f aca="false">ExportRaw!$H280</f>
        <v/>
      </c>
      <c r="G280" s="113" t="str">
        <f aca="false">ExportRaw!$I280</f>
        <v/>
      </c>
      <c r="H280" s="113" t="str">
        <f aca="false">ExportRaw!$A280</f>
        <v/>
      </c>
      <c r="I280" s="113" t="str">
        <f aca="false">ExportRaw!$B280</f>
        <v/>
      </c>
    </row>
    <row r="281" customFormat="false" ht="15.75" hidden="false" customHeight="false" outlineLevel="0" collapsed="false">
      <c r="A281" s="113" t="n">
        <f aca="false">ExportRaw!$F281</f>
        <v>0</v>
      </c>
      <c r="B281" s="113" t="n">
        <f aca="false">ExportRaw!$C281</f>
        <v>0</v>
      </c>
      <c r="C281" s="113" t="n">
        <f aca="false">ExportRaw!$G281</f>
        <v>0</v>
      </c>
      <c r="D281" s="113" t="str">
        <f aca="false">ExportRaw!$E281</f>
        <v/>
      </c>
      <c r="E281" s="114" t="str">
        <f aca="false">ExportRaw!$D281</f>
        <v/>
      </c>
      <c r="F281" s="113" t="str">
        <f aca="false">ExportRaw!$H281</f>
        <v/>
      </c>
      <c r="G281" s="113" t="str">
        <f aca="false">ExportRaw!$I281</f>
        <v/>
      </c>
      <c r="H281" s="113" t="str">
        <f aca="false">ExportRaw!$A281</f>
        <v/>
      </c>
      <c r="I281" s="113" t="str">
        <f aca="false">ExportRaw!$B281</f>
        <v/>
      </c>
    </row>
    <row r="282" customFormat="false" ht="15.75" hidden="false" customHeight="false" outlineLevel="0" collapsed="false">
      <c r="A282" s="113" t="n">
        <f aca="false">ExportRaw!$F282</f>
        <v>0</v>
      </c>
      <c r="B282" s="113" t="n">
        <f aca="false">ExportRaw!$C282</f>
        <v>0</v>
      </c>
      <c r="C282" s="113" t="n">
        <f aca="false">ExportRaw!$G282</f>
        <v>0</v>
      </c>
      <c r="D282" s="113" t="str">
        <f aca="false">ExportRaw!$E282</f>
        <v/>
      </c>
      <c r="E282" s="114" t="str">
        <f aca="false">ExportRaw!$D282</f>
        <v/>
      </c>
      <c r="F282" s="113" t="str">
        <f aca="false">ExportRaw!$H282</f>
        <v/>
      </c>
      <c r="G282" s="113" t="str">
        <f aca="false">ExportRaw!$I282</f>
        <v/>
      </c>
      <c r="H282" s="113" t="str">
        <f aca="false">ExportRaw!$A282</f>
        <v/>
      </c>
      <c r="I282" s="113" t="str">
        <f aca="false">ExportRaw!$B282</f>
        <v/>
      </c>
    </row>
    <row r="283" customFormat="false" ht="15.75" hidden="false" customHeight="false" outlineLevel="0" collapsed="false">
      <c r="A283" s="113" t="n">
        <f aca="false">ExportRaw!$F283</f>
        <v>0</v>
      </c>
      <c r="B283" s="113" t="n">
        <f aca="false">ExportRaw!$C283</f>
        <v>0</v>
      </c>
      <c r="C283" s="113" t="n">
        <f aca="false">ExportRaw!$G283</f>
        <v>0</v>
      </c>
      <c r="D283" s="113" t="str">
        <f aca="false">ExportRaw!$E283</f>
        <v/>
      </c>
      <c r="E283" s="114" t="str">
        <f aca="false">ExportRaw!$D283</f>
        <v/>
      </c>
      <c r="F283" s="113" t="str">
        <f aca="false">ExportRaw!$H283</f>
        <v/>
      </c>
      <c r="G283" s="113" t="str">
        <f aca="false">ExportRaw!$I283</f>
        <v/>
      </c>
      <c r="H283" s="113" t="str">
        <f aca="false">ExportRaw!$A283</f>
        <v/>
      </c>
      <c r="I283" s="113" t="str">
        <f aca="false">ExportRaw!$B283</f>
        <v/>
      </c>
    </row>
    <row r="284" customFormat="false" ht="15.75" hidden="false" customHeight="false" outlineLevel="0" collapsed="false">
      <c r="A284" s="113" t="n">
        <f aca="false">ExportRaw!$F284</f>
        <v>0</v>
      </c>
      <c r="B284" s="113" t="n">
        <f aca="false">ExportRaw!$C284</f>
        <v>0</v>
      </c>
      <c r="C284" s="113" t="n">
        <f aca="false">ExportRaw!$G284</f>
        <v>0</v>
      </c>
      <c r="D284" s="113" t="str">
        <f aca="false">ExportRaw!$E284</f>
        <v/>
      </c>
      <c r="E284" s="114" t="str">
        <f aca="false">ExportRaw!$D284</f>
        <v/>
      </c>
      <c r="F284" s="113" t="str">
        <f aca="false">ExportRaw!$H284</f>
        <v/>
      </c>
      <c r="G284" s="113" t="str">
        <f aca="false">ExportRaw!$I284</f>
        <v/>
      </c>
      <c r="H284" s="113" t="str">
        <f aca="false">ExportRaw!$A284</f>
        <v/>
      </c>
      <c r="I284" s="113" t="str">
        <f aca="false">ExportRaw!$B284</f>
        <v/>
      </c>
    </row>
    <row r="285" customFormat="false" ht="15.75" hidden="false" customHeight="false" outlineLevel="0" collapsed="false">
      <c r="A285" s="113" t="n">
        <f aca="false">ExportRaw!$F285</f>
        <v>0</v>
      </c>
      <c r="B285" s="113" t="n">
        <f aca="false">ExportRaw!$C285</f>
        <v>0</v>
      </c>
      <c r="C285" s="113" t="n">
        <f aca="false">ExportRaw!$G285</f>
        <v>0</v>
      </c>
      <c r="D285" s="113" t="str">
        <f aca="false">ExportRaw!$E285</f>
        <v/>
      </c>
      <c r="E285" s="114" t="str">
        <f aca="false">ExportRaw!$D285</f>
        <v/>
      </c>
      <c r="F285" s="113" t="str">
        <f aca="false">ExportRaw!$H285</f>
        <v/>
      </c>
      <c r="G285" s="113" t="str">
        <f aca="false">ExportRaw!$I285</f>
        <v/>
      </c>
      <c r="H285" s="113" t="str">
        <f aca="false">ExportRaw!$A285</f>
        <v/>
      </c>
      <c r="I285" s="113" t="str">
        <f aca="false">ExportRaw!$B285</f>
        <v/>
      </c>
    </row>
    <row r="286" customFormat="false" ht="15.75" hidden="false" customHeight="false" outlineLevel="0" collapsed="false">
      <c r="A286" s="113" t="n">
        <f aca="false">ExportRaw!$F286</f>
        <v>0</v>
      </c>
      <c r="B286" s="113" t="n">
        <f aca="false">ExportRaw!$C286</f>
        <v>0</v>
      </c>
      <c r="C286" s="113" t="n">
        <f aca="false">ExportRaw!$G286</f>
        <v>0</v>
      </c>
      <c r="D286" s="113" t="str">
        <f aca="false">ExportRaw!$E286</f>
        <v/>
      </c>
      <c r="E286" s="114" t="str">
        <f aca="false">ExportRaw!$D286</f>
        <v/>
      </c>
      <c r="F286" s="113" t="str">
        <f aca="false">ExportRaw!$H286</f>
        <v/>
      </c>
      <c r="G286" s="113" t="str">
        <f aca="false">ExportRaw!$I286</f>
        <v/>
      </c>
      <c r="H286" s="113" t="str">
        <f aca="false">ExportRaw!$A286</f>
        <v/>
      </c>
      <c r="I286" s="113" t="str">
        <f aca="false">ExportRaw!$B286</f>
        <v/>
      </c>
    </row>
    <row r="287" customFormat="false" ht="15.75" hidden="false" customHeight="false" outlineLevel="0" collapsed="false">
      <c r="A287" s="113" t="n">
        <f aca="false">ExportRaw!$F287</f>
        <v>0</v>
      </c>
      <c r="B287" s="113" t="n">
        <f aca="false">ExportRaw!$C287</f>
        <v>0</v>
      </c>
      <c r="C287" s="113" t="n">
        <f aca="false">ExportRaw!$G287</f>
        <v>0</v>
      </c>
      <c r="D287" s="113" t="str">
        <f aca="false">ExportRaw!$E287</f>
        <v/>
      </c>
      <c r="E287" s="114" t="str">
        <f aca="false">ExportRaw!$D287</f>
        <v/>
      </c>
      <c r="F287" s="113" t="str">
        <f aca="false">ExportRaw!$H287</f>
        <v/>
      </c>
      <c r="G287" s="113" t="str">
        <f aca="false">ExportRaw!$I287</f>
        <v/>
      </c>
      <c r="H287" s="113" t="str">
        <f aca="false">ExportRaw!$A287</f>
        <v/>
      </c>
      <c r="I287" s="113" t="str">
        <f aca="false">ExportRaw!$B287</f>
        <v/>
      </c>
    </row>
    <row r="288" customFormat="false" ht="15.75" hidden="false" customHeight="false" outlineLevel="0" collapsed="false">
      <c r="A288" s="113" t="n">
        <f aca="false">ExportRaw!$F288</f>
        <v>0</v>
      </c>
      <c r="B288" s="113" t="n">
        <f aca="false">ExportRaw!$C288</f>
        <v>0</v>
      </c>
      <c r="C288" s="113" t="n">
        <f aca="false">ExportRaw!$G288</f>
        <v>0</v>
      </c>
      <c r="D288" s="113" t="str">
        <f aca="false">ExportRaw!$E288</f>
        <v/>
      </c>
      <c r="E288" s="114" t="str">
        <f aca="false">ExportRaw!$D288</f>
        <v/>
      </c>
      <c r="F288" s="113" t="str">
        <f aca="false">ExportRaw!$H288</f>
        <v/>
      </c>
      <c r="G288" s="113" t="str">
        <f aca="false">ExportRaw!$I288</f>
        <v/>
      </c>
      <c r="H288" s="113" t="str">
        <f aca="false">ExportRaw!$A288</f>
        <v/>
      </c>
      <c r="I288" s="113" t="str">
        <f aca="false">ExportRaw!$B288</f>
        <v/>
      </c>
    </row>
    <row r="289" customFormat="false" ht="15.75" hidden="false" customHeight="false" outlineLevel="0" collapsed="false">
      <c r="A289" s="113" t="n">
        <f aca="false">ExportRaw!$F289</f>
        <v>0</v>
      </c>
      <c r="B289" s="113" t="n">
        <f aca="false">ExportRaw!$C289</f>
        <v>0</v>
      </c>
      <c r="C289" s="113" t="n">
        <f aca="false">ExportRaw!$G289</f>
        <v>0</v>
      </c>
      <c r="D289" s="113" t="str">
        <f aca="false">ExportRaw!$E289</f>
        <v/>
      </c>
      <c r="E289" s="114" t="str">
        <f aca="false">ExportRaw!$D289</f>
        <v/>
      </c>
      <c r="F289" s="113" t="str">
        <f aca="false">ExportRaw!$H289</f>
        <v/>
      </c>
      <c r="G289" s="113" t="str">
        <f aca="false">ExportRaw!$I289</f>
        <v/>
      </c>
      <c r="H289" s="113" t="str">
        <f aca="false">ExportRaw!$A289</f>
        <v/>
      </c>
      <c r="I289" s="113" t="str">
        <f aca="false">ExportRaw!$B289</f>
        <v/>
      </c>
    </row>
    <row r="290" customFormat="false" ht="15.75" hidden="false" customHeight="false" outlineLevel="0" collapsed="false">
      <c r="A290" s="113" t="n">
        <f aca="false">ExportRaw!$F290</f>
        <v>0</v>
      </c>
      <c r="B290" s="113" t="n">
        <f aca="false">ExportRaw!$C290</f>
        <v>0</v>
      </c>
      <c r="C290" s="113" t="n">
        <f aca="false">ExportRaw!$G290</f>
        <v>0</v>
      </c>
      <c r="D290" s="113" t="str">
        <f aca="false">ExportRaw!$E290</f>
        <v/>
      </c>
      <c r="E290" s="114" t="str">
        <f aca="false">ExportRaw!$D290</f>
        <v/>
      </c>
      <c r="F290" s="113" t="str">
        <f aca="false">ExportRaw!$H290</f>
        <v/>
      </c>
      <c r="G290" s="113" t="str">
        <f aca="false">ExportRaw!$I290</f>
        <v/>
      </c>
      <c r="H290" s="113" t="str">
        <f aca="false">ExportRaw!$A290</f>
        <v/>
      </c>
      <c r="I290" s="113" t="str">
        <f aca="false">ExportRaw!$B290</f>
        <v/>
      </c>
    </row>
    <row r="291" customFormat="false" ht="15.75" hidden="false" customHeight="false" outlineLevel="0" collapsed="false">
      <c r="A291" s="113" t="n">
        <f aca="false">ExportRaw!$F291</f>
        <v>0</v>
      </c>
      <c r="B291" s="113" t="n">
        <f aca="false">ExportRaw!$C291</f>
        <v>0</v>
      </c>
      <c r="C291" s="113" t="n">
        <f aca="false">ExportRaw!$G291</f>
        <v>0</v>
      </c>
      <c r="D291" s="113" t="str">
        <f aca="false">ExportRaw!$E291</f>
        <v/>
      </c>
      <c r="E291" s="114" t="str">
        <f aca="false">ExportRaw!$D291</f>
        <v/>
      </c>
      <c r="F291" s="113" t="str">
        <f aca="false">ExportRaw!$H291</f>
        <v/>
      </c>
      <c r="G291" s="113" t="str">
        <f aca="false">ExportRaw!$I291</f>
        <v/>
      </c>
      <c r="H291" s="113" t="str">
        <f aca="false">ExportRaw!$A291</f>
        <v/>
      </c>
      <c r="I291" s="113" t="str">
        <f aca="false">ExportRaw!$B291</f>
        <v/>
      </c>
    </row>
    <row r="292" customFormat="false" ht="15.75" hidden="false" customHeight="false" outlineLevel="0" collapsed="false">
      <c r="A292" s="113" t="n">
        <f aca="false">ExportRaw!$F292</f>
        <v>0</v>
      </c>
      <c r="B292" s="113" t="n">
        <f aca="false">ExportRaw!$C292</f>
        <v>0</v>
      </c>
      <c r="C292" s="113" t="n">
        <f aca="false">ExportRaw!$G292</f>
        <v>0</v>
      </c>
      <c r="D292" s="113" t="str">
        <f aca="false">ExportRaw!$E292</f>
        <v/>
      </c>
      <c r="E292" s="114" t="str">
        <f aca="false">ExportRaw!$D292</f>
        <v/>
      </c>
      <c r="F292" s="113" t="str">
        <f aca="false">ExportRaw!$H292</f>
        <v/>
      </c>
      <c r="G292" s="113" t="str">
        <f aca="false">ExportRaw!$I292</f>
        <v/>
      </c>
      <c r="H292" s="113" t="str">
        <f aca="false">ExportRaw!$A292</f>
        <v/>
      </c>
      <c r="I292" s="113" t="str">
        <f aca="false">ExportRaw!$B292</f>
        <v/>
      </c>
    </row>
    <row r="293" customFormat="false" ht="15.75" hidden="false" customHeight="false" outlineLevel="0" collapsed="false">
      <c r="A293" s="113" t="n">
        <f aca="false">ExportRaw!$F293</f>
        <v>0</v>
      </c>
      <c r="B293" s="113" t="n">
        <f aca="false">ExportRaw!$C293</f>
        <v>0</v>
      </c>
      <c r="C293" s="113" t="n">
        <f aca="false">ExportRaw!$G293</f>
        <v>0</v>
      </c>
      <c r="D293" s="113" t="str">
        <f aca="false">ExportRaw!$E293</f>
        <v/>
      </c>
      <c r="E293" s="114" t="str">
        <f aca="false">ExportRaw!$D293</f>
        <v/>
      </c>
      <c r="F293" s="113" t="str">
        <f aca="false">ExportRaw!$H293</f>
        <v/>
      </c>
      <c r="G293" s="113" t="str">
        <f aca="false">ExportRaw!$I293</f>
        <v/>
      </c>
      <c r="H293" s="113" t="str">
        <f aca="false">ExportRaw!$A293</f>
        <v/>
      </c>
      <c r="I293" s="113" t="str">
        <f aca="false">ExportRaw!$B293</f>
        <v/>
      </c>
    </row>
    <row r="294" customFormat="false" ht="15.75" hidden="false" customHeight="false" outlineLevel="0" collapsed="false">
      <c r="A294" s="113" t="n">
        <f aca="false">ExportRaw!$F294</f>
        <v>0</v>
      </c>
      <c r="B294" s="113" t="n">
        <f aca="false">ExportRaw!$C294</f>
        <v>0</v>
      </c>
      <c r="C294" s="113" t="n">
        <f aca="false">ExportRaw!$G294</f>
        <v>0</v>
      </c>
      <c r="D294" s="113" t="str">
        <f aca="false">ExportRaw!$E294</f>
        <v/>
      </c>
      <c r="E294" s="114" t="str">
        <f aca="false">ExportRaw!$D294</f>
        <v/>
      </c>
      <c r="F294" s="113" t="str">
        <f aca="false">ExportRaw!$H294</f>
        <v/>
      </c>
      <c r="G294" s="113" t="str">
        <f aca="false">ExportRaw!$I294</f>
        <v/>
      </c>
      <c r="H294" s="113" t="str">
        <f aca="false">ExportRaw!$A294</f>
        <v/>
      </c>
      <c r="I294" s="113" t="str">
        <f aca="false">ExportRaw!$B294</f>
        <v/>
      </c>
    </row>
    <row r="295" customFormat="false" ht="15.75" hidden="false" customHeight="false" outlineLevel="0" collapsed="false">
      <c r="A295" s="113" t="n">
        <f aca="false">ExportRaw!$F295</f>
        <v>0</v>
      </c>
      <c r="B295" s="113" t="n">
        <f aca="false">ExportRaw!$C295</f>
        <v>0</v>
      </c>
      <c r="C295" s="113" t="n">
        <f aca="false">ExportRaw!$G295</f>
        <v>0</v>
      </c>
      <c r="D295" s="113" t="str">
        <f aca="false">ExportRaw!$E295</f>
        <v/>
      </c>
      <c r="E295" s="114" t="str">
        <f aca="false">ExportRaw!$D295</f>
        <v/>
      </c>
      <c r="F295" s="113" t="str">
        <f aca="false">ExportRaw!$H295</f>
        <v/>
      </c>
      <c r="G295" s="113" t="str">
        <f aca="false">ExportRaw!$I295</f>
        <v/>
      </c>
      <c r="H295" s="113" t="str">
        <f aca="false">ExportRaw!$A295</f>
        <v/>
      </c>
      <c r="I295" s="113" t="str">
        <f aca="false">ExportRaw!$B295</f>
        <v/>
      </c>
    </row>
    <row r="296" customFormat="false" ht="15.75" hidden="false" customHeight="false" outlineLevel="0" collapsed="false">
      <c r="A296" s="113" t="n">
        <f aca="false">ExportRaw!$F296</f>
        <v>0</v>
      </c>
      <c r="B296" s="113" t="n">
        <f aca="false">ExportRaw!$C296</f>
        <v>0</v>
      </c>
      <c r="C296" s="113" t="n">
        <f aca="false">ExportRaw!$G296</f>
        <v>0</v>
      </c>
      <c r="D296" s="113" t="str">
        <f aca="false">ExportRaw!$E296</f>
        <v/>
      </c>
      <c r="E296" s="114" t="str">
        <f aca="false">ExportRaw!$D296</f>
        <v/>
      </c>
      <c r="F296" s="113" t="str">
        <f aca="false">ExportRaw!$H296</f>
        <v/>
      </c>
      <c r="G296" s="113" t="str">
        <f aca="false">ExportRaw!$I296</f>
        <v/>
      </c>
      <c r="H296" s="113" t="str">
        <f aca="false">ExportRaw!$A296</f>
        <v/>
      </c>
      <c r="I296" s="113" t="str">
        <f aca="false">ExportRaw!$B296</f>
        <v/>
      </c>
    </row>
    <row r="297" customFormat="false" ht="15.75" hidden="false" customHeight="false" outlineLevel="0" collapsed="false">
      <c r="A297" s="113" t="n">
        <f aca="false">ExportRaw!$F297</f>
        <v>0</v>
      </c>
      <c r="B297" s="113" t="n">
        <f aca="false">ExportRaw!$C297</f>
        <v>0</v>
      </c>
      <c r="C297" s="113" t="n">
        <f aca="false">ExportRaw!$G297</f>
        <v>0</v>
      </c>
      <c r="D297" s="113" t="str">
        <f aca="false">ExportRaw!$E297</f>
        <v/>
      </c>
      <c r="E297" s="114" t="str">
        <f aca="false">ExportRaw!$D297</f>
        <v/>
      </c>
      <c r="F297" s="113" t="str">
        <f aca="false">ExportRaw!$H297</f>
        <v/>
      </c>
      <c r="G297" s="113" t="str">
        <f aca="false">ExportRaw!$I297</f>
        <v/>
      </c>
      <c r="H297" s="113" t="str">
        <f aca="false">ExportRaw!$A297</f>
        <v/>
      </c>
      <c r="I297" s="113" t="str">
        <f aca="false">ExportRaw!$B297</f>
        <v/>
      </c>
    </row>
    <row r="298" customFormat="false" ht="15.75" hidden="false" customHeight="false" outlineLevel="0" collapsed="false">
      <c r="A298" s="113" t="n">
        <f aca="false">ExportRaw!$F298</f>
        <v>0</v>
      </c>
      <c r="B298" s="113" t="n">
        <f aca="false">ExportRaw!$C298</f>
        <v>0</v>
      </c>
      <c r="C298" s="113" t="n">
        <f aca="false">ExportRaw!$G298</f>
        <v>0</v>
      </c>
      <c r="D298" s="113" t="str">
        <f aca="false">ExportRaw!$E298</f>
        <v/>
      </c>
      <c r="E298" s="114" t="str">
        <f aca="false">ExportRaw!$D298</f>
        <v/>
      </c>
      <c r="F298" s="113" t="str">
        <f aca="false">ExportRaw!$H298</f>
        <v/>
      </c>
      <c r="G298" s="113" t="str">
        <f aca="false">ExportRaw!$I298</f>
        <v/>
      </c>
      <c r="H298" s="113" t="str">
        <f aca="false">ExportRaw!$A298</f>
        <v/>
      </c>
      <c r="I298" s="113" t="str">
        <f aca="false">ExportRaw!$B298</f>
        <v/>
      </c>
    </row>
    <row r="299" customFormat="false" ht="15.75" hidden="false" customHeight="false" outlineLevel="0" collapsed="false">
      <c r="A299" s="113" t="n">
        <f aca="false">ExportRaw!$F299</f>
        <v>0</v>
      </c>
      <c r="B299" s="113" t="n">
        <f aca="false">ExportRaw!$C299</f>
        <v>0</v>
      </c>
      <c r="C299" s="113" t="n">
        <f aca="false">ExportRaw!$G299</f>
        <v>0</v>
      </c>
      <c r="D299" s="113" t="str">
        <f aca="false">ExportRaw!$E299</f>
        <v/>
      </c>
      <c r="E299" s="114" t="str">
        <f aca="false">ExportRaw!$D299</f>
        <v/>
      </c>
      <c r="F299" s="113" t="str">
        <f aca="false">ExportRaw!$H299</f>
        <v/>
      </c>
      <c r="G299" s="113" t="str">
        <f aca="false">ExportRaw!$I299</f>
        <v/>
      </c>
      <c r="H299" s="113" t="str">
        <f aca="false">ExportRaw!$A299</f>
        <v/>
      </c>
      <c r="I299" s="113" t="str">
        <f aca="false">ExportRaw!$B299</f>
        <v/>
      </c>
    </row>
    <row r="300" customFormat="false" ht="15.75" hidden="false" customHeight="false" outlineLevel="0" collapsed="false">
      <c r="A300" s="113" t="n">
        <f aca="false">ExportRaw!$F300</f>
        <v>0</v>
      </c>
      <c r="B300" s="113" t="n">
        <f aca="false">ExportRaw!$C300</f>
        <v>0</v>
      </c>
      <c r="C300" s="113" t="n">
        <f aca="false">ExportRaw!$G300</f>
        <v>0</v>
      </c>
      <c r="D300" s="113" t="str">
        <f aca="false">ExportRaw!$E300</f>
        <v/>
      </c>
      <c r="E300" s="114" t="str">
        <f aca="false">ExportRaw!$D300</f>
        <v/>
      </c>
      <c r="F300" s="113" t="str">
        <f aca="false">ExportRaw!$H300</f>
        <v/>
      </c>
      <c r="G300" s="113" t="str">
        <f aca="false">ExportRaw!$I300</f>
        <v/>
      </c>
      <c r="H300" s="113" t="str">
        <f aca="false">ExportRaw!$A300</f>
        <v/>
      </c>
      <c r="I300" s="113" t="str">
        <f aca="false">ExportRaw!$B300</f>
        <v/>
      </c>
    </row>
    <row r="301" customFormat="false" ht="15.75" hidden="false" customHeight="false" outlineLevel="0" collapsed="false">
      <c r="A301" s="113" t="n">
        <f aca="false">ExportRaw!$F301</f>
        <v>0</v>
      </c>
      <c r="B301" s="113" t="n">
        <f aca="false">ExportRaw!$C301</f>
        <v>0</v>
      </c>
      <c r="C301" s="113" t="n">
        <f aca="false">ExportRaw!$G301</f>
        <v>0</v>
      </c>
      <c r="D301" s="113" t="str">
        <f aca="false">ExportRaw!$E301</f>
        <v/>
      </c>
      <c r="E301" s="114" t="str">
        <f aca="false">ExportRaw!$D301</f>
        <v/>
      </c>
      <c r="F301" s="113" t="str">
        <f aca="false">ExportRaw!$H301</f>
        <v/>
      </c>
      <c r="G301" s="113" t="str">
        <f aca="false">ExportRaw!$I301</f>
        <v/>
      </c>
      <c r="H301" s="113" t="str">
        <f aca="false">ExportRaw!$A301</f>
        <v/>
      </c>
      <c r="I301" s="113" t="str">
        <f aca="false">ExportRaw!$B301</f>
        <v/>
      </c>
    </row>
    <row r="302" customFormat="false" ht="15.75" hidden="false" customHeight="false" outlineLevel="0" collapsed="false">
      <c r="A302" s="113" t="n">
        <f aca="false">ExportRaw!$F302</f>
        <v>0</v>
      </c>
      <c r="B302" s="113" t="n">
        <f aca="false">ExportRaw!$C302</f>
        <v>0</v>
      </c>
      <c r="C302" s="113" t="n">
        <f aca="false">ExportRaw!$G302</f>
        <v>0</v>
      </c>
      <c r="D302" s="113" t="str">
        <f aca="false">ExportRaw!$E302</f>
        <v/>
      </c>
      <c r="E302" s="114" t="str">
        <f aca="false">ExportRaw!$D302</f>
        <v/>
      </c>
      <c r="F302" s="113" t="str">
        <f aca="false">ExportRaw!$H302</f>
        <v/>
      </c>
      <c r="G302" s="113" t="str">
        <f aca="false">ExportRaw!$I302</f>
        <v/>
      </c>
      <c r="H302" s="113" t="str">
        <f aca="false">ExportRaw!$A302</f>
        <v/>
      </c>
      <c r="I302" s="113" t="str">
        <f aca="false">ExportRaw!$B302</f>
        <v/>
      </c>
    </row>
    <row r="303" customFormat="false" ht="15.75" hidden="false" customHeight="false" outlineLevel="0" collapsed="false">
      <c r="A303" s="113" t="n">
        <f aca="false">ExportRaw!$F303</f>
        <v>0</v>
      </c>
      <c r="B303" s="113" t="n">
        <f aca="false">ExportRaw!$C303</f>
        <v>0</v>
      </c>
      <c r="C303" s="113" t="n">
        <f aca="false">ExportRaw!$G303</f>
        <v>0</v>
      </c>
      <c r="D303" s="113" t="str">
        <f aca="false">ExportRaw!$E303</f>
        <v/>
      </c>
      <c r="E303" s="114" t="str">
        <f aca="false">ExportRaw!$D303</f>
        <v/>
      </c>
      <c r="F303" s="113" t="str">
        <f aca="false">ExportRaw!$H303</f>
        <v/>
      </c>
      <c r="G303" s="113" t="str">
        <f aca="false">ExportRaw!$I303</f>
        <v/>
      </c>
      <c r="H303" s="113" t="str">
        <f aca="false">ExportRaw!$A303</f>
        <v/>
      </c>
      <c r="I303" s="113" t="str">
        <f aca="false">ExportRaw!$B303</f>
        <v/>
      </c>
    </row>
    <row r="304" customFormat="false" ht="15.75" hidden="false" customHeight="false" outlineLevel="0" collapsed="false">
      <c r="A304" s="113" t="n">
        <f aca="false">ExportRaw!$F304</f>
        <v>0</v>
      </c>
      <c r="B304" s="113" t="n">
        <f aca="false">ExportRaw!$C304</f>
        <v>0</v>
      </c>
      <c r="C304" s="113" t="n">
        <f aca="false">ExportRaw!$G304</f>
        <v>0</v>
      </c>
      <c r="D304" s="113" t="str">
        <f aca="false">ExportRaw!$E304</f>
        <v/>
      </c>
      <c r="E304" s="114" t="str">
        <f aca="false">ExportRaw!$D304</f>
        <v/>
      </c>
      <c r="F304" s="113" t="str">
        <f aca="false">ExportRaw!$H304</f>
        <v/>
      </c>
      <c r="G304" s="113" t="str">
        <f aca="false">ExportRaw!$I304</f>
        <v/>
      </c>
      <c r="H304" s="113" t="str">
        <f aca="false">ExportRaw!$A304</f>
        <v/>
      </c>
      <c r="I304" s="113" t="str">
        <f aca="false">ExportRaw!$B304</f>
        <v/>
      </c>
    </row>
    <row r="305" customFormat="false" ht="15.75" hidden="false" customHeight="false" outlineLevel="0" collapsed="false">
      <c r="A305" s="113" t="n">
        <f aca="false">ExportRaw!$F305</f>
        <v>0</v>
      </c>
      <c r="B305" s="113" t="n">
        <f aca="false">ExportRaw!$C305</f>
        <v>0</v>
      </c>
      <c r="C305" s="113" t="n">
        <f aca="false">ExportRaw!$G305</f>
        <v>0</v>
      </c>
      <c r="D305" s="113" t="str">
        <f aca="false">ExportRaw!$E305</f>
        <v/>
      </c>
      <c r="E305" s="114" t="str">
        <f aca="false">ExportRaw!$D305</f>
        <v/>
      </c>
      <c r="F305" s="113" t="str">
        <f aca="false">ExportRaw!$H305</f>
        <v/>
      </c>
      <c r="G305" s="113" t="str">
        <f aca="false">ExportRaw!$I305</f>
        <v/>
      </c>
      <c r="H305" s="113" t="str">
        <f aca="false">ExportRaw!$A305</f>
        <v/>
      </c>
      <c r="I305" s="113" t="str">
        <f aca="false">ExportRaw!$B305</f>
        <v/>
      </c>
    </row>
    <row r="306" customFormat="false" ht="15.75" hidden="false" customHeight="false" outlineLevel="0" collapsed="false">
      <c r="A306" s="113" t="n">
        <f aca="false">ExportRaw!$F306</f>
        <v>0</v>
      </c>
      <c r="B306" s="113" t="n">
        <f aca="false">ExportRaw!$C306</f>
        <v>0</v>
      </c>
      <c r="C306" s="113" t="n">
        <f aca="false">ExportRaw!$G306</f>
        <v>0</v>
      </c>
      <c r="D306" s="113" t="str">
        <f aca="false">ExportRaw!$E306</f>
        <v/>
      </c>
      <c r="E306" s="114" t="str">
        <f aca="false">ExportRaw!$D306</f>
        <v/>
      </c>
      <c r="F306" s="113" t="str">
        <f aca="false">ExportRaw!$H306</f>
        <v/>
      </c>
      <c r="G306" s="113" t="str">
        <f aca="false">ExportRaw!$I306</f>
        <v/>
      </c>
      <c r="H306" s="113" t="str">
        <f aca="false">ExportRaw!$A306</f>
        <v/>
      </c>
      <c r="I306" s="113" t="str">
        <f aca="false">ExportRaw!$B306</f>
        <v/>
      </c>
    </row>
    <row r="307" customFormat="false" ht="15.75" hidden="false" customHeight="false" outlineLevel="0" collapsed="false">
      <c r="A307" s="113" t="n">
        <f aca="false">ExportRaw!$F307</f>
        <v>0</v>
      </c>
      <c r="B307" s="113" t="n">
        <f aca="false">ExportRaw!$C307</f>
        <v>0</v>
      </c>
      <c r="C307" s="113" t="n">
        <f aca="false">ExportRaw!$G307</f>
        <v>0</v>
      </c>
      <c r="D307" s="113" t="str">
        <f aca="false">ExportRaw!$E307</f>
        <v/>
      </c>
      <c r="E307" s="114" t="str">
        <f aca="false">ExportRaw!$D307</f>
        <v/>
      </c>
      <c r="F307" s="113" t="str">
        <f aca="false">ExportRaw!$H307</f>
        <v/>
      </c>
      <c r="G307" s="113" t="str">
        <f aca="false">ExportRaw!$I307</f>
        <v/>
      </c>
      <c r="H307" s="113" t="str">
        <f aca="false">ExportRaw!$A307</f>
        <v/>
      </c>
      <c r="I307" s="113" t="str">
        <f aca="false">ExportRaw!$B307</f>
        <v/>
      </c>
    </row>
    <row r="308" customFormat="false" ht="15.75" hidden="false" customHeight="false" outlineLevel="0" collapsed="false">
      <c r="A308" s="113" t="n">
        <f aca="false">ExportRaw!$F308</f>
        <v>0</v>
      </c>
      <c r="B308" s="113" t="n">
        <f aca="false">ExportRaw!$C308</f>
        <v>0</v>
      </c>
      <c r="C308" s="113" t="n">
        <f aca="false">ExportRaw!$G308</f>
        <v>0</v>
      </c>
      <c r="D308" s="113" t="str">
        <f aca="false">ExportRaw!$E308</f>
        <v/>
      </c>
      <c r="E308" s="114" t="str">
        <f aca="false">ExportRaw!$D308</f>
        <v/>
      </c>
      <c r="F308" s="113" t="str">
        <f aca="false">ExportRaw!$H308</f>
        <v/>
      </c>
      <c r="G308" s="113" t="str">
        <f aca="false">ExportRaw!$I308</f>
        <v/>
      </c>
      <c r="H308" s="113" t="str">
        <f aca="false">ExportRaw!$A308</f>
        <v/>
      </c>
      <c r="I308" s="113" t="str">
        <f aca="false">ExportRaw!$B308</f>
        <v/>
      </c>
    </row>
    <row r="309" customFormat="false" ht="15.75" hidden="false" customHeight="false" outlineLevel="0" collapsed="false">
      <c r="A309" s="113" t="n">
        <f aca="false">ExportRaw!$F309</f>
        <v>0</v>
      </c>
      <c r="B309" s="113" t="n">
        <f aca="false">ExportRaw!$C309</f>
        <v>0</v>
      </c>
      <c r="C309" s="113" t="n">
        <f aca="false">ExportRaw!$G309</f>
        <v>0</v>
      </c>
      <c r="D309" s="113" t="str">
        <f aca="false">ExportRaw!$E309</f>
        <v/>
      </c>
      <c r="E309" s="114" t="str">
        <f aca="false">ExportRaw!$D309</f>
        <v/>
      </c>
      <c r="F309" s="113" t="str">
        <f aca="false">ExportRaw!$H309</f>
        <v/>
      </c>
      <c r="G309" s="113" t="str">
        <f aca="false">ExportRaw!$I309</f>
        <v/>
      </c>
      <c r="H309" s="113" t="str">
        <f aca="false">ExportRaw!$A309</f>
        <v/>
      </c>
      <c r="I309" s="113" t="str">
        <f aca="false">ExportRaw!$B309</f>
        <v/>
      </c>
    </row>
    <row r="310" customFormat="false" ht="15.75" hidden="false" customHeight="false" outlineLevel="0" collapsed="false">
      <c r="A310" s="113" t="n">
        <f aca="false">ExportRaw!$F310</f>
        <v>0</v>
      </c>
      <c r="B310" s="113" t="n">
        <f aca="false">ExportRaw!$C310</f>
        <v>0</v>
      </c>
      <c r="C310" s="113" t="n">
        <f aca="false">ExportRaw!$G310</f>
        <v>0</v>
      </c>
      <c r="D310" s="113" t="str">
        <f aca="false">ExportRaw!$E310</f>
        <v/>
      </c>
      <c r="E310" s="114" t="str">
        <f aca="false">ExportRaw!$D310</f>
        <v/>
      </c>
      <c r="F310" s="113" t="str">
        <f aca="false">ExportRaw!$H310</f>
        <v/>
      </c>
      <c r="G310" s="113" t="str">
        <f aca="false">ExportRaw!$I310</f>
        <v/>
      </c>
      <c r="H310" s="113" t="str">
        <f aca="false">ExportRaw!$A310</f>
        <v/>
      </c>
      <c r="I310" s="113" t="str">
        <f aca="false">ExportRaw!$B310</f>
        <v/>
      </c>
    </row>
    <row r="311" customFormat="false" ht="15.75" hidden="false" customHeight="false" outlineLevel="0" collapsed="false">
      <c r="A311" s="113" t="n">
        <f aca="false">ExportRaw!$F311</f>
        <v>0</v>
      </c>
      <c r="B311" s="113" t="n">
        <f aca="false">ExportRaw!$C311</f>
        <v>0</v>
      </c>
      <c r="C311" s="113" t="n">
        <f aca="false">ExportRaw!$G311</f>
        <v>0</v>
      </c>
      <c r="D311" s="113" t="str">
        <f aca="false">ExportRaw!$E311</f>
        <v/>
      </c>
      <c r="E311" s="114" t="str">
        <f aca="false">ExportRaw!$D311</f>
        <v/>
      </c>
      <c r="F311" s="113" t="str">
        <f aca="false">ExportRaw!$H311</f>
        <v/>
      </c>
      <c r="G311" s="113" t="str">
        <f aca="false">ExportRaw!$I311</f>
        <v/>
      </c>
      <c r="H311" s="113" t="str">
        <f aca="false">ExportRaw!$A311</f>
        <v/>
      </c>
      <c r="I311" s="113" t="str">
        <f aca="false">ExportRaw!$B311</f>
        <v/>
      </c>
    </row>
    <row r="312" customFormat="false" ht="15.75" hidden="false" customHeight="false" outlineLevel="0" collapsed="false">
      <c r="A312" s="113" t="n">
        <f aca="false">ExportRaw!$F312</f>
        <v>0</v>
      </c>
      <c r="B312" s="113" t="n">
        <f aca="false">ExportRaw!$C312</f>
        <v>0</v>
      </c>
      <c r="C312" s="113" t="n">
        <f aca="false">ExportRaw!$G312</f>
        <v>0</v>
      </c>
      <c r="D312" s="113" t="str">
        <f aca="false">ExportRaw!$E312</f>
        <v/>
      </c>
      <c r="E312" s="114" t="str">
        <f aca="false">ExportRaw!$D312</f>
        <v/>
      </c>
      <c r="F312" s="113" t="str">
        <f aca="false">ExportRaw!$H312</f>
        <v/>
      </c>
      <c r="G312" s="113" t="str">
        <f aca="false">ExportRaw!$I312</f>
        <v/>
      </c>
      <c r="H312" s="113" t="str">
        <f aca="false">ExportRaw!$A312</f>
        <v/>
      </c>
      <c r="I312" s="113" t="str">
        <f aca="false">ExportRaw!$B312</f>
        <v/>
      </c>
    </row>
    <row r="313" customFormat="false" ht="15.75" hidden="false" customHeight="false" outlineLevel="0" collapsed="false">
      <c r="A313" s="113" t="n">
        <f aca="false">ExportRaw!$F313</f>
        <v>0</v>
      </c>
      <c r="B313" s="113" t="n">
        <f aca="false">ExportRaw!$C313</f>
        <v>0</v>
      </c>
      <c r="C313" s="113" t="n">
        <f aca="false">ExportRaw!$G313</f>
        <v>0</v>
      </c>
      <c r="D313" s="113" t="str">
        <f aca="false">ExportRaw!$E313</f>
        <v/>
      </c>
      <c r="E313" s="114" t="str">
        <f aca="false">ExportRaw!$D313</f>
        <v/>
      </c>
      <c r="F313" s="113" t="str">
        <f aca="false">ExportRaw!$H313</f>
        <v/>
      </c>
      <c r="G313" s="113" t="str">
        <f aca="false">ExportRaw!$I313</f>
        <v/>
      </c>
      <c r="H313" s="113" t="str">
        <f aca="false">ExportRaw!$A313</f>
        <v/>
      </c>
      <c r="I313" s="113" t="str">
        <f aca="false">ExportRaw!$B313</f>
        <v/>
      </c>
    </row>
    <row r="314" customFormat="false" ht="15.75" hidden="false" customHeight="false" outlineLevel="0" collapsed="false">
      <c r="A314" s="113" t="n">
        <f aca="false">ExportRaw!$F314</f>
        <v>0</v>
      </c>
      <c r="B314" s="113" t="n">
        <f aca="false">ExportRaw!$C314</f>
        <v>0</v>
      </c>
      <c r="C314" s="113" t="n">
        <f aca="false">ExportRaw!$G314</f>
        <v>0</v>
      </c>
      <c r="D314" s="113" t="str">
        <f aca="false">ExportRaw!$E314</f>
        <v/>
      </c>
      <c r="E314" s="114" t="str">
        <f aca="false">ExportRaw!$D314</f>
        <v/>
      </c>
      <c r="F314" s="113" t="str">
        <f aca="false">ExportRaw!$H314</f>
        <v/>
      </c>
      <c r="G314" s="113" t="str">
        <f aca="false">ExportRaw!$I314</f>
        <v/>
      </c>
      <c r="H314" s="113" t="str">
        <f aca="false">ExportRaw!$A314</f>
        <v/>
      </c>
      <c r="I314" s="113" t="str">
        <f aca="false">ExportRaw!$B314</f>
        <v/>
      </c>
    </row>
    <row r="315" customFormat="false" ht="15.75" hidden="false" customHeight="false" outlineLevel="0" collapsed="false">
      <c r="A315" s="113" t="n">
        <f aca="false">ExportRaw!$F315</f>
        <v>0</v>
      </c>
      <c r="B315" s="113" t="n">
        <f aca="false">ExportRaw!$C315</f>
        <v>0</v>
      </c>
      <c r="C315" s="113" t="n">
        <f aca="false">ExportRaw!$G315</f>
        <v>0</v>
      </c>
      <c r="D315" s="113" t="str">
        <f aca="false">ExportRaw!$E315</f>
        <v/>
      </c>
      <c r="E315" s="114" t="str">
        <f aca="false">ExportRaw!$D315</f>
        <v/>
      </c>
      <c r="F315" s="113" t="str">
        <f aca="false">ExportRaw!$H315</f>
        <v/>
      </c>
      <c r="G315" s="113" t="str">
        <f aca="false">ExportRaw!$I315</f>
        <v/>
      </c>
      <c r="H315" s="113" t="str">
        <f aca="false">ExportRaw!$A315</f>
        <v/>
      </c>
      <c r="I315" s="113" t="str">
        <f aca="false">ExportRaw!$B315</f>
        <v/>
      </c>
    </row>
    <row r="316" customFormat="false" ht="15.75" hidden="false" customHeight="false" outlineLevel="0" collapsed="false">
      <c r="A316" s="113" t="n">
        <f aca="false">ExportRaw!$F316</f>
        <v>0</v>
      </c>
      <c r="B316" s="113" t="n">
        <f aca="false">ExportRaw!$C316</f>
        <v>0</v>
      </c>
      <c r="C316" s="113" t="n">
        <f aca="false">ExportRaw!$G316</f>
        <v>0</v>
      </c>
      <c r="D316" s="113" t="str">
        <f aca="false">ExportRaw!$E316</f>
        <v/>
      </c>
      <c r="E316" s="114" t="str">
        <f aca="false">ExportRaw!$D316</f>
        <v/>
      </c>
      <c r="F316" s="113" t="str">
        <f aca="false">ExportRaw!$H316</f>
        <v/>
      </c>
      <c r="G316" s="113" t="str">
        <f aca="false">ExportRaw!$I316</f>
        <v/>
      </c>
      <c r="H316" s="113" t="str">
        <f aca="false">ExportRaw!$A316</f>
        <v/>
      </c>
      <c r="I316" s="113" t="str">
        <f aca="false">ExportRaw!$B316</f>
        <v/>
      </c>
    </row>
    <row r="317" customFormat="false" ht="15.75" hidden="false" customHeight="false" outlineLevel="0" collapsed="false">
      <c r="A317" s="113" t="n">
        <f aca="false">ExportRaw!$F317</f>
        <v>0</v>
      </c>
      <c r="B317" s="113" t="n">
        <f aca="false">ExportRaw!$C317</f>
        <v>0</v>
      </c>
      <c r="C317" s="113" t="n">
        <f aca="false">ExportRaw!$G317</f>
        <v>0</v>
      </c>
      <c r="D317" s="113" t="str">
        <f aca="false">ExportRaw!$E317</f>
        <v/>
      </c>
      <c r="E317" s="114" t="str">
        <f aca="false">ExportRaw!$D317</f>
        <v/>
      </c>
      <c r="F317" s="113" t="str">
        <f aca="false">ExportRaw!$H317</f>
        <v/>
      </c>
      <c r="G317" s="113" t="str">
        <f aca="false">ExportRaw!$I317</f>
        <v/>
      </c>
      <c r="H317" s="113" t="str">
        <f aca="false">ExportRaw!$A317</f>
        <v/>
      </c>
      <c r="I317" s="113" t="str">
        <f aca="false">ExportRaw!$B317</f>
        <v/>
      </c>
    </row>
    <row r="318" customFormat="false" ht="15.75" hidden="false" customHeight="false" outlineLevel="0" collapsed="false">
      <c r="A318" s="113" t="n">
        <f aca="false">ExportRaw!$F318</f>
        <v>0</v>
      </c>
      <c r="B318" s="113" t="n">
        <f aca="false">ExportRaw!$C318</f>
        <v>0</v>
      </c>
      <c r="C318" s="113" t="n">
        <f aca="false">ExportRaw!$G318</f>
        <v>0</v>
      </c>
      <c r="D318" s="113" t="str">
        <f aca="false">ExportRaw!$E318</f>
        <v/>
      </c>
      <c r="E318" s="114" t="str">
        <f aca="false">ExportRaw!$D318</f>
        <v/>
      </c>
      <c r="F318" s="113" t="str">
        <f aca="false">ExportRaw!$H318</f>
        <v/>
      </c>
      <c r="G318" s="113" t="str">
        <f aca="false">ExportRaw!$I318</f>
        <v/>
      </c>
      <c r="H318" s="113" t="str">
        <f aca="false">ExportRaw!$A318</f>
        <v/>
      </c>
      <c r="I318" s="113" t="str">
        <f aca="false">ExportRaw!$B318</f>
        <v/>
      </c>
    </row>
    <row r="319" customFormat="false" ht="15.75" hidden="false" customHeight="false" outlineLevel="0" collapsed="false">
      <c r="A319" s="113" t="n">
        <f aca="false">ExportRaw!$F319</f>
        <v>0</v>
      </c>
      <c r="B319" s="113" t="n">
        <f aca="false">ExportRaw!$C319</f>
        <v>0</v>
      </c>
      <c r="C319" s="113" t="n">
        <f aca="false">ExportRaw!$G319</f>
        <v>0</v>
      </c>
      <c r="D319" s="113" t="str">
        <f aca="false">ExportRaw!$E319</f>
        <v/>
      </c>
      <c r="E319" s="114" t="str">
        <f aca="false">ExportRaw!$D319</f>
        <v/>
      </c>
      <c r="F319" s="113" t="str">
        <f aca="false">ExportRaw!$H319</f>
        <v/>
      </c>
      <c r="G319" s="113" t="str">
        <f aca="false">ExportRaw!$I319</f>
        <v/>
      </c>
      <c r="H319" s="113" t="str">
        <f aca="false">ExportRaw!$A319</f>
        <v/>
      </c>
      <c r="I319" s="113" t="str">
        <f aca="false">ExportRaw!$B319</f>
        <v/>
      </c>
    </row>
    <row r="320" customFormat="false" ht="15.75" hidden="false" customHeight="false" outlineLevel="0" collapsed="false">
      <c r="A320" s="113" t="n">
        <f aca="false">ExportRaw!$F320</f>
        <v>0</v>
      </c>
      <c r="B320" s="113" t="n">
        <f aca="false">ExportRaw!$C320</f>
        <v>0</v>
      </c>
      <c r="C320" s="113" t="n">
        <f aca="false">ExportRaw!$G320</f>
        <v>0</v>
      </c>
      <c r="D320" s="113" t="str">
        <f aca="false">ExportRaw!$E320</f>
        <v/>
      </c>
      <c r="E320" s="114" t="str">
        <f aca="false">ExportRaw!$D320</f>
        <v/>
      </c>
      <c r="F320" s="113" t="str">
        <f aca="false">ExportRaw!$H320</f>
        <v/>
      </c>
      <c r="G320" s="113" t="str">
        <f aca="false">ExportRaw!$I320</f>
        <v/>
      </c>
      <c r="H320" s="113" t="str">
        <f aca="false">ExportRaw!$A320</f>
        <v/>
      </c>
      <c r="I320" s="113" t="str">
        <f aca="false">ExportRaw!$B320</f>
        <v/>
      </c>
    </row>
    <row r="321" customFormat="false" ht="15.75" hidden="false" customHeight="false" outlineLevel="0" collapsed="false">
      <c r="A321" s="113" t="n">
        <f aca="false">ExportRaw!$F321</f>
        <v>0</v>
      </c>
      <c r="B321" s="113" t="n">
        <f aca="false">ExportRaw!$C321</f>
        <v>0</v>
      </c>
      <c r="C321" s="113" t="n">
        <f aca="false">ExportRaw!$G321</f>
        <v>0</v>
      </c>
      <c r="D321" s="113" t="str">
        <f aca="false">ExportRaw!$E321</f>
        <v/>
      </c>
      <c r="E321" s="114" t="str">
        <f aca="false">ExportRaw!$D321</f>
        <v/>
      </c>
      <c r="F321" s="113" t="str">
        <f aca="false">ExportRaw!$H321</f>
        <v/>
      </c>
      <c r="G321" s="113" t="str">
        <f aca="false">ExportRaw!$I321</f>
        <v/>
      </c>
      <c r="H321" s="113" t="str">
        <f aca="false">ExportRaw!$A321</f>
        <v/>
      </c>
      <c r="I321" s="113" t="str">
        <f aca="false">ExportRaw!$B321</f>
        <v/>
      </c>
    </row>
    <row r="322" customFormat="false" ht="15.75" hidden="false" customHeight="false" outlineLevel="0" collapsed="false">
      <c r="A322" s="113" t="n">
        <f aca="false">ExportRaw!$F322</f>
        <v>0</v>
      </c>
      <c r="B322" s="113" t="n">
        <f aca="false">ExportRaw!$C322</f>
        <v>0</v>
      </c>
      <c r="C322" s="113" t="n">
        <f aca="false">ExportRaw!$G322</f>
        <v>0</v>
      </c>
      <c r="D322" s="113" t="str">
        <f aca="false">ExportRaw!$E322</f>
        <v/>
      </c>
      <c r="E322" s="114" t="str">
        <f aca="false">ExportRaw!$D322</f>
        <v/>
      </c>
      <c r="F322" s="113" t="str">
        <f aca="false">ExportRaw!$H322</f>
        <v/>
      </c>
      <c r="G322" s="113" t="str">
        <f aca="false">ExportRaw!$I322</f>
        <v/>
      </c>
      <c r="H322" s="113" t="str">
        <f aca="false">ExportRaw!$A322</f>
        <v/>
      </c>
      <c r="I322" s="113" t="str">
        <f aca="false">ExportRaw!$B322</f>
        <v/>
      </c>
    </row>
    <row r="323" customFormat="false" ht="15.75" hidden="false" customHeight="false" outlineLevel="0" collapsed="false">
      <c r="A323" s="113" t="n">
        <f aca="false">ExportRaw!$F323</f>
        <v>0</v>
      </c>
      <c r="B323" s="113" t="n">
        <f aca="false">ExportRaw!$C323</f>
        <v>0</v>
      </c>
      <c r="C323" s="113" t="n">
        <f aca="false">ExportRaw!$G323</f>
        <v>0</v>
      </c>
      <c r="D323" s="113" t="str">
        <f aca="false">ExportRaw!$E323</f>
        <v/>
      </c>
      <c r="E323" s="114" t="str">
        <f aca="false">ExportRaw!$D323</f>
        <v/>
      </c>
      <c r="F323" s="113" t="str">
        <f aca="false">ExportRaw!$H323</f>
        <v/>
      </c>
      <c r="G323" s="113" t="str">
        <f aca="false">ExportRaw!$I323</f>
        <v/>
      </c>
      <c r="H323" s="113" t="str">
        <f aca="false">ExportRaw!$A323</f>
        <v/>
      </c>
      <c r="I323" s="113" t="str">
        <f aca="false">ExportRaw!$B323</f>
        <v/>
      </c>
    </row>
    <row r="324" customFormat="false" ht="15.75" hidden="false" customHeight="false" outlineLevel="0" collapsed="false">
      <c r="A324" s="113" t="n">
        <f aca="false">ExportRaw!$F324</f>
        <v>0</v>
      </c>
      <c r="B324" s="113" t="n">
        <f aca="false">ExportRaw!$C324</f>
        <v>0</v>
      </c>
      <c r="C324" s="113" t="n">
        <f aca="false">ExportRaw!$G324</f>
        <v>0</v>
      </c>
      <c r="D324" s="113" t="str">
        <f aca="false">ExportRaw!$E324</f>
        <v/>
      </c>
      <c r="E324" s="114" t="str">
        <f aca="false">ExportRaw!$D324</f>
        <v/>
      </c>
      <c r="F324" s="113" t="str">
        <f aca="false">ExportRaw!$H324</f>
        <v/>
      </c>
      <c r="G324" s="113" t="str">
        <f aca="false">ExportRaw!$I324</f>
        <v/>
      </c>
      <c r="H324" s="113" t="str">
        <f aca="false">ExportRaw!$A324</f>
        <v/>
      </c>
      <c r="I324" s="113" t="str">
        <f aca="false">ExportRaw!$B324</f>
        <v/>
      </c>
    </row>
    <row r="325" customFormat="false" ht="15.75" hidden="false" customHeight="false" outlineLevel="0" collapsed="false">
      <c r="A325" s="113" t="n">
        <f aca="false">ExportRaw!$F325</f>
        <v>0</v>
      </c>
      <c r="B325" s="113" t="n">
        <f aca="false">ExportRaw!$C325</f>
        <v>0</v>
      </c>
      <c r="C325" s="113" t="n">
        <f aca="false">ExportRaw!$G325</f>
        <v>0</v>
      </c>
      <c r="D325" s="113" t="str">
        <f aca="false">ExportRaw!$E325</f>
        <v/>
      </c>
      <c r="E325" s="114" t="str">
        <f aca="false">ExportRaw!$D325</f>
        <v/>
      </c>
      <c r="F325" s="113" t="str">
        <f aca="false">ExportRaw!$H325</f>
        <v/>
      </c>
      <c r="G325" s="113" t="str">
        <f aca="false">ExportRaw!$I325</f>
        <v/>
      </c>
      <c r="H325" s="113" t="str">
        <f aca="false">ExportRaw!$A325</f>
        <v/>
      </c>
      <c r="I325" s="113" t="str">
        <f aca="false">ExportRaw!$B325</f>
        <v/>
      </c>
    </row>
    <row r="326" customFormat="false" ht="15.75" hidden="false" customHeight="false" outlineLevel="0" collapsed="false">
      <c r="A326" s="113" t="n">
        <f aca="false">ExportRaw!$F326</f>
        <v>0</v>
      </c>
      <c r="B326" s="113" t="n">
        <f aca="false">ExportRaw!$C326</f>
        <v>0</v>
      </c>
      <c r="C326" s="113" t="n">
        <f aca="false">ExportRaw!$G326</f>
        <v>0</v>
      </c>
      <c r="D326" s="113" t="str">
        <f aca="false">ExportRaw!$E326</f>
        <v/>
      </c>
      <c r="E326" s="114" t="str">
        <f aca="false">ExportRaw!$D326</f>
        <v/>
      </c>
      <c r="F326" s="113" t="str">
        <f aca="false">ExportRaw!$H326</f>
        <v/>
      </c>
      <c r="G326" s="113" t="str">
        <f aca="false">ExportRaw!$I326</f>
        <v/>
      </c>
      <c r="H326" s="113" t="str">
        <f aca="false">ExportRaw!$A326</f>
        <v/>
      </c>
      <c r="I326" s="113" t="str">
        <f aca="false">ExportRaw!$B326</f>
        <v/>
      </c>
    </row>
    <row r="327" customFormat="false" ht="15.75" hidden="false" customHeight="false" outlineLevel="0" collapsed="false">
      <c r="A327" s="113" t="n">
        <f aca="false">ExportRaw!$F327</f>
        <v>0</v>
      </c>
      <c r="B327" s="113" t="n">
        <f aca="false">ExportRaw!$C327</f>
        <v>0</v>
      </c>
      <c r="C327" s="113" t="n">
        <f aca="false">ExportRaw!$G327</f>
        <v>0</v>
      </c>
      <c r="D327" s="113" t="str">
        <f aca="false">ExportRaw!$E327</f>
        <v/>
      </c>
      <c r="E327" s="114" t="str">
        <f aca="false">ExportRaw!$D327</f>
        <v/>
      </c>
      <c r="F327" s="113" t="str">
        <f aca="false">ExportRaw!$H327</f>
        <v/>
      </c>
      <c r="G327" s="113" t="str">
        <f aca="false">ExportRaw!$I327</f>
        <v/>
      </c>
      <c r="H327" s="113" t="str">
        <f aca="false">ExportRaw!$A327</f>
        <v/>
      </c>
      <c r="I327" s="113" t="str">
        <f aca="false">ExportRaw!$B327</f>
        <v/>
      </c>
    </row>
    <row r="328" customFormat="false" ht="15.75" hidden="false" customHeight="false" outlineLevel="0" collapsed="false">
      <c r="A328" s="113" t="n">
        <f aca="false">ExportRaw!$F328</f>
        <v>0</v>
      </c>
      <c r="B328" s="113" t="n">
        <f aca="false">ExportRaw!$C328</f>
        <v>0</v>
      </c>
      <c r="C328" s="113" t="n">
        <f aca="false">ExportRaw!$G328</f>
        <v>0</v>
      </c>
      <c r="D328" s="113" t="str">
        <f aca="false">ExportRaw!$E328</f>
        <v/>
      </c>
      <c r="E328" s="114" t="str">
        <f aca="false">ExportRaw!$D328</f>
        <v/>
      </c>
      <c r="F328" s="113" t="str">
        <f aca="false">ExportRaw!$H328</f>
        <v/>
      </c>
      <c r="G328" s="113" t="str">
        <f aca="false">ExportRaw!$I328</f>
        <v/>
      </c>
      <c r="H328" s="113" t="str">
        <f aca="false">ExportRaw!$A328</f>
        <v/>
      </c>
      <c r="I328" s="113" t="str">
        <f aca="false">ExportRaw!$B328</f>
        <v/>
      </c>
    </row>
    <row r="329" customFormat="false" ht="15.75" hidden="false" customHeight="false" outlineLevel="0" collapsed="false">
      <c r="A329" s="113" t="n">
        <f aca="false">ExportRaw!$F329</f>
        <v>0</v>
      </c>
      <c r="B329" s="113" t="n">
        <f aca="false">ExportRaw!$C329</f>
        <v>0</v>
      </c>
      <c r="C329" s="113" t="n">
        <f aca="false">ExportRaw!$G329</f>
        <v>0</v>
      </c>
      <c r="D329" s="113" t="str">
        <f aca="false">ExportRaw!$E329</f>
        <v/>
      </c>
      <c r="E329" s="114" t="str">
        <f aca="false">ExportRaw!$D329</f>
        <v/>
      </c>
      <c r="F329" s="113" t="str">
        <f aca="false">ExportRaw!$H329</f>
        <v/>
      </c>
      <c r="G329" s="113" t="str">
        <f aca="false">ExportRaw!$I329</f>
        <v/>
      </c>
      <c r="H329" s="113" t="str">
        <f aca="false">ExportRaw!$A329</f>
        <v/>
      </c>
      <c r="I329" s="113" t="str">
        <f aca="false">ExportRaw!$B329</f>
        <v/>
      </c>
    </row>
    <row r="330" customFormat="false" ht="15.75" hidden="false" customHeight="false" outlineLevel="0" collapsed="false">
      <c r="A330" s="113" t="n">
        <f aca="false">ExportRaw!$F330</f>
        <v>0</v>
      </c>
      <c r="B330" s="113" t="n">
        <f aca="false">ExportRaw!$C330</f>
        <v>0</v>
      </c>
      <c r="C330" s="113" t="n">
        <f aca="false">ExportRaw!$G330</f>
        <v>0</v>
      </c>
      <c r="D330" s="113" t="str">
        <f aca="false">ExportRaw!$E330</f>
        <v/>
      </c>
      <c r="E330" s="114" t="str">
        <f aca="false">ExportRaw!$D330</f>
        <v/>
      </c>
      <c r="F330" s="113" t="str">
        <f aca="false">ExportRaw!$H330</f>
        <v/>
      </c>
      <c r="G330" s="113" t="str">
        <f aca="false">ExportRaw!$I330</f>
        <v/>
      </c>
      <c r="H330" s="113" t="str">
        <f aca="false">ExportRaw!$A330</f>
        <v/>
      </c>
      <c r="I330" s="113" t="str">
        <f aca="false">ExportRaw!$B330</f>
        <v/>
      </c>
    </row>
    <row r="331" customFormat="false" ht="15.75" hidden="false" customHeight="false" outlineLevel="0" collapsed="false">
      <c r="A331" s="113" t="n">
        <f aca="false">ExportRaw!$F331</f>
        <v>0</v>
      </c>
      <c r="B331" s="113" t="n">
        <f aca="false">ExportRaw!$C331</f>
        <v>0</v>
      </c>
      <c r="C331" s="113" t="n">
        <f aca="false">ExportRaw!$G331</f>
        <v>0</v>
      </c>
      <c r="D331" s="113" t="str">
        <f aca="false">ExportRaw!$E331</f>
        <v/>
      </c>
      <c r="E331" s="114" t="str">
        <f aca="false">ExportRaw!$D331</f>
        <v/>
      </c>
      <c r="F331" s="113" t="str">
        <f aca="false">ExportRaw!$H331</f>
        <v/>
      </c>
      <c r="G331" s="113" t="str">
        <f aca="false">ExportRaw!$I331</f>
        <v/>
      </c>
      <c r="H331" s="113" t="str">
        <f aca="false">ExportRaw!$A331</f>
        <v/>
      </c>
      <c r="I331" s="113" t="str">
        <f aca="false">ExportRaw!$B331</f>
        <v/>
      </c>
    </row>
    <row r="332" customFormat="false" ht="15.75" hidden="false" customHeight="false" outlineLevel="0" collapsed="false">
      <c r="A332" s="113" t="n">
        <f aca="false">ExportRaw!$F332</f>
        <v>0</v>
      </c>
      <c r="B332" s="113" t="n">
        <f aca="false">ExportRaw!$C332</f>
        <v>0</v>
      </c>
      <c r="C332" s="113" t="n">
        <f aca="false">ExportRaw!$G332</f>
        <v>0</v>
      </c>
      <c r="D332" s="113" t="str">
        <f aca="false">ExportRaw!$E332</f>
        <v/>
      </c>
      <c r="E332" s="114" t="str">
        <f aca="false">ExportRaw!$D332</f>
        <v/>
      </c>
      <c r="F332" s="113" t="str">
        <f aca="false">ExportRaw!$H332</f>
        <v/>
      </c>
      <c r="G332" s="113" t="str">
        <f aca="false">ExportRaw!$I332</f>
        <v/>
      </c>
      <c r="H332" s="113" t="str">
        <f aca="false">ExportRaw!$A332</f>
        <v/>
      </c>
      <c r="I332" s="113" t="str">
        <f aca="false">ExportRaw!$B332</f>
        <v/>
      </c>
    </row>
    <row r="333" customFormat="false" ht="15.75" hidden="false" customHeight="false" outlineLevel="0" collapsed="false">
      <c r="A333" s="113" t="n">
        <f aca="false">ExportRaw!$F333</f>
        <v>0</v>
      </c>
      <c r="B333" s="113" t="n">
        <f aca="false">ExportRaw!$C333</f>
        <v>0</v>
      </c>
      <c r="C333" s="113" t="n">
        <f aca="false">ExportRaw!$G333</f>
        <v>0</v>
      </c>
      <c r="D333" s="113" t="str">
        <f aca="false">ExportRaw!$E333</f>
        <v/>
      </c>
      <c r="E333" s="114" t="str">
        <f aca="false">ExportRaw!$D333</f>
        <v/>
      </c>
      <c r="F333" s="113" t="str">
        <f aca="false">ExportRaw!$H333</f>
        <v/>
      </c>
      <c r="G333" s="113" t="str">
        <f aca="false">ExportRaw!$I333</f>
        <v/>
      </c>
      <c r="H333" s="113" t="str">
        <f aca="false">ExportRaw!$A333</f>
        <v/>
      </c>
      <c r="I333" s="113" t="str">
        <f aca="false">ExportRaw!$B333</f>
        <v/>
      </c>
    </row>
    <row r="334" customFormat="false" ht="15.75" hidden="false" customHeight="false" outlineLevel="0" collapsed="false">
      <c r="A334" s="113" t="n">
        <f aca="false">ExportRaw!$F334</f>
        <v>0</v>
      </c>
      <c r="B334" s="113" t="n">
        <f aca="false">ExportRaw!$C334</f>
        <v>0</v>
      </c>
      <c r="C334" s="113" t="n">
        <f aca="false">ExportRaw!$G334</f>
        <v>0</v>
      </c>
      <c r="D334" s="113" t="str">
        <f aca="false">ExportRaw!$E334</f>
        <v/>
      </c>
      <c r="E334" s="114" t="str">
        <f aca="false">ExportRaw!$D334</f>
        <v/>
      </c>
      <c r="F334" s="113" t="str">
        <f aca="false">ExportRaw!$H334</f>
        <v/>
      </c>
      <c r="G334" s="113" t="str">
        <f aca="false">ExportRaw!$I334</f>
        <v/>
      </c>
      <c r="H334" s="113" t="str">
        <f aca="false">ExportRaw!$A334</f>
        <v/>
      </c>
      <c r="I334" s="113" t="str">
        <f aca="false">ExportRaw!$B334</f>
        <v/>
      </c>
    </row>
    <row r="335" customFormat="false" ht="15.75" hidden="false" customHeight="false" outlineLevel="0" collapsed="false">
      <c r="A335" s="113" t="n">
        <f aca="false">ExportRaw!$F335</f>
        <v>0</v>
      </c>
      <c r="B335" s="113" t="n">
        <f aca="false">ExportRaw!$C335</f>
        <v>0</v>
      </c>
      <c r="C335" s="113" t="n">
        <f aca="false">ExportRaw!$G335</f>
        <v>0</v>
      </c>
      <c r="D335" s="113" t="str">
        <f aca="false">ExportRaw!$E335</f>
        <v/>
      </c>
      <c r="E335" s="114" t="str">
        <f aca="false">ExportRaw!$D335</f>
        <v/>
      </c>
      <c r="F335" s="113" t="str">
        <f aca="false">ExportRaw!$H335</f>
        <v/>
      </c>
      <c r="G335" s="113" t="str">
        <f aca="false">ExportRaw!$I335</f>
        <v/>
      </c>
      <c r="H335" s="113" t="str">
        <f aca="false">ExportRaw!$A335</f>
        <v/>
      </c>
      <c r="I335" s="113" t="str">
        <f aca="false">ExportRaw!$B335</f>
        <v/>
      </c>
    </row>
    <row r="336" customFormat="false" ht="15.75" hidden="false" customHeight="false" outlineLevel="0" collapsed="false">
      <c r="A336" s="113" t="n">
        <f aca="false">ExportRaw!$F336</f>
        <v>0</v>
      </c>
      <c r="B336" s="113" t="n">
        <f aca="false">ExportRaw!$C336</f>
        <v>0</v>
      </c>
      <c r="C336" s="113" t="n">
        <f aca="false">ExportRaw!$G336</f>
        <v>0</v>
      </c>
      <c r="D336" s="113" t="str">
        <f aca="false">ExportRaw!$E336</f>
        <v/>
      </c>
      <c r="E336" s="114" t="str">
        <f aca="false">ExportRaw!$D336</f>
        <v/>
      </c>
      <c r="F336" s="113" t="str">
        <f aca="false">ExportRaw!$H336</f>
        <v/>
      </c>
      <c r="G336" s="113" t="str">
        <f aca="false">ExportRaw!$I336</f>
        <v/>
      </c>
      <c r="H336" s="113" t="str">
        <f aca="false">ExportRaw!$A336</f>
        <v/>
      </c>
      <c r="I336" s="113" t="str">
        <f aca="false">ExportRaw!$B336</f>
        <v/>
      </c>
    </row>
    <row r="337" customFormat="false" ht="15.75" hidden="false" customHeight="false" outlineLevel="0" collapsed="false">
      <c r="A337" s="113" t="n">
        <f aca="false">ExportRaw!$F337</f>
        <v>0</v>
      </c>
      <c r="B337" s="113" t="n">
        <f aca="false">ExportRaw!$C337</f>
        <v>0</v>
      </c>
      <c r="C337" s="113" t="n">
        <f aca="false">ExportRaw!$G337</f>
        <v>0</v>
      </c>
      <c r="D337" s="113" t="str">
        <f aca="false">ExportRaw!$E337</f>
        <v/>
      </c>
      <c r="E337" s="114" t="str">
        <f aca="false">ExportRaw!$D337</f>
        <v/>
      </c>
      <c r="F337" s="113" t="str">
        <f aca="false">ExportRaw!$H337</f>
        <v/>
      </c>
      <c r="G337" s="113" t="str">
        <f aca="false">ExportRaw!$I337</f>
        <v/>
      </c>
      <c r="H337" s="113" t="str">
        <f aca="false">ExportRaw!$A337</f>
        <v/>
      </c>
      <c r="I337" s="113" t="str">
        <f aca="false">ExportRaw!$B337</f>
        <v/>
      </c>
    </row>
    <row r="338" customFormat="false" ht="15.75" hidden="false" customHeight="false" outlineLevel="0" collapsed="false">
      <c r="A338" s="113" t="n">
        <f aca="false">ExportRaw!$F338</f>
        <v>0</v>
      </c>
      <c r="B338" s="113" t="n">
        <f aca="false">ExportRaw!$C338</f>
        <v>0</v>
      </c>
      <c r="C338" s="113" t="n">
        <f aca="false">ExportRaw!$G338</f>
        <v>0</v>
      </c>
      <c r="D338" s="113" t="str">
        <f aca="false">ExportRaw!$E338</f>
        <v/>
      </c>
      <c r="E338" s="114" t="str">
        <f aca="false">ExportRaw!$D338</f>
        <v/>
      </c>
      <c r="F338" s="113" t="str">
        <f aca="false">ExportRaw!$H338</f>
        <v/>
      </c>
      <c r="G338" s="113" t="str">
        <f aca="false">ExportRaw!$I338</f>
        <v/>
      </c>
      <c r="H338" s="113" t="str">
        <f aca="false">ExportRaw!$A338</f>
        <v/>
      </c>
      <c r="I338" s="113" t="str">
        <f aca="false">ExportRaw!$B338</f>
        <v/>
      </c>
    </row>
    <row r="339" customFormat="false" ht="15.75" hidden="false" customHeight="false" outlineLevel="0" collapsed="false">
      <c r="A339" s="113" t="n">
        <f aca="false">ExportRaw!$F339</f>
        <v>0</v>
      </c>
      <c r="B339" s="113" t="n">
        <f aca="false">ExportRaw!$C339</f>
        <v>0</v>
      </c>
      <c r="C339" s="113" t="n">
        <f aca="false">ExportRaw!$G339</f>
        <v>0</v>
      </c>
      <c r="D339" s="113" t="str">
        <f aca="false">ExportRaw!$E339</f>
        <v/>
      </c>
      <c r="E339" s="114" t="str">
        <f aca="false">ExportRaw!$D339</f>
        <v/>
      </c>
      <c r="F339" s="113" t="str">
        <f aca="false">ExportRaw!$H339</f>
        <v/>
      </c>
      <c r="G339" s="113" t="str">
        <f aca="false">ExportRaw!$I339</f>
        <v/>
      </c>
      <c r="H339" s="113" t="str">
        <f aca="false">ExportRaw!$A339</f>
        <v/>
      </c>
      <c r="I339" s="113" t="str">
        <f aca="false">ExportRaw!$B339</f>
        <v/>
      </c>
    </row>
    <row r="340" customFormat="false" ht="15.75" hidden="false" customHeight="false" outlineLevel="0" collapsed="false">
      <c r="A340" s="113" t="n">
        <f aca="false">ExportRaw!$F340</f>
        <v>0</v>
      </c>
      <c r="B340" s="113" t="n">
        <f aca="false">ExportRaw!$C340</f>
        <v>0</v>
      </c>
      <c r="C340" s="113" t="n">
        <f aca="false">ExportRaw!$G340</f>
        <v>0</v>
      </c>
      <c r="D340" s="113" t="str">
        <f aca="false">ExportRaw!$E340</f>
        <v/>
      </c>
      <c r="E340" s="114" t="str">
        <f aca="false">ExportRaw!$D340</f>
        <v/>
      </c>
      <c r="F340" s="113" t="str">
        <f aca="false">ExportRaw!$H340</f>
        <v/>
      </c>
      <c r="G340" s="113" t="str">
        <f aca="false">ExportRaw!$I340</f>
        <v/>
      </c>
      <c r="H340" s="113" t="str">
        <f aca="false">ExportRaw!$A340</f>
        <v/>
      </c>
      <c r="I340" s="113" t="str">
        <f aca="false">ExportRaw!$B340</f>
        <v/>
      </c>
    </row>
    <row r="341" customFormat="false" ht="15.75" hidden="false" customHeight="false" outlineLevel="0" collapsed="false">
      <c r="A341" s="113" t="n">
        <f aca="false">ExportRaw!$F341</f>
        <v>0</v>
      </c>
      <c r="B341" s="113" t="n">
        <f aca="false">ExportRaw!$C341</f>
        <v>0</v>
      </c>
      <c r="C341" s="113" t="n">
        <f aca="false">ExportRaw!$G341</f>
        <v>0</v>
      </c>
      <c r="D341" s="113" t="str">
        <f aca="false">ExportRaw!$E341</f>
        <v/>
      </c>
      <c r="E341" s="114" t="str">
        <f aca="false">ExportRaw!$D341</f>
        <v/>
      </c>
      <c r="F341" s="113" t="str">
        <f aca="false">ExportRaw!$H341</f>
        <v/>
      </c>
      <c r="G341" s="113" t="str">
        <f aca="false">ExportRaw!$I341</f>
        <v/>
      </c>
      <c r="H341" s="113" t="str">
        <f aca="false">ExportRaw!$A341</f>
        <v/>
      </c>
      <c r="I341" s="113" t="str">
        <f aca="false">ExportRaw!$B341</f>
        <v/>
      </c>
    </row>
    <row r="342" customFormat="false" ht="15.75" hidden="false" customHeight="false" outlineLevel="0" collapsed="false">
      <c r="A342" s="113" t="n">
        <f aca="false">ExportRaw!$F342</f>
        <v>0</v>
      </c>
      <c r="B342" s="113" t="n">
        <f aca="false">ExportRaw!$C342</f>
        <v>0</v>
      </c>
      <c r="C342" s="113" t="n">
        <f aca="false">ExportRaw!$G342</f>
        <v>0</v>
      </c>
      <c r="D342" s="113" t="str">
        <f aca="false">ExportRaw!$E342</f>
        <v/>
      </c>
      <c r="E342" s="114" t="str">
        <f aca="false">ExportRaw!$D342</f>
        <v/>
      </c>
      <c r="F342" s="113" t="str">
        <f aca="false">ExportRaw!$H342</f>
        <v/>
      </c>
      <c r="G342" s="113" t="str">
        <f aca="false">ExportRaw!$I342</f>
        <v/>
      </c>
      <c r="H342" s="113" t="str">
        <f aca="false">ExportRaw!$A342</f>
        <v/>
      </c>
      <c r="I342" s="113" t="str">
        <f aca="false">ExportRaw!$B342</f>
        <v/>
      </c>
    </row>
    <row r="343" customFormat="false" ht="15.75" hidden="false" customHeight="false" outlineLevel="0" collapsed="false">
      <c r="A343" s="113" t="n">
        <f aca="false">ExportRaw!$F343</f>
        <v>0</v>
      </c>
      <c r="B343" s="113" t="n">
        <f aca="false">ExportRaw!$C343</f>
        <v>0</v>
      </c>
      <c r="C343" s="113" t="n">
        <f aca="false">ExportRaw!$G343</f>
        <v>0</v>
      </c>
      <c r="D343" s="113" t="str">
        <f aca="false">ExportRaw!$E343</f>
        <v/>
      </c>
      <c r="E343" s="114" t="str">
        <f aca="false">ExportRaw!$D343</f>
        <v/>
      </c>
      <c r="F343" s="113" t="str">
        <f aca="false">ExportRaw!$H343</f>
        <v/>
      </c>
      <c r="G343" s="113" t="str">
        <f aca="false">ExportRaw!$I343</f>
        <v/>
      </c>
      <c r="H343" s="113" t="str">
        <f aca="false">ExportRaw!$A343</f>
        <v/>
      </c>
      <c r="I343" s="113" t="str">
        <f aca="false">ExportRaw!$B343</f>
        <v/>
      </c>
    </row>
    <row r="344" customFormat="false" ht="15.75" hidden="false" customHeight="false" outlineLevel="0" collapsed="false">
      <c r="A344" s="113" t="n">
        <f aca="false">ExportRaw!$F344</f>
        <v>0</v>
      </c>
      <c r="B344" s="113" t="n">
        <f aca="false">ExportRaw!$C344</f>
        <v>0</v>
      </c>
      <c r="C344" s="113" t="n">
        <f aca="false">ExportRaw!$G344</f>
        <v>0</v>
      </c>
      <c r="D344" s="113" t="str">
        <f aca="false">ExportRaw!$E344</f>
        <v/>
      </c>
      <c r="E344" s="114" t="str">
        <f aca="false">ExportRaw!$D344</f>
        <v/>
      </c>
      <c r="F344" s="113" t="str">
        <f aca="false">ExportRaw!$H344</f>
        <v/>
      </c>
      <c r="G344" s="113" t="str">
        <f aca="false">ExportRaw!$I344</f>
        <v/>
      </c>
      <c r="H344" s="113" t="str">
        <f aca="false">ExportRaw!$A344</f>
        <v/>
      </c>
      <c r="I344" s="113" t="str">
        <f aca="false">ExportRaw!$B344</f>
        <v/>
      </c>
    </row>
    <row r="345" customFormat="false" ht="15.75" hidden="false" customHeight="false" outlineLevel="0" collapsed="false">
      <c r="A345" s="113" t="n">
        <f aca="false">ExportRaw!$F345</f>
        <v>0</v>
      </c>
      <c r="B345" s="113" t="n">
        <f aca="false">ExportRaw!$C345</f>
        <v>0</v>
      </c>
      <c r="C345" s="113" t="n">
        <f aca="false">ExportRaw!$G345</f>
        <v>0</v>
      </c>
      <c r="D345" s="113" t="str">
        <f aca="false">ExportRaw!$E345</f>
        <v/>
      </c>
      <c r="E345" s="114" t="str">
        <f aca="false">ExportRaw!$D345</f>
        <v/>
      </c>
      <c r="F345" s="113" t="str">
        <f aca="false">ExportRaw!$H345</f>
        <v/>
      </c>
      <c r="G345" s="113" t="str">
        <f aca="false">ExportRaw!$I345</f>
        <v/>
      </c>
      <c r="H345" s="113" t="str">
        <f aca="false">ExportRaw!$A345</f>
        <v/>
      </c>
      <c r="I345" s="113" t="str">
        <f aca="false">ExportRaw!$B345</f>
        <v/>
      </c>
    </row>
    <row r="346" customFormat="false" ht="15.75" hidden="false" customHeight="false" outlineLevel="0" collapsed="false">
      <c r="A346" s="113" t="n">
        <f aca="false">ExportRaw!$F346</f>
        <v>0</v>
      </c>
      <c r="B346" s="113" t="n">
        <f aca="false">ExportRaw!$C346</f>
        <v>0</v>
      </c>
      <c r="C346" s="113" t="n">
        <f aca="false">ExportRaw!$G346</f>
        <v>0</v>
      </c>
      <c r="D346" s="113" t="str">
        <f aca="false">ExportRaw!$E346</f>
        <v/>
      </c>
      <c r="E346" s="114" t="str">
        <f aca="false">ExportRaw!$D346</f>
        <v/>
      </c>
      <c r="F346" s="113" t="str">
        <f aca="false">ExportRaw!$H346</f>
        <v/>
      </c>
      <c r="G346" s="113" t="str">
        <f aca="false">ExportRaw!$I346</f>
        <v/>
      </c>
      <c r="H346" s="113" t="str">
        <f aca="false">ExportRaw!$A346</f>
        <v/>
      </c>
      <c r="I346" s="113" t="str">
        <f aca="false">ExportRaw!$B346</f>
        <v/>
      </c>
    </row>
    <row r="347" customFormat="false" ht="15.75" hidden="false" customHeight="false" outlineLevel="0" collapsed="false">
      <c r="A347" s="113" t="n">
        <f aca="false">ExportRaw!$F347</f>
        <v>0</v>
      </c>
      <c r="B347" s="113" t="n">
        <f aca="false">ExportRaw!$C347</f>
        <v>0</v>
      </c>
      <c r="C347" s="113" t="n">
        <f aca="false">ExportRaw!$G347</f>
        <v>0</v>
      </c>
      <c r="D347" s="113" t="str">
        <f aca="false">ExportRaw!$E347</f>
        <v/>
      </c>
      <c r="E347" s="114" t="str">
        <f aca="false">ExportRaw!$D347</f>
        <v/>
      </c>
      <c r="F347" s="113" t="str">
        <f aca="false">ExportRaw!$H347</f>
        <v/>
      </c>
      <c r="G347" s="113" t="str">
        <f aca="false">ExportRaw!$I347</f>
        <v/>
      </c>
      <c r="H347" s="113" t="str">
        <f aca="false">ExportRaw!$A347</f>
        <v/>
      </c>
      <c r="I347" s="113" t="str">
        <f aca="false">ExportRaw!$B347</f>
        <v/>
      </c>
    </row>
    <row r="348" customFormat="false" ht="15.75" hidden="false" customHeight="false" outlineLevel="0" collapsed="false">
      <c r="A348" s="113" t="n">
        <f aca="false">ExportRaw!$F348</f>
        <v>0</v>
      </c>
      <c r="B348" s="113" t="n">
        <f aca="false">ExportRaw!$C348</f>
        <v>0</v>
      </c>
      <c r="C348" s="113" t="n">
        <f aca="false">ExportRaw!$G348</f>
        <v>0</v>
      </c>
      <c r="D348" s="113" t="str">
        <f aca="false">ExportRaw!$E348</f>
        <v/>
      </c>
      <c r="E348" s="114" t="str">
        <f aca="false">ExportRaw!$D348</f>
        <v/>
      </c>
      <c r="F348" s="113" t="str">
        <f aca="false">ExportRaw!$H348</f>
        <v/>
      </c>
      <c r="G348" s="113" t="str">
        <f aca="false">ExportRaw!$I348</f>
        <v/>
      </c>
      <c r="H348" s="113" t="str">
        <f aca="false">ExportRaw!$A348</f>
        <v/>
      </c>
      <c r="I348" s="113" t="str">
        <f aca="false">ExportRaw!$B348</f>
        <v/>
      </c>
    </row>
    <row r="349" customFormat="false" ht="15.75" hidden="false" customHeight="false" outlineLevel="0" collapsed="false">
      <c r="A349" s="113" t="n">
        <f aca="false">ExportRaw!$F349</f>
        <v>0</v>
      </c>
      <c r="B349" s="113" t="n">
        <f aca="false">ExportRaw!$C349</f>
        <v>0</v>
      </c>
      <c r="C349" s="113" t="n">
        <f aca="false">ExportRaw!$G349</f>
        <v>0</v>
      </c>
      <c r="D349" s="113" t="str">
        <f aca="false">ExportRaw!$E349</f>
        <v/>
      </c>
      <c r="E349" s="114" t="str">
        <f aca="false">ExportRaw!$D349</f>
        <v/>
      </c>
      <c r="F349" s="113" t="str">
        <f aca="false">ExportRaw!$H349</f>
        <v/>
      </c>
      <c r="G349" s="113" t="str">
        <f aca="false">ExportRaw!$I349</f>
        <v/>
      </c>
      <c r="H349" s="113" t="str">
        <f aca="false">ExportRaw!$A349</f>
        <v/>
      </c>
      <c r="I349" s="113" t="str">
        <f aca="false">ExportRaw!$B349</f>
        <v/>
      </c>
    </row>
    <row r="350" customFormat="false" ht="15.75" hidden="false" customHeight="false" outlineLevel="0" collapsed="false">
      <c r="A350" s="113" t="n">
        <f aca="false">ExportRaw!$F350</f>
        <v>0</v>
      </c>
      <c r="B350" s="113" t="n">
        <f aca="false">ExportRaw!$C350</f>
        <v>0</v>
      </c>
      <c r="C350" s="113" t="n">
        <f aca="false">ExportRaw!$G350</f>
        <v>0</v>
      </c>
      <c r="D350" s="113" t="str">
        <f aca="false">ExportRaw!$E350</f>
        <v/>
      </c>
      <c r="E350" s="114" t="str">
        <f aca="false">ExportRaw!$D350</f>
        <v/>
      </c>
      <c r="F350" s="113" t="str">
        <f aca="false">ExportRaw!$H350</f>
        <v/>
      </c>
      <c r="G350" s="113" t="str">
        <f aca="false">ExportRaw!$I350</f>
        <v/>
      </c>
      <c r="H350" s="113" t="str">
        <f aca="false">ExportRaw!$A350</f>
        <v/>
      </c>
      <c r="I350" s="113" t="str">
        <f aca="false">ExportRaw!$B350</f>
        <v/>
      </c>
    </row>
    <row r="351" customFormat="false" ht="15.75" hidden="false" customHeight="false" outlineLevel="0" collapsed="false">
      <c r="A351" s="113" t="n">
        <f aca="false">ExportRaw!$F351</f>
        <v>0</v>
      </c>
      <c r="B351" s="113" t="n">
        <f aca="false">ExportRaw!$C351</f>
        <v>0</v>
      </c>
      <c r="C351" s="113" t="n">
        <f aca="false">ExportRaw!$G351</f>
        <v>0</v>
      </c>
      <c r="D351" s="113" t="str">
        <f aca="false">ExportRaw!$E351</f>
        <v/>
      </c>
      <c r="E351" s="114" t="str">
        <f aca="false">ExportRaw!$D351</f>
        <v/>
      </c>
      <c r="F351" s="113" t="str">
        <f aca="false">ExportRaw!$H351</f>
        <v/>
      </c>
      <c r="G351" s="113" t="str">
        <f aca="false">ExportRaw!$I351</f>
        <v/>
      </c>
      <c r="H351" s="113" t="str">
        <f aca="false">ExportRaw!$A351</f>
        <v/>
      </c>
      <c r="I351" s="113" t="str">
        <f aca="false">ExportRaw!$B351</f>
        <v/>
      </c>
    </row>
    <row r="352" customFormat="false" ht="15.75" hidden="false" customHeight="false" outlineLevel="0" collapsed="false">
      <c r="A352" s="113" t="n">
        <f aca="false">ExportRaw!$F352</f>
        <v>0</v>
      </c>
      <c r="B352" s="113" t="n">
        <f aca="false">ExportRaw!$C352</f>
        <v>0</v>
      </c>
      <c r="C352" s="113" t="n">
        <f aca="false">ExportRaw!$G352</f>
        <v>0</v>
      </c>
      <c r="D352" s="113" t="str">
        <f aca="false">ExportRaw!$E352</f>
        <v/>
      </c>
      <c r="E352" s="114" t="str">
        <f aca="false">ExportRaw!$D352</f>
        <v/>
      </c>
      <c r="F352" s="113" t="str">
        <f aca="false">ExportRaw!$H352</f>
        <v/>
      </c>
      <c r="G352" s="113" t="str">
        <f aca="false">ExportRaw!$I352</f>
        <v/>
      </c>
      <c r="H352" s="113" t="str">
        <f aca="false">ExportRaw!$A352</f>
        <v/>
      </c>
      <c r="I352" s="113" t="str">
        <f aca="false">ExportRaw!$B352</f>
        <v/>
      </c>
    </row>
    <row r="353" customFormat="false" ht="15.75" hidden="false" customHeight="false" outlineLevel="0" collapsed="false">
      <c r="A353" s="113" t="n">
        <f aca="false">ExportRaw!$F353</f>
        <v>0</v>
      </c>
      <c r="B353" s="113" t="n">
        <f aca="false">ExportRaw!$C353</f>
        <v>0</v>
      </c>
      <c r="C353" s="113" t="n">
        <f aca="false">ExportRaw!$G353</f>
        <v>0</v>
      </c>
      <c r="D353" s="113" t="str">
        <f aca="false">ExportRaw!$E353</f>
        <v/>
      </c>
      <c r="E353" s="114" t="str">
        <f aca="false">ExportRaw!$D353</f>
        <v/>
      </c>
      <c r="F353" s="113" t="str">
        <f aca="false">ExportRaw!$H353</f>
        <v/>
      </c>
      <c r="G353" s="113" t="str">
        <f aca="false">ExportRaw!$I353</f>
        <v/>
      </c>
      <c r="H353" s="113" t="str">
        <f aca="false">ExportRaw!$A353</f>
        <v/>
      </c>
      <c r="I353" s="113" t="str">
        <f aca="false">ExportRaw!$B353</f>
        <v/>
      </c>
    </row>
    <row r="354" customFormat="false" ht="15.75" hidden="false" customHeight="false" outlineLevel="0" collapsed="false">
      <c r="A354" s="113" t="n">
        <f aca="false">ExportRaw!$F354</f>
        <v>0</v>
      </c>
      <c r="B354" s="113" t="n">
        <f aca="false">ExportRaw!$C354</f>
        <v>0</v>
      </c>
      <c r="C354" s="113" t="n">
        <f aca="false">ExportRaw!$G354</f>
        <v>0</v>
      </c>
      <c r="D354" s="113" t="str">
        <f aca="false">ExportRaw!$E354</f>
        <v/>
      </c>
      <c r="E354" s="114" t="str">
        <f aca="false">ExportRaw!$D354</f>
        <v/>
      </c>
      <c r="F354" s="113" t="str">
        <f aca="false">ExportRaw!$H354</f>
        <v/>
      </c>
      <c r="G354" s="113" t="str">
        <f aca="false">ExportRaw!$I354</f>
        <v/>
      </c>
      <c r="H354" s="113" t="str">
        <f aca="false">ExportRaw!$A354</f>
        <v/>
      </c>
      <c r="I354" s="113" t="str">
        <f aca="false">ExportRaw!$B354</f>
        <v/>
      </c>
    </row>
    <row r="355" customFormat="false" ht="15.75" hidden="false" customHeight="false" outlineLevel="0" collapsed="false">
      <c r="A355" s="113" t="n">
        <f aca="false">ExportRaw!$F355</f>
        <v>0</v>
      </c>
      <c r="B355" s="113" t="n">
        <f aca="false">ExportRaw!$C355</f>
        <v>0</v>
      </c>
      <c r="C355" s="113" t="n">
        <f aca="false">ExportRaw!$G355</f>
        <v>0</v>
      </c>
      <c r="D355" s="113" t="str">
        <f aca="false">ExportRaw!$E355</f>
        <v/>
      </c>
      <c r="E355" s="114" t="str">
        <f aca="false">ExportRaw!$D355</f>
        <v/>
      </c>
      <c r="F355" s="113" t="str">
        <f aca="false">ExportRaw!$H355</f>
        <v/>
      </c>
      <c r="G355" s="113" t="str">
        <f aca="false">ExportRaw!$I355</f>
        <v/>
      </c>
      <c r="H355" s="113" t="str">
        <f aca="false">ExportRaw!$A355</f>
        <v/>
      </c>
      <c r="I355" s="113" t="str">
        <f aca="false">ExportRaw!$B355</f>
        <v/>
      </c>
    </row>
    <row r="356" customFormat="false" ht="15.75" hidden="false" customHeight="false" outlineLevel="0" collapsed="false">
      <c r="A356" s="113" t="n">
        <f aca="false">ExportRaw!$F356</f>
        <v>0</v>
      </c>
      <c r="B356" s="113" t="n">
        <f aca="false">ExportRaw!$C356</f>
        <v>0</v>
      </c>
      <c r="C356" s="113" t="n">
        <f aca="false">ExportRaw!$G356</f>
        <v>0</v>
      </c>
      <c r="D356" s="113" t="str">
        <f aca="false">ExportRaw!$E356</f>
        <v/>
      </c>
      <c r="E356" s="114" t="str">
        <f aca="false">ExportRaw!$D356</f>
        <v/>
      </c>
      <c r="F356" s="113" t="str">
        <f aca="false">ExportRaw!$H356</f>
        <v/>
      </c>
      <c r="G356" s="113" t="str">
        <f aca="false">ExportRaw!$I356</f>
        <v/>
      </c>
      <c r="H356" s="113" t="str">
        <f aca="false">ExportRaw!$A356</f>
        <v/>
      </c>
      <c r="I356" s="113" t="str">
        <f aca="false">ExportRaw!$B356</f>
        <v/>
      </c>
    </row>
    <row r="357" customFormat="false" ht="15.75" hidden="false" customHeight="false" outlineLevel="0" collapsed="false">
      <c r="A357" s="113" t="n">
        <f aca="false">ExportRaw!$F357</f>
        <v>0</v>
      </c>
      <c r="B357" s="113" t="n">
        <f aca="false">ExportRaw!$C357</f>
        <v>0</v>
      </c>
      <c r="C357" s="113" t="n">
        <f aca="false">ExportRaw!$G357</f>
        <v>0</v>
      </c>
      <c r="D357" s="113" t="str">
        <f aca="false">ExportRaw!$E357</f>
        <v/>
      </c>
      <c r="E357" s="114" t="str">
        <f aca="false">ExportRaw!$D357</f>
        <v/>
      </c>
      <c r="F357" s="113" t="str">
        <f aca="false">ExportRaw!$H357</f>
        <v/>
      </c>
      <c r="G357" s="113" t="str">
        <f aca="false">ExportRaw!$I357</f>
        <v/>
      </c>
      <c r="H357" s="113" t="str">
        <f aca="false">ExportRaw!$A357</f>
        <v/>
      </c>
      <c r="I357" s="113" t="str">
        <f aca="false">ExportRaw!$B357</f>
        <v/>
      </c>
    </row>
    <row r="358" customFormat="false" ht="15.75" hidden="false" customHeight="false" outlineLevel="0" collapsed="false">
      <c r="A358" s="113" t="n">
        <f aca="false">ExportRaw!$F358</f>
        <v>0</v>
      </c>
      <c r="B358" s="113" t="n">
        <f aca="false">ExportRaw!$C358</f>
        <v>0</v>
      </c>
      <c r="C358" s="113" t="n">
        <f aca="false">ExportRaw!$G358</f>
        <v>0</v>
      </c>
      <c r="D358" s="113" t="str">
        <f aca="false">ExportRaw!$E358</f>
        <v/>
      </c>
      <c r="E358" s="114" t="str">
        <f aca="false">ExportRaw!$D358</f>
        <v/>
      </c>
      <c r="F358" s="113" t="str">
        <f aca="false">ExportRaw!$H358</f>
        <v/>
      </c>
      <c r="G358" s="113" t="str">
        <f aca="false">ExportRaw!$I358</f>
        <v/>
      </c>
      <c r="H358" s="113" t="str">
        <f aca="false">ExportRaw!$A358</f>
        <v/>
      </c>
      <c r="I358" s="113" t="str">
        <f aca="false">ExportRaw!$B358</f>
        <v/>
      </c>
    </row>
    <row r="359" customFormat="false" ht="15.75" hidden="false" customHeight="false" outlineLevel="0" collapsed="false">
      <c r="A359" s="113" t="n">
        <f aca="false">ExportRaw!$F359</f>
        <v>0</v>
      </c>
      <c r="B359" s="113" t="n">
        <f aca="false">ExportRaw!$C359</f>
        <v>0</v>
      </c>
      <c r="C359" s="113" t="n">
        <f aca="false">ExportRaw!$G359</f>
        <v>0</v>
      </c>
      <c r="D359" s="113" t="str">
        <f aca="false">ExportRaw!$E359</f>
        <v/>
      </c>
      <c r="E359" s="114" t="str">
        <f aca="false">ExportRaw!$D359</f>
        <v/>
      </c>
      <c r="F359" s="113" t="str">
        <f aca="false">ExportRaw!$H359</f>
        <v/>
      </c>
      <c r="G359" s="113" t="str">
        <f aca="false">ExportRaw!$I359</f>
        <v/>
      </c>
      <c r="H359" s="113" t="str">
        <f aca="false">ExportRaw!$A359</f>
        <v/>
      </c>
      <c r="I359" s="113" t="str">
        <f aca="false">ExportRaw!$B359</f>
        <v/>
      </c>
    </row>
    <row r="360" customFormat="false" ht="15.75" hidden="false" customHeight="false" outlineLevel="0" collapsed="false">
      <c r="A360" s="113" t="n">
        <f aca="false">ExportRaw!$F360</f>
        <v>0</v>
      </c>
      <c r="B360" s="113" t="n">
        <f aca="false">ExportRaw!$C360</f>
        <v>0</v>
      </c>
      <c r="C360" s="113" t="n">
        <f aca="false">ExportRaw!$G360</f>
        <v>0</v>
      </c>
      <c r="D360" s="113" t="str">
        <f aca="false">ExportRaw!$E360</f>
        <v/>
      </c>
      <c r="E360" s="114" t="str">
        <f aca="false">ExportRaw!$D360</f>
        <v/>
      </c>
      <c r="F360" s="113" t="str">
        <f aca="false">ExportRaw!$H360</f>
        <v/>
      </c>
      <c r="G360" s="113" t="str">
        <f aca="false">ExportRaw!$I360</f>
        <v/>
      </c>
      <c r="H360" s="113" t="str">
        <f aca="false">ExportRaw!$A360</f>
        <v/>
      </c>
      <c r="I360" s="113" t="str">
        <f aca="false">ExportRaw!$B360</f>
        <v/>
      </c>
    </row>
    <row r="361" customFormat="false" ht="15.75" hidden="false" customHeight="false" outlineLevel="0" collapsed="false">
      <c r="A361" s="113" t="n">
        <f aca="false">ExportRaw!$F361</f>
        <v>0</v>
      </c>
      <c r="B361" s="113" t="n">
        <f aca="false">ExportRaw!$C361</f>
        <v>0</v>
      </c>
      <c r="C361" s="113" t="n">
        <f aca="false">ExportRaw!$G361</f>
        <v>0</v>
      </c>
      <c r="D361" s="113" t="str">
        <f aca="false">ExportRaw!$E361</f>
        <v/>
      </c>
      <c r="E361" s="114" t="str">
        <f aca="false">ExportRaw!$D361</f>
        <v/>
      </c>
      <c r="F361" s="113" t="str">
        <f aca="false">ExportRaw!$H361</f>
        <v/>
      </c>
      <c r="G361" s="113" t="str">
        <f aca="false">ExportRaw!$I361</f>
        <v/>
      </c>
      <c r="H361" s="113" t="str">
        <f aca="false">ExportRaw!$A361</f>
        <v/>
      </c>
      <c r="I361" s="113" t="str">
        <f aca="false">ExportRaw!$B361</f>
        <v/>
      </c>
    </row>
    <row r="362" customFormat="false" ht="15.75" hidden="false" customHeight="false" outlineLevel="0" collapsed="false">
      <c r="A362" s="113" t="n">
        <f aca="false">ExportRaw!$F362</f>
        <v>0</v>
      </c>
      <c r="B362" s="113" t="n">
        <f aca="false">ExportRaw!$C362</f>
        <v>0</v>
      </c>
      <c r="C362" s="113" t="n">
        <f aca="false">ExportRaw!$G362</f>
        <v>0</v>
      </c>
      <c r="D362" s="113" t="str">
        <f aca="false">ExportRaw!$E362</f>
        <v/>
      </c>
      <c r="E362" s="114" t="str">
        <f aca="false">ExportRaw!$D362</f>
        <v/>
      </c>
      <c r="F362" s="113" t="str">
        <f aca="false">ExportRaw!$H362</f>
        <v/>
      </c>
      <c r="G362" s="113" t="str">
        <f aca="false">ExportRaw!$I362</f>
        <v/>
      </c>
      <c r="H362" s="113" t="str">
        <f aca="false">ExportRaw!$A362</f>
        <v/>
      </c>
      <c r="I362" s="113" t="str">
        <f aca="false">ExportRaw!$B362</f>
        <v/>
      </c>
    </row>
    <row r="363" customFormat="false" ht="15.75" hidden="false" customHeight="false" outlineLevel="0" collapsed="false">
      <c r="A363" s="113" t="n">
        <f aca="false">ExportRaw!$F363</f>
        <v>0</v>
      </c>
      <c r="B363" s="113" t="n">
        <f aca="false">ExportRaw!$C363</f>
        <v>0</v>
      </c>
      <c r="C363" s="113" t="n">
        <f aca="false">ExportRaw!$G363</f>
        <v>0</v>
      </c>
      <c r="D363" s="113" t="str">
        <f aca="false">ExportRaw!$E363</f>
        <v/>
      </c>
      <c r="E363" s="114" t="str">
        <f aca="false">ExportRaw!$D363</f>
        <v/>
      </c>
      <c r="F363" s="113" t="str">
        <f aca="false">ExportRaw!$H363</f>
        <v/>
      </c>
      <c r="G363" s="113" t="str">
        <f aca="false">ExportRaw!$I363</f>
        <v/>
      </c>
      <c r="H363" s="113" t="str">
        <f aca="false">ExportRaw!$A363</f>
        <v/>
      </c>
      <c r="I363" s="113" t="str">
        <f aca="false">ExportRaw!$B363</f>
        <v/>
      </c>
    </row>
    <row r="364" customFormat="false" ht="15.75" hidden="false" customHeight="false" outlineLevel="0" collapsed="false">
      <c r="A364" s="113" t="n">
        <f aca="false">ExportRaw!$F364</f>
        <v>0</v>
      </c>
      <c r="B364" s="113" t="n">
        <f aca="false">ExportRaw!$C364</f>
        <v>0</v>
      </c>
      <c r="C364" s="113" t="n">
        <f aca="false">ExportRaw!$G364</f>
        <v>0</v>
      </c>
      <c r="D364" s="113" t="str">
        <f aca="false">ExportRaw!$E364</f>
        <v/>
      </c>
      <c r="E364" s="114" t="str">
        <f aca="false">ExportRaw!$D364</f>
        <v/>
      </c>
      <c r="F364" s="113" t="str">
        <f aca="false">ExportRaw!$H364</f>
        <v/>
      </c>
      <c r="G364" s="113" t="str">
        <f aca="false">ExportRaw!$I364</f>
        <v/>
      </c>
      <c r="H364" s="113" t="str">
        <f aca="false">ExportRaw!$A364</f>
        <v/>
      </c>
      <c r="I364" s="113" t="str">
        <f aca="false">ExportRaw!$B364</f>
        <v/>
      </c>
    </row>
    <row r="365" customFormat="false" ht="15.75" hidden="false" customHeight="false" outlineLevel="0" collapsed="false">
      <c r="A365" s="113" t="n">
        <f aca="false">ExportRaw!$F365</f>
        <v>0</v>
      </c>
      <c r="B365" s="113" t="n">
        <f aca="false">ExportRaw!$C365</f>
        <v>0</v>
      </c>
      <c r="C365" s="113" t="n">
        <f aca="false">ExportRaw!$G365</f>
        <v>0</v>
      </c>
      <c r="D365" s="113" t="str">
        <f aca="false">ExportRaw!$E365</f>
        <v/>
      </c>
      <c r="E365" s="114" t="str">
        <f aca="false">ExportRaw!$D365</f>
        <v/>
      </c>
      <c r="F365" s="113" t="str">
        <f aca="false">ExportRaw!$H365</f>
        <v/>
      </c>
      <c r="G365" s="113" t="str">
        <f aca="false">ExportRaw!$I365</f>
        <v/>
      </c>
      <c r="H365" s="113" t="str">
        <f aca="false">ExportRaw!$A365</f>
        <v/>
      </c>
      <c r="I365" s="113" t="str">
        <f aca="false">ExportRaw!$B365</f>
        <v/>
      </c>
    </row>
    <row r="366" customFormat="false" ht="15.75" hidden="false" customHeight="false" outlineLevel="0" collapsed="false">
      <c r="A366" s="113" t="n">
        <f aca="false">ExportRaw!$F366</f>
        <v>0</v>
      </c>
      <c r="B366" s="113" t="n">
        <f aca="false">ExportRaw!$C366</f>
        <v>0</v>
      </c>
      <c r="C366" s="113" t="n">
        <f aca="false">ExportRaw!$G366</f>
        <v>0</v>
      </c>
      <c r="D366" s="113" t="str">
        <f aca="false">ExportRaw!$E366</f>
        <v/>
      </c>
      <c r="E366" s="114" t="str">
        <f aca="false">ExportRaw!$D366</f>
        <v/>
      </c>
      <c r="F366" s="113" t="str">
        <f aca="false">ExportRaw!$H366</f>
        <v/>
      </c>
      <c r="G366" s="113" t="str">
        <f aca="false">ExportRaw!$I366</f>
        <v/>
      </c>
      <c r="H366" s="113" t="str">
        <f aca="false">ExportRaw!$A366</f>
        <v/>
      </c>
      <c r="I366" s="113" t="str">
        <f aca="false">ExportRaw!$B366</f>
        <v/>
      </c>
    </row>
    <row r="367" customFormat="false" ht="15.75" hidden="false" customHeight="false" outlineLevel="0" collapsed="false">
      <c r="A367" s="113" t="n">
        <f aca="false">ExportRaw!$F367</f>
        <v>0</v>
      </c>
      <c r="B367" s="113" t="n">
        <f aca="false">ExportRaw!$C367</f>
        <v>0</v>
      </c>
      <c r="C367" s="113" t="n">
        <f aca="false">ExportRaw!$G367</f>
        <v>0</v>
      </c>
      <c r="D367" s="113" t="str">
        <f aca="false">ExportRaw!$E367</f>
        <v/>
      </c>
      <c r="E367" s="114" t="str">
        <f aca="false">ExportRaw!$D367</f>
        <v/>
      </c>
      <c r="F367" s="113" t="str">
        <f aca="false">ExportRaw!$H367</f>
        <v/>
      </c>
      <c r="G367" s="113" t="str">
        <f aca="false">ExportRaw!$I367</f>
        <v/>
      </c>
      <c r="H367" s="113" t="str">
        <f aca="false">ExportRaw!$A367</f>
        <v/>
      </c>
      <c r="I367" s="113" t="str">
        <f aca="false">ExportRaw!$B367</f>
        <v/>
      </c>
    </row>
    <row r="368" customFormat="false" ht="15.75" hidden="false" customHeight="false" outlineLevel="0" collapsed="false">
      <c r="A368" s="113" t="n">
        <f aca="false">ExportRaw!$F368</f>
        <v>0</v>
      </c>
      <c r="B368" s="113" t="n">
        <f aca="false">ExportRaw!$C368</f>
        <v>0</v>
      </c>
      <c r="C368" s="113" t="n">
        <f aca="false">ExportRaw!$G368</f>
        <v>0</v>
      </c>
      <c r="D368" s="113" t="str">
        <f aca="false">ExportRaw!$E368</f>
        <v/>
      </c>
      <c r="E368" s="114" t="str">
        <f aca="false">ExportRaw!$D368</f>
        <v/>
      </c>
      <c r="F368" s="113" t="str">
        <f aca="false">ExportRaw!$H368</f>
        <v/>
      </c>
      <c r="G368" s="113" t="str">
        <f aca="false">ExportRaw!$I368</f>
        <v/>
      </c>
      <c r="H368" s="113" t="str">
        <f aca="false">ExportRaw!$A368</f>
        <v/>
      </c>
      <c r="I368" s="113" t="str">
        <f aca="false">ExportRaw!$B368</f>
        <v/>
      </c>
    </row>
    <row r="369" customFormat="false" ht="15.75" hidden="false" customHeight="false" outlineLevel="0" collapsed="false">
      <c r="A369" s="113" t="n">
        <f aca="false">ExportRaw!$F369</f>
        <v>0</v>
      </c>
      <c r="B369" s="113" t="n">
        <f aca="false">ExportRaw!$C369</f>
        <v>0</v>
      </c>
      <c r="C369" s="113" t="n">
        <f aca="false">ExportRaw!$G369</f>
        <v>0</v>
      </c>
      <c r="D369" s="113" t="str">
        <f aca="false">ExportRaw!$E369</f>
        <v/>
      </c>
      <c r="E369" s="114" t="str">
        <f aca="false">ExportRaw!$D369</f>
        <v/>
      </c>
      <c r="F369" s="113" t="str">
        <f aca="false">ExportRaw!$H369</f>
        <v/>
      </c>
      <c r="G369" s="113" t="str">
        <f aca="false">ExportRaw!$I369</f>
        <v/>
      </c>
      <c r="H369" s="113" t="str">
        <f aca="false">ExportRaw!$A369</f>
        <v/>
      </c>
      <c r="I369" s="113" t="str">
        <f aca="false">ExportRaw!$B369</f>
        <v/>
      </c>
    </row>
    <row r="370" customFormat="false" ht="15.75" hidden="false" customHeight="false" outlineLevel="0" collapsed="false">
      <c r="A370" s="113" t="n">
        <f aca="false">ExportRaw!$F370</f>
        <v>0</v>
      </c>
      <c r="B370" s="113" t="n">
        <f aca="false">ExportRaw!$C370</f>
        <v>0</v>
      </c>
      <c r="C370" s="113" t="n">
        <f aca="false">ExportRaw!$G370</f>
        <v>0</v>
      </c>
      <c r="D370" s="113" t="str">
        <f aca="false">ExportRaw!$E370</f>
        <v/>
      </c>
      <c r="E370" s="114" t="str">
        <f aca="false">ExportRaw!$D370</f>
        <v/>
      </c>
      <c r="F370" s="113" t="str">
        <f aca="false">ExportRaw!$H370</f>
        <v/>
      </c>
      <c r="G370" s="113" t="str">
        <f aca="false">ExportRaw!$I370</f>
        <v/>
      </c>
      <c r="H370" s="113" t="str">
        <f aca="false">ExportRaw!$A370</f>
        <v/>
      </c>
      <c r="I370" s="113" t="str">
        <f aca="false">ExportRaw!$B370</f>
        <v/>
      </c>
    </row>
    <row r="371" customFormat="false" ht="15.75" hidden="false" customHeight="false" outlineLevel="0" collapsed="false">
      <c r="A371" s="113" t="n">
        <f aca="false">ExportRaw!$F371</f>
        <v>0</v>
      </c>
      <c r="B371" s="113" t="n">
        <f aca="false">ExportRaw!$C371</f>
        <v>0</v>
      </c>
      <c r="C371" s="113" t="n">
        <f aca="false">ExportRaw!$G371</f>
        <v>0</v>
      </c>
      <c r="D371" s="113" t="str">
        <f aca="false">ExportRaw!$E371</f>
        <v/>
      </c>
      <c r="E371" s="114" t="str">
        <f aca="false">ExportRaw!$D371</f>
        <v/>
      </c>
      <c r="F371" s="113" t="str">
        <f aca="false">ExportRaw!$H371</f>
        <v/>
      </c>
      <c r="G371" s="113" t="str">
        <f aca="false">ExportRaw!$I371</f>
        <v/>
      </c>
      <c r="H371" s="113" t="str">
        <f aca="false">ExportRaw!$A371</f>
        <v/>
      </c>
      <c r="I371" s="113" t="str">
        <f aca="false">ExportRaw!$B371</f>
        <v/>
      </c>
    </row>
    <row r="372" customFormat="false" ht="15.75" hidden="false" customHeight="false" outlineLevel="0" collapsed="false">
      <c r="A372" s="113" t="n">
        <f aca="false">ExportRaw!$F372</f>
        <v>0</v>
      </c>
      <c r="B372" s="113" t="n">
        <f aca="false">ExportRaw!$C372</f>
        <v>0</v>
      </c>
      <c r="C372" s="113" t="n">
        <f aca="false">ExportRaw!$G372</f>
        <v>0</v>
      </c>
      <c r="D372" s="113" t="str">
        <f aca="false">ExportRaw!$E372</f>
        <v/>
      </c>
      <c r="E372" s="114" t="str">
        <f aca="false">ExportRaw!$D372</f>
        <v/>
      </c>
      <c r="F372" s="113" t="str">
        <f aca="false">ExportRaw!$H372</f>
        <v/>
      </c>
      <c r="G372" s="113" t="str">
        <f aca="false">ExportRaw!$I372</f>
        <v/>
      </c>
      <c r="H372" s="113" t="str">
        <f aca="false">ExportRaw!$A372</f>
        <v/>
      </c>
      <c r="I372" s="113" t="str">
        <f aca="false">ExportRaw!$B372</f>
        <v/>
      </c>
    </row>
    <row r="373" customFormat="false" ht="15.75" hidden="false" customHeight="false" outlineLevel="0" collapsed="false">
      <c r="A373" s="113" t="n">
        <f aca="false">ExportRaw!$F373</f>
        <v>0</v>
      </c>
      <c r="B373" s="113" t="n">
        <f aca="false">ExportRaw!$C373</f>
        <v>0</v>
      </c>
      <c r="C373" s="113" t="n">
        <f aca="false">ExportRaw!$G373</f>
        <v>0</v>
      </c>
      <c r="D373" s="113" t="str">
        <f aca="false">ExportRaw!$E373</f>
        <v/>
      </c>
      <c r="E373" s="114" t="str">
        <f aca="false">ExportRaw!$D373</f>
        <v/>
      </c>
      <c r="F373" s="113" t="str">
        <f aca="false">ExportRaw!$H373</f>
        <v/>
      </c>
      <c r="G373" s="113" t="str">
        <f aca="false">ExportRaw!$I373</f>
        <v/>
      </c>
      <c r="H373" s="113" t="str">
        <f aca="false">ExportRaw!$A373</f>
        <v/>
      </c>
      <c r="I373" s="113" t="str">
        <f aca="false">ExportRaw!$B373</f>
        <v/>
      </c>
    </row>
    <row r="374" customFormat="false" ht="15.75" hidden="false" customHeight="false" outlineLevel="0" collapsed="false">
      <c r="A374" s="113" t="n">
        <f aca="false">ExportRaw!$F374</f>
        <v>0</v>
      </c>
      <c r="B374" s="113" t="n">
        <f aca="false">ExportRaw!$C374</f>
        <v>0</v>
      </c>
      <c r="C374" s="113" t="n">
        <f aca="false">ExportRaw!$G374</f>
        <v>0</v>
      </c>
      <c r="D374" s="113" t="str">
        <f aca="false">ExportRaw!$E374</f>
        <v/>
      </c>
      <c r="E374" s="114" t="str">
        <f aca="false">ExportRaw!$D374</f>
        <v/>
      </c>
      <c r="F374" s="113" t="str">
        <f aca="false">ExportRaw!$H374</f>
        <v/>
      </c>
      <c r="G374" s="113" t="str">
        <f aca="false">ExportRaw!$I374</f>
        <v/>
      </c>
      <c r="H374" s="113" t="str">
        <f aca="false">ExportRaw!$A374</f>
        <v/>
      </c>
      <c r="I374" s="113" t="str">
        <f aca="false">ExportRaw!$B374</f>
        <v/>
      </c>
    </row>
    <row r="375" customFormat="false" ht="15.75" hidden="false" customHeight="false" outlineLevel="0" collapsed="false">
      <c r="A375" s="113" t="n">
        <f aca="false">ExportRaw!$F375</f>
        <v>0</v>
      </c>
      <c r="B375" s="113" t="n">
        <f aca="false">ExportRaw!$C375</f>
        <v>0</v>
      </c>
      <c r="C375" s="113" t="n">
        <f aca="false">ExportRaw!$G375</f>
        <v>0</v>
      </c>
      <c r="D375" s="113" t="str">
        <f aca="false">ExportRaw!$E375</f>
        <v/>
      </c>
      <c r="E375" s="114" t="str">
        <f aca="false">ExportRaw!$D375</f>
        <v/>
      </c>
      <c r="F375" s="113" t="str">
        <f aca="false">ExportRaw!$H375</f>
        <v/>
      </c>
      <c r="G375" s="113" t="str">
        <f aca="false">ExportRaw!$I375</f>
        <v/>
      </c>
      <c r="H375" s="113" t="str">
        <f aca="false">ExportRaw!$A375</f>
        <v/>
      </c>
      <c r="I375" s="113" t="str">
        <f aca="false">ExportRaw!$B375</f>
        <v/>
      </c>
    </row>
    <row r="376" customFormat="false" ht="15.75" hidden="false" customHeight="false" outlineLevel="0" collapsed="false">
      <c r="A376" s="113" t="n">
        <f aca="false">ExportRaw!$F376</f>
        <v>0</v>
      </c>
      <c r="B376" s="113" t="n">
        <f aca="false">ExportRaw!$C376</f>
        <v>0</v>
      </c>
      <c r="C376" s="113" t="n">
        <f aca="false">ExportRaw!$G376</f>
        <v>0</v>
      </c>
      <c r="D376" s="113" t="str">
        <f aca="false">ExportRaw!$E376</f>
        <v/>
      </c>
      <c r="E376" s="114" t="str">
        <f aca="false">ExportRaw!$D376</f>
        <v/>
      </c>
      <c r="F376" s="113" t="str">
        <f aca="false">ExportRaw!$H376</f>
        <v/>
      </c>
      <c r="G376" s="113" t="str">
        <f aca="false">ExportRaw!$I376</f>
        <v/>
      </c>
      <c r="H376" s="113" t="str">
        <f aca="false">ExportRaw!$A376</f>
        <v/>
      </c>
      <c r="I376" s="113" t="str">
        <f aca="false">ExportRaw!$B376</f>
        <v/>
      </c>
    </row>
    <row r="377" customFormat="false" ht="15.75" hidden="false" customHeight="false" outlineLevel="0" collapsed="false">
      <c r="A377" s="113" t="n">
        <f aca="false">ExportRaw!$F377</f>
        <v>0</v>
      </c>
      <c r="B377" s="113" t="n">
        <f aca="false">ExportRaw!$C377</f>
        <v>0</v>
      </c>
      <c r="C377" s="113" t="n">
        <f aca="false">ExportRaw!$G377</f>
        <v>0</v>
      </c>
      <c r="D377" s="113" t="str">
        <f aca="false">ExportRaw!$E377</f>
        <v/>
      </c>
      <c r="E377" s="114" t="str">
        <f aca="false">ExportRaw!$D377</f>
        <v/>
      </c>
      <c r="F377" s="113" t="str">
        <f aca="false">ExportRaw!$H377</f>
        <v/>
      </c>
      <c r="G377" s="113" t="str">
        <f aca="false">ExportRaw!$I377</f>
        <v/>
      </c>
      <c r="H377" s="113" t="str">
        <f aca="false">ExportRaw!$A377</f>
        <v/>
      </c>
      <c r="I377" s="113" t="str">
        <f aca="false">ExportRaw!$B377</f>
        <v/>
      </c>
    </row>
    <row r="378" customFormat="false" ht="15.75" hidden="false" customHeight="false" outlineLevel="0" collapsed="false">
      <c r="A378" s="113" t="n">
        <f aca="false">ExportRaw!$F378</f>
        <v>0</v>
      </c>
      <c r="B378" s="113" t="n">
        <f aca="false">ExportRaw!$C378</f>
        <v>0</v>
      </c>
      <c r="C378" s="113" t="n">
        <f aca="false">ExportRaw!$G378</f>
        <v>0</v>
      </c>
      <c r="D378" s="113" t="str">
        <f aca="false">ExportRaw!$E378</f>
        <v/>
      </c>
      <c r="E378" s="114" t="str">
        <f aca="false">ExportRaw!$D378</f>
        <v/>
      </c>
      <c r="F378" s="113" t="str">
        <f aca="false">ExportRaw!$H378</f>
        <v/>
      </c>
      <c r="G378" s="113" t="str">
        <f aca="false">ExportRaw!$I378</f>
        <v/>
      </c>
      <c r="H378" s="113" t="str">
        <f aca="false">ExportRaw!$A378</f>
        <v/>
      </c>
      <c r="I378" s="113" t="str">
        <f aca="false">ExportRaw!$B378</f>
        <v/>
      </c>
    </row>
    <row r="379" customFormat="false" ht="15.75" hidden="false" customHeight="false" outlineLevel="0" collapsed="false">
      <c r="A379" s="113" t="n">
        <f aca="false">ExportRaw!$F379</f>
        <v>0</v>
      </c>
      <c r="B379" s="113" t="n">
        <f aca="false">ExportRaw!$C379</f>
        <v>0</v>
      </c>
      <c r="C379" s="113" t="n">
        <f aca="false">ExportRaw!$G379</f>
        <v>0</v>
      </c>
      <c r="D379" s="113" t="str">
        <f aca="false">ExportRaw!$E379</f>
        <v/>
      </c>
      <c r="E379" s="114" t="str">
        <f aca="false">ExportRaw!$D379</f>
        <v/>
      </c>
      <c r="F379" s="113" t="str">
        <f aca="false">ExportRaw!$H379</f>
        <v/>
      </c>
      <c r="G379" s="113" t="str">
        <f aca="false">ExportRaw!$I379</f>
        <v/>
      </c>
      <c r="H379" s="113" t="str">
        <f aca="false">ExportRaw!$A379</f>
        <v/>
      </c>
      <c r="I379" s="113" t="str">
        <f aca="false">ExportRaw!$B379</f>
        <v/>
      </c>
    </row>
    <row r="380" customFormat="false" ht="15.75" hidden="false" customHeight="false" outlineLevel="0" collapsed="false">
      <c r="A380" s="113" t="n">
        <f aca="false">ExportRaw!$F380</f>
        <v>0</v>
      </c>
      <c r="B380" s="113" t="n">
        <f aca="false">ExportRaw!$C380</f>
        <v>0</v>
      </c>
      <c r="C380" s="113" t="n">
        <f aca="false">ExportRaw!$G380</f>
        <v>0</v>
      </c>
      <c r="D380" s="113" t="str">
        <f aca="false">ExportRaw!$E380</f>
        <v/>
      </c>
      <c r="E380" s="114" t="str">
        <f aca="false">ExportRaw!$D380</f>
        <v/>
      </c>
      <c r="F380" s="113" t="str">
        <f aca="false">ExportRaw!$H380</f>
        <v/>
      </c>
      <c r="G380" s="113" t="str">
        <f aca="false">ExportRaw!$I380</f>
        <v/>
      </c>
      <c r="H380" s="113" t="str">
        <f aca="false">ExportRaw!$A380</f>
        <v/>
      </c>
      <c r="I380" s="113" t="str">
        <f aca="false">ExportRaw!$B380</f>
        <v/>
      </c>
    </row>
    <row r="381" customFormat="false" ht="15.75" hidden="false" customHeight="false" outlineLevel="0" collapsed="false">
      <c r="A381" s="113" t="n">
        <f aca="false">ExportRaw!$F381</f>
        <v>0</v>
      </c>
      <c r="B381" s="113" t="n">
        <f aca="false">ExportRaw!$C381</f>
        <v>0</v>
      </c>
      <c r="C381" s="113" t="n">
        <f aca="false">ExportRaw!$G381</f>
        <v>0</v>
      </c>
      <c r="D381" s="113" t="str">
        <f aca="false">ExportRaw!$E381</f>
        <v/>
      </c>
      <c r="E381" s="114" t="str">
        <f aca="false">ExportRaw!$D381</f>
        <v/>
      </c>
      <c r="F381" s="113" t="str">
        <f aca="false">ExportRaw!$H381</f>
        <v/>
      </c>
      <c r="G381" s="113" t="str">
        <f aca="false">ExportRaw!$I381</f>
        <v/>
      </c>
      <c r="H381" s="113" t="str">
        <f aca="false">ExportRaw!$A381</f>
        <v/>
      </c>
      <c r="I381" s="113" t="str">
        <f aca="false">ExportRaw!$B381</f>
        <v/>
      </c>
    </row>
    <row r="382" customFormat="false" ht="15.75" hidden="false" customHeight="false" outlineLevel="0" collapsed="false">
      <c r="A382" s="113" t="n">
        <f aca="false">ExportRaw!$F382</f>
        <v>0</v>
      </c>
      <c r="B382" s="113" t="n">
        <f aca="false">ExportRaw!$C382</f>
        <v>0</v>
      </c>
      <c r="C382" s="113" t="n">
        <f aca="false">ExportRaw!$G382</f>
        <v>0</v>
      </c>
      <c r="D382" s="113" t="str">
        <f aca="false">ExportRaw!$E382</f>
        <v/>
      </c>
      <c r="E382" s="114" t="str">
        <f aca="false">ExportRaw!$D382</f>
        <v/>
      </c>
      <c r="F382" s="113" t="str">
        <f aca="false">ExportRaw!$H382</f>
        <v/>
      </c>
      <c r="G382" s="113" t="str">
        <f aca="false">ExportRaw!$I382</f>
        <v/>
      </c>
      <c r="H382" s="113" t="str">
        <f aca="false">ExportRaw!$A382</f>
        <v/>
      </c>
      <c r="I382" s="113" t="str">
        <f aca="false">ExportRaw!$B382</f>
        <v/>
      </c>
    </row>
    <row r="383" customFormat="false" ht="15.75" hidden="false" customHeight="false" outlineLevel="0" collapsed="false">
      <c r="A383" s="113" t="n">
        <f aca="false">ExportRaw!$F383</f>
        <v>0</v>
      </c>
      <c r="B383" s="113" t="n">
        <f aca="false">ExportRaw!$C383</f>
        <v>0</v>
      </c>
      <c r="C383" s="113" t="n">
        <f aca="false">ExportRaw!$G383</f>
        <v>0</v>
      </c>
      <c r="D383" s="113" t="str">
        <f aca="false">ExportRaw!$E383</f>
        <v/>
      </c>
      <c r="E383" s="114" t="str">
        <f aca="false">ExportRaw!$D383</f>
        <v/>
      </c>
      <c r="F383" s="113" t="str">
        <f aca="false">ExportRaw!$H383</f>
        <v/>
      </c>
      <c r="G383" s="113" t="str">
        <f aca="false">ExportRaw!$I383</f>
        <v/>
      </c>
      <c r="H383" s="113" t="str">
        <f aca="false">ExportRaw!$A383</f>
        <v/>
      </c>
      <c r="I383" s="113" t="str">
        <f aca="false">ExportRaw!$B383</f>
        <v/>
      </c>
    </row>
    <row r="384" customFormat="false" ht="15.75" hidden="false" customHeight="false" outlineLevel="0" collapsed="false">
      <c r="A384" s="113" t="n">
        <f aca="false">ExportRaw!$F384</f>
        <v>0</v>
      </c>
      <c r="B384" s="113" t="n">
        <f aca="false">ExportRaw!$C384</f>
        <v>0</v>
      </c>
      <c r="C384" s="113" t="n">
        <f aca="false">ExportRaw!$G384</f>
        <v>0</v>
      </c>
      <c r="D384" s="113" t="str">
        <f aca="false">ExportRaw!$E384</f>
        <v/>
      </c>
      <c r="E384" s="114" t="str">
        <f aca="false">ExportRaw!$D384</f>
        <v/>
      </c>
      <c r="F384" s="113" t="str">
        <f aca="false">ExportRaw!$H384</f>
        <v/>
      </c>
      <c r="G384" s="113" t="str">
        <f aca="false">ExportRaw!$I384</f>
        <v/>
      </c>
      <c r="H384" s="113" t="str">
        <f aca="false">ExportRaw!$A384</f>
        <v/>
      </c>
      <c r="I384" s="113" t="str">
        <f aca="false">ExportRaw!$B384</f>
        <v/>
      </c>
    </row>
    <row r="385" customFormat="false" ht="15.75" hidden="false" customHeight="false" outlineLevel="0" collapsed="false">
      <c r="A385" s="113" t="n">
        <f aca="false">ExportRaw!$F385</f>
        <v>0</v>
      </c>
      <c r="B385" s="113" t="n">
        <f aca="false">ExportRaw!$C385</f>
        <v>0</v>
      </c>
      <c r="C385" s="113" t="n">
        <f aca="false">ExportRaw!$G385</f>
        <v>0</v>
      </c>
      <c r="D385" s="113" t="str">
        <f aca="false">ExportRaw!$E385</f>
        <v/>
      </c>
      <c r="E385" s="114" t="str">
        <f aca="false">ExportRaw!$D385</f>
        <v/>
      </c>
      <c r="F385" s="113" t="str">
        <f aca="false">ExportRaw!$H385</f>
        <v/>
      </c>
      <c r="G385" s="113" t="str">
        <f aca="false">ExportRaw!$I385</f>
        <v/>
      </c>
      <c r="H385" s="113" t="str">
        <f aca="false">ExportRaw!$A385</f>
        <v/>
      </c>
      <c r="I385" s="113" t="str">
        <f aca="false">ExportRaw!$B385</f>
        <v/>
      </c>
    </row>
    <row r="386" customFormat="false" ht="15.75" hidden="false" customHeight="false" outlineLevel="0" collapsed="false">
      <c r="A386" s="113" t="n">
        <f aca="false">ExportRaw!$F386</f>
        <v>0</v>
      </c>
      <c r="B386" s="113" t="n">
        <f aca="false">ExportRaw!$C386</f>
        <v>0</v>
      </c>
      <c r="C386" s="113" t="n">
        <f aca="false">ExportRaw!$G386</f>
        <v>0</v>
      </c>
      <c r="D386" s="113" t="str">
        <f aca="false">ExportRaw!$E386</f>
        <v/>
      </c>
      <c r="E386" s="114" t="str">
        <f aca="false">ExportRaw!$D386</f>
        <v/>
      </c>
      <c r="F386" s="113" t="str">
        <f aca="false">ExportRaw!$H386</f>
        <v/>
      </c>
      <c r="G386" s="113" t="str">
        <f aca="false">ExportRaw!$I386</f>
        <v/>
      </c>
      <c r="H386" s="113" t="str">
        <f aca="false">ExportRaw!$A386</f>
        <v/>
      </c>
      <c r="I386" s="113" t="str">
        <f aca="false">ExportRaw!$B386</f>
        <v/>
      </c>
    </row>
    <row r="387" customFormat="false" ht="15.75" hidden="false" customHeight="false" outlineLevel="0" collapsed="false">
      <c r="A387" s="113" t="n">
        <f aca="false">ExportRaw!$F387</f>
        <v>0</v>
      </c>
      <c r="B387" s="113" t="n">
        <f aca="false">ExportRaw!$C387</f>
        <v>0</v>
      </c>
      <c r="C387" s="113" t="n">
        <f aca="false">ExportRaw!$G387</f>
        <v>0</v>
      </c>
      <c r="D387" s="113" t="str">
        <f aca="false">ExportRaw!$E387</f>
        <v/>
      </c>
      <c r="E387" s="114" t="str">
        <f aca="false">ExportRaw!$D387</f>
        <v/>
      </c>
      <c r="F387" s="113" t="str">
        <f aca="false">ExportRaw!$H387</f>
        <v/>
      </c>
      <c r="G387" s="113" t="str">
        <f aca="false">ExportRaw!$I387</f>
        <v/>
      </c>
      <c r="H387" s="113" t="str">
        <f aca="false">ExportRaw!$A387</f>
        <v/>
      </c>
      <c r="I387" s="113" t="str">
        <f aca="false">ExportRaw!$B387</f>
        <v/>
      </c>
    </row>
    <row r="388" customFormat="false" ht="15.75" hidden="false" customHeight="false" outlineLevel="0" collapsed="false">
      <c r="A388" s="113" t="n">
        <f aca="false">ExportRaw!$F388</f>
        <v>0</v>
      </c>
      <c r="B388" s="113" t="n">
        <f aca="false">ExportRaw!$C388</f>
        <v>0</v>
      </c>
      <c r="C388" s="113" t="n">
        <f aca="false">ExportRaw!$G388</f>
        <v>0</v>
      </c>
      <c r="D388" s="113" t="str">
        <f aca="false">ExportRaw!$E388</f>
        <v/>
      </c>
      <c r="E388" s="114" t="str">
        <f aca="false">ExportRaw!$D388</f>
        <v/>
      </c>
      <c r="F388" s="113" t="str">
        <f aca="false">ExportRaw!$H388</f>
        <v/>
      </c>
      <c r="G388" s="113" t="str">
        <f aca="false">ExportRaw!$I388</f>
        <v/>
      </c>
      <c r="H388" s="113" t="str">
        <f aca="false">ExportRaw!$A388</f>
        <v/>
      </c>
      <c r="I388" s="113" t="str">
        <f aca="false">ExportRaw!$B388</f>
        <v/>
      </c>
    </row>
    <row r="389" customFormat="false" ht="15.75" hidden="false" customHeight="false" outlineLevel="0" collapsed="false">
      <c r="A389" s="113" t="n">
        <f aca="false">ExportRaw!$F389</f>
        <v>0</v>
      </c>
      <c r="B389" s="113" t="n">
        <f aca="false">ExportRaw!$C389</f>
        <v>0</v>
      </c>
      <c r="C389" s="113" t="n">
        <f aca="false">ExportRaw!$G389</f>
        <v>0</v>
      </c>
      <c r="D389" s="113" t="str">
        <f aca="false">ExportRaw!$E389</f>
        <v/>
      </c>
      <c r="E389" s="114" t="str">
        <f aca="false">ExportRaw!$D389</f>
        <v/>
      </c>
      <c r="F389" s="113" t="str">
        <f aca="false">ExportRaw!$H389</f>
        <v/>
      </c>
      <c r="G389" s="113" t="str">
        <f aca="false">ExportRaw!$I389</f>
        <v/>
      </c>
      <c r="H389" s="113" t="str">
        <f aca="false">ExportRaw!$A389</f>
        <v/>
      </c>
      <c r="I389" s="113" t="str">
        <f aca="false">ExportRaw!$B389</f>
        <v/>
      </c>
    </row>
    <row r="390" customFormat="false" ht="15.75" hidden="false" customHeight="false" outlineLevel="0" collapsed="false">
      <c r="A390" s="113" t="n">
        <f aca="false">ExportRaw!$F390</f>
        <v>0</v>
      </c>
      <c r="B390" s="113" t="n">
        <f aca="false">ExportRaw!$C390</f>
        <v>0</v>
      </c>
      <c r="C390" s="113" t="n">
        <f aca="false">ExportRaw!$G390</f>
        <v>0</v>
      </c>
      <c r="D390" s="113" t="str">
        <f aca="false">ExportRaw!$E390</f>
        <v/>
      </c>
      <c r="E390" s="114" t="str">
        <f aca="false">ExportRaw!$D390</f>
        <v/>
      </c>
      <c r="F390" s="113" t="str">
        <f aca="false">ExportRaw!$H390</f>
        <v/>
      </c>
      <c r="G390" s="113" t="str">
        <f aca="false">ExportRaw!$I390</f>
        <v/>
      </c>
      <c r="H390" s="113" t="str">
        <f aca="false">ExportRaw!$A390</f>
        <v/>
      </c>
      <c r="I390" s="113" t="str">
        <f aca="false">ExportRaw!$B390</f>
        <v/>
      </c>
    </row>
    <row r="391" customFormat="false" ht="15.75" hidden="false" customHeight="false" outlineLevel="0" collapsed="false">
      <c r="A391" s="113" t="n">
        <f aca="false">ExportRaw!$F391</f>
        <v>0</v>
      </c>
      <c r="B391" s="113" t="n">
        <f aca="false">ExportRaw!$C391</f>
        <v>0</v>
      </c>
      <c r="C391" s="113" t="n">
        <f aca="false">ExportRaw!$G391</f>
        <v>0</v>
      </c>
      <c r="D391" s="113" t="str">
        <f aca="false">ExportRaw!$E391</f>
        <v/>
      </c>
      <c r="E391" s="114" t="str">
        <f aca="false">ExportRaw!$D391</f>
        <v/>
      </c>
      <c r="F391" s="113" t="str">
        <f aca="false">ExportRaw!$H391</f>
        <v/>
      </c>
      <c r="G391" s="113" t="str">
        <f aca="false">ExportRaw!$I391</f>
        <v/>
      </c>
      <c r="H391" s="113" t="str">
        <f aca="false">ExportRaw!$A391</f>
        <v/>
      </c>
      <c r="I391" s="113" t="str">
        <f aca="false">ExportRaw!$B391</f>
        <v/>
      </c>
    </row>
    <row r="392" customFormat="false" ht="15.75" hidden="false" customHeight="false" outlineLevel="0" collapsed="false">
      <c r="A392" s="113" t="n">
        <f aca="false">ExportRaw!$F392</f>
        <v>0</v>
      </c>
      <c r="B392" s="113" t="n">
        <f aca="false">ExportRaw!$C392</f>
        <v>0</v>
      </c>
      <c r="C392" s="113" t="n">
        <f aca="false">ExportRaw!$G392</f>
        <v>0</v>
      </c>
      <c r="D392" s="113" t="str">
        <f aca="false">ExportRaw!$E392</f>
        <v/>
      </c>
      <c r="E392" s="114" t="str">
        <f aca="false">ExportRaw!$D392</f>
        <v/>
      </c>
      <c r="F392" s="113" t="str">
        <f aca="false">ExportRaw!$H392</f>
        <v/>
      </c>
      <c r="G392" s="113" t="str">
        <f aca="false">ExportRaw!$I392</f>
        <v/>
      </c>
      <c r="H392" s="113" t="str">
        <f aca="false">ExportRaw!$A392</f>
        <v/>
      </c>
      <c r="I392" s="113" t="str">
        <f aca="false">ExportRaw!$B392</f>
        <v/>
      </c>
    </row>
    <row r="393" customFormat="false" ht="15.75" hidden="false" customHeight="false" outlineLevel="0" collapsed="false">
      <c r="A393" s="113" t="n">
        <f aca="false">ExportRaw!$F393</f>
        <v>0</v>
      </c>
      <c r="B393" s="113" t="n">
        <f aca="false">ExportRaw!$C393</f>
        <v>0</v>
      </c>
      <c r="C393" s="113" t="n">
        <f aca="false">ExportRaw!$G393</f>
        <v>0</v>
      </c>
      <c r="D393" s="113" t="str">
        <f aca="false">ExportRaw!$E393</f>
        <v/>
      </c>
      <c r="E393" s="114" t="str">
        <f aca="false">ExportRaw!$D393</f>
        <v/>
      </c>
      <c r="F393" s="113" t="str">
        <f aca="false">ExportRaw!$H393</f>
        <v/>
      </c>
      <c r="G393" s="113" t="str">
        <f aca="false">ExportRaw!$I393</f>
        <v/>
      </c>
      <c r="H393" s="113" t="str">
        <f aca="false">ExportRaw!$A393</f>
        <v/>
      </c>
      <c r="I393" s="113" t="str">
        <f aca="false">ExportRaw!$B393</f>
        <v/>
      </c>
    </row>
    <row r="394" customFormat="false" ht="15.75" hidden="false" customHeight="false" outlineLevel="0" collapsed="false">
      <c r="A394" s="113" t="n">
        <f aca="false">ExportRaw!$F394</f>
        <v>0</v>
      </c>
      <c r="B394" s="113" t="n">
        <f aca="false">ExportRaw!$C394</f>
        <v>0</v>
      </c>
      <c r="C394" s="113" t="n">
        <f aca="false">ExportRaw!$G394</f>
        <v>0</v>
      </c>
      <c r="D394" s="113" t="str">
        <f aca="false">ExportRaw!$E394</f>
        <v/>
      </c>
      <c r="E394" s="114" t="str">
        <f aca="false">ExportRaw!$D394</f>
        <v/>
      </c>
      <c r="F394" s="113" t="str">
        <f aca="false">ExportRaw!$H394</f>
        <v/>
      </c>
      <c r="G394" s="113" t="str">
        <f aca="false">ExportRaw!$I394</f>
        <v/>
      </c>
      <c r="H394" s="113" t="str">
        <f aca="false">ExportRaw!$A394</f>
        <v/>
      </c>
      <c r="I394" s="113" t="str">
        <f aca="false">ExportRaw!$B394</f>
        <v/>
      </c>
    </row>
    <row r="395" customFormat="false" ht="15.75" hidden="false" customHeight="false" outlineLevel="0" collapsed="false">
      <c r="A395" s="113" t="n">
        <f aca="false">ExportRaw!$F395</f>
        <v>0</v>
      </c>
      <c r="B395" s="113" t="n">
        <f aca="false">ExportRaw!$C395</f>
        <v>0</v>
      </c>
      <c r="C395" s="113" t="n">
        <f aca="false">ExportRaw!$G395</f>
        <v>0</v>
      </c>
      <c r="D395" s="113" t="str">
        <f aca="false">ExportRaw!$E395</f>
        <v/>
      </c>
      <c r="E395" s="114" t="str">
        <f aca="false">ExportRaw!$D395</f>
        <v/>
      </c>
      <c r="F395" s="113" t="str">
        <f aca="false">ExportRaw!$H395</f>
        <v/>
      </c>
      <c r="G395" s="113" t="str">
        <f aca="false">ExportRaw!$I395</f>
        <v/>
      </c>
      <c r="H395" s="113" t="str">
        <f aca="false">ExportRaw!$A395</f>
        <v/>
      </c>
      <c r="I395" s="113" t="str">
        <f aca="false">ExportRaw!$B395</f>
        <v/>
      </c>
    </row>
    <row r="396" customFormat="false" ht="15.75" hidden="false" customHeight="false" outlineLevel="0" collapsed="false">
      <c r="A396" s="113" t="n">
        <f aca="false">ExportRaw!$F396</f>
        <v>0</v>
      </c>
      <c r="B396" s="113" t="n">
        <f aca="false">ExportRaw!$C396</f>
        <v>0</v>
      </c>
      <c r="C396" s="113" t="n">
        <f aca="false">ExportRaw!$G396</f>
        <v>0</v>
      </c>
      <c r="D396" s="113" t="str">
        <f aca="false">ExportRaw!$E396</f>
        <v/>
      </c>
      <c r="E396" s="114" t="str">
        <f aca="false">ExportRaw!$D396</f>
        <v/>
      </c>
      <c r="F396" s="113" t="str">
        <f aca="false">ExportRaw!$H396</f>
        <v/>
      </c>
      <c r="G396" s="113" t="str">
        <f aca="false">ExportRaw!$I396</f>
        <v/>
      </c>
      <c r="H396" s="113" t="str">
        <f aca="false">ExportRaw!$A396</f>
        <v/>
      </c>
      <c r="I396" s="113" t="str">
        <f aca="false">ExportRaw!$B396</f>
        <v/>
      </c>
    </row>
    <row r="397" customFormat="false" ht="15.75" hidden="false" customHeight="false" outlineLevel="0" collapsed="false">
      <c r="A397" s="113" t="n">
        <f aca="false">ExportRaw!$F397</f>
        <v>0</v>
      </c>
      <c r="B397" s="113" t="n">
        <f aca="false">ExportRaw!$C397</f>
        <v>0</v>
      </c>
      <c r="C397" s="113" t="n">
        <f aca="false">ExportRaw!$G397</f>
        <v>0</v>
      </c>
      <c r="D397" s="113" t="str">
        <f aca="false">ExportRaw!$E397</f>
        <v/>
      </c>
      <c r="E397" s="114" t="str">
        <f aca="false">ExportRaw!$D397</f>
        <v/>
      </c>
      <c r="F397" s="113" t="str">
        <f aca="false">ExportRaw!$H397</f>
        <v/>
      </c>
      <c r="G397" s="113" t="str">
        <f aca="false">ExportRaw!$I397</f>
        <v/>
      </c>
      <c r="H397" s="113" t="str">
        <f aca="false">ExportRaw!$A397</f>
        <v/>
      </c>
      <c r="I397" s="113" t="str">
        <f aca="false">ExportRaw!$B397</f>
        <v/>
      </c>
    </row>
    <row r="398" customFormat="false" ht="15.75" hidden="false" customHeight="false" outlineLevel="0" collapsed="false">
      <c r="A398" s="113" t="n">
        <f aca="false">ExportRaw!$F398</f>
        <v>0</v>
      </c>
      <c r="B398" s="113" t="n">
        <f aca="false">ExportRaw!$C398</f>
        <v>0</v>
      </c>
      <c r="C398" s="113" t="n">
        <f aca="false">ExportRaw!$G398</f>
        <v>0</v>
      </c>
      <c r="D398" s="113" t="str">
        <f aca="false">ExportRaw!$E398</f>
        <v/>
      </c>
      <c r="E398" s="114" t="str">
        <f aca="false">ExportRaw!$D398</f>
        <v/>
      </c>
      <c r="F398" s="113" t="str">
        <f aca="false">ExportRaw!$H398</f>
        <v/>
      </c>
      <c r="G398" s="113" t="str">
        <f aca="false">ExportRaw!$I398</f>
        <v/>
      </c>
      <c r="H398" s="113" t="str">
        <f aca="false">ExportRaw!$A398</f>
        <v/>
      </c>
      <c r="I398" s="113" t="str">
        <f aca="false">ExportRaw!$B398</f>
        <v/>
      </c>
    </row>
    <row r="399" customFormat="false" ht="15.75" hidden="false" customHeight="false" outlineLevel="0" collapsed="false">
      <c r="A399" s="113" t="n">
        <f aca="false">ExportRaw!$F399</f>
        <v>0</v>
      </c>
      <c r="B399" s="113" t="n">
        <f aca="false">ExportRaw!$C399</f>
        <v>0</v>
      </c>
      <c r="C399" s="113" t="n">
        <f aca="false">ExportRaw!$G399</f>
        <v>0</v>
      </c>
      <c r="D399" s="113" t="str">
        <f aca="false">ExportRaw!$E399</f>
        <v/>
      </c>
      <c r="E399" s="114" t="str">
        <f aca="false">ExportRaw!$D399</f>
        <v/>
      </c>
      <c r="F399" s="113" t="str">
        <f aca="false">ExportRaw!$H399</f>
        <v/>
      </c>
      <c r="G399" s="113" t="str">
        <f aca="false">ExportRaw!$I399</f>
        <v/>
      </c>
      <c r="H399" s="113" t="str">
        <f aca="false">ExportRaw!$A399</f>
        <v/>
      </c>
      <c r="I399" s="113" t="str">
        <f aca="false">ExportRaw!$B399</f>
        <v/>
      </c>
    </row>
    <row r="400" customFormat="false" ht="15.75" hidden="false" customHeight="false" outlineLevel="0" collapsed="false">
      <c r="A400" s="113" t="n">
        <f aca="false">ExportRaw!$F400</f>
        <v>0</v>
      </c>
      <c r="B400" s="113" t="n">
        <f aca="false">ExportRaw!$C400</f>
        <v>0</v>
      </c>
      <c r="C400" s="113" t="n">
        <f aca="false">ExportRaw!$G400</f>
        <v>0</v>
      </c>
      <c r="D400" s="113" t="str">
        <f aca="false">ExportRaw!$E400</f>
        <v/>
      </c>
      <c r="E400" s="114" t="str">
        <f aca="false">ExportRaw!$D400</f>
        <v/>
      </c>
      <c r="F400" s="113" t="str">
        <f aca="false">ExportRaw!$H400</f>
        <v/>
      </c>
      <c r="G400" s="113" t="str">
        <f aca="false">ExportRaw!$I400</f>
        <v/>
      </c>
      <c r="H400" s="113" t="str">
        <f aca="false">ExportRaw!$A400</f>
        <v/>
      </c>
      <c r="I400" s="113" t="str">
        <f aca="false">ExportRaw!$B400</f>
        <v/>
      </c>
    </row>
    <row r="401" customFormat="false" ht="15.75" hidden="false" customHeight="false" outlineLevel="0" collapsed="false">
      <c r="A401" s="113" t="n">
        <f aca="false">ExportRaw!$F401</f>
        <v>0</v>
      </c>
      <c r="B401" s="113" t="n">
        <f aca="false">ExportRaw!$C401</f>
        <v>0</v>
      </c>
      <c r="C401" s="113" t="n">
        <f aca="false">ExportRaw!$G401</f>
        <v>0</v>
      </c>
      <c r="D401" s="113" t="str">
        <f aca="false">ExportRaw!$E401</f>
        <v/>
      </c>
      <c r="E401" s="114" t="str">
        <f aca="false">ExportRaw!$D401</f>
        <v/>
      </c>
      <c r="F401" s="113" t="str">
        <f aca="false">ExportRaw!$H401</f>
        <v/>
      </c>
      <c r="G401" s="113" t="str">
        <f aca="false">ExportRaw!$I401</f>
        <v/>
      </c>
      <c r="H401" s="113" t="str">
        <f aca="false">ExportRaw!$A401</f>
        <v/>
      </c>
      <c r="I401" s="113" t="str">
        <f aca="false">ExportRaw!$B401</f>
        <v/>
      </c>
    </row>
    <row r="402" customFormat="false" ht="15.75" hidden="false" customHeight="false" outlineLevel="0" collapsed="false">
      <c r="A402" s="113" t="n">
        <f aca="false">ExportRaw!$F402</f>
        <v>0</v>
      </c>
      <c r="B402" s="113" t="n">
        <f aca="false">ExportRaw!$C402</f>
        <v>0</v>
      </c>
      <c r="C402" s="113" t="n">
        <f aca="false">ExportRaw!$G402</f>
        <v>0</v>
      </c>
      <c r="D402" s="113" t="str">
        <f aca="false">ExportRaw!$E402</f>
        <v/>
      </c>
      <c r="E402" s="114" t="str">
        <f aca="false">ExportRaw!$D402</f>
        <v/>
      </c>
      <c r="F402" s="113" t="str">
        <f aca="false">ExportRaw!$H402</f>
        <v/>
      </c>
      <c r="G402" s="113" t="str">
        <f aca="false">ExportRaw!$I402</f>
        <v/>
      </c>
      <c r="H402" s="113" t="str">
        <f aca="false">ExportRaw!$A402</f>
        <v/>
      </c>
      <c r="I402" s="113" t="str">
        <f aca="false">ExportRaw!$B402</f>
        <v/>
      </c>
    </row>
    <row r="403" customFormat="false" ht="15.75" hidden="false" customHeight="false" outlineLevel="0" collapsed="false">
      <c r="A403" s="113" t="n">
        <f aca="false">ExportRaw!$F403</f>
        <v>0</v>
      </c>
      <c r="B403" s="113" t="n">
        <f aca="false">ExportRaw!$C403</f>
        <v>0</v>
      </c>
      <c r="C403" s="113" t="n">
        <f aca="false">ExportRaw!$G403</f>
        <v>0</v>
      </c>
      <c r="D403" s="113" t="str">
        <f aca="false">ExportRaw!$E403</f>
        <v/>
      </c>
      <c r="E403" s="114" t="str">
        <f aca="false">ExportRaw!$D403</f>
        <v/>
      </c>
      <c r="F403" s="113" t="str">
        <f aca="false">ExportRaw!$H403</f>
        <v/>
      </c>
      <c r="G403" s="113" t="str">
        <f aca="false">ExportRaw!$I403</f>
        <v/>
      </c>
      <c r="H403" s="113" t="str">
        <f aca="false">ExportRaw!$A403</f>
        <v/>
      </c>
      <c r="I403" s="113" t="str">
        <f aca="false">ExportRaw!$B403</f>
        <v/>
      </c>
    </row>
    <row r="404" customFormat="false" ht="15.75" hidden="false" customHeight="false" outlineLevel="0" collapsed="false">
      <c r="A404" s="113" t="n">
        <f aca="false">ExportRaw!$F404</f>
        <v>0</v>
      </c>
      <c r="B404" s="113" t="n">
        <f aca="false">ExportRaw!$C404</f>
        <v>0</v>
      </c>
      <c r="C404" s="113" t="n">
        <f aca="false">ExportRaw!$G404</f>
        <v>0</v>
      </c>
      <c r="D404" s="113" t="str">
        <f aca="false">ExportRaw!$E404</f>
        <v/>
      </c>
      <c r="E404" s="114" t="str">
        <f aca="false">ExportRaw!$D404</f>
        <v/>
      </c>
      <c r="F404" s="113" t="str">
        <f aca="false">ExportRaw!$H404</f>
        <v/>
      </c>
      <c r="G404" s="113" t="str">
        <f aca="false">ExportRaw!$I404</f>
        <v/>
      </c>
      <c r="H404" s="113" t="str">
        <f aca="false">ExportRaw!$A404</f>
        <v/>
      </c>
      <c r="I404" s="113" t="str">
        <f aca="false">ExportRaw!$B404</f>
        <v/>
      </c>
    </row>
    <row r="405" customFormat="false" ht="15.75" hidden="false" customHeight="false" outlineLevel="0" collapsed="false">
      <c r="A405" s="113" t="n">
        <f aca="false">ExportRaw!$F405</f>
        <v>0</v>
      </c>
      <c r="B405" s="113" t="n">
        <f aca="false">ExportRaw!$C405</f>
        <v>0</v>
      </c>
      <c r="C405" s="113" t="n">
        <f aca="false">ExportRaw!$G405</f>
        <v>0</v>
      </c>
      <c r="D405" s="113" t="str">
        <f aca="false">ExportRaw!$E405</f>
        <v/>
      </c>
      <c r="E405" s="114" t="str">
        <f aca="false">ExportRaw!$D405</f>
        <v/>
      </c>
      <c r="F405" s="113" t="str">
        <f aca="false">ExportRaw!$H405</f>
        <v/>
      </c>
      <c r="G405" s="113" t="str">
        <f aca="false">ExportRaw!$I405</f>
        <v/>
      </c>
      <c r="H405" s="113" t="str">
        <f aca="false">ExportRaw!$A405</f>
        <v/>
      </c>
      <c r="I405" s="113" t="str">
        <f aca="false">ExportRaw!$B405</f>
        <v/>
      </c>
    </row>
    <row r="406" customFormat="false" ht="15.75" hidden="false" customHeight="false" outlineLevel="0" collapsed="false">
      <c r="A406" s="113" t="n">
        <f aca="false">ExportRaw!$F406</f>
        <v>0</v>
      </c>
      <c r="B406" s="113" t="n">
        <f aca="false">ExportRaw!$C406</f>
        <v>0</v>
      </c>
      <c r="C406" s="113" t="n">
        <f aca="false">ExportRaw!$G406</f>
        <v>0</v>
      </c>
      <c r="D406" s="113" t="str">
        <f aca="false">ExportRaw!$E406</f>
        <v/>
      </c>
      <c r="E406" s="114" t="str">
        <f aca="false">ExportRaw!$D406</f>
        <v/>
      </c>
      <c r="F406" s="113" t="str">
        <f aca="false">ExportRaw!$H406</f>
        <v/>
      </c>
      <c r="G406" s="113" t="str">
        <f aca="false">ExportRaw!$I406</f>
        <v/>
      </c>
      <c r="H406" s="113" t="str">
        <f aca="false">ExportRaw!$A406</f>
        <v/>
      </c>
      <c r="I406" s="113" t="str">
        <f aca="false">ExportRaw!$B406</f>
        <v/>
      </c>
    </row>
    <row r="407" customFormat="false" ht="15.75" hidden="false" customHeight="false" outlineLevel="0" collapsed="false">
      <c r="A407" s="113" t="n">
        <f aca="false">ExportRaw!$F407</f>
        <v>0</v>
      </c>
      <c r="B407" s="113" t="n">
        <f aca="false">ExportRaw!$C407</f>
        <v>0</v>
      </c>
      <c r="C407" s="113" t="n">
        <f aca="false">ExportRaw!$G407</f>
        <v>0</v>
      </c>
      <c r="D407" s="113" t="str">
        <f aca="false">ExportRaw!$E407</f>
        <v/>
      </c>
      <c r="E407" s="114" t="str">
        <f aca="false">ExportRaw!$D407</f>
        <v/>
      </c>
      <c r="F407" s="113" t="str">
        <f aca="false">ExportRaw!$H407</f>
        <v/>
      </c>
      <c r="G407" s="113" t="str">
        <f aca="false">ExportRaw!$I407</f>
        <v/>
      </c>
      <c r="H407" s="113" t="str">
        <f aca="false">ExportRaw!$A407</f>
        <v/>
      </c>
      <c r="I407" s="113" t="str">
        <f aca="false">ExportRaw!$B407</f>
        <v/>
      </c>
    </row>
    <row r="408" customFormat="false" ht="15.75" hidden="false" customHeight="false" outlineLevel="0" collapsed="false">
      <c r="A408" s="113" t="n">
        <f aca="false">ExportRaw!$F408</f>
        <v>0</v>
      </c>
      <c r="B408" s="113" t="n">
        <f aca="false">ExportRaw!$C408</f>
        <v>0</v>
      </c>
      <c r="C408" s="113" t="n">
        <f aca="false">ExportRaw!$G408</f>
        <v>0</v>
      </c>
      <c r="D408" s="113" t="str">
        <f aca="false">ExportRaw!$E408</f>
        <v/>
      </c>
      <c r="E408" s="114" t="str">
        <f aca="false">ExportRaw!$D408</f>
        <v/>
      </c>
      <c r="F408" s="113" t="str">
        <f aca="false">ExportRaw!$H408</f>
        <v/>
      </c>
      <c r="G408" s="113" t="str">
        <f aca="false">ExportRaw!$I408</f>
        <v/>
      </c>
      <c r="H408" s="113" t="str">
        <f aca="false">ExportRaw!$A408</f>
        <v/>
      </c>
      <c r="I408" s="113" t="str">
        <f aca="false">ExportRaw!$B408</f>
        <v/>
      </c>
    </row>
    <row r="409" customFormat="false" ht="15.75" hidden="false" customHeight="false" outlineLevel="0" collapsed="false">
      <c r="A409" s="113" t="n">
        <f aca="false">ExportRaw!$F409</f>
        <v>0</v>
      </c>
      <c r="B409" s="113" t="n">
        <f aca="false">ExportRaw!$C409</f>
        <v>0</v>
      </c>
      <c r="C409" s="113" t="n">
        <f aca="false">ExportRaw!$G409</f>
        <v>0</v>
      </c>
      <c r="D409" s="113" t="str">
        <f aca="false">ExportRaw!$E409</f>
        <v/>
      </c>
      <c r="E409" s="114" t="str">
        <f aca="false">ExportRaw!$D409</f>
        <v/>
      </c>
      <c r="F409" s="113" t="str">
        <f aca="false">ExportRaw!$H409</f>
        <v/>
      </c>
      <c r="G409" s="113" t="str">
        <f aca="false">ExportRaw!$I409</f>
        <v/>
      </c>
      <c r="H409" s="113" t="str">
        <f aca="false">ExportRaw!$A409</f>
        <v/>
      </c>
      <c r="I409" s="113" t="str">
        <f aca="false">ExportRaw!$B409</f>
        <v/>
      </c>
    </row>
    <row r="410" customFormat="false" ht="15.75" hidden="false" customHeight="false" outlineLevel="0" collapsed="false">
      <c r="A410" s="113" t="n">
        <f aca="false">ExportRaw!$F410</f>
        <v>0</v>
      </c>
      <c r="B410" s="113" t="n">
        <f aca="false">ExportRaw!$C410</f>
        <v>0</v>
      </c>
      <c r="C410" s="113" t="n">
        <f aca="false">ExportRaw!$G410</f>
        <v>0</v>
      </c>
      <c r="D410" s="113" t="str">
        <f aca="false">ExportRaw!$E410</f>
        <v/>
      </c>
      <c r="E410" s="114" t="str">
        <f aca="false">ExportRaw!$D410</f>
        <v/>
      </c>
      <c r="F410" s="113" t="str">
        <f aca="false">ExportRaw!$H410</f>
        <v/>
      </c>
      <c r="G410" s="113" t="str">
        <f aca="false">ExportRaw!$I410</f>
        <v/>
      </c>
      <c r="H410" s="113" t="str">
        <f aca="false">ExportRaw!$A410</f>
        <v/>
      </c>
      <c r="I410" s="113" t="str">
        <f aca="false">ExportRaw!$B410</f>
        <v/>
      </c>
    </row>
    <row r="411" customFormat="false" ht="15.75" hidden="false" customHeight="false" outlineLevel="0" collapsed="false">
      <c r="A411" s="113" t="n">
        <f aca="false">ExportRaw!$F411</f>
        <v>0</v>
      </c>
      <c r="B411" s="113" t="n">
        <f aca="false">ExportRaw!$C411</f>
        <v>0</v>
      </c>
      <c r="C411" s="113" t="n">
        <f aca="false">ExportRaw!$G411</f>
        <v>0</v>
      </c>
      <c r="D411" s="113" t="str">
        <f aca="false">ExportRaw!$E411</f>
        <v/>
      </c>
      <c r="E411" s="114" t="str">
        <f aca="false">ExportRaw!$D411</f>
        <v/>
      </c>
      <c r="F411" s="113" t="str">
        <f aca="false">ExportRaw!$H411</f>
        <v/>
      </c>
      <c r="G411" s="113" t="str">
        <f aca="false">ExportRaw!$I411</f>
        <v/>
      </c>
      <c r="H411" s="113" t="str">
        <f aca="false">ExportRaw!$A411</f>
        <v/>
      </c>
      <c r="I411" s="113" t="str">
        <f aca="false">ExportRaw!$B411</f>
        <v/>
      </c>
    </row>
    <row r="412" customFormat="false" ht="15.75" hidden="false" customHeight="false" outlineLevel="0" collapsed="false">
      <c r="A412" s="113" t="n">
        <f aca="false">ExportRaw!$F412</f>
        <v>0</v>
      </c>
      <c r="B412" s="113" t="n">
        <f aca="false">ExportRaw!$C412</f>
        <v>0</v>
      </c>
      <c r="C412" s="113" t="n">
        <f aca="false">ExportRaw!$G412</f>
        <v>0</v>
      </c>
      <c r="D412" s="113" t="str">
        <f aca="false">ExportRaw!$E412</f>
        <v/>
      </c>
      <c r="E412" s="114" t="str">
        <f aca="false">ExportRaw!$D412</f>
        <v/>
      </c>
      <c r="F412" s="113" t="str">
        <f aca="false">ExportRaw!$H412</f>
        <v/>
      </c>
      <c r="G412" s="113" t="str">
        <f aca="false">ExportRaw!$I412</f>
        <v/>
      </c>
      <c r="H412" s="113" t="str">
        <f aca="false">ExportRaw!$A412</f>
        <v/>
      </c>
      <c r="I412" s="113" t="str">
        <f aca="false">ExportRaw!$B412</f>
        <v/>
      </c>
    </row>
    <row r="413" customFormat="false" ht="15.75" hidden="false" customHeight="false" outlineLevel="0" collapsed="false">
      <c r="A413" s="113" t="n">
        <f aca="false">ExportRaw!$F413</f>
        <v>0</v>
      </c>
      <c r="B413" s="113" t="n">
        <f aca="false">ExportRaw!$C413</f>
        <v>0</v>
      </c>
      <c r="C413" s="113" t="n">
        <f aca="false">ExportRaw!$G413</f>
        <v>0</v>
      </c>
      <c r="D413" s="113" t="str">
        <f aca="false">ExportRaw!$E413</f>
        <v/>
      </c>
      <c r="E413" s="114" t="str">
        <f aca="false">ExportRaw!$D413</f>
        <v/>
      </c>
      <c r="F413" s="113" t="str">
        <f aca="false">ExportRaw!$H413</f>
        <v/>
      </c>
      <c r="G413" s="113" t="str">
        <f aca="false">ExportRaw!$I413</f>
        <v/>
      </c>
      <c r="H413" s="113" t="str">
        <f aca="false">ExportRaw!$A413</f>
        <v/>
      </c>
      <c r="I413" s="113" t="str">
        <f aca="false">ExportRaw!$B413</f>
        <v/>
      </c>
    </row>
    <row r="414" customFormat="false" ht="15.75" hidden="false" customHeight="false" outlineLevel="0" collapsed="false">
      <c r="A414" s="113" t="n">
        <f aca="false">ExportRaw!$F414</f>
        <v>0</v>
      </c>
      <c r="B414" s="113" t="n">
        <f aca="false">ExportRaw!$C414</f>
        <v>0</v>
      </c>
      <c r="C414" s="113" t="n">
        <f aca="false">ExportRaw!$G414</f>
        <v>0</v>
      </c>
      <c r="D414" s="113" t="str">
        <f aca="false">ExportRaw!$E414</f>
        <v/>
      </c>
      <c r="E414" s="114" t="str">
        <f aca="false">ExportRaw!$D414</f>
        <v/>
      </c>
      <c r="F414" s="113" t="str">
        <f aca="false">ExportRaw!$H414</f>
        <v/>
      </c>
      <c r="G414" s="113" t="str">
        <f aca="false">ExportRaw!$I414</f>
        <v/>
      </c>
      <c r="H414" s="113" t="str">
        <f aca="false">ExportRaw!$A414</f>
        <v/>
      </c>
      <c r="I414" s="113" t="str">
        <f aca="false">ExportRaw!$B414</f>
        <v/>
      </c>
    </row>
    <row r="415" customFormat="false" ht="15.75" hidden="false" customHeight="false" outlineLevel="0" collapsed="false">
      <c r="A415" s="113" t="n">
        <f aca="false">ExportRaw!$F415</f>
        <v>0</v>
      </c>
      <c r="B415" s="113" t="n">
        <f aca="false">ExportRaw!$C415</f>
        <v>0</v>
      </c>
      <c r="C415" s="113" t="n">
        <f aca="false">ExportRaw!$G415</f>
        <v>0</v>
      </c>
      <c r="D415" s="113" t="str">
        <f aca="false">ExportRaw!$E415</f>
        <v/>
      </c>
      <c r="E415" s="114" t="str">
        <f aca="false">ExportRaw!$D415</f>
        <v/>
      </c>
      <c r="F415" s="113" t="str">
        <f aca="false">ExportRaw!$H415</f>
        <v/>
      </c>
      <c r="G415" s="113" t="str">
        <f aca="false">ExportRaw!$I415</f>
        <v/>
      </c>
      <c r="H415" s="113" t="str">
        <f aca="false">ExportRaw!$A415</f>
        <v/>
      </c>
      <c r="I415" s="113" t="str">
        <f aca="false">ExportRaw!$B415</f>
        <v/>
      </c>
    </row>
    <row r="416" customFormat="false" ht="15.75" hidden="false" customHeight="false" outlineLevel="0" collapsed="false">
      <c r="A416" s="113" t="n">
        <f aca="false">ExportRaw!$F416</f>
        <v>0</v>
      </c>
      <c r="B416" s="113" t="n">
        <f aca="false">ExportRaw!$C416</f>
        <v>0</v>
      </c>
      <c r="C416" s="113" t="n">
        <f aca="false">ExportRaw!$G416</f>
        <v>0</v>
      </c>
      <c r="D416" s="113" t="str">
        <f aca="false">ExportRaw!$E416</f>
        <v/>
      </c>
      <c r="E416" s="114" t="str">
        <f aca="false">ExportRaw!$D416</f>
        <v/>
      </c>
      <c r="F416" s="113" t="str">
        <f aca="false">ExportRaw!$H416</f>
        <v/>
      </c>
      <c r="G416" s="113" t="str">
        <f aca="false">ExportRaw!$I416</f>
        <v/>
      </c>
      <c r="H416" s="113" t="str">
        <f aca="false">ExportRaw!$A416</f>
        <v/>
      </c>
      <c r="I416" s="113" t="str">
        <f aca="false">ExportRaw!$B416</f>
        <v/>
      </c>
    </row>
    <row r="417" customFormat="false" ht="15.75" hidden="false" customHeight="false" outlineLevel="0" collapsed="false">
      <c r="A417" s="113" t="n">
        <f aca="false">ExportRaw!$F417</f>
        <v>0</v>
      </c>
      <c r="B417" s="113" t="n">
        <f aca="false">ExportRaw!$C417</f>
        <v>0</v>
      </c>
      <c r="C417" s="113" t="n">
        <f aca="false">ExportRaw!$G417</f>
        <v>0</v>
      </c>
      <c r="D417" s="113" t="str">
        <f aca="false">ExportRaw!$E417</f>
        <v/>
      </c>
      <c r="E417" s="114" t="str">
        <f aca="false">ExportRaw!$D417</f>
        <v/>
      </c>
      <c r="F417" s="113" t="str">
        <f aca="false">ExportRaw!$H417</f>
        <v/>
      </c>
      <c r="G417" s="113" t="str">
        <f aca="false">ExportRaw!$I417</f>
        <v/>
      </c>
      <c r="H417" s="113" t="str">
        <f aca="false">ExportRaw!$A417</f>
        <v/>
      </c>
      <c r="I417" s="113" t="str">
        <f aca="false">ExportRaw!$B417</f>
        <v/>
      </c>
    </row>
    <row r="418" customFormat="false" ht="15.75" hidden="false" customHeight="false" outlineLevel="0" collapsed="false">
      <c r="A418" s="113" t="n">
        <f aca="false">ExportRaw!$F418</f>
        <v>0</v>
      </c>
      <c r="B418" s="113" t="n">
        <f aca="false">ExportRaw!$C418</f>
        <v>0</v>
      </c>
      <c r="C418" s="113" t="n">
        <f aca="false">ExportRaw!$G418</f>
        <v>0</v>
      </c>
      <c r="D418" s="113" t="str">
        <f aca="false">ExportRaw!$E418</f>
        <v/>
      </c>
      <c r="E418" s="114" t="str">
        <f aca="false">ExportRaw!$D418</f>
        <v/>
      </c>
      <c r="F418" s="113" t="str">
        <f aca="false">ExportRaw!$H418</f>
        <v/>
      </c>
      <c r="G418" s="113" t="str">
        <f aca="false">ExportRaw!$I418</f>
        <v/>
      </c>
      <c r="H418" s="113" t="str">
        <f aca="false">ExportRaw!$A418</f>
        <v/>
      </c>
      <c r="I418" s="113" t="str">
        <f aca="false">ExportRaw!$B418</f>
        <v/>
      </c>
    </row>
    <row r="419" customFormat="false" ht="15.75" hidden="false" customHeight="false" outlineLevel="0" collapsed="false">
      <c r="A419" s="113" t="n">
        <f aca="false">ExportRaw!$F419</f>
        <v>0</v>
      </c>
      <c r="B419" s="113" t="n">
        <f aca="false">ExportRaw!$C419</f>
        <v>0</v>
      </c>
      <c r="C419" s="113" t="n">
        <f aca="false">ExportRaw!$G419</f>
        <v>0</v>
      </c>
      <c r="D419" s="113" t="str">
        <f aca="false">ExportRaw!$E419</f>
        <v/>
      </c>
      <c r="E419" s="114" t="str">
        <f aca="false">ExportRaw!$D419</f>
        <v/>
      </c>
      <c r="F419" s="113" t="str">
        <f aca="false">ExportRaw!$H419</f>
        <v/>
      </c>
      <c r="G419" s="113" t="str">
        <f aca="false">ExportRaw!$I419</f>
        <v/>
      </c>
      <c r="H419" s="113" t="str">
        <f aca="false">ExportRaw!$A419</f>
        <v/>
      </c>
      <c r="I419" s="113" t="str">
        <f aca="false">ExportRaw!$B419</f>
        <v/>
      </c>
    </row>
    <row r="420" customFormat="false" ht="15.75" hidden="false" customHeight="false" outlineLevel="0" collapsed="false">
      <c r="A420" s="113" t="n">
        <f aca="false">ExportRaw!$F420</f>
        <v>0</v>
      </c>
      <c r="B420" s="113" t="n">
        <f aca="false">ExportRaw!$C420</f>
        <v>0</v>
      </c>
      <c r="C420" s="113" t="n">
        <f aca="false">ExportRaw!$G420</f>
        <v>0</v>
      </c>
      <c r="D420" s="113" t="str">
        <f aca="false">ExportRaw!$E420</f>
        <v/>
      </c>
      <c r="E420" s="114" t="str">
        <f aca="false">ExportRaw!$D420</f>
        <v/>
      </c>
      <c r="F420" s="113" t="str">
        <f aca="false">ExportRaw!$H420</f>
        <v/>
      </c>
      <c r="G420" s="113" t="str">
        <f aca="false">ExportRaw!$I420</f>
        <v/>
      </c>
      <c r="H420" s="113" t="str">
        <f aca="false">ExportRaw!$A420</f>
        <v/>
      </c>
      <c r="I420" s="113" t="str">
        <f aca="false">ExportRaw!$B420</f>
        <v/>
      </c>
    </row>
    <row r="421" customFormat="false" ht="15.75" hidden="false" customHeight="false" outlineLevel="0" collapsed="false">
      <c r="A421" s="113" t="n">
        <f aca="false">ExportRaw!$F421</f>
        <v>0</v>
      </c>
      <c r="B421" s="113" t="n">
        <f aca="false">ExportRaw!$C421</f>
        <v>0</v>
      </c>
      <c r="C421" s="113" t="n">
        <f aca="false">ExportRaw!$G421</f>
        <v>0</v>
      </c>
      <c r="D421" s="113" t="str">
        <f aca="false">ExportRaw!$E421</f>
        <v/>
      </c>
      <c r="E421" s="114" t="str">
        <f aca="false">ExportRaw!$D421</f>
        <v/>
      </c>
      <c r="F421" s="113" t="str">
        <f aca="false">ExportRaw!$H421</f>
        <v/>
      </c>
      <c r="G421" s="113" t="str">
        <f aca="false">ExportRaw!$I421</f>
        <v/>
      </c>
      <c r="H421" s="113" t="str">
        <f aca="false">ExportRaw!$A421</f>
        <v/>
      </c>
      <c r="I421" s="113" t="str">
        <f aca="false">ExportRaw!$B421</f>
        <v/>
      </c>
    </row>
    <row r="422" customFormat="false" ht="15.75" hidden="false" customHeight="false" outlineLevel="0" collapsed="false">
      <c r="A422" s="113" t="n">
        <f aca="false">ExportRaw!$F422</f>
        <v>0</v>
      </c>
      <c r="B422" s="113" t="n">
        <f aca="false">ExportRaw!$C422</f>
        <v>0</v>
      </c>
      <c r="C422" s="113" t="n">
        <f aca="false">ExportRaw!$G422</f>
        <v>0</v>
      </c>
      <c r="D422" s="113" t="str">
        <f aca="false">ExportRaw!$E422</f>
        <v/>
      </c>
      <c r="E422" s="114" t="str">
        <f aca="false">ExportRaw!$D422</f>
        <v/>
      </c>
      <c r="F422" s="113" t="str">
        <f aca="false">ExportRaw!$H422</f>
        <v/>
      </c>
      <c r="G422" s="113" t="str">
        <f aca="false">ExportRaw!$I422</f>
        <v/>
      </c>
      <c r="H422" s="113" t="str">
        <f aca="false">ExportRaw!$A422</f>
        <v/>
      </c>
      <c r="I422" s="113" t="str">
        <f aca="false">ExportRaw!$B422</f>
        <v/>
      </c>
    </row>
    <row r="423" customFormat="false" ht="15.75" hidden="false" customHeight="false" outlineLevel="0" collapsed="false">
      <c r="A423" s="113" t="n">
        <f aca="false">ExportRaw!$F423</f>
        <v>0</v>
      </c>
      <c r="B423" s="113" t="n">
        <f aca="false">ExportRaw!$C423</f>
        <v>0</v>
      </c>
      <c r="C423" s="113" t="n">
        <f aca="false">ExportRaw!$G423</f>
        <v>0</v>
      </c>
      <c r="D423" s="113" t="str">
        <f aca="false">ExportRaw!$E423</f>
        <v/>
      </c>
      <c r="E423" s="114" t="str">
        <f aca="false">ExportRaw!$D423</f>
        <v/>
      </c>
      <c r="F423" s="113" t="str">
        <f aca="false">ExportRaw!$H423</f>
        <v/>
      </c>
      <c r="G423" s="113" t="str">
        <f aca="false">ExportRaw!$I423</f>
        <v/>
      </c>
      <c r="H423" s="113" t="str">
        <f aca="false">ExportRaw!$A423</f>
        <v/>
      </c>
      <c r="I423" s="113" t="str">
        <f aca="false">ExportRaw!$B423</f>
        <v/>
      </c>
    </row>
    <row r="424" customFormat="false" ht="15.75" hidden="false" customHeight="false" outlineLevel="0" collapsed="false">
      <c r="A424" s="113" t="n">
        <f aca="false">ExportRaw!$F424</f>
        <v>0</v>
      </c>
      <c r="B424" s="113" t="n">
        <f aca="false">ExportRaw!$C424</f>
        <v>0</v>
      </c>
      <c r="C424" s="113" t="n">
        <f aca="false">ExportRaw!$G424</f>
        <v>0</v>
      </c>
      <c r="D424" s="113" t="str">
        <f aca="false">ExportRaw!$E424</f>
        <v/>
      </c>
      <c r="E424" s="114" t="str">
        <f aca="false">ExportRaw!$D424</f>
        <v/>
      </c>
      <c r="F424" s="113" t="str">
        <f aca="false">ExportRaw!$H424</f>
        <v/>
      </c>
      <c r="G424" s="113" t="str">
        <f aca="false">ExportRaw!$I424</f>
        <v/>
      </c>
      <c r="H424" s="113" t="str">
        <f aca="false">ExportRaw!$A424</f>
        <v/>
      </c>
      <c r="I424" s="113" t="str">
        <f aca="false">ExportRaw!$B424</f>
        <v/>
      </c>
    </row>
    <row r="425" customFormat="false" ht="15.75" hidden="false" customHeight="false" outlineLevel="0" collapsed="false">
      <c r="A425" s="113" t="n">
        <f aca="false">ExportRaw!$F425</f>
        <v>0</v>
      </c>
      <c r="B425" s="113" t="n">
        <f aca="false">ExportRaw!$C425</f>
        <v>0</v>
      </c>
      <c r="C425" s="113" t="n">
        <f aca="false">ExportRaw!$G425</f>
        <v>0</v>
      </c>
      <c r="D425" s="113" t="str">
        <f aca="false">ExportRaw!$E425</f>
        <v/>
      </c>
      <c r="E425" s="114" t="str">
        <f aca="false">ExportRaw!$D425</f>
        <v/>
      </c>
      <c r="F425" s="113" t="str">
        <f aca="false">ExportRaw!$H425</f>
        <v/>
      </c>
      <c r="G425" s="113" t="str">
        <f aca="false">ExportRaw!$I425</f>
        <v/>
      </c>
      <c r="H425" s="113" t="str">
        <f aca="false">ExportRaw!$A425</f>
        <v/>
      </c>
      <c r="I425" s="113" t="str">
        <f aca="false">ExportRaw!$B425</f>
        <v/>
      </c>
    </row>
    <row r="426" customFormat="false" ht="15.75" hidden="false" customHeight="false" outlineLevel="0" collapsed="false">
      <c r="A426" s="113" t="n">
        <f aca="false">ExportRaw!$F426</f>
        <v>0</v>
      </c>
      <c r="B426" s="113" t="n">
        <f aca="false">ExportRaw!$C426</f>
        <v>0</v>
      </c>
      <c r="C426" s="113" t="n">
        <f aca="false">ExportRaw!$G426</f>
        <v>0</v>
      </c>
      <c r="D426" s="113" t="str">
        <f aca="false">ExportRaw!$E426</f>
        <v/>
      </c>
      <c r="E426" s="114" t="str">
        <f aca="false">ExportRaw!$D426</f>
        <v/>
      </c>
      <c r="F426" s="113" t="str">
        <f aca="false">ExportRaw!$H426</f>
        <v/>
      </c>
      <c r="G426" s="113" t="str">
        <f aca="false">ExportRaw!$I426</f>
        <v/>
      </c>
      <c r="H426" s="113" t="str">
        <f aca="false">ExportRaw!$A426</f>
        <v/>
      </c>
      <c r="I426" s="113" t="str">
        <f aca="false">ExportRaw!$B426</f>
        <v/>
      </c>
    </row>
    <row r="427" customFormat="false" ht="15.75" hidden="false" customHeight="false" outlineLevel="0" collapsed="false">
      <c r="A427" s="113" t="n">
        <f aca="false">ExportRaw!$F427</f>
        <v>0</v>
      </c>
      <c r="B427" s="113" t="n">
        <f aca="false">ExportRaw!$C427</f>
        <v>0</v>
      </c>
      <c r="C427" s="113" t="n">
        <f aca="false">ExportRaw!$G427</f>
        <v>0</v>
      </c>
      <c r="D427" s="113" t="str">
        <f aca="false">ExportRaw!$E427</f>
        <v/>
      </c>
      <c r="E427" s="114" t="str">
        <f aca="false">ExportRaw!$D427</f>
        <v/>
      </c>
      <c r="F427" s="113" t="str">
        <f aca="false">ExportRaw!$H427</f>
        <v/>
      </c>
      <c r="G427" s="113" t="str">
        <f aca="false">ExportRaw!$I427</f>
        <v/>
      </c>
      <c r="H427" s="113" t="str">
        <f aca="false">ExportRaw!$A427</f>
        <v/>
      </c>
      <c r="I427" s="113" t="str">
        <f aca="false">ExportRaw!$B427</f>
        <v/>
      </c>
    </row>
    <row r="428" customFormat="false" ht="15.75" hidden="false" customHeight="false" outlineLevel="0" collapsed="false">
      <c r="A428" s="113" t="n">
        <f aca="false">ExportRaw!$F428</f>
        <v>0</v>
      </c>
      <c r="B428" s="113" t="n">
        <f aca="false">ExportRaw!$C428</f>
        <v>0</v>
      </c>
      <c r="C428" s="113" t="n">
        <f aca="false">ExportRaw!$G428</f>
        <v>0</v>
      </c>
      <c r="D428" s="113" t="str">
        <f aca="false">ExportRaw!$E428</f>
        <v/>
      </c>
      <c r="E428" s="114" t="str">
        <f aca="false">ExportRaw!$D428</f>
        <v/>
      </c>
      <c r="F428" s="113" t="str">
        <f aca="false">ExportRaw!$H428</f>
        <v/>
      </c>
      <c r="G428" s="113" t="str">
        <f aca="false">ExportRaw!$I428</f>
        <v/>
      </c>
      <c r="H428" s="113" t="str">
        <f aca="false">ExportRaw!$A428</f>
        <v/>
      </c>
      <c r="I428" s="113" t="str">
        <f aca="false">ExportRaw!$B428</f>
        <v/>
      </c>
    </row>
    <row r="429" customFormat="false" ht="15.75" hidden="false" customHeight="false" outlineLevel="0" collapsed="false">
      <c r="A429" s="113" t="n">
        <f aca="false">ExportRaw!$F429</f>
        <v>0</v>
      </c>
      <c r="B429" s="113" t="n">
        <f aca="false">ExportRaw!$C429</f>
        <v>0</v>
      </c>
      <c r="C429" s="113" t="n">
        <f aca="false">ExportRaw!$G429</f>
        <v>0</v>
      </c>
      <c r="D429" s="113" t="str">
        <f aca="false">ExportRaw!$E429</f>
        <v/>
      </c>
      <c r="E429" s="114" t="str">
        <f aca="false">ExportRaw!$D429</f>
        <v/>
      </c>
      <c r="F429" s="113" t="str">
        <f aca="false">ExportRaw!$H429</f>
        <v/>
      </c>
      <c r="G429" s="113" t="str">
        <f aca="false">ExportRaw!$I429</f>
        <v/>
      </c>
      <c r="H429" s="113" t="str">
        <f aca="false">ExportRaw!$A429</f>
        <v/>
      </c>
      <c r="I429" s="113" t="str">
        <f aca="false">ExportRaw!$B429</f>
        <v/>
      </c>
    </row>
    <row r="430" customFormat="false" ht="15.75" hidden="false" customHeight="false" outlineLevel="0" collapsed="false">
      <c r="A430" s="113" t="n">
        <f aca="false">ExportRaw!$F430</f>
        <v>0</v>
      </c>
      <c r="B430" s="113" t="n">
        <f aca="false">ExportRaw!$C430</f>
        <v>0</v>
      </c>
      <c r="C430" s="113" t="n">
        <f aca="false">ExportRaw!$G430</f>
        <v>0</v>
      </c>
      <c r="D430" s="113" t="str">
        <f aca="false">ExportRaw!$E430</f>
        <v/>
      </c>
      <c r="E430" s="114" t="str">
        <f aca="false">ExportRaw!$D430</f>
        <v/>
      </c>
      <c r="F430" s="113" t="str">
        <f aca="false">ExportRaw!$H430</f>
        <v/>
      </c>
      <c r="G430" s="113" t="str">
        <f aca="false">ExportRaw!$I430</f>
        <v/>
      </c>
      <c r="H430" s="113" t="str">
        <f aca="false">ExportRaw!$A430</f>
        <v/>
      </c>
      <c r="I430" s="113" t="str">
        <f aca="false">ExportRaw!$B430</f>
        <v/>
      </c>
    </row>
    <row r="431" customFormat="false" ht="15.75" hidden="false" customHeight="false" outlineLevel="0" collapsed="false">
      <c r="A431" s="113" t="n">
        <f aca="false">ExportRaw!$F431</f>
        <v>0</v>
      </c>
      <c r="B431" s="113" t="n">
        <f aca="false">ExportRaw!$C431</f>
        <v>0</v>
      </c>
      <c r="C431" s="113" t="n">
        <f aca="false">ExportRaw!$G431</f>
        <v>0</v>
      </c>
      <c r="D431" s="113" t="str">
        <f aca="false">ExportRaw!$E431</f>
        <v/>
      </c>
      <c r="E431" s="114" t="str">
        <f aca="false">ExportRaw!$D431</f>
        <v/>
      </c>
      <c r="F431" s="113" t="str">
        <f aca="false">ExportRaw!$H431</f>
        <v/>
      </c>
      <c r="G431" s="113" t="str">
        <f aca="false">ExportRaw!$I431</f>
        <v/>
      </c>
      <c r="H431" s="113" t="str">
        <f aca="false">ExportRaw!$A431</f>
        <v/>
      </c>
      <c r="I431" s="113" t="str">
        <f aca="false">ExportRaw!$B431</f>
        <v/>
      </c>
    </row>
    <row r="432" customFormat="false" ht="15.75" hidden="false" customHeight="false" outlineLevel="0" collapsed="false">
      <c r="A432" s="113" t="n">
        <f aca="false">ExportRaw!$F432</f>
        <v>0</v>
      </c>
      <c r="B432" s="113" t="n">
        <f aca="false">ExportRaw!$C432</f>
        <v>0</v>
      </c>
      <c r="C432" s="113" t="n">
        <f aca="false">ExportRaw!$G432</f>
        <v>0</v>
      </c>
      <c r="D432" s="113" t="str">
        <f aca="false">ExportRaw!$E432</f>
        <v/>
      </c>
      <c r="E432" s="114" t="str">
        <f aca="false">ExportRaw!$D432</f>
        <v/>
      </c>
      <c r="F432" s="113" t="str">
        <f aca="false">ExportRaw!$H432</f>
        <v/>
      </c>
      <c r="G432" s="113" t="str">
        <f aca="false">ExportRaw!$I432</f>
        <v/>
      </c>
      <c r="H432" s="113" t="str">
        <f aca="false">ExportRaw!$A432</f>
        <v/>
      </c>
      <c r="I432" s="113" t="str">
        <f aca="false">ExportRaw!$B432</f>
        <v/>
      </c>
    </row>
    <row r="433" customFormat="false" ht="15.75" hidden="false" customHeight="false" outlineLevel="0" collapsed="false">
      <c r="A433" s="113" t="n">
        <f aca="false">ExportRaw!$F433</f>
        <v>0</v>
      </c>
      <c r="B433" s="113" t="n">
        <f aca="false">ExportRaw!$C433</f>
        <v>0</v>
      </c>
      <c r="C433" s="113" t="n">
        <f aca="false">ExportRaw!$G433</f>
        <v>0</v>
      </c>
      <c r="D433" s="113" t="str">
        <f aca="false">ExportRaw!$E433</f>
        <v/>
      </c>
      <c r="E433" s="114" t="str">
        <f aca="false">ExportRaw!$D433</f>
        <v/>
      </c>
      <c r="F433" s="113" t="str">
        <f aca="false">ExportRaw!$H433</f>
        <v/>
      </c>
      <c r="G433" s="113" t="str">
        <f aca="false">ExportRaw!$I433</f>
        <v/>
      </c>
      <c r="H433" s="113" t="str">
        <f aca="false">ExportRaw!$A433</f>
        <v/>
      </c>
      <c r="I433" s="113" t="str">
        <f aca="false">ExportRaw!$B433</f>
        <v/>
      </c>
    </row>
    <row r="434" customFormat="false" ht="15.75" hidden="false" customHeight="false" outlineLevel="0" collapsed="false">
      <c r="A434" s="113" t="n">
        <f aca="false">ExportRaw!$F434</f>
        <v>0</v>
      </c>
      <c r="B434" s="113" t="n">
        <f aca="false">ExportRaw!$C434</f>
        <v>0</v>
      </c>
      <c r="C434" s="113" t="n">
        <f aca="false">ExportRaw!$G434</f>
        <v>0</v>
      </c>
      <c r="D434" s="113" t="str">
        <f aca="false">ExportRaw!$E434</f>
        <v/>
      </c>
      <c r="E434" s="114" t="str">
        <f aca="false">ExportRaw!$D434</f>
        <v/>
      </c>
      <c r="F434" s="113" t="str">
        <f aca="false">ExportRaw!$H434</f>
        <v/>
      </c>
      <c r="G434" s="113" t="str">
        <f aca="false">ExportRaw!$I434</f>
        <v/>
      </c>
      <c r="H434" s="113" t="str">
        <f aca="false">ExportRaw!$A434</f>
        <v/>
      </c>
      <c r="I434" s="113" t="str">
        <f aca="false">ExportRaw!$B434</f>
        <v/>
      </c>
    </row>
    <row r="435" customFormat="false" ht="15.75" hidden="false" customHeight="false" outlineLevel="0" collapsed="false">
      <c r="A435" s="113" t="n">
        <f aca="false">ExportRaw!$F435</f>
        <v>0</v>
      </c>
      <c r="B435" s="113" t="n">
        <f aca="false">ExportRaw!$C435</f>
        <v>0</v>
      </c>
      <c r="C435" s="113" t="n">
        <f aca="false">ExportRaw!$G435</f>
        <v>0</v>
      </c>
      <c r="D435" s="113" t="str">
        <f aca="false">ExportRaw!$E435</f>
        <v/>
      </c>
      <c r="E435" s="114" t="str">
        <f aca="false">ExportRaw!$D435</f>
        <v/>
      </c>
      <c r="F435" s="113" t="str">
        <f aca="false">ExportRaw!$H435</f>
        <v/>
      </c>
      <c r="G435" s="113" t="str">
        <f aca="false">ExportRaw!$I435</f>
        <v/>
      </c>
      <c r="H435" s="113" t="str">
        <f aca="false">ExportRaw!$A435</f>
        <v/>
      </c>
      <c r="I435" s="113" t="str">
        <f aca="false">ExportRaw!$B435</f>
        <v/>
      </c>
    </row>
    <row r="436" customFormat="false" ht="15.75" hidden="false" customHeight="false" outlineLevel="0" collapsed="false">
      <c r="A436" s="113" t="n">
        <f aca="false">ExportRaw!$F436</f>
        <v>0</v>
      </c>
      <c r="B436" s="113" t="n">
        <f aca="false">ExportRaw!$C436</f>
        <v>0</v>
      </c>
      <c r="C436" s="113" t="n">
        <f aca="false">ExportRaw!$G436</f>
        <v>0</v>
      </c>
      <c r="D436" s="113" t="str">
        <f aca="false">ExportRaw!$E436</f>
        <v/>
      </c>
      <c r="E436" s="114" t="str">
        <f aca="false">ExportRaw!$D436</f>
        <v/>
      </c>
      <c r="F436" s="113" t="str">
        <f aca="false">ExportRaw!$H436</f>
        <v/>
      </c>
      <c r="G436" s="113" t="str">
        <f aca="false">ExportRaw!$I436</f>
        <v/>
      </c>
      <c r="H436" s="113" t="str">
        <f aca="false">ExportRaw!$A436</f>
        <v/>
      </c>
      <c r="I436" s="113" t="str">
        <f aca="false">ExportRaw!$B436</f>
        <v/>
      </c>
    </row>
    <row r="437" customFormat="false" ht="15.75" hidden="false" customHeight="false" outlineLevel="0" collapsed="false">
      <c r="A437" s="113" t="n">
        <f aca="false">ExportRaw!$F437</f>
        <v>0</v>
      </c>
      <c r="B437" s="113" t="n">
        <f aca="false">ExportRaw!$C437</f>
        <v>0</v>
      </c>
      <c r="C437" s="113" t="n">
        <f aca="false">ExportRaw!$G437</f>
        <v>0</v>
      </c>
      <c r="D437" s="113" t="str">
        <f aca="false">ExportRaw!$E437</f>
        <v/>
      </c>
      <c r="E437" s="114" t="str">
        <f aca="false">ExportRaw!$D437</f>
        <v/>
      </c>
      <c r="F437" s="113" t="str">
        <f aca="false">ExportRaw!$H437</f>
        <v/>
      </c>
      <c r="G437" s="113" t="str">
        <f aca="false">ExportRaw!$I437</f>
        <v/>
      </c>
      <c r="H437" s="113" t="str">
        <f aca="false">ExportRaw!$A437</f>
        <v/>
      </c>
      <c r="I437" s="113" t="str">
        <f aca="false">ExportRaw!$B437</f>
        <v/>
      </c>
    </row>
    <row r="438" customFormat="false" ht="15.75" hidden="false" customHeight="false" outlineLevel="0" collapsed="false">
      <c r="A438" s="113" t="n">
        <f aca="false">ExportRaw!$F438</f>
        <v>0</v>
      </c>
      <c r="B438" s="113" t="n">
        <f aca="false">ExportRaw!$C438</f>
        <v>0</v>
      </c>
      <c r="C438" s="113" t="n">
        <f aca="false">ExportRaw!$G438</f>
        <v>0</v>
      </c>
      <c r="D438" s="113" t="str">
        <f aca="false">ExportRaw!$E438</f>
        <v/>
      </c>
      <c r="E438" s="114" t="str">
        <f aca="false">ExportRaw!$D438</f>
        <v/>
      </c>
      <c r="F438" s="113" t="str">
        <f aca="false">ExportRaw!$H438</f>
        <v/>
      </c>
      <c r="G438" s="113" t="str">
        <f aca="false">ExportRaw!$I438</f>
        <v/>
      </c>
      <c r="H438" s="113" t="str">
        <f aca="false">ExportRaw!$A438</f>
        <v/>
      </c>
      <c r="I438" s="113" t="str">
        <f aca="false">ExportRaw!$B438</f>
        <v/>
      </c>
    </row>
    <row r="439" customFormat="false" ht="15.75" hidden="false" customHeight="false" outlineLevel="0" collapsed="false">
      <c r="A439" s="113" t="n">
        <f aca="false">ExportRaw!$F439</f>
        <v>0</v>
      </c>
      <c r="B439" s="113" t="n">
        <f aca="false">ExportRaw!$C439</f>
        <v>0</v>
      </c>
      <c r="C439" s="113" t="n">
        <f aca="false">ExportRaw!$G439</f>
        <v>0</v>
      </c>
      <c r="D439" s="113" t="str">
        <f aca="false">ExportRaw!$E439</f>
        <v/>
      </c>
      <c r="E439" s="114" t="str">
        <f aca="false">ExportRaw!$D439</f>
        <v/>
      </c>
      <c r="F439" s="113" t="str">
        <f aca="false">ExportRaw!$H439</f>
        <v/>
      </c>
      <c r="G439" s="113" t="str">
        <f aca="false">ExportRaw!$I439</f>
        <v/>
      </c>
      <c r="H439" s="113" t="str">
        <f aca="false">ExportRaw!$A439</f>
        <v/>
      </c>
      <c r="I439" s="113" t="str">
        <f aca="false">ExportRaw!$B439</f>
        <v/>
      </c>
    </row>
    <row r="440" customFormat="false" ht="15.75" hidden="false" customHeight="false" outlineLevel="0" collapsed="false">
      <c r="A440" s="113" t="n">
        <f aca="false">ExportRaw!$F440</f>
        <v>0</v>
      </c>
      <c r="B440" s="113" t="n">
        <f aca="false">ExportRaw!$C440</f>
        <v>0</v>
      </c>
      <c r="C440" s="113" t="n">
        <f aca="false">ExportRaw!$G440</f>
        <v>0</v>
      </c>
      <c r="D440" s="113" t="str">
        <f aca="false">ExportRaw!$E440</f>
        <v/>
      </c>
      <c r="E440" s="114" t="str">
        <f aca="false">ExportRaw!$D440</f>
        <v/>
      </c>
      <c r="F440" s="113" t="str">
        <f aca="false">ExportRaw!$H440</f>
        <v/>
      </c>
      <c r="G440" s="113" t="str">
        <f aca="false">ExportRaw!$I440</f>
        <v/>
      </c>
      <c r="H440" s="113" t="str">
        <f aca="false">ExportRaw!$A440</f>
        <v/>
      </c>
      <c r="I440" s="113" t="str">
        <f aca="false">ExportRaw!$B440</f>
        <v/>
      </c>
    </row>
    <row r="441" customFormat="false" ht="15.75" hidden="false" customHeight="false" outlineLevel="0" collapsed="false">
      <c r="A441" s="113" t="n">
        <f aca="false">ExportRaw!$F441</f>
        <v>0</v>
      </c>
      <c r="B441" s="113" t="n">
        <f aca="false">ExportRaw!$C441</f>
        <v>0</v>
      </c>
      <c r="C441" s="113" t="n">
        <f aca="false">ExportRaw!$G441</f>
        <v>0</v>
      </c>
      <c r="D441" s="113" t="str">
        <f aca="false">ExportRaw!$E441</f>
        <v/>
      </c>
      <c r="E441" s="114" t="str">
        <f aca="false">ExportRaw!$D441</f>
        <v/>
      </c>
      <c r="F441" s="113" t="str">
        <f aca="false">ExportRaw!$H441</f>
        <v/>
      </c>
      <c r="G441" s="113" t="str">
        <f aca="false">ExportRaw!$I441</f>
        <v/>
      </c>
      <c r="H441" s="113" t="str">
        <f aca="false">ExportRaw!$A441</f>
        <v/>
      </c>
      <c r="I441" s="113" t="str">
        <f aca="false">ExportRaw!$B441</f>
        <v/>
      </c>
    </row>
    <row r="442" customFormat="false" ht="15.75" hidden="false" customHeight="false" outlineLevel="0" collapsed="false">
      <c r="A442" s="113" t="n">
        <f aca="false">ExportRaw!$F442</f>
        <v>0</v>
      </c>
      <c r="B442" s="113" t="n">
        <f aca="false">ExportRaw!$C442</f>
        <v>0</v>
      </c>
      <c r="C442" s="113" t="n">
        <f aca="false">ExportRaw!$G442</f>
        <v>0</v>
      </c>
      <c r="D442" s="113" t="str">
        <f aca="false">ExportRaw!$E442</f>
        <v/>
      </c>
      <c r="E442" s="114" t="str">
        <f aca="false">ExportRaw!$D442</f>
        <v/>
      </c>
      <c r="F442" s="113" t="str">
        <f aca="false">ExportRaw!$H442</f>
        <v/>
      </c>
      <c r="G442" s="113" t="str">
        <f aca="false">ExportRaw!$I442</f>
        <v/>
      </c>
      <c r="H442" s="113" t="str">
        <f aca="false">ExportRaw!$A442</f>
        <v/>
      </c>
      <c r="I442" s="113" t="str">
        <f aca="false">ExportRaw!$B442</f>
        <v/>
      </c>
    </row>
    <row r="443" customFormat="false" ht="15.75" hidden="false" customHeight="false" outlineLevel="0" collapsed="false">
      <c r="A443" s="113" t="n">
        <f aca="false">ExportRaw!$F443</f>
        <v>0</v>
      </c>
      <c r="B443" s="113" t="n">
        <f aca="false">ExportRaw!$C443</f>
        <v>0</v>
      </c>
      <c r="C443" s="113" t="n">
        <f aca="false">ExportRaw!$G443</f>
        <v>0</v>
      </c>
      <c r="D443" s="113" t="str">
        <f aca="false">ExportRaw!$E443</f>
        <v/>
      </c>
      <c r="E443" s="114" t="str">
        <f aca="false">ExportRaw!$D443</f>
        <v/>
      </c>
      <c r="F443" s="113" t="str">
        <f aca="false">ExportRaw!$H443</f>
        <v/>
      </c>
      <c r="G443" s="113" t="str">
        <f aca="false">ExportRaw!$I443</f>
        <v/>
      </c>
      <c r="H443" s="113" t="str">
        <f aca="false">ExportRaw!$A443</f>
        <v/>
      </c>
      <c r="I443" s="113" t="str">
        <f aca="false">ExportRaw!$B443</f>
        <v/>
      </c>
    </row>
    <row r="444" customFormat="false" ht="15.75" hidden="false" customHeight="false" outlineLevel="0" collapsed="false">
      <c r="A444" s="113" t="n">
        <f aca="false">ExportRaw!$F444</f>
        <v>0</v>
      </c>
      <c r="B444" s="113" t="n">
        <f aca="false">ExportRaw!$C444</f>
        <v>0</v>
      </c>
      <c r="C444" s="113" t="n">
        <f aca="false">ExportRaw!$G444</f>
        <v>0</v>
      </c>
      <c r="D444" s="113" t="str">
        <f aca="false">ExportRaw!$E444</f>
        <v/>
      </c>
      <c r="E444" s="114" t="str">
        <f aca="false">ExportRaw!$D444</f>
        <v/>
      </c>
      <c r="F444" s="113" t="str">
        <f aca="false">ExportRaw!$H444</f>
        <v/>
      </c>
      <c r="G444" s="113" t="str">
        <f aca="false">ExportRaw!$I444</f>
        <v/>
      </c>
      <c r="H444" s="113" t="str">
        <f aca="false">ExportRaw!$A444</f>
        <v/>
      </c>
      <c r="I444" s="113" t="str">
        <f aca="false">ExportRaw!$B444</f>
        <v/>
      </c>
    </row>
    <row r="445" customFormat="false" ht="15.75" hidden="false" customHeight="false" outlineLevel="0" collapsed="false">
      <c r="A445" s="113" t="n">
        <f aca="false">ExportRaw!$F445</f>
        <v>0</v>
      </c>
      <c r="B445" s="113" t="n">
        <f aca="false">ExportRaw!$C445</f>
        <v>0</v>
      </c>
      <c r="C445" s="113" t="n">
        <f aca="false">ExportRaw!$G445</f>
        <v>0</v>
      </c>
      <c r="D445" s="113" t="str">
        <f aca="false">ExportRaw!$E445</f>
        <v/>
      </c>
      <c r="E445" s="114" t="str">
        <f aca="false">ExportRaw!$D445</f>
        <v/>
      </c>
      <c r="F445" s="113" t="str">
        <f aca="false">ExportRaw!$H445</f>
        <v/>
      </c>
      <c r="G445" s="113" t="str">
        <f aca="false">ExportRaw!$I445</f>
        <v/>
      </c>
      <c r="H445" s="113" t="str">
        <f aca="false">ExportRaw!$A445</f>
        <v/>
      </c>
      <c r="I445" s="113" t="str">
        <f aca="false">ExportRaw!$B445</f>
        <v/>
      </c>
    </row>
    <row r="446" customFormat="false" ht="15.75" hidden="false" customHeight="false" outlineLevel="0" collapsed="false">
      <c r="A446" s="113" t="n">
        <f aca="false">ExportRaw!$F446</f>
        <v>0</v>
      </c>
      <c r="B446" s="113" t="n">
        <f aca="false">ExportRaw!$C446</f>
        <v>0</v>
      </c>
      <c r="C446" s="113" t="n">
        <f aca="false">ExportRaw!$G446</f>
        <v>0</v>
      </c>
      <c r="D446" s="113" t="str">
        <f aca="false">ExportRaw!$E446</f>
        <v/>
      </c>
      <c r="E446" s="114" t="str">
        <f aca="false">ExportRaw!$D446</f>
        <v/>
      </c>
      <c r="F446" s="113" t="str">
        <f aca="false">ExportRaw!$H446</f>
        <v/>
      </c>
      <c r="G446" s="113" t="str">
        <f aca="false">ExportRaw!$I446</f>
        <v/>
      </c>
      <c r="H446" s="113" t="str">
        <f aca="false">ExportRaw!$A446</f>
        <v/>
      </c>
      <c r="I446" s="113" t="str">
        <f aca="false">ExportRaw!$B446</f>
        <v/>
      </c>
    </row>
    <row r="447" customFormat="false" ht="15.75" hidden="false" customHeight="false" outlineLevel="0" collapsed="false">
      <c r="A447" s="113" t="n">
        <f aca="false">ExportRaw!$F447</f>
        <v>0</v>
      </c>
      <c r="B447" s="113" t="n">
        <f aca="false">ExportRaw!$C447</f>
        <v>0</v>
      </c>
      <c r="C447" s="113" t="n">
        <f aca="false">ExportRaw!$G447</f>
        <v>0</v>
      </c>
      <c r="D447" s="113" t="str">
        <f aca="false">ExportRaw!$E447</f>
        <v/>
      </c>
      <c r="E447" s="114" t="str">
        <f aca="false">ExportRaw!$D447</f>
        <v/>
      </c>
      <c r="F447" s="113" t="str">
        <f aca="false">ExportRaw!$H447</f>
        <v/>
      </c>
      <c r="G447" s="113" t="str">
        <f aca="false">ExportRaw!$I447</f>
        <v/>
      </c>
      <c r="H447" s="113" t="str">
        <f aca="false">ExportRaw!$A447</f>
        <v/>
      </c>
      <c r="I447" s="113" t="str">
        <f aca="false">ExportRaw!$B447</f>
        <v/>
      </c>
    </row>
    <row r="448" customFormat="false" ht="15.75" hidden="false" customHeight="false" outlineLevel="0" collapsed="false">
      <c r="A448" s="113" t="n">
        <f aca="false">ExportRaw!$F448</f>
        <v>0</v>
      </c>
      <c r="B448" s="113" t="n">
        <f aca="false">ExportRaw!$C448</f>
        <v>0</v>
      </c>
      <c r="C448" s="113" t="n">
        <f aca="false">ExportRaw!$G448</f>
        <v>0</v>
      </c>
      <c r="D448" s="113" t="str">
        <f aca="false">ExportRaw!$E448</f>
        <v/>
      </c>
      <c r="E448" s="114" t="str">
        <f aca="false">ExportRaw!$D448</f>
        <v/>
      </c>
      <c r="F448" s="113" t="str">
        <f aca="false">ExportRaw!$H448</f>
        <v/>
      </c>
      <c r="G448" s="113" t="str">
        <f aca="false">ExportRaw!$I448</f>
        <v/>
      </c>
      <c r="H448" s="113" t="str">
        <f aca="false">ExportRaw!$A448</f>
        <v/>
      </c>
      <c r="I448" s="113" t="str">
        <f aca="false">ExportRaw!$B448</f>
        <v/>
      </c>
    </row>
    <row r="449" customFormat="false" ht="15.75" hidden="false" customHeight="false" outlineLevel="0" collapsed="false">
      <c r="A449" s="113" t="n">
        <f aca="false">ExportRaw!$F449</f>
        <v>0</v>
      </c>
      <c r="B449" s="113" t="n">
        <f aca="false">ExportRaw!$C449</f>
        <v>0</v>
      </c>
      <c r="C449" s="113" t="n">
        <f aca="false">ExportRaw!$G449</f>
        <v>0</v>
      </c>
      <c r="D449" s="113" t="str">
        <f aca="false">ExportRaw!$E449</f>
        <v/>
      </c>
      <c r="E449" s="114" t="str">
        <f aca="false">ExportRaw!$D449</f>
        <v/>
      </c>
      <c r="F449" s="113" t="str">
        <f aca="false">ExportRaw!$H449</f>
        <v/>
      </c>
      <c r="G449" s="113" t="str">
        <f aca="false">ExportRaw!$I449</f>
        <v/>
      </c>
      <c r="H449" s="113" t="str">
        <f aca="false">ExportRaw!$A449</f>
        <v/>
      </c>
      <c r="I449" s="113" t="str">
        <f aca="false">ExportRaw!$B449</f>
        <v/>
      </c>
    </row>
    <row r="450" customFormat="false" ht="15.75" hidden="false" customHeight="false" outlineLevel="0" collapsed="false">
      <c r="A450" s="113" t="n">
        <f aca="false">ExportRaw!$F450</f>
        <v>0</v>
      </c>
      <c r="B450" s="113" t="n">
        <f aca="false">ExportRaw!$C450</f>
        <v>0</v>
      </c>
      <c r="C450" s="113" t="n">
        <f aca="false">ExportRaw!$G450</f>
        <v>0</v>
      </c>
      <c r="D450" s="113" t="str">
        <f aca="false">ExportRaw!$E450</f>
        <v/>
      </c>
      <c r="E450" s="114" t="str">
        <f aca="false">ExportRaw!$D450</f>
        <v/>
      </c>
      <c r="F450" s="113" t="str">
        <f aca="false">ExportRaw!$H450</f>
        <v/>
      </c>
      <c r="G450" s="113" t="str">
        <f aca="false">ExportRaw!$I450</f>
        <v/>
      </c>
      <c r="H450" s="113" t="str">
        <f aca="false">ExportRaw!$A450</f>
        <v/>
      </c>
      <c r="I450" s="113" t="str">
        <f aca="false">ExportRaw!$B450</f>
        <v/>
      </c>
    </row>
    <row r="451" customFormat="false" ht="15.75" hidden="false" customHeight="false" outlineLevel="0" collapsed="false">
      <c r="A451" s="113" t="n">
        <f aca="false">ExportRaw!$F451</f>
        <v>0</v>
      </c>
      <c r="B451" s="113" t="n">
        <f aca="false">ExportRaw!$C451</f>
        <v>0</v>
      </c>
      <c r="C451" s="113" t="n">
        <f aca="false">ExportRaw!$G451</f>
        <v>0</v>
      </c>
      <c r="D451" s="113" t="str">
        <f aca="false">ExportRaw!$E451</f>
        <v/>
      </c>
      <c r="E451" s="114" t="str">
        <f aca="false">ExportRaw!$D451</f>
        <v/>
      </c>
      <c r="F451" s="113" t="str">
        <f aca="false">ExportRaw!$H451</f>
        <v/>
      </c>
      <c r="G451" s="113" t="str">
        <f aca="false">ExportRaw!$I451</f>
        <v/>
      </c>
      <c r="H451" s="113" t="str">
        <f aca="false">ExportRaw!$A451</f>
        <v/>
      </c>
      <c r="I451" s="113" t="str">
        <f aca="false">ExportRaw!$B451</f>
        <v/>
      </c>
    </row>
    <row r="452" customFormat="false" ht="15.75" hidden="false" customHeight="false" outlineLevel="0" collapsed="false">
      <c r="A452" s="113" t="n">
        <f aca="false">ExportRaw!$F452</f>
        <v>0</v>
      </c>
      <c r="B452" s="113" t="n">
        <f aca="false">ExportRaw!$C452</f>
        <v>0</v>
      </c>
      <c r="C452" s="113" t="n">
        <f aca="false">ExportRaw!$G452</f>
        <v>0</v>
      </c>
      <c r="D452" s="113" t="str">
        <f aca="false">ExportRaw!$E452</f>
        <v/>
      </c>
      <c r="E452" s="114" t="str">
        <f aca="false">ExportRaw!$D452</f>
        <v/>
      </c>
      <c r="F452" s="113" t="str">
        <f aca="false">ExportRaw!$H452</f>
        <v/>
      </c>
      <c r="G452" s="113" t="str">
        <f aca="false">ExportRaw!$I452</f>
        <v/>
      </c>
      <c r="H452" s="113" t="str">
        <f aca="false">ExportRaw!$A452</f>
        <v/>
      </c>
      <c r="I452" s="113" t="str">
        <f aca="false">ExportRaw!$B452</f>
        <v/>
      </c>
    </row>
    <row r="453" customFormat="false" ht="15.75" hidden="false" customHeight="false" outlineLevel="0" collapsed="false">
      <c r="A453" s="113" t="n">
        <f aca="false">ExportRaw!$F453</f>
        <v>0</v>
      </c>
      <c r="B453" s="113" t="n">
        <f aca="false">ExportRaw!$C453</f>
        <v>0</v>
      </c>
      <c r="C453" s="113" t="n">
        <f aca="false">ExportRaw!$G453</f>
        <v>0</v>
      </c>
      <c r="D453" s="113" t="str">
        <f aca="false">ExportRaw!$E453</f>
        <v/>
      </c>
      <c r="E453" s="114" t="str">
        <f aca="false">ExportRaw!$D453</f>
        <v/>
      </c>
      <c r="F453" s="113" t="str">
        <f aca="false">ExportRaw!$H453</f>
        <v/>
      </c>
      <c r="G453" s="113" t="str">
        <f aca="false">ExportRaw!$I453</f>
        <v/>
      </c>
      <c r="H453" s="113" t="str">
        <f aca="false">ExportRaw!$A453</f>
        <v/>
      </c>
      <c r="I453" s="113" t="str">
        <f aca="false">ExportRaw!$B453</f>
        <v/>
      </c>
    </row>
    <row r="454" customFormat="false" ht="15.75" hidden="false" customHeight="false" outlineLevel="0" collapsed="false">
      <c r="A454" s="113" t="n">
        <f aca="false">ExportRaw!$F454</f>
        <v>0</v>
      </c>
      <c r="B454" s="113" t="n">
        <f aca="false">ExportRaw!$C454</f>
        <v>0</v>
      </c>
      <c r="C454" s="113" t="n">
        <f aca="false">ExportRaw!$G454</f>
        <v>0</v>
      </c>
      <c r="D454" s="113" t="str">
        <f aca="false">ExportRaw!$E454</f>
        <v/>
      </c>
      <c r="E454" s="114" t="str">
        <f aca="false">ExportRaw!$D454</f>
        <v/>
      </c>
      <c r="F454" s="113" t="str">
        <f aca="false">ExportRaw!$H454</f>
        <v/>
      </c>
      <c r="G454" s="113" t="str">
        <f aca="false">ExportRaw!$I454</f>
        <v/>
      </c>
      <c r="H454" s="113" t="str">
        <f aca="false">ExportRaw!$A454</f>
        <v/>
      </c>
      <c r="I454" s="113" t="str">
        <f aca="false">ExportRaw!$B454</f>
        <v/>
      </c>
    </row>
    <row r="455" customFormat="false" ht="15.75" hidden="false" customHeight="false" outlineLevel="0" collapsed="false">
      <c r="A455" s="113" t="n">
        <f aca="false">ExportRaw!$F455</f>
        <v>0</v>
      </c>
      <c r="B455" s="113" t="n">
        <f aca="false">ExportRaw!$C455</f>
        <v>0</v>
      </c>
      <c r="C455" s="113" t="n">
        <f aca="false">ExportRaw!$G455</f>
        <v>0</v>
      </c>
      <c r="D455" s="113" t="str">
        <f aca="false">ExportRaw!$E455</f>
        <v/>
      </c>
      <c r="E455" s="114" t="str">
        <f aca="false">ExportRaw!$D455</f>
        <v/>
      </c>
      <c r="F455" s="113" t="str">
        <f aca="false">ExportRaw!$H455</f>
        <v/>
      </c>
      <c r="G455" s="113" t="str">
        <f aca="false">ExportRaw!$I455</f>
        <v/>
      </c>
      <c r="H455" s="113" t="str">
        <f aca="false">ExportRaw!$A455</f>
        <v/>
      </c>
      <c r="I455" s="113" t="str">
        <f aca="false">ExportRaw!$B455</f>
        <v/>
      </c>
    </row>
    <row r="456" customFormat="false" ht="15.75" hidden="false" customHeight="false" outlineLevel="0" collapsed="false">
      <c r="A456" s="113" t="n">
        <f aca="false">ExportRaw!$F456</f>
        <v>0</v>
      </c>
      <c r="B456" s="113" t="n">
        <f aca="false">ExportRaw!$C456</f>
        <v>0</v>
      </c>
      <c r="C456" s="113" t="n">
        <f aca="false">ExportRaw!$G456</f>
        <v>0</v>
      </c>
      <c r="D456" s="113" t="str">
        <f aca="false">ExportRaw!$E456</f>
        <v/>
      </c>
      <c r="E456" s="114" t="str">
        <f aca="false">ExportRaw!$D456</f>
        <v/>
      </c>
      <c r="F456" s="113" t="str">
        <f aca="false">ExportRaw!$H456</f>
        <v/>
      </c>
      <c r="G456" s="113" t="str">
        <f aca="false">ExportRaw!$I456</f>
        <v/>
      </c>
      <c r="H456" s="113" t="str">
        <f aca="false">ExportRaw!$A456</f>
        <v/>
      </c>
      <c r="I456" s="113" t="str">
        <f aca="false">ExportRaw!$B456</f>
        <v/>
      </c>
    </row>
    <row r="457" customFormat="false" ht="15.75" hidden="false" customHeight="false" outlineLevel="0" collapsed="false">
      <c r="A457" s="113" t="n">
        <f aca="false">ExportRaw!$F457</f>
        <v>0</v>
      </c>
      <c r="B457" s="113" t="n">
        <f aca="false">ExportRaw!$C457</f>
        <v>0</v>
      </c>
      <c r="C457" s="113" t="n">
        <f aca="false">ExportRaw!$G457</f>
        <v>0</v>
      </c>
      <c r="D457" s="113" t="str">
        <f aca="false">ExportRaw!$E457</f>
        <v/>
      </c>
      <c r="E457" s="114" t="str">
        <f aca="false">ExportRaw!$D457</f>
        <v/>
      </c>
      <c r="F457" s="113" t="str">
        <f aca="false">ExportRaw!$H457</f>
        <v/>
      </c>
      <c r="G457" s="113" t="str">
        <f aca="false">ExportRaw!$I457</f>
        <v/>
      </c>
      <c r="H457" s="113" t="str">
        <f aca="false">ExportRaw!$A457</f>
        <v/>
      </c>
      <c r="I457" s="113" t="str">
        <f aca="false">ExportRaw!$B457</f>
        <v/>
      </c>
    </row>
    <row r="458" customFormat="false" ht="15.75" hidden="false" customHeight="false" outlineLevel="0" collapsed="false">
      <c r="A458" s="113" t="n">
        <f aca="false">ExportRaw!$F458</f>
        <v>0</v>
      </c>
      <c r="B458" s="113" t="n">
        <f aca="false">ExportRaw!$C458</f>
        <v>0</v>
      </c>
      <c r="C458" s="113" t="n">
        <f aca="false">ExportRaw!$G458</f>
        <v>0</v>
      </c>
      <c r="D458" s="113" t="str">
        <f aca="false">ExportRaw!$E458</f>
        <v/>
      </c>
      <c r="E458" s="114" t="str">
        <f aca="false">ExportRaw!$D458</f>
        <v/>
      </c>
      <c r="F458" s="113" t="str">
        <f aca="false">ExportRaw!$H458</f>
        <v/>
      </c>
      <c r="G458" s="113" t="str">
        <f aca="false">ExportRaw!$I458</f>
        <v/>
      </c>
      <c r="H458" s="113" t="str">
        <f aca="false">ExportRaw!$A458</f>
        <v/>
      </c>
      <c r="I458" s="113" t="str">
        <f aca="false">ExportRaw!$B458</f>
        <v/>
      </c>
    </row>
    <row r="459" customFormat="false" ht="15.75" hidden="false" customHeight="false" outlineLevel="0" collapsed="false">
      <c r="A459" s="113" t="n">
        <f aca="false">ExportRaw!$F459</f>
        <v>0</v>
      </c>
      <c r="B459" s="113" t="n">
        <f aca="false">ExportRaw!$C459</f>
        <v>0</v>
      </c>
      <c r="C459" s="113" t="n">
        <f aca="false">ExportRaw!$G459</f>
        <v>0</v>
      </c>
      <c r="D459" s="113" t="str">
        <f aca="false">ExportRaw!$E459</f>
        <v/>
      </c>
      <c r="E459" s="114" t="str">
        <f aca="false">ExportRaw!$D459</f>
        <v/>
      </c>
      <c r="F459" s="113" t="str">
        <f aca="false">ExportRaw!$H459</f>
        <v/>
      </c>
      <c r="G459" s="113" t="str">
        <f aca="false">ExportRaw!$I459</f>
        <v/>
      </c>
      <c r="H459" s="113" t="str">
        <f aca="false">ExportRaw!$A459</f>
        <v/>
      </c>
      <c r="I459" s="113" t="str">
        <f aca="false">ExportRaw!$B459</f>
        <v/>
      </c>
    </row>
    <row r="460" customFormat="false" ht="15.75" hidden="false" customHeight="false" outlineLevel="0" collapsed="false">
      <c r="A460" s="113" t="n">
        <f aca="false">ExportRaw!$F460</f>
        <v>0</v>
      </c>
      <c r="B460" s="113" t="n">
        <f aca="false">ExportRaw!$C460</f>
        <v>0</v>
      </c>
      <c r="C460" s="113" t="n">
        <f aca="false">ExportRaw!$G460</f>
        <v>0</v>
      </c>
      <c r="D460" s="113" t="str">
        <f aca="false">ExportRaw!$E460</f>
        <v/>
      </c>
      <c r="E460" s="114" t="str">
        <f aca="false">ExportRaw!$D460</f>
        <v/>
      </c>
      <c r="F460" s="113" t="str">
        <f aca="false">ExportRaw!$H460</f>
        <v/>
      </c>
      <c r="G460" s="113" t="str">
        <f aca="false">ExportRaw!$I460</f>
        <v/>
      </c>
      <c r="H460" s="113" t="str">
        <f aca="false">ExportRaw!$A460</f>
        <v/>
      </c>
      <c r="I460" s="113" t="str">
        <f aca="false">ExportRaw!$B460</f>
        <v/>
      </c>
    </row>
    <row r="461" customFormat="false" ht="15.75" hidden="false" customHeight="false" outlineLevel="0" collapsed="false">
      <c r="A461" s="113" t="n">
        <f aca="false">ExportRaw!$F461</f>
        <v>0</v>
      </c>
      <c r="B461" s="113" t="n">
        <f aca="false">ExportRaw!$C461</f>
        <v>0</v>
      </c>
      <c r="C461" s="113" t="n">
        <f aca="false">ExportRaw!$G461</f>
        <v>0</v>
      </c>
      <c r="D461" s="113" t="str">
        <f aca="false">ExportRaw!$E461</f>
        <v/>
      </c>
      <c r="E461" s="114" t="str">
        <f aca="false">ExportRaw!$D461</f>
        <v/>
      </c>
      <c r="F461" s="113" t="str">
        <f aca="false">ExportRaw!$H461</f>
        <v/>
      </c>
      <c r="G461" s="113" t="str">
        <f aca="false">ExportRaw!$I461</f>
        <v/>
      </c>
      <c r="H461" s="113" t="str">
        <f aca="false">ExportRaw!$A461</f>
        <v/>
      </c>
      <c r="I461" s="113" t="str">
        <f aca="false">ExportRaw!$B461</f>
        <v/>
      </c>
    </row>
    <row r="462" customFormat="false" ht="15.75" hidden="false" customHeight="false" outlineLevel="0" collapsed="false">
      <c r="A462" s="113" t="n">
        <f aca="false">ExportRaw!$F462</f>
        <v>0</v>
      </c>
      <c r="B462" s="113" t="n">
        <f aca="false">ExportRaw!$C462</f>
        <v>0</v>
      </c>
      <c r="C462" s="113" t="n">
        <f aca="false">ExportRaw!$G462</f>
        <v>0</v>
      </c>
      <c r="D462" s="113" t="str">
        <f aca="false">ExportRaw!$E462</f>
        <v/>
      </c>
      <c r="E462" s="114" t="str">
        <f aca="false">ExportRaw!$D462</f>
        <v/>
      </c>
      <c r="F462" s="113" t="str">
        <f aca="false">ExportRaw!$H462</f>
        <v/>
      </c>
      <c r="G462" s="113" t="str">
        <f aca="false">ExportRaw!$I462</f>
        <v/>
      </c>
      <c r="H462" s="113" t="str">
        <f aca="false">ExportRaw!$A462</f>
        <v/>
      </c>
      <c r="I462" s="113" t="str">
        <f aca="false">ExportRaw!$B462</f>
        <v/>
      </c>
    </row>
    <row r="463" customFormat="false" ht="15.75" hidden="false" customHeight="false" outlineLevel="0" collapsed="false">
      <c r="A463" s="113" t="n">
        <f aca="false">ExportRaw!$F463</f>
        <v>0</v>
      </c>
      <c r="B463" s="113" t="n">
        <f aca="false">ExportRaw!$C463</f>
        <v>0</v>
      </c>
      <c r="C463" s="113" t="n">
        <f aca="false">ExportRaw!$G463</f>
        <v>0</v>
      </c>
      <c r="D463" s="113" t="str">
        <f aca="false">ExportRaw!$E463</f>
        <v/>
      </c>
      <c r="E463" s="114" t="str">
        <f aca="false">ExportRaw!$D463</f>
        <v/>
      </c>
      <c r="F463" s="113" t="str">
        <f aca="false">ExportRaw!$H463</f>
        <v/>
      </c>
      <c r="G463" s="113" t="str">
        <f aca="false">ExportRaw!$I463</f>
        <v/>
      </c>
      <c r="H463" s="113" t="str">
        <f aca="false">ExportRaw!$A463</f>
        <v/>
      </c>
      <c r="I463" s="113" t="str">
        <f aca="false">ExportRaw!$B463</f>
        <v/>
      </c>
    </row>
    <row r="464" customFormat="false" ht="15.75" hidden="false" customHeight="false" outlineLevel="0" collapsed="false">
      <c r="A464" s="113" t="n">
        <f aca="false">ExportRaw!$F464</f>
        <v>0</v>
      </c>
      <c r="B464" s="113" t="n">
        <f aca="false">ExportRaw!$C464</f>
        <v>0</v>
      </c>
      <c r="C464" s="113" t="n">
        <f aca="false">ExportRaw!$G464</f>
        <v>0</v>
      </c>
      <c r="D464" s="113" t="str">
        <f aca="false">ExportRaw!$E464</f>
        <v/>
      </c>
      <c r="E464" s="114" t="str">
        <f aca="false">ExportRaw!$D464</f>
        <v/>
      </c>
      <c r="F464" s="113" t="str">
        <f aca="false">ExportRaw!$H464</f>
        <v/>
      </c>
      <c r="G464" s="113" t="str">
        <f aca="false">ExportRaw!$I464</f>
        <v/>
      </c>
      <c r="H464" s="113" t="str">
        <f aca="false">ExportRaw!$A464</f>
        <v/>
      </c>
      <c r="I464" s="113" t="str">
        <f aca="false">ExportRaw!$B464</f>
        <v/>
      </c>
    </row>
    <row r="465" customFormat="false" ht="15.75" hidden="false" customHeight="false" outlineLevel="0" collapsed="false">
      <c r="A465" s="113" t="n">
        <f aca="false">ExportRaw!$F465</f>
        <v>0</v>
      </c>
      <c r="B465" s="113" t="n">
        <f aca="false">ExportRaw!$C465</f>
        <v>0</v>
      </c>
      <c r="C465" s="113" t="n">
        <f aca="false">ExportRaw!$G465</f>
        <v>0</v>
      </c>
      <c r="D465" s="113" t="str">
        <f aca="false">ExportRaw!$E465</f>
        <v/>
      </c>
      <c r="E465" s="114" t="str">
        <f aca="false">ExportRaw!$D465</f>
        <v/>
      </c>
      <c r="F465" s="113" t="str">
        <f aca="false">ExportRaw!$H465</f>
        <v/>
      </c>
      <c r="G465" s="113" t="str">
        <f aca="false">ExportRaw!$I465</f>
        <v/>
      </c>
      <c r="H465" s="113" t="str">
        <f aca="false">ExportRaw!$A465</f>
        <v/>
      </c>
      <c r="I465" s="113" t="str">
        <f aca="false">ExportRaw!$B465</f>
        <v/>
      </c>
    </row>
    <row r="466" customFormat="false" ht="15.75" hidden="false" customHeight="false" outlineLevel="0" collapsed="false">
      <c r="A466" s="113" t="n">
        <f aca="false">ExportRaw!$F466</f>
        <v>0</v>
      </c>
      <c r="B466" s="113" t="n">
        <f aca="false">ExportRaw!$C466</f>
        <v>0</v>
      </c>
      <c r="C466" s="113" t="n">
        <f aca="false">ExportRaw!$G466</f>
        <v>0</v>
      </c>
      <c r="D466" s="113" t="str">
        <f aca="false">ExportRaw!$E466</f>
        <v/>
      </c>
      <c r="E466" s="114" t="str">
        <f aca="false">ExportRaw!$D466</f>
        <v/>
      </c>
      <c r="F466" s="113" t="str">
        <f aca="false">ExportRaw!$H466</f>
        <v/>
      </c>
      <c r="G466" s="113" t="str">
        <f aca="false">ExportRaw!$I466</f>
        <v/>
      </c>
      <c r="H466" s="113" t="str">
        <f aca="false">ExportRaw!$A466</f>
        <v/>
      </c>
      <c r="I466" s="113" t="str">
        <f aca="false">ExportRaw!$B466</f>
        <v/>
      </c>
    </row>
    <row r="467" customFormat="false" ht="15.75" hidden="false" customHeight="false" outlineLevel="0" collapsed="false">
      <c r="A467" s="113" t="n">
        <f aca="false">ExportRaw!$F467</f>
        <v>0</v>
      </c>
      <c r="B467" s="113" t="n">
        <f aca="false">ExportRaw!$C467</f>
        <v>0</v>
      </c>
      <c r="C467" s="113" t="n">
        <f aca="false">ExportRaw!$G467</f>
        <v>0</v>
      </c>
      <c r="D467" s="113" t="str">
        <f aca="false">ExportRaw!$E467</f>
        <v/>
      </c>
      <c r="E467" s="114" t="str">
        <f aca="false">ExportRaw!$D467</f>
        <v/>
      </c>
      <c r="F467" s="113" t="str">
        <f aca="false">ExportRaw!$H467</f>
        <v/>
      </c>
      <c r="G467" s="113" t="str">
        <f aca="false">ExportRaw!$I467</f>
        <v/>
      </c>
      <c r="H467" s="113" t="str">
        <f aca="false">ExportRaw!$A467</f>
        <v/>
      </c>
      <c r="I467" s="113" t="str">
        <f aca="false">ExportRaw!$B467</f>
        <v/>
      </c>
    </row>
    <row r="468" customFormat="false" ht="15.75" hidden="false" customHeight="false" outlineLevel="0" collapsed="false">
      <c r="A468" s="113" t="n">
        <f aca="false">ExportRaw!$F468</f>
        <v>0</v>
      </c>
      <c r="B468" s="113" t="n">
        <f aca="false">ExportRaw!$C468</f>
        <v>0</v>
      </c>
      <c r="C468" s="113" t="n">
        <f aca="false">ExportRaw!$G468</f>
        <v>0</v>
      </c>
      <c r="D468" s="113" t="str">
        <f aca="false">ExportRaw!$E468</f>
        <v/>
      </c>
      <c r="E468" s="114" t="str">
        <f aca="false">ExportRaw!$D468</f>
        <v/>
      </c>
      <c r="F468" s="113" t="str">
        <f aca="false">ExportRaw!$H468</f>
        <v/>
      </c>
      <c r="G468" s="113" t="str">
        <f aca="false">ExportRaw!$I468</f>
        <v/>
      </c>
      <c r="H468" s="113" t="str">
        <f aca="false">ExportRaw!$A468</f>
        <v/>
      </c>
      <c r="I468" s="113" t="str">
        <f aca="false">ExportRaw!$B468</f>
        <v/>
      </c>
    </row>
    <row r="469" customFormat="false" ht="15.75" hidden="false" customHeight="false" outlineLevel="0" collapsed="false">
      <c r="A469" s="113" t="n">
        <f aca="false">ExportRaw!$F469</f>
        <v>0</v>
      </c>
      <c r="B469" s="113" t="n">
        <f aca="false">ExportRaw!$C469</f>
        <v>0</v>
      </c>
      <c r="C469" s="113" t="n">
        <f aca="false">ExportRaw!$G469</f>
        <v>0</v>
      </c>
      <c r="D469" s="113" t="str">
        <f aca="false">ExportRaw!$E469</f>
        <v/>
      </c>
      <c r="E469" s="114" t="str">
        <f aca="false">ExportRaw!$D469</f>
        <v/>
      </c>
      <c r="F469" s="113" t="str">
        <f aca="false">ExportRaw!$H469</f>
        <v/>
      </c>
      <c r="G469" s="113" t="str">
        <f aca="false">ExportRaw!$I469</f>
        <v/>
      </c>
      <c r="H469" s="113" t="str">
        <f aca="false">ExportRaw!$A469</f>
        <v/>
      </c>
      <c r="I469" s="113" t="str">
        <f aca="false">ExportRaw!$B469</f>
        <v/>
      </c>
    </row>
    <row r="470" customFormat="false" ht="15.75" hidden="false" customHeight="false" outlineLevel="0" collapsed="false">
      <c r="A470" s="113" t="n">
        <f aca="false">ExportRaw!$F470</f>
        <v>0</v>
      </c>
      <c r="B470" s="113" t="n">
        <f aca="false">ExportRaw!$C470</f>
        <v>0</v>
      </c>
      <c r="C470" s="113" t="n">
        <f aca="false">ExportRaw!$G470</f>
        <v>0</v>
      </c>
      <c r="D470" s="113" t="str">
        <f aca="false">ExportRaw!$E470</f>
        <v/>
      </c>
      <c r="E470" s="114" t="str">
        <f aca="false">ExportRaw!$D470</f>
        <v/>
      </c>
      <c r="F470" s="113" t="str">
        <f aca="false">ExportRaw!$H470</f>
        <v/>
      </c>
      <c r="G470" s="113" t="str">
        <f aca="false">ExportRaw!$I470</f>
        <v/>
      </c>
      <c r="H470" s="113" t="str">
        <f aca="false">ExportRaw!$A470</f>
        <v/>
      </c>
      <c r="I470" s="113" t="str">
        <f aca="false">ExportRaw!$B470</f>
        <v/>
      </c>
    </row>
    <row r="471" customFormat="false" ht="15.75" hidden="false" customHeight="false" outlineLevel="0" collapsed="false">
      <c r="A471" s="113" t="n">
        <f aca="false">ExportRaw!$F471</f>
        <v>0</v>
      </c>
      <c r="B471" s="113" t="n">
        <f aca="false">ExportRaw!$C471</f>
        <v>0</v>
      </c>
      <c r="C471" s="113" t="n">
        <f aca="false">ExportRaw!$G471</f>
        <v>0</v>
      </c>
      <c r="D471" s="113" t="str">
        <f aca="false">ExportRaw!$E471</f>
        <v/>
      </c>
      <c r="E471" s="114" t="str">
        <f aca="false">ExportRaw!$D471</f>
        <v/>
      </c>
      <c r="F471" s="113" t="str">
        <f aca="false">ExportRaw!$H471</f>
        <v/>
      </c>
      <c r="G471" s="113" t="str">
        <f aca="false">ExportRaw!$I471</f>
        <v/>
      </c>
      <c r="H471" s="113" t="str">
        <f aca="false">ExportRaw!$A471</f>
        <v/>
      </c>
      <c r="I471" s="113" t="str">
        <f aca="false">ExportRaw!$B471</f>
        <v/>
      </c>
    </row>
    <row r="472" customFormat="false" ht="15.75" hidden="false" customHeight="false" outlineLevel="0" collapsed="false">
      <c r="A472" s="113" t="n">
        <f aca="false">ExportRaw!$F472</f>
        <v>0</v>
      </c>
      <c r="B472" s="113" t="n">
        <f aca="false">ExportRaw!$C472</f>
        <v>0</v>
      </c>
      <c r="C472" s="113" t="n">
        <f aca="false">ExportRaw!$G472</f>
        <v>0</v>
      </c>
      <c r="D472" s="113" t="str">
        <f aca="false">ExportRaw!$E472</f>
        <v/>
      </c>
      <c r="E472" s="114" t="str">
        <f aca="false">ExportRaw!$D472</f>
        <v/>
      </c>
      <c r="F472" s="113" t="str">
        <f aca="false">ExportRaw!$H472</f>
        <v/>
      </c>
      <c r="G472" s="113" t="str">
        <f aca="false">ExportRaw!$I472</f>
        <v/>
      </c>
      <c r="H472" s="113" t="str">
        <f aca="false">ExportRaw!$A472</f>
        <v/>
      </c>
      <c r="I472" s="113" t="str">
        <f aca="false">ExportRaw!$B472</f>
        <v/>
      </c>
    </row>
    <row r="473" customFormat="false" ht="15.75" hidden="false" customHeight="false" outlineLevel="0" collapsed="false">
      <c r="A473" s="113" t="n">
        <f aca="false">ExportRaw!$F473</f>
        <v>0</v>
      </c>
      <c r="B473" s="113" t="n">
        <f aca="false">ExportRaw!$C473</f>
        <v>0</v>
      </c>
      <c r="C473" s="113" t="n">
        <f aca="false">ExportRaw!$G473</f>
        <v>0</v>
      </c>
      <c r="D473" s="113" t="str">
        <f aca="false">ExportRaw!$E473</f>
        <v/>
      </c>
      <c r="E473" s="114" t="str">
        <f aca="false">ExportRaw!$D473</f>
        <v/>
      </c>
      <c r="F473" s="113" t="str">
        <f aca="false">ExportRaw!$H473</f>
        <v/>
      </c>
      <c r="G473" s="113" t="str">
        <f aca="false">ExportRaw!$I473</f>
        <v/>
      </c>
      <c r="H473" s="113" t="str">
        <f aca="false">ExportRaw!$A473</f>
        <v/>
      </c>
      <c r="I473" s="113" t="str">
        <f aca="false">ExportRaw!$B473</f>
        <v/>
      </c>
    </row>
    <row r="474" customFormat="false" ht="15.75" hidden="false" customHeight="false" outlineLevel="0" collapsed="false">
      <c r="A474" s="113" t="n">
        <f aca="false">ExportRaw!$F474</f>
        <v>0</v>
      </c>
      <c r="B474" s="113" t="n">
        <f aca="false">ExportRaw!$C474</f>
        <v>0</v>
      </c>
      <c r="C474" s="113" t="n">
        <f aca="false">ExportRaw!$G474</f>
        <v>0</v>
      </c>
      <c r="D474" s="113" t="str">
        <f aca="false">ExportRaw!$E474</f>
        <v/>
      </c>
      <c r="E474" s="114" t="str">
        <f aca="false">ExportRaw!$D474</f>
        <v/>
      </c>
      <c r="F474" s="113" t="str">
        <f aca="false">ExportRaw!$H474</f>
        <v/>
      </c>
      <c r="G474" s="113" t="str">
        <f aca="false">ExportRaw!$I474</f>
        <v/>
      </c>
      <c r="H474" s="113" t="str">
        <f aca="false">ExportRaw!$A474</f>
        <v/>
      </c>
      <c r="I474" s="113" t="str">
        <f aca="false">ExportRaw!$B474</f>
        <v/>
      </c>
    </row>
    <row r="475" customFormat="false" ht="15.75" hidden="false" customHeight="false" outlineLevel="0" collapsed="false">
      <c r="A475" s="113" t="n">
        <f aca="false">ExportRaw!$F475</f>
        <v>0</v>
      </c>
      <c r="B475" s="113" t="n">
        <f aca="false">ExportRaw!$C475</f>
        <v>0</v>
      </c>
      <c r="C475" s="113" t="n">
        <f aca="false">ExportRaw!$G475</f>
        <v>0</v>
      </c>
      <c r="D475" s="113" t="str">
        <f aca="false">ExportRaw!$E475</f>
        <v/>
      </c>
      <c r="E475" s="114" t="str">
        <f aca="false">ExportRaw!$D475</f>
        <v/>
      </c>
      <c r="F475" s="113" t="str">
        <f aca="false">ExportRaw!$H475</f>
        <v/>
      </c>
      <c r="G475" s="113" t="str">
        <f aca="false">ExportRaw!$I475</f>
        <v/>
      </c>
      <c r="H475" s="113" t="str">
        <f aca="false">ExportRaw!$A475</f>
        <v/>
      </c>
      <c r="I475" s="113" t="str">
        <f aca="false">ExportRaw!$B475</f>
        <v/>
      </c>
    </row>
    <row r="476" customFormat="false" ht="15.75" hidden="false" customHeight="false" outlineLevel="0" collapsed="false">
      <c r="A476" s="113" t="n">
        <f aca="false">ExportRaw!$F476</f>
        <v>0</v>
      </c>
      <c r="B476" s="113" t="n">
        <f aca="false">ExportRaw!$C476</f>
        <v>0</v>
      </c>
      <c r="C476" s="113" t="n">
        <f aca="false">ExportRaw!$G476</f>
        <v>0</v>
      </c>
      <c r="D476" s="113" t="str">
        <f aca="false">ExportRaw!$E476</f>
        <v/>
      </c>
      <c r="E476" s="114" t="str">
        <f aca="false">ExportRaw!$D476</f>
        <v/>
      </c>
      <c r="F476" s="113" t="str">
        <f aca="false">ExportRaw!$H476</f>
        <v/>
      </c>
      <c r="G476" s="113" t="str">
        <f aca="false">ExportRaw!$I476</f>
        <v/>
      </c>
      <c r="H476" s="113" t="str">
        <f aca="false">ExportRaw!$A476</f>
        <v/>
      </c>
      <c r="I476" s="113" t="str">
        <f aca="false">ExportRaw!$B476</f>
        <v/>
      </c>
    </row>
    <row r="477" customFormat="false" ht="15.75" hidden="false" customHeight="false" outlineLevel="0" collapsed="false">
      <c r="A477" s="113" t="n">
        <f aca="false">ExportRaw!$F477</f>
        <v>0</v>
      </c>
      <c r="B477" s="113" t="n">
        <f aca="false">ExportRaw!$C477</f>
        <v>0</v>
      </c>
      <c r="C477" s="113" t="n">
        <f aca="false">ExportRaw!$G477</f>
        <v>0</v>
      </c>
      <c r="D477" s="113" t="str">
        <f aca="false">ExportRaw!$E477</f>
        <v/>
      </c>
      <c r="E477" s="114" t="str">
        <f aca="false">ExportRaw!$D477</f>
        <v/>
      </c>
      <c r="F477" s="113" t="str">
        <f aca="false">ExportRaw!$H477</f>
        <v/>
      </c>
      <c r="G477" s="113" t="str">
        <f aca="false">ExportRaw!$I477</f>
        <v/>
      </c>
      <c r="H477" s="113" t="str">
        <f aca="false">ExportRaw!$A477</f>
        <v/>
      </c>
      <c r="I477" s="113" t="str">
        <f aca="false">ExportRaw!$B477</f>
        <v/>
      </c>
    </row>
    <row r="478" customFormat="false" ht="15.75" hidden="false" customHeight="false" outlineLevel="0" collapsed="false">
      <c r="A478" s="113" t="n">
        <f aca="false">ExportRaw!$F478</f>
        <v>0</v>
      </c>
      <c r="B478" s="113" t="n">
        <f aca="false">ExportRaw!$C478</f>
        <v>0</v>
      </c>
      <c r="C478" s="113" t="n">
        <f aca="false">ExportRaw!$G478</f>
        <v>0</v>
      </c>
      <c r="D478" s="113" t="str">
        <f aca="false">ExportRaw!$E478</f>
        <v/>
      </c>
      <c r="E478" s="114" t="str">
        <f aca="false">ExportRaw!$D478</f>
        <v/>
      </c>
      <c r="F478" s="113" t="str">
        <f aca="false">ExportRaw!$H478</f>
        <v/>
      </c>
      <c r="G478" s="113" t="str">
        <f aca="false">ExportRaw!$I478</f>
        <v/>
      </c>
      <c r="H478" s="113" t="str">
        <f aca="false">ExportRaw!$A478</f>
        <v/>
      </c>
      <c r="I478" s="113" t="str">
        <f aca="false">ExportRaw!$B478</f>
        <v/>
      </c>
    </row>
    <row r="479" customFormat="false" ht="15.75" hidden="false" customHeight="false" outlineLevel="0" collapsed="false">
      <c r="A479" s="113" t="n">
        <f aca="false">ExportRaw!$F479</f>
        <v>0</v>
      </c>
      <c r="B479" s="113" t="n">
        <f aca="false">ExportRaw!$C479</f>
        <v>0</v>
      </c>
      <c r="C479" s="113" t="n">
        <f aca="false">ExportRaw!$G479</f>
        <v>0</v>
      </c>
      <c r="D479" s="113" t="str">
        <f aca="false">ExportRaw!$E479</f>
        <v/>
      </c>
      <c r="E479" s="114" t="str">
        <f aca="false">ExportRaw!$D479</f>
        <v/>
      </c>
      <c r="F479" s="113" t="str">
        <f aca="false">ExportRaw!$H479</f>
        <v/>
      </c>
      <c r="G479" s="113" t="str">
        <f aca="false">ExportRaw!$I479</f>
        <v/>
      </c>
      <c r="H479" s="113" t="str">
        <f aca="false">ExportRaw!$A479</f>
        <v/>
      </c>
      <c r="I479" s="113" t="str">
        <f aca="false">ExportRaw!$B479</f>
        <v/>
      </c>
    </row>
    <row r="480" customFormat="false" ht="15.75" hidden="false" customHeight="false" outlineLevel="0" collapsed="false">
      <c r="A480" s="113" t="n">
        <f aca="false">ExportRaw!$F480</f>
        <v>0</v>
      </c>
      <c r="B480" s="113" t="n">
        <f aca="false">ExportRaw!$C480</f>
        <v>0</v>
      </c>
      <c r="C480" s="113" t="n">
        <f aca="false">ExportRaw!$G480</f>
        <v>0</v>
      </c>
      <c r="D480" s="113" t="str">
        <f aca="false">ExportRaw!$E480</f>
        <v/>
      </c>
      <c r="E480" s="114" t="str">
        <f aca="false">ExportRaw!$D480</f>
        <v/>
      </c>
      <c r="F480" s="113" t="str">
        <f aca="false">ExportRaw!$H480</f>
        <v/>
      </c>
      <c r="G480" s="113" t="str">
        <f aca="false">ExportRaw!$I480</f>
        <v/>
      </c>
      <c r="H480" s="113" t="str">
        <f aca="false">ExportRaw!$A480</f>
        <v/>
      </c>
      <c r="I480" s="113" t="str">
        <f aca="false">ExportRaw!$B480</f>
        <v/>
      </c>
    </row>
    <row r="481" customFormat="false" ht="15.75" hidden="false" customHeight="false" outlineLevel="0" collapsed="false">
      <c r="A481" s="113" t="n">
        <f aca="false">ExportRaw!$F481</f>
        <v>0</v>
      </c>
      <c r="B481" s="113" t="n">
        <f aca="false">ExportRaw!$C481</f>
        <v>0</v>
      </c>
      <c r="C481" s="113" t="n">
        <f aca="false">ExportRaw!$G481</f>
        <v>0</v>
      </c>
      <c r="D481" s="113" t="str">
        <f aca="false">ExportRaw!$E481</f>
        <v/>
      </c>
      <c r="E481" s="114" t="str">
        <f aca="false">ExportRaw!$D481</f>
        <v/>
      </c>
      <c r="F481" s="113" t="str">
        <f aca="false">ExportRaw!$H481</f>
        <v/>
      </c>
      <c r="G481" s="113" t="str">
        <f aca="false">ExportRaw!$I481</f>
        <v/>
      </c>
      <c r="H481" s="113" t="str">
        <f aca="false">ExportRaw!$A481</f>
        <v/>
      </c>
      <c r="I481" s="113" t="str">
        <f aca="false">ExportRaw!$B481</f>
        <v/>
      </c>
    </row>
    <row r="482" customFormat="false" ht="15.75" hidden="false" customHeight="false" outlineLevel="0" collapsed="false">
      <c r="A482" s="113" t="n">
        <f aca="false">ExportRaw!$F482</f>
        <v>0</v>
      </c>
      <c r="B482" s="113" t="n">
        <f aca="false">ExportRaw!$C482</f>
        <v>0</v>
      </c>
      <c r="C482" s="113" t="n">
        <f aca="false">ExportRaw!$G482</f>
        <v>0</v>
      </c>
      <c r="D482" s="113" t="str">
        <f aca="false">ExportRaw!$E482</f>
        <v/>
      </c>
      <c r="E482" s="114" t="str">
        <f aca="false">ExportRaw!$D482</f>
        <v/>
      </c>
      <c r="F482" s="113" t="str">
        <f aca="false">ExportRaw!$H482</f>
        <v/>
      </c>
      <c r="G482" s="113" t="str">
        <f aca="false">ExportRaw!$I482</f>
        <v/>
      </c>
      <c r="H482" s="113" t="str">
        <f aca="false">ExportRaw!$A482</f>
        <v/>
      </c>
      <c r="I482" s="113" t="str">
        <f aca="false">ExportRaw!$B482</f>
        <v/>
      </c>
    </row>
    <row r="483" customFormat="false" ht="15.75" hidden="false" customHeight="false" outlineLevel="0" collapsed="false">
      <c r="A483" s="113" t="n">
        <f aca="false">ExportRaw!$F483</f>
        <v>0</v>
      </c>
      <c r="B483" s="113" t="n">
        <f aca="false">ExportRaw!$C483</f>
        <v>0</v>
      </c>
      <c r="C483" s="113" t="n">
        <f aca="false">ExportRaw!$G483</f>
        <v>0</v>
      </c>
      <c r="D483" s="113" t="str">
        <f aca="false">ExportRaw!$E483</f>
        <v/>
      </c>
      <c r="E483" s="114" t="str">
        <f aca="false">ExportRaw!$D483</f>
        <v/>
      </c>
      <c r="F483" s="113" t="str">
        <f aca="false">ExportRaw!$H483</f>
        <v/>
      </c>
      <c r="G483" s="113" t="str">
        <f aca="false">ExportRaw!$I483</f>
        <v/>
      </c>
      <c r="H483" s="113" t="str">
        <f aca="false">ExportRaw!$A483</f>
        <v/>
      </c>
      <c r="I483" s="113" t="str">
        <f aca="false">ExportRaw!$B483</f>
        <v/>
      </c>
    </row>
    <row r="484" customFormat="false" ht="15.75" hidden="false" customHeight="false" outlineLevel="0" collapsed="false">
      <c r="A484" s="113" t="n">
        <f aca="false">ExportRaw!$F484</f>
        <v>0</v>
      </c>
      <c r="B484" s="113" t="n">
        <f aca="false">ExportRaw!$C484</f>
        <v>0</v>
      </c>
      <c r="C484" s="113" t="n">
        <f aca="false">ExportRaw!$G484</f>
        <v>0</v>
      </c>
      <c r="D484" s="113" t="str">
        <f aca="false">ExportRaw!$E484</f>
        <v/>
      </c>
      <c r="E484" s="114" t="str">
        <f aca="false">ExportRaw!$D484</f>
        <v/>
      </c>
      <c r="F484" s="113" t="str">
        <f aca="false">ExportRaw!$H484</f>
        <v/>
      </c>
      <c r="G484" s="113" t="str">
        <f aca="false">ExportRaw!$I484</f>
        <v/>
      </c>
      <c r="H484" s="113" t="str">
        <f aca="false">ExportRaw!$A484</f>
        <v/>
      </c>
      <c r="I484" s="113" t="str">
        <f aca="false">ExportRaw!$B484</f>
        <v/>
      </c>
    </row>
    <row r="485" customFormat="false" ht="15.75" hidden="false" customHeight="false" outlineLevel="0" collapsed="false">
      <c r="A485" s="113" t="n">
        <f aca="false">ExportRaw!$F485</f>
        <v>0</v>
      </c>
      <c r="B485" s="113" t="n">
        <f aca="false">ExportRaw!$C485</f>
        <v>0</v>
      </c>
      <c r="C485" s="113" t="n">
        <f aca="false">ExportRaw!$G485</f>
        <v>0</v>
      </c>
      <c r="D485" s="113" t="str">
        <f aca="false">ExportRaw!$E485</f>
        <v/>
      </c>
      <c r="E485" s="114" t="str">
        <f aca="false">ExportRaw!$D485</f>
        <v/>
      </c>
      <c r="F485" s="113" t="str">
        <f aca="false">ExportRaw!$H485</f>
        <v/>
      </c>
      <c r="G485" s="113" t="str">
        <f aca="false">ExportRaw!$I485</f>
        <v/>
      </c>
      <c r="H485" s="113" t="str">
        <f aca="false">ExportRaw!$A485</f>
        <v/>
      </c>
      <c r="I485" s="113" t="str">
        <f aca="false">ExportRaw!$B485</f>
        <v/>
      </c>
    </row>
    <row r="486" customFormat="false" ht="15.75" hidden="false" customHeight="false" outlineLevel="0" collapsed="false">
      <c r="A486" s="113" t="n">
        <f aca="false">ExportRaw!$F486</f>
        <v>0</v>
      </c>
      <c r="B486" s="113" t="n">
        <f aca="false">ExportRaw!$C486</f>
        <v>0</v>
      </c>
      <c r="C486" s="113" t="n">
        <f aca="false">ExportRaw!$G486</f>
        <v>0</v>
      </c>
      <c r="D486" s="113" t="str">
        <f aca="false">ExportRaw!$E486</f>
        <v/>
      </c>
      <c r="E486" s="114" t="str">
        <f aca="false">ExportRaw!$D486</f>
        <v/>
      </c>
      <c r="F486" s="113" t="str">
        <f aca="false">ExportRaw!$H486</f>
        <v/>
      </c>
      <c r="G486" s="113" t="str">
        <f aca="false">ExportRaw!$I486</f>
        <v/>
      </c>
      <c r="H486" s="113" t="str">
        <f aca="false">ExportRaw!$A486</f>
        <v/>
      </c>
      <c r="I486" s="113" t="str">
        <f aca="false">ExportRaw!$B486</f>
        <v/>
      </c>
    </row>
    <row r="487" customFormat="false" ht="15.75" hidden="false" customHeight="false" outlineLevel="0" collapsed="false">
      <c r="A487" s="113" t="n">
        <f aca="false">ExportRaw!$F487</f>
        <v>0</v>
      </c>
      <c r="B487" s="113" t="n">
        <f aca="false">ExportRaw!$C487</f>
        <v>0</v>
      </c>
      <c r="C487" s="113" t="n">
        <f aca="false">ExportRaw!$G487</f>
        <v>0</v>
      </c>
      <c r="D487" s="113" t="str">
        <f aca="false">ExportRaw!$E487</f>
        <v/>
      </c>
      <c r="E487" s="114" t="str">
        <f aca="false">ExportRaw!$D487</f>
        <v/>
      </c>
      <c r="F487" s="113" t="str">
        <f aca="false">ExportRaw!$H487</f>
        <v/>
      </c>
      <c r="G487" s="113" t="str">
        <f aca="false">ExportRaw!$I487</f>
        <v/>
      </c>
      <c r="H487" s="113" t="str">
        <f aca="false">ExportRaw!$A487</f>
        <v/>
      </c>
      <c r="I487" s="113" t="str">
        <f aca="false">ExportRaw!$B487</f>
        <v/>
      </c>
    </row>
    <row r="488" customFormat="false" ht="15.75" hidden="false" customHeight="false" outlineLevel="0" collapsed="false">
      <c r="A488" s="113" t="n">
        <f aca="false">ExportRaw!$F488</f>
        <v>0</v>
      </c>
      <c r="B488" s="113" t="n">
        <f aca="false">ExportRaw!$C488</f>
        <v>0</v>
      </c>
      <c r="C488" s="113" t="n">
        <f aca="false">ExportRaw!$G488</f>
        <v>0</v>
      </c>
      <c r="D488" s="113" t="str">
        <f aca="false">ExportRaw!$E488</f>
        <v/>
      </c>
      <c r="E488" s="114" t="str">
        <f aca="false">ExportRaw!$D488</f>
        <v/>
      </c>
      <c r="F488" s="113" t="str">
        <f aca="false">ExportRaw!$H488</f>
        <v/>
      </c>
      <c r="G488" s="113" t="str">
        <f aca="false">ExportRaw!$I488</f>
        <v/>
      </c>
      <c r="H488" s="113" t="str">
        <f aca="false">ExportRaw!$A488</f>
        <v/>
      </c>
      <c r="I488" s="113" t="str">
        <f aca="false">ExportRaw!$B488</f>
        <v/>
      </c>
    </row>
    <row r="489" customFormat="false" ht="15.75" hidden="false" customHeight="false" outlineLevel="0" collapsed="false">
      <c r="A489" s="113" t="n">
        <f aca="false">ExportRaw!$F489</f>
        <v>0</v>
      </c>
      <c r="B489" s="113" t="n">
        <f aca="false">ExportRaw!$C489</f>
        <v>0</v>
      </c>
      <c r="C489" s="113" t="n">
        <f aca="false">ExportRaw!$G489</f>
        <v>0</v>
      </c>
      <c r="D489" s="113" t="str">
        <f aca="false">ExportRaw!$E489</f>
        <v/>
      </c>
      <c r="E489" s="114" t="str">
        <f aca="false">ExportRaw!$D489</f>
        <v/>
      </c>
      <c r="F489" s="113" t="str">
        <f aca="false">ExportRaw!$H489</f>
        <v/>
      </c>
      <c r="G489" s="113" t="str">
        <f aca="false">ExportRaw!$I489</f>
        <v/>
      </c>
      <c r="H489" s="113" t="str">
        <f aca="false">ExportRaw!$A489</f>
        <v/>
      </c>
      <c r="I489" s="113" t="str">
        <f aca="false">ExportRaw!$B489</f>
        <v/>
      </c>
    </row>
    <row r="490" customFormat="false" ht="15.75" hidden="false" customHeight="false" outlineLevel="0" collapsed="false">
      <c r="A490" s="113" t="n">
        <f aca="false">ExportRaw!$F490</f>
        <v>0</v>
      </c>
      <c r="B490" s="113" t="n">
        <f aca="false">ExportRaw!$C490</f>
        <v>0</v>
      </c>
      <c r="C490" s="113" t="n">
        <f aca="false">ExportRaw!$G490</f>
        <v>0</v>
      </c>
      <c r="D490" s="113" t="str">
        <f aca="false">ExportRaw!$E490</f>
        <v/>
      </c>
      <c r="E490" s="114" t="str">
        <f aca="false">ExportRaw!$D490</f>
        <v/>
      </c>
      <c r="F490" s="113" t="str">
        <f aca="false">ExportRaw!$H490</f>
        <v/>
      </c>
      <c r="G490" s="113" t="str">
        <f aca="false">ExportRaw!$I490</f>
        <v/>
      </c>
      <c r="H490" s="113" t="str">
        <f aca="false">ExportRaw!$A490</f>
        <v/>
      </c>
      <c r="I490" s="113" t="str">
        <f aca="false">ExportRaw!$B490</f>
        <v/>
      </c>
    </row>
    <row r="491" customFormat="false" ht="15.75" hidden="false" customHeight="false" outlineLevel="0" collapsed="false">
      <c r="A491" s="113" t="n">
        <f aca="false">ExportRaw!$F491</f>
        <v>0</v>
      </c>
      <c r="B491" s="113" t="n">
        <f aca="false">ExportRaw!$C491</f>
        <v>0</v>
      </c>
      <c r="C491" s="113" t="n">
        <f aca="false">ExportRaw!$G491</f>
        <v>0</v>
      </c>
      <c r="D491" s="113" t="str">
        <f aca="false">ExportRaw!$E491</f>
        <v/>
      </c>
      <c r="E491" s="114" t="str">
        <f aca="false">ExportRaw!$D491</f>
        <v/>
      </c>
      <c r="F491" s="113" t="str">
        <f aca="false">ExportRaw!$H491</f>
        <v/>
      </c>
      <c r="G491" s="113" t="str">
        <f aca="false">ExportRaw!$I491</f>
        <v/>
      </c>
      <c r="H491" s="113" t="str">
        <f aca="false">ExportRaw!$A491</f>
        <v/>
      </c>
      <c r="I491" s="113" t="str">
        <f aca="false">ExportRaw!$B491</f>
        <v/>
      </c>
    </row>
    <row r="492" customFormat="false" ht="15.75" hidden="false" customHeight="false" outlineLevel="0" collapsed="false">
      <c r="A492" s="113" t="n">
        <f aca="false">ExportRaw!$F492</f>
        <v>0</v>
      </c>
      <c r="B492" s="113" t="n">
        <f aca="false">ExportRaw!$C492</f>
        <v>0</v>
      </c>
      <c r="C492" s="113" t="n">
        <f aca="false">ExportRaw!$G492</f>
        <v>0</v>
      </c>
      <c r="D492" s="113" t="str">
        <f aca="false">ExportRaw!$E492</f>
        <v/>
      </c>
      <c r="E492" s="114" t="str">
        <f aca="false">ExportRaw!$D492</f>
        <v/>
      </c>
      <c r="F492" s="113" t="str">
        <f aca="false">ExportRaw!$H492</f>
        <v/>
      </c>
      <c r="G492" s="113" t="str">
        <f aca="false">ExportRaw!$I492</f>
        <v/>
      </c>
      <c r="H492" s="113" t="str">
        <f aca="false">ExportRaw!$A492</f>
        <v/>
      </c>
      <c r="I492" s="113" t="str">
        <f aca="false">ExportRaw!$B492</f>
        <v/>
      </c>
    </row>
    <row r="493" customFormat="false" ht="15.75" hidden="false" customHeight="false" outlineLevel="0" collapsed="false">
      <c r="A493" s="113" t="n">
        <f aca="false">ExportRaw!$F493</f>
        <v>0</v>
      </c>
      <c r="B493" s="113" t="n">
        <f aca="false">ExportRaw!$C493</f>
        <v>0</v>
      </c>
      <c r="C493" s="113" t="n">
        <f aca="false">ExportRaw!$G493</f>
        <v>0</v>
      </c>
      <c r="D493" s="113" t="str">
        <f aca="false">ExportRaw!$E493</f>
        <v/>
      </c>
      <c r="E493" s="114" t="str">
        <f aca="false">ExportRaw!$D493</f>
        <v/>
      </c>
      <c r="F493" s="113" t="str">
        <f aca="false">ExportRaw!$H493</f>
        <v/>
      </c>
      <c r="G493" s="113" t="str">
        <f aca="false">ExportRaw!$I493</f>
        <v/>
      </c>
      <c r="H493" s="113" t="str">
        <f aca="false">ExportRaw!$A493</f>
        <v/>
      </c>
      <c r="I493" s="113" t="str">
        <f aca="false">ExportRaw!$B493</f>
        <v/>
      </c>
    </row>
    <row r="494" customFormat="false" ht="15.75" hidden="false" customHeight="false" outlineLevel="0" collapsed="false">
      <c r="A494" s="113" t="n">
        <f aca="false">ExportRaw!$F494</f>
        <v>0</v>
      </c>
      <c r="B494" s="113" t="n">
        <f aca="false">ExportRaw!$C494</f>
        <v>0</v>
      </c>
      <c r="C494" s="113" t="n">
        <f aca="false">ExportRaw!$G494</f>
        <v>0</v>
      </c>
      <c r="D494" s="113" t="str">
        <f aca="false">ExportRaw!$E494</f>
        <v/>
      </c>
      <c r="E494" s="114" t="str">
        <f aca="false">ExportRaw!$D494</f>
        <v/>
      </c>
      <c r="F494" s="113" t="str">
        <f aca="false">ExportRaw!$H494</f>
        <v/>
      </c>
      <c r="G494" s="113" t="str">
        <f aca="false">ExportRaw!$I494</f>
        <v/>
      </c>
      <c r="H494" s="113" t="str">
        <f aca="false">ExportRaw!$A494</f>
        <v/>
      </c>
      <c r="I494" s="113" t="str">
        <f aca="false">ExportRaw!$B494</f>
        <v/>
      </c>
    </row>
    <row r="495" customFormat="false" ht="15.75" hidden="false" customHeight="false" outlineLevel="0" collapsed="false">
      <c r="A495" s="113" t="n">
        <f aca="false">ExportRaw!$F495</f>
        <v>0</v>
      </c>
      <c r="B495" s="113" t="n">
        <f aca="false">ExportRaw!$C495</f>
        <v>0</v>
      </c>
      <c r="C495" s="113" t="n">
        <f aca="false">ExportRaw!$G495</f>
        <v>0</v>
      </c>
      <c r="D495" s="113" t="str">
        <f aca="false">ExportRaw!$E495</f>
        <v/>
      </c>
      <c r="E495" s="114" t="str">
        <f aca="false">ExportRaw!$D495</f>
        <v/>
      </c>
      <c r="F495" s="113" t="str">
        <f aca="false">ExportRaw!$H495</f>
        <v/>
      </c>
      <c r="G495" s="113" t="str">
        <f aca="false">ExportRaw!$I495</f>
        <v/>
      </c>
      <c r="H495" s="113" t="str">
        <f aca="false">ExportRaw!$A495</f>
        <v/>
      </c>
      <c r="I495" s="113" t="str">
        <f aca="false">ExportRaw!$B495</f>
        <v/>
      </c>
    </row>
    <row r="496" customFormat="false" ht="15.75" hidden="false" customHeight="false" outlineLevel="0" collapsed="false">
      <c r="A496" s="113" t="n">
        <f aca="false">ExportRaw!$F496</f>
        <v>0</v>
      </c>
      <c r="B496" s="113" t="n">
        <f aca="false">ExportRaw!$C496</f>
        <v>0</v>
      </c>
      <c r="C496" s="113" t="n">
        <f aca="false">ExportRaw!$G496</f>
        <v>0</v>
      </c>
      <c r="D496" s="113" t="str">
        <f aca="false">ExportRaw!$E496</f>
        <v/>
      </c>
      <c r="E496" s="114" t="str">
        <f aca="false">ExportRaw!$D496</f>
        <v/>
      </c>
      <c r="F496" s="113" t="str">
        <f aca="false">ExportRaw!$H496</f>
        <v/>
      </c>
      <c r="G496" s="113" t="str">
        <f aca="false">ExportRaw!$I496</f>
        <v/>
      </c>
      <c r="H496" s="113" t="str">
        <f aca="false">ExportRaw!$A496</f>
        <v/>
      </c>
      <c r="I496" s="113" t="str">
        <f aca="false">ExportRaw!$B496</f>
        <v/>
      </c>
    </row>
    <row r="497" customFormat="false" ht="15.75" hidden="false" customHeight="false" outlineLevel="0" collapsed="false">
      <c r="A497" s="113" t="n">
        <f aca="false">ExportRaw!$F497</f>
        <v>0</v>
      </c>
      <c r="B497" s="113" t="n">
        <f aca="false">ExportRaw!$C497</f>
        <v>0</v>
      </c>
      <c r="C497" s="113" t="n">
        <f aca="false">ExportRaw!$G497</f>
        <v>0</v>
      </c>
      <c r="D497" s="113" t="str">
        <f aca="false">ExportRaw!$E497</f>
        <v/>
      </c>
      <c r="E497" s="114" t="str">
        <f aca="false">ExportRaw!$D497</f>
        <v/>
      </c>
      <c r="F497" s="113" t="str">
        <f aca="false">ExportRaw!$H497</f>
        <v/>
      </c>
      <c r="G497" s="113" t="str">
        <f aca="false">ExportRaw!$I497</f>
        <v/>
      </c>
      <c r="H497" s="113" t="str">
        <f aca="false">ExportRaw!$A497</f>
        <v/>
      </c>
      <c r="I497" s="113" t="str">
        <f aca="false">ExportRaw!$B497</f>
        <v/>
      </c>
    </row>
    <row r="498" customFormat="false" ht="15.75" hidden="false" customHeight="false" outlineLevel="0" collapsed="false">
      <c r="A498" s="113" t="n">
        <f aca="false">ExportRaw!$F498</f>
        <v>0</v>
      </c>
      <c r="B498" s="113" t="n">
        <f aca="false">ExportRaw!$C498</f>
        <v>0</v>
      </c>
      <c r="C498" s="113" t="n">
        <f aca="false">ExportRaw!$G498</f>
        <v>0</v>
      </c>
      <c r="D498" s="113" t="str">
        <f aca="false">ExportRaw!$E498</f>
        <v/>
      </c>
      <c r="E498" s="114" t="str">
        <f aca="false">ExportRaw!$D498</f>
        <v/>
      </c>
      <c r="F498" s="113" t="str">
        <f aca="false">ExportRaw!$H498</f>
        <v/>
      </c>
      <c r="G498" s="113" t="str">
        <f aca="false">ExportRaw!$I498</f>
        <v/>
      </c>
      <c r="H498" s="113" t="str">
        <f aca="false">ExportRaw!$A498</f>
        <v/>
      </c>
      <c r="I498" s="113" t="str">
        <f aca="false">ExportRaw!$B498</f>
        <v/>
      </c>
    </row>
    <row r="499" customFormat="false" ht="15.75" hidden="false" customHeight="false" outlineLevel="0" collapsed="false">
      <c r="A499" s="113" t="n">
        <f aca="false">ExportRaw!$F499</f>
        <v>0</v>
      </c>
      <c r="B499" s="113" t="n">
        <f aca="false">ExportRaw!$C499</f>
        <v>0</v>
      </c>
      <c r="C499" s="113" t="n">
        <f aca="false">ExportRaw!$G499</f>
        <v>0</v>
      </c>
      <c r="D499" s="113" t="str">
        <f aca="false">ExportRaw!$E499</f>
        <v/>
      </c>
      <c r="E499" s="114" t="str">
        <f aca="false">ExportRaw!$D499</f>
        <v/>
      </c>
      <c r="F499" s="113" t="str">
        <f aca="false">ExportRaw!$H499</f>
        <v/>
      </c>
      <c r="G499" s="113" t="str">
        <f aca="false">ExportRaw!$I499</f>
        <v/>
      </c>
      <c r="H499" s="113" t="str">
        <f aca="false">ExportRaw!$A499</f>
        <v/>
      </c>
      <c r="I499" s="113" t="str">
        <f aca="false">ExportRaw!$B499</f>
        <v/>
      </c>
    </row>
    <row r="500" customFormat="false" ht="15.75" hidden="false" customHeight="false" outlineLevel="0" collapsed="false">
      <c r="A500" s="113" t="n">
        <f aca="false">ExportRaw!$F500</f>
        <v>0</v>
      </c>
      <c r="B500" s="113" t="n">
        <f aca="false">ExportRaw!$C500</f>
        <v>0</v>
      </c>
      <c r="C500" s="113" t="n">
        <f aca="false">ExportRaw!$G500</f>
        <v>0</v>
      </c>
      <c r="D500" s="113" t="str">
        <f aca="false">ExportRaw!$E500</f>
        <v/>
      </c>
      <c r="E500" s="114" t="str">
        <f aca="false">ExportRaw!$D500</f>
        <v/>
      </c>
      <c r="F500" s="113" t="str">
        <f aca="false">ExportRaw!$H500</f>
        <v/>
      </c>
      <c r="G500" s="113" t="str">
        <f aca="false">ExportRaw!$I500</f>
        <v/>
      </c>
      <c r="H500" s="113" t="str">
        <f aca="false">ExportRaw!$A500</f>
        <v/>
      </c>
      <c r="I500" s="113" t="str">
        <f aca="false">ExportRaw!$B500</f>
        <v/>
      </c>
    </row>
    <row r="501" customFormat="false" ht="15.75" hidden="false" customHeight="false" outlineLevel="0" collapsed="false">
      <c r="A501" s="113" t="n">
        <f aca="false">ExportRaw!$F501</f>
        <v>0</v>
      </c>
      <c r="B501" s="113" t="n">
        <f aca="false">ExportRaw!$C501</f>
        <v>0</v>
      </c>
      <c r="C501" s="113" t="n">
        <f aca="false">ExportRaw!$G501</f>
        <v>0</v>
      </c>
      <c r="D501" s="113" t="str">
        <f aca="false">ExportRaw!$E501</f>
        <v/>
      </c>
      <c r="E501" s="114" t="str">
        <f aca="false">ExportRaw!$D501</f>
        <v/>
      </c>
      <c r="F501" s="113" t="str">
        <f aca="false">ExportRaw!$H501</f>
        <v/>
      </c>
      <c r="G501" s="113" t="str">
        <f aca="false">ExportRaw!$I501</f>
        <v/>
      </c>
      <c r="H501" s="113" t="str">
        <f aca="false">ExportRaw!$A501</f>
        <v/>
      </c>
      <c r="I501" s="113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88"/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12" t="s">
        <v>69</v>
      </c>
      <c r="B1" s="112" t="s">
        <v>70</v>
      </c>
      <c r="C1" s="112" t="s">
        <v>71</v>
      </c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customFormat="false" ht="15.75" hidden="false" customHeight="false" outlineLevel="0" collapsed="false">
      <c r="A2" s="115" t="n">
        <v>46285</v>
      </c>
      <c r="B2" s="113" t="s">
        <v>72</v>
      </c>
      <c r="C2" s="113" t="s">
        <v>73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customFormat="false" ht="15.75" hidden="false" customHeight="false" outlineLevel="0" collapsed="false">
      <c r="A3" s="115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customFormat="false" ht="15.75" hidden="false" customHeight="false" outlineLevel="0" collapsed="false">
      <c r="A4" s="115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customFormat="false" ht="15.75" hidden="false" customHeight="false" outlineLevel="0" collapsed="false">
      <c r="A5" s="116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customFormat="false" ht="15.75" hidden="false" customHeight="false" outlineLevel="0" collapsed="false">
      <c r="A6" s="116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customFormat="false" ht="15.75" hidden="false" customHeight="false" outlineLevel="0" collapsed="false">
      <c r="A7" s="116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customFormat="false" ht="15.75" hidden="false" customHeight="false" outlineLevel="0" collapsed="false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customFormat="false" ht="15.75" hidden="false" customHeight="false" outlineLevel="0" collapsed="false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customFormat="false" ht="15.75" hidden="false" customHeight="false" outlineLevel="0" collapsed="false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customFormat="false" ht="15.75" hidden="false" customHeight="false" outlineLevel="0" collapsed="false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customFormat="false" ht="15.75" hidden="false" customHeight="false" outlineLevel="0" collapsed="false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customFormat="false" ht="15.75" hidden="false" customHeight="false" outlineLevel="0" collapsed="false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customFormat="false" ht="15.75" hidden="false" customHeight="false" outlineLevel="0" collapsed="false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customFormat="false" ht="15.75" hidden="false" customHeight="false" outlineLevel="0" collapsed="false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customFormat="false" ht="15.75" hidden="false" customHeight="false" outlineLevel="0" collapsed="false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customFormat="false" ht="15.75" hidden="false" customHeight="false" outlineLevel="0" collapsed="false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customFormat="false" ht="15.75" hidden="false" customHeight="false" outlineLevel="0" collapsed="false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customFormat="false" ht="15.75" hidden="false" customHeight="false" outlineLevel="0" collapsed="false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customFormat="false" ht="15.75" hidden="false" customHeight="false" outlineLevel="0" collapsed="false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customFormat="false" ht="15.75" hidden="false" customHeight="false" outlineLevel="0" collapsed="false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customFormat="false" ht="15.75" hidden="false" customHeight="false" outlineLevel="0" collapsed="false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customFormat="false" ht="15.75" hidden="false" customHeight="false" outlineLevel="0" collapsed="false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customFormat="false" ht="15.75" hidden="false" customHeight="false" outlineLevel="0" collapsed="false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customFormat="false" ht="15.75" hidden="false" customHeight="false" outlineLevel="0" collapsed="false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customFormat="false" ht="15.75" hidden="false" customHeight="false" outlineLevel="0" collapsed="false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customFormat="false" ht="15.75" hidden="false" customHeight="false" outlineLevel="0" collapsed="false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customFormat="false" ht="15.75" hidden="false" customHeight="false" outlineLevel="0" collapsed="false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customFormat="false" ht="15.75" hidden="false" customHeight="false" outlineLevel="0" collapsed="false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customFormat="false" ht="15.75" hidden="false" customHeight="false" outlineLevel="0" collapsed="false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customFormat="false" ht="15.75" hidden="false" customHeight="false" outlineLevel="0" collapsed="false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customFormat="false" ht="15.75" hidden="false" customHeight="false" outlineLevel="0" collapsed="false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customFormat="false" ht="15.75" hidden="false" customHeight="false" outlineLevel="0" collapsed="false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customFormat="false" ht="15.75" hidden="false" customHeight="false" outlineLevel="0" collapsed="false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customFormat="false" ht="15.75" hidden="false" customHeight="false" outlineLevel="0" collapsed="false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customFormat="false" ht="15.75" hidden="false" customHeight="false" outlineLevel="0" collapsed="false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customFormat="false" ht="15.75" hidden="false" customHeight="false" outlineLevel="0" collapsed="false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customFormat="false" ht="15.75" hidden="false" customHeight="false" outlineLevel="0" collapsed="false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customFormat="false" ht="15.75" hidden="false" customHeight="false" outlineLevel="0" collapsed="false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customFormat="false" ht="15.75" hidden="false" customHeight="false" outlineLevel="0" collapsed="false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customFormat="false" ht="15.75" hidden="false" customHeight="false" outlineLevel="0" collapsed="false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customFormat="false" ht="15.75" hidden="false" customHeight="false" outlineLevel="0" collapsed="false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customFormat="false" ht="15.75" hidden="false" customHeight="false" outlineLevel="0" collapsed="false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customFormat="false" ht="15.75" hidden="false" customHeight="false" outlineLevel="0" collapsed="false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customFormat="false" ht="15.75" hidden="false" customHeight="false" outlineLevel="0" collapsed="false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customFormat="false" ht="15.75" hidden="false" customHeight="false" outlineLevel="0" collapsed="false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customFormat="false" ht="15.75" hidden="false" customHeight="false" outlineLevel="0" collapsed="false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customFormat="false" ht="15.75" hidden="false" customHeight="false" outlineLevel="0" collapsed="false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customFormat="false" ht="15.75" hidden="false" customHeight="false" outlineLevel="0" collapsed="false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customFormat="false" ht="15.75" hidden="false" customHeight="false" outlineLevel="0" collapsed="false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customFormat="false" ht="15.75" hidden="false" customHeight="false" outlineLevel="0" collapsed="false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customFormat="false" ht="15.75" hidden="false" customHeight="false" outlineLevel="0" collapsed="false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customFormat="false" ht="15.75" hidden="false" customHeight="false" outlineLevel="0" collapsed="false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customFormat="false" ht="15.75" hidden="false" customHeight="false" outlineLevel="0" collapsed="false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customFormat="false" ht="15.75" hidden="false" customHeight="false" outlineLevel="0" collapsed="false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customFormat="false" ht="15.75" hidden="false" customHeight="false" outlineLevel="0" collapsed="false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customFormat="false" ht="15.75" hidden="false" customHeight="false" outlineLevel="0" collapsed="false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customFormat="false" ht="15.75" hidden="false" customHeight="false" outlineLevel="0" collapsed="false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customFormat="false" ht="15.75" hidden="false" customHeight="false" outlineLevel="0" collapsed="false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customFormat="false" ht="15.75" hidden="false" customHeight="false" outlineLevel="0" collapsed="false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customFormat="false" ht="15.75" hidden="false" customHeight="false" outlineLevel="0" collapsed="false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customFormat="false" ht="15.75" hidden="false" customHeight="false" outlineLevel="0" collapsed="false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customFormat="false" ht="15.75" hidden="false" customHeight="false" outlineLevel="0" collapsed="false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customFormat="false" ht="15.75" hidden="false" customHeight="false" outlineLevel="0" collapsed="false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customFormat="false" ht="15.75" hidden="false" customHeight="false" outlineLevel="0" collapsed="false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customFormat="false" ht="15.75" hidden="false" customHeight="false" outlineLevel="0" collapsed="false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customFormat="false" ht="15.75" hidden="false" customHeight="false" outlineLevel="0" collapsed="false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customFormat="false" ht="15.75" hidden="false" customHeight="false" outlineLevel="0" collapsed="false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customFormat="false" ht="15.75" hidden="false" customHeight="false" outlineLevel="0" collapsed="false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customFormat="false" ht="15.75" hidden="false" customHeight="false" outlineLevel="0" collapsed="false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customFormat="false" ht="15.75" hidden="false" customHeight="false" outlineLevel="0" collapsed="false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customFormat="false" ht="15.75" hidden="false" customHeight="false" outlineLevel="0" collapsed="false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customFormat="false" ht="15.75" hidden="false" customHeight="false" outlineLevel="0" collapsed="false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customFormat="false" ht="15.75" hidden="false" customHeight="false" outlineLevel="0" collapsed="false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customFormat="false" ht="15.75" hidden="false" customHeight="false" outlineLevel="0" collapsed="false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customFormat="false" ht="15.75" hidden="false" customHeight="false" outlineLevel="0" collapsed="false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customFormat="false" ht="15.75" hidden="false" customHeight="false" outlineLevel="0" collapsed="false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customFormat="false" ht="15.75" hidden="false" customHeight="false" outlineLevel="0" collapsed="false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customFormat="false" ht="15.75" hidden="false" customHeight="false" outlineLevel="0" collapsed="false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customFormat="false" ht="15.75" hidden="false" customHeight="false" outlineLevel="0" collapsed="false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customFormat="false" ht="15.75" hidden="false" customHeight="false" outlineLevel="0" collapsed="false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customFormat="false" ht="15.75" hidden="false" customHeight="false" outlineLevel="0" collapsed="false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customFormat="false" ht="15.75" hidden="false" customHeight="false" outlineLevel="0" collapsed="false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customFormat="false" ht="15.75" hidden="false" customHeight="false" outlineLevel="0" collapsed="false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customFormat="false" ht="15.75" hidden="false" customHeight="false" outlineLevel="0" collapsed="false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customFormat="false" ht="15.75" hidden="false" customHeight="false" outlineLevel="0" collapsed="false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customFormat="false" ht="15.75" hidden="false" customHeight="false" outlineLevel="0" collapsed="false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customFormat="false" ht="15.75" hidden="false" customHeight="false" outlineLevel="0" collapsed="false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customFormat="false" ht="15.75" hidden="false" customHeight="false" outlineLevel="0" collapsed="false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customFormat="false" ht="15.75" hidden="false" customHeight="false" outlineLevel="0" collapsed="false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customFormat="false" ht="15.75" hidden="false" customHeight="false" outlineLevel="0" collapsed="false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customFormat="false" ht="15.75" hidden="false" customHeight="false" outlineLevel="0" collapsed="false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customFormat="false" ht="15.75" hidden="false" customHeight="false" outlineLevel="0" collapsed="false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customFormat="false" ht="15.75" hidden="false" customHeight="false" outlineLevel="0" collapsed="false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customFormat="false" ht="15.75" hidden="false" customHeight="false" outlineLevel="0" collapsed="false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customFormat="false" ht="15.75" hidden="false" customHeight="false" outlineLevel="0" collapsed="false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customFormat="false" ht="15.75" hidden="false" customHeight="false" outlineLevel="0" collapsed="false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customFormat="false" ht="15.75" hidden="false" customHeight="false" outlineLevel="0" collapsed="false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customFormat="false" ht="15.75" hidden="false" customHeight="false" outlineLevel="0" collapsed="false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customFormat="false" ht="15.75" hidden="false" customHeight="false" outlineLevel="0" collapsed="false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customFormat="false" ht="15.75" hidden="false" customHeight="false" outlineLevel="0" collapsed="false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customFormat="false" ht="15.75" hidden="false" customHeight="false" outlineLevel="0" collapsed="false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customFormat="false" ht="15.75" hidden="false" customHeight="false" outlineLevel="0" collapsed="false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customFormat="false" ht="15.75" hidden="false" customHeight="false" outlineLevel="0" collapsed="false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customFormat="false" ht="15.75" hidden="false" customHeight="false" outlineLevel="0" collapsed="false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customFormat="false" ht="15.75" hidden="false" customHeight="false" outlineLevel="0" collapsed="false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customFormat="false" ht="15.75" hidden="false" customHeight="false" outlineLevel="0" collapsed="false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customFormat="false" ht="15.75" hidden="false" customHeight="false" outlineLevel="0" collapsed="false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customFormat="false" ht="15.75" hidden="false" customHeight="false" outlineLevel="0" collapsed="false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customFormat="false" ht="15.75" hidden="false" customHeight="false" outlineLevel="0" collapsed="false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customFormat="false" ht="15.75" hidden="false" customHeight="false" outlineLevel="0" collapsed="false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customFormat="false" ht="15.75" hidden="false" customHeight="false" outlineLevel="0" collapsed="false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customFormat="false" ht="15.75" hidden="false" customHeight="false" outlineLevel="0" collapsed="false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customFormat="false" ht="15.75" hidden="false" customHeight="false" outlineLevel="0" collapsed="false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customFormat="false" ht="15.75" hidden="false" customHeight="false" outlineLevel="0" collapsed="false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customFormat="false" ht="15.75" hidden="false" customHeight="false" outlineLevel="0" collapsed="false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customFormat="false" ht="15.75" hidden="false" customHeight="false" outlineLevel="0" collapsed="false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customFormat="false" ht="15.75" hidden="false" customHeight="false" outlineLevel="0" collapsed="false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customFormat="false" ht="15.75" hidden="false" customHeight="false" outlineLevel="0" collapsed="false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customFormat="false" ht="15.75" hidden="false" customHeight="false" outlineLevel="0" collapsed="false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customFormat="false" ht="15.75" hidden="false" customHeight="false" outlineLevel="0" collapsed="false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customFormat="false" ht="15.75" hidden="false" customHeight="false" outlineLevel="0" collapsed="false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customFormat="false" ht="15.75" hidden="false" customHeight="false" outlineLevel="0" collapsed="false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customFormat="false" ht="15.75" hidden="false" customHeight="false" outlineLevel="0" collapsed="false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customFormat="false" ht="15.75" hidden="false" customHeight="false" outlineLevel="0" collapsed="false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customFormat="false" ht="15.75" hidden="false" customHeight="false" outlineLevel="0" collapsed="false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customFormat="false" ht="15.75" hidden="false" customHeight="false" outlineLevel="0" collapsed="false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customFormat="false" ht="15.75" hidden="false" customHeight="false" outlineLevel="0" collapsed="false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customFormat="false" ht="15.75" hidden="false" customHeight="false" outlineLevel="0" collapsed="false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customFormat="false" ht="15.75" hidden="false" customHeight="false" outlineLevel="0" collapsed="false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customFormat="false" ht="15.75" hidden="false" customHeight="false" outlineLevel="0" collapsed="false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customFormat="false" ht="15.75" hidden="false" customHeight="false" outlineLevel="0" collapsed="false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customFormat="false" ht="15.75" hidden="false" customHeight="false" outlineLevel="0" collapsed="false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customFormat="false" ht="15.75" hidden="false" customHeight="false" outlineLevel="0" collapsed="false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customFormat="false" ht="15.75" hidden="false" customHeight="false" outlineLevel="0" collapsed="false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customFormat="false" ht="15.75" hidden="false" customHeight="false" outlineLevel="0" collapsed="false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customFormat="false" ht="15.75" hidden="false" customHeight="false" outlineLevel="0" collapsed="false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customFormat="false" ht="15.75" hidden="false" customHeight="false" outlineLevel="0" collapsed="false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customFormat="false" ht="15.75" hidden="false" customHeight="false" outlineLevel="0" collapsed="false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customFormat="false" ht="15.75" hidden="false" customHeight="false" outlineLevel="0" collapsed="false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customFormat="false" ht="15.75" hidden="false" customHeight="false" outlineLevel="0" collapsed="false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customFormat="false" ht="15.75" hidden="false" customHeight="false" outlineLevel="0" collapsed="false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customFormat="false" ht="15.75" hidden="false" customHeight="false" outlineLevel="0" collapsed="false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customFormat="false" ht="15.75" hidden="false" customHeight="false" outlineLevel="0" collapsed="false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customFormat="false" ht="15.75" hidden="false" customHeight="false" outlineLevel="0" collapsed="false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customFormat="false" ht="15.75" hidden="false" customHeight="false" outlineLevel="0" collapsed="false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customFormat="false" ht="15.75" hidden="false" customHeight="false" outlineLevel="0" collapsed="false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customFormat="false" ht="15.75" hidden="false" customHeight="false" outlineLevel="0" collapsed="false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customFormat="false" ht="15.75" hidden="false" customHeight="false" outlineLevel="0" collapsed="false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customFormat="false" ht="15.75" hidden="false" customHeight="false" outlineLevel="0" collapsed="false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customFormat="false" ht="15.75" hidden="false" customHeight="false" outlineLevel="0" collapsed="false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customFormat="false" ht="15.75" hidden="false" customHeight="false" outlineLevel="0" collapsed="false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customFormat="false" ht="15.75" hidden="false" customHeight="false" outlineLevel="0" collapsed="false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customFormat="false" ht="15.75" hidden="false" customHeight="false" outlineLevel="0" collapsed="false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customFormat="false" ht="15.75" hidden="false" customHeight="false" outlineLevel="0" collapsed="false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customFormat="false" ht="15.75" hidden="false" customHeight="false" outlineLevel="0" collapsed="false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customFormat="false" ht="15.75" hidden="false" customHeight="false" outlineLevel="0" collapsed="false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customFormat="false" ht="15.75" hidden="false" customHeight="false" outlineLevel="0" collapsed="false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customFormat="false" ht="15.75" hidden="false" customHeight="false" outlineLevel="0" collapsed="false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customFormat="false" ht="15.75" hidden="false" customHeight="false" outlineLevel="0" collapsed="false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customFormat="false" ht="15.75" hidden="false" customHeight="false" outlineLevel="0" collapsed="false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customFormat="false" ht="15.75" hidden="false" customHeight="false" outlineLevel="0" collapsed="false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customFormat="false" ht="15.75" hidden="false" customHeight="false" outlineLevel="0" collapsed="false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customFormat="false" ht="15.75" hidden="false" customHeight="false" outlineLevel="0" collapsed="false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customFormat="false" ht="15.75" hidden="false" customHeight="false" outlineLevel="0" collapsed="false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customFormat="false" ht="15.75" hidden="false" customHeight="false" outlineLevel="0" collapsed="false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customFormat="false" ht="15.75" hidden="false" customHeight="false" outlineLevel="0" collapsed="false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customFormat="false" ht="15.75" hidden="false" customHeight="false" outlineLevel="0" collapsed="false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customFormat="false" ht="15.75" hidden="false" customHeight="false" outlineLevel="0" collapsed="false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customFormat="false" ht="15.75" hidden="false" customHeight="false" outlineLevel="0" collapsed="false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customFormat="false" ht="15.75" hidden="false" customHeight="false" outlineLevel="0" collapsed="false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customFormat="false" ht="15.75" hidden="false" customHeight="false" outlineLevel="0" collapsed="false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customFormat="false" ht="15.75" hidden="false" customHeight="false" outlineLevel="0" collapsed="false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customFormat="false" ht="15.75" hidden="false" customHeight="false" outlineLevel="0" collapsed="false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customFormat="false" ht="15.75" hidden="false" customHeight="false" outlineLevel="0" collapsed="false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customFormat="false" ht="15.75" hidden="false" customHeight="false" outlineLevel="0" collapsed="false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customFormat="false" ht="15.75" hidden="false" customHeight="false" outlineLevel="0" collapsed="false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customFormat="false" ht="15.75" hidden="false" customHeight="false" outlineLevel="0" collapsed="false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customFormat="false" ht="15.75" hidden="false" customHeight="false" outlineLevel="0" collapsed="false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customFormat="false" ht="15.75" hidden="false" customHeight="false" outlineLevel="0" collapsed="false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customFormat="false" ht="15.75" hidden="false" customHeight="false" outlineLevel="0" collapsed="false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customFormat="false" ht="15.75" hidden="false" customHeight="false" outlineLevel="0" collapsed="false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customFormat="false" ht="15.75" hidden="false" customHeight="false" outlineLevel="0" collapsed="false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customFormat="false" ht="15.75" hidden="false" customHeight="false" outlineLevel="0" collapsed="false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customFormat="false" ht="15.75" hidden="false" customHeight="false" outlineLevel="0" collapsed="false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customFormat="false" ht="15.75" hidden="false" customHeight="false" outlineLevel="0" collapsed="false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customFormat="false" ht="15.75" hidden="false" customHeight="false" outlineLevel="0" collapsed="false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customFormat="false" ht="15.75" hidden="false" customHeight="false" outlineLevel="0" collapsed="false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customFormat="false" ht="15.75" hidden="false" customHeight="false" outlineLevel="0" collapsed="false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customFormat="false" ht="15.75" hidden="false" customHeight="false" outlineLevel="0" collapsed="false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customFormat="false" ht="15.75" hidden="false" customHeight="false" outlineLevel="0" collapsed="false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customFormat="false" ht="15.75" hidden="false" customHeight="false" outlineLevel="0" collapsed="false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customFormat="false" ht="15.75" hidden="false" customHeight="false" outlineLevel="0" collapsed="false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customFormat="false" ht="15.75" hidden="false" customHeight="false" outlineLevel="0" collapsed="false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customFormat="false" ht="15.75" hidden="false" customHeight="false" outlineLevel="0" collapsed="false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customFormat="false" ht="15.75" hidden="false" customHeight="false" outlineLevel="0" collapsed="false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customFormat="false" ht="15.75" hidden="false" customHeight="false" outlineLevel="0" collapsed="false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customFormat="false" ht="15.75" hidden="false" customHeight="false" outlineLevel="0" collapsed="false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customFormat="false" ht="15.75" hidden="false" customHeight="false" outlineLevel="0" collapsed="false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customFormat="false" ht="15.75" hidden="false" customHeight="false" outlineLevel="0" collapsed="false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customFormat="false" ht="15.75" hidden="false" customHeight="false" outlineLevel="0" collapsed="false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customFormat="false" ht="15.75" hidden="false" customHeight="false" outlineLevel="0" collapsed="false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customFormat="false" ht="15.75" hidden="false" customHeight="false" outlineLevel="0" collapsed="false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customFormat="false" ht="15.75" hidden="false" customHeight="false" outlineLevel="0" collapsed="false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customFormat="false" ht="15.75" hidden="false" customHeight="false" outlineLevel="0" collapsed="false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customFormat="false" ht="15.75" hidden="false" customHeight="false" outlineLevel="0" collapsed="false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customFormat="false" ht="15.75" hidden="false" customHeight="false" outlineLevel="0" collapsed="false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customFormat="false" ht="15.75" hidden="false" customHeight="false" outlineLevel="0" collapsed="false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customFormat="false" ht="15.75" hidden="false" customHeight="false" outlineLevel="0" collapsed="false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customFormat="false" ht="15.75" hidden="false" customHeight="false" outlineLevel="0" collapsed="false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customFormat="false" ht="15.75" hidden="false" customHeight="false" outlineLevel="0" collapsed="false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customFormat="false" ht="15.75" hidden="false" customHeight="false" outlineLevel="0" collapsed="false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customFormat="false" ht="15.75" hidden="false" customHeight="false" outlineLevel="0" collapsed="false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customFormat="false" ht="15.75" hidden="false" customHeight="false" outlineLevel="0" collapsed="false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customFormat="false" ht="15.75" hidden="false" customHeight="false" outlineLevel="0" collapsed="false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customFormat="false" ht="15.75" hidden="false" customHeight="false" outlineLevel="0" collapsed="false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customFormat="false" ht="15.75" hidden="false" customHeight="false" outlineLevel="0" collapsed="false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customFormat="false" ht="15.75" hidden="false" customHeight="false" outlineLevel="0" collapsed="false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customFormat="false" ht="15.75" hidden="false" customHeight="false" outlineLevel="0" collapsed="false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customFormat="false" ht="15.75" hidden="false" customHeight="false" outlineLevel="0" collapsed="false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customFormat="false" ht="15.75" hidden="false" customHeight="false" outlineLevel="0" collapsed="false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customFormat="false" ht="15.75" hidden="false" customHeight="false" outlineLevel="0" collapsed="false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customFormat="false" ht="15.75" hidden="false" customHeight="false" outlineLevel="0" collapsed="false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customFormat="false" ht="15.75" hidden="false" customHeight="false" outlineLevel="0" collapsed="false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customFormat="false" ht="15.75" hidden="false" customHeight="false" outlineLevel="0" collapsed="false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customFormat="false" ht="15.75" hidden="false" customHeight="false" outlineLevel="0" collapsed="false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customFormat="false" ht="15.75" hidden="false" customHeight="false" outlineLevel="0" collapsed="false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customFormat="false" ht="15.75" hidden="false" customHeight="false" outlineLevel="0" collapsed="false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customFormat="false" ht="15.75" hidden="false" customHeight="false" outlineLevel="0" collapsed="false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customFormat="false" ht="15.75" hidden="false" customHeight="false" outlineLevel="0" collapsed="false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customFormat="false" ht="15.75" hidden="false" customHeight="false" outlineLevel="0" collapsed="false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customFormat="false" ht="15.75" hidden="false" customHeight="false" outlineLevel="0" collapsed="false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customFormat="false" ht="15.75" hidden="false" customHeight="false" outlineLevel="0" collapsed="false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customFormat="false" ht="15.75" hidden="false" customHeight="false" outlineLevel="0" collapsed="false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customFormat="false" ht="15.75" hidden="false" customHeight="false" outlineLevel="0" collapsed="false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customFormat="false" ht="15.75" hidden="false" customHeight="false" outlineLevel="0" collapsed="false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customFormat="false" ht="15.75" hidden="false" customHeight="false" outlineLevel="0" collapsed="false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customFormat="false" ht="15.75" hidden="false" customHeight="false" outlineLevel="0" collapsed="false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customFormat="false" ht="15.75" hidden="false" customHeight="false" outlineLevel="0" collapsed="false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customFormat="false" ht="15.75" hidden="false" customHeight="false" outlineLevel="0" collapsed="false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customFormat="false" ht="15.75" hidden="false" customHeight="false" outlineLevel="0" collapsed="false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customFormat="false" ht="15.75" hidden="false" customHeight="false" outlineLevel="0" collapsed="false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customFormat="false" ht="15.75" hidden="false" customHeight="false" outlineLevel="0" collapsed="false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customFormat="false" ht="15.75" hidden="false" customHeight="false" outlineLevel="0" collapsed="false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customFormat="false" ht="15.75" hidden="false" customHeight="false" outlineLevel="0" collapsed="false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customFormat="false" ht="15.75" hidden="false" customHeight="false" outlineLevel="0" collapsed="false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customFormat="false" ht="15.75" hidden="false" customHeight="false" outlineLevel="0" collapsed="false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customFormat="false" ht="15.75" hidden="false" customHeight="false" outlineLevel="0" collapsed="false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customFormat="false" ht="15.75" hidden="false" customHeight="false" outlineLevel="0" collapsed="false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customFormat="false" ht="15.75" hidden="false" customHeight="false" outlineLevel="0" collapsed="false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customFormat="false" ht="15.75" hidden="false" customHeight="false" outlineLevel="0" collapsed="false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customFormat="false" ht="15.75" hidden="false" customHeight="false" outlineLevel="0" collapsed="false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customFormat="false" ht="15.75" hidden="false" customHeight="false" outlineLevel="0" collapsed="false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customFormat="false" ht="15.75" hidden="false" customHeight="false" outlineLevel="0" collapsed="false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customFormat="false" ht="15.75" hidden="false" customHeight="false" outlineLevel="0" collapsed="false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customFormat="false" ht="15.75" hidden="false" customHeight="false" outlineLevel="0" collapsed="false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customFormat="false" ht="15.75" hidden="false" customHeight="false" outlineLevel="0" collapsed="false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customFormat="false" ht="15.75" hidden="false" customHeight="false" outlineLevel="0" collapsed="false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customFormat="false" ht="15.75" hidden="false" customHeight="false" outlineLevel="0" collapsed="false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customFormat="false" ht="15.75" hidden="false" customHeight="false" outlineLevel="0" collapsed="false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customFormat="false" ht="15.75" hidden="false" customHeight="false" outlineLevel="0" collapsed="false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customFormat="false" ht="15.75" hidden="false" customHeight="false" outlineLevel="0" collapsed="false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customFormat="false" ht="15.75" hidden="false" customHeight="false" outlineLevel="0" collapsed="false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customFormat="false" ht="15.75" hidden="false" customHeight="false" outlineLevel="0" collapsed="false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customFormat="false" ht="15.75" hidden="false" customHeight="false" outlineLevel="0" collapsed="false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customFormat="false" ht="15.75" hidden="false" customHeight="false" outlineLevel="0" collapsed="false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customFormat="false" ht="15.75" hidden="false" customHeight="false" outlineLevel="0" collapsed="false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customFormat="false" ht="15.75" hidden="false" customHeight="false" outlineLevel="0" collapsed="false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customFormat="false" ht="15.75" hidden="false" customHeight="false" outlineLevel="0" collapsed="false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customFormat="false" ht="15.75" hidden="false" customHeight="false" outlineLevel="0" collapsed="false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customFormat="false" ht="15.75" hidden="false" customHeight="false" outlineLevel="0" collapsed="false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customFormat="false" ht="15.75" hidden="false" customHeight="false" outlineLevel="0" collapsed="false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customFormat="false" ht="15.75" hidden="false" customHeight="false" outlineLevel="0" collapsed="false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customFormat="false" ht="15.75" hidden="false" customHeight="false" outlineLevel="0" collapsed="false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customFormat="false" ht="15.75" hidden="false" customHeight="false" outlineLevel="0" collapsed="false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customFormat="false" ht="15.75" hidden="false" customHeight="false" outlineLevel="0" collapsed="false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customFormat="false" ht="15.75" hidden="false" customHeight="false" outlineLevel="0" collapsed="false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customFormat="false" ht="15.75" hidden="false" customHeight="false" outlineLevel="0" collapsed="false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customFormat="false" ht="15.75" hidden="false" customHeight="false" outlineLevel="0" collapsed="false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customFormat="false" ht="15.75" hidden="false" customHeight="false" outlineLevel="0" collapsed="false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customFormat="false" ht="15.75" hidden="false" customHeight="false" outlineLevel="0" collapsed="false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customFormat="false" ht="15.75" hidden="false" customHeight="false" outlineLevel="0" collapsed="false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customFormat="false" ht="15.75" hidden="false" customHeight="false" outlineLevel="0" collapsed="false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customFormat="false" ht="15.75" hidden="false" customHeight="false" outlineLevel="0" collapsed="false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customFormat="false" ht="15.75" hidden="false" customHeight="false" outlineLevel="0" collapsed="false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customFormat="false" ht="15.75" hidden="false" customHeight="false" outlineLevel="0" collapsed="false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customFormat="false" ht="15.75" hidden="false" customHeight="false" outlineLevel="0" collapsed="false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customFormat="false" ht="15.75" hidden="false" customHeight="false" outlineLevel="0" collapsed="false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customFormat="false" ht="15.75" hidden="false" customHeight="false" outlineLevel="0" collapsed="false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customFormat="false" ht="15.75" hidden="false" customHeight="false" outlineLevel="0" collapsed="false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customFormat="false" ht="15.75" hidden="false" customHeight="false" outlineLevel="0" collapsed="false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customFormat="false" ht="15.75" hidden="false" customHeight="false" outlineLevel="0" collapsed="false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customFormat="false" ht="15.75" hidden="false" customHeight="false" outlineLevel="0" collapsed="false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customFormat="false" ht="15.75" hidden="false" customHeight="false" outlineLevel="0" collapsed="false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customFormat="false" ht="15.75" hidden="false" customHeight="false" outlineLevel="0" collapsed="false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customFormat="false" ht="15.75" hidden="false" customHeight="false" outlineLevel="0" collapsed="false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customFormat="false" ht="15.75" hidden="false" customHeight="false" outlineLevel="0" collapsed="false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customFormat="false" ht="15.75" hidden="false" customHeight="false" outlineLevel="0" collapsed="false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customFormat="false" ht="15.75" hidden="false" customHeight="false" outlineLevel="0" collapsed="false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customFormat="false" ht="15.75" hidden="false" customHeight="false" outlineLevel="0" collapsed="false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customFormat="false" ht="15.75" hidden="false" customHeight="false" outlineLevel="0" collapsed="false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customFormat="false" ht="15.75" hidden="false" customHeight="false" outlineLevel="0" collapsed="false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customFormat="false" ht="15.75" hidden="false" customHeight="false" outlineLevel="0" collapsed="false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customFormat="false" ht="15.75" hidden="false" customHeight="false" outlineLevel="0" collapsed="false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customFormat="false" ht="15.75" hidden="false" customHeight="false" outlineLevel="0" collapsed="false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customFormat="false" ht="15.75" hidden="false" customHeight="false" outlineLevel="0" collapsed="false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customFormat="false" ht="15.75" hidden="false" customHeight="false" outlineLevel="0" collapsed="false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customFormat="false" ht="15.75" hidden="false" customHeight="false" outlineLevel="0" collapsed="false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customFormat="false" ht="15.75" hidden="false" customHeight="false" outlineLevel="0" collapsed="false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customFormat="false" ht="15.75" hidden="false" customHeight="false" outlineLevel="0" collapsed="false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customFormat="false" ht="15.75" hidden="false" customHeight="false" outlineLevel="0" collapsed="false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customFormat="false" ht="15.75" hidden="false" customHeight="false" outlineLevel="0" collapsed="false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customFormat="false" ht="15.75" hidden="false" customHeight="false" outlineLevel="0" collapsed="false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customFormat="false" ht="15.75" hidden="false" customHeight="false" outlineLevel="0" collapsed="false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customFormat="false" ht="15.75" hidden="false" customHeight="false" outlineLevel="0" collapsed="false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customFormat="false" ht="15.75" hidden="false" customHeight="false" outlineLevel="0" collapsed="false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customFormat="false" ht="15.75" hidden="false" customHeight="false" outlineLevel="0" collapsed="false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customFormat="false" ht="15.75" hidden="false" customHeight="false" outlineLevel="0" collapsed="false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customFormat="false" ht="15.75" hidden="false" customHeight="false" outlineLevel="0" collapsed="false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customFormat="false" ht="15.75" hidden="false" customHeight="false" outlineLevel="0" collapsed="false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customFormat="false" ht="15.75" hidden="false" customHeight="false" outlineLevel="0" collapsed="false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customFormat="false" ht="15.75" hidden="false" customHeight="false" outlineLevel="0" collapsed="false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customFormat="false" ht="15.75" hidden="false" customHeight="false" outlineLevel="0" collapsed="false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customFormat="false" ht="15.75" hidden="false" customHeight="false" outlineLevel="0" collapsed="false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customFormat="false" ht="15.75" hidden="false" customHeight="false" outlineLevel="0" collapsed="false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customFormat="false" ht="15.75" hidden="false" customHeight="false" outlineLevel="0" collapsed="false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customFormat="false" ht="15.75" hidden="false" customHeight="false" outlineLevel="0" collapsed="false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customFormat="false" ht="15.75" hidden="false" customHeight="false" outlineLevel="0" collapsed="false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customFormat="false" ht="15.75" hidden="false" customHeight="false" outlineLevel="0" collapsed="false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customFormat="false" ht="15.75" hidden="false" customHeight="false" outlineLevel="0" collapsed="false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customFormat="false" ht="15.75" hidden="false" customHeight="false" outlineLevel="0" collapsed="false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customFormat="false" ht="15.75" hidden="false" customHeight="false" outlineLevel="0" collapsed="false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customFormat="false" ht="15.75" hidden="false" customHeight="false" outlineLevel="0" collapsed="false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customFormat="false" ht="15.75" hidden="false" customHeight="false" outlineLevel="0" collapsed="false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customFormat="false" ht="15.75" hidden="false" customHeight="false" outlineLevel="0" collapsed="false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customFormat="false" ht="15.75" hidden="false" customHeight="false" outlineLevel="0" collapsed="false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customFormat="false" ht="15.75" hidden="false" customHeight="false" outlineLevel="0" collapsed="false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customFormat="false" ht="15.75" hidden="false" customHeight="false" outlineLevel="0" collapsed="false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customFormat="false" ht="15.75" hidden="false" customHeight="false" outlineLevel="0" collapsed="false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customFormat="false" ht="15.75" hidden="false" customHeight="false" outlineLevel="0" collapsed="false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customFormat="false" ht="15.75" hidden="false" customHeight="false" outlineLevel="0" collapsed="false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customFormat="false" ht="15.75" hidden="false" customHeight="false" outlineLevel="0" collapsed="false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customFormat="false" ht="15.75" hidden="false" customHeight="false" outlineLevel="0" collapsed="false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customFormat="false" ht="15.75" hidden="false" customHeight="false" outlineLevel="0" collapsed="false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customFormat="false" ht="15.75" hidden="false" customHeight="false" outlineLevel="0" collapsed="false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customFormat="false" ht="15.75" hidden="false" customHeight="false" outlineLevel="0" collapsed="false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customFormat="false" ht="15.75" hidden="false" customHeight="false" outlineLevel="0" collapsed="false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customFormat="false" ht="15.75" hidden="false" customHeight="false" outlineLevel="0" collapsed="false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customFormat="false" ht="15.75" hidden="false" customHeight="false" outlineLevel="0" collapsed="false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customFormat="false" ht="15.75" hidden="false" customHeight="false" outlineLevel="0" collapsed="false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customFormat="false" ht="15.75" hidden="false" customHeight="false" outlineLevel="0" collapsed="false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customFormat="false" ht="15.75" hidden="false" customHeight="false" outlineLevel="0" collapsed="false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customFormat="false" ht="15.75" hidden="false" customHeight="false" outlineLevel="0" collapsed="false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customFormat="false" ht="15.75" hidden="false" customHeight="false" outlineLevel="0" collapsed="false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customFormat="false" ht="15.75" hidden="false" customHeight="false" outlineLevel="0" collapsed="false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customFormat="false" ht="15.75" hidden="false" customHeight="false" outlineLevel="0" collapsed="false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customFormat="false" ht="15.75" hidden="false" customHeight="false" outlineLevel="0" collapsed="false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customFormat="false" ht="15.75" hidden="false" customHeight="false" outlineLevel="0" collapsed="false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customFormat="false" ht="15.75" hidden="false" customHeight="false" outlineLevel="0" collapsed="false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customFormat="false" ht="15.75" hidden="false" customHeight="false" outlineLevel="0" collapsed="false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customFormat="false" ht="15.75" hidden="false" customHeight="false" outlineLevel="0" collapsed="false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customFormat="false" ht="15.75" hidden="false" customHeight="false" outlineLevel="0" collapsed="false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customFormat="false" ht="15.75" hidden="false" customHeight="false" outlineLevel="0" collapsed="false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customFormat="false" ht="15.75" hidden="false" customHeight="false" outlineLevel="0" collapsed="false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customFormat="false" ht="15.75" hidden="false" customHeight="false" outlineLevel="0" collapsed="false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customFormat="false" ht="15.75" hidden="false" customHeight="false" outlineLevel="0" collapsed="false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customFormat="false" ht="15.75" hidden="false" customHeight="false" outlineLevel="0" collapsed="false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customFormat="false" ht="15.75" hidden="false" customHeight="false" outlineLevel="0" collapsed="false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customFormat="false" ht="15.75" hidden="false" customHeight="false" outlineLevel="0" collapsed="false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customFormat="false" ht="15.75" hidden="false" customHeight="false" outlineLevel="0" collapsed="false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customFormat="false" ht="15.75" hidden="false" customHeight="false" outlineLevel="0" collapsed="false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customFormat="false" ht="15.75" hidden="false" customHeight="false" outlineLevel="0" collapsed="false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customFormat="false" ht="15.75" hidden="false" customHeight="false" outlineLevel="0" collapsed="false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customFormat="false" ht="15.75" hidden="false" customHeight="false" outlineLevel="0" collapsed="false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customFormat="false" ht="15.75" hidden="false" customHeight="false" outlineLevel="0" collapsed="false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customFormat="false" ht="15.75" hidden="false" customHeight="false" outlineLevel="0" collapsed="false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customFormat="false" ht="15.75" hidden="false" customHeight="false" outlineLevel="0" collapsed="false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customFormat="false" ht="15.75" hidden="false" customHeight="false" outlineLevel="0" collapsed="false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customFormat="false" ht="15.75" hidden="false" customHeight="false" outlineLevel="0" collapsed="false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customFormat="false" ht="15.75" hidden="false" customHeight="false" outlineLevel="0" collapsed="false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customFormat="false" ht="15.75" hidden="false" customHeight="false" outlineLevel="0" collapsed="false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customFormat="false" ht="15.75" hidden="false" customHeight="false" outlineLevel="0" collapsed="false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customFormat="false" ht="15.75" hidden="false" customHeight="false" outlineLevel="0" collapsed="false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customFormat="false" ht="15.75" hidden="false" customHeight="false" outlineLevel="0" collapsed="false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customFormat="false" ht="15.75" hidden="false" customHeight="false" outlineLevel="0" collapsed="false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customFormat="false" ht="15.75" hidden="false" customHeight="false" outlineLevel="0" collapsed="false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customFormat="false" ht="15.75" hidden="false" customHeight="false" outlineLevel="0" collapsed="false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customFormat="false" ht="15.75" hidden="false" customHeight="false" outlineLevel="0" collapsed="false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customFormat="false" ht="15.75" hidden="false" customHeight="false" outlineLevel="0" collapsed="false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customFormat="false" ht="15.75" hidden="false" customHeight="false" outlineLevel="0" collapsed="false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customFormat="false" ht="15.75" hidden="false" customHeight="false" outlineLevel="0" collapsed="false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customFormat="false" ht="15.75" hidden="false" customHeight="false" outlineLevel="0" collapsed="false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customFormat="false" ht="15.75" hidden="false" customHeight="false" outlineLevel="0" collapsed="false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customFormat="false" ht="15.75" hidden="false" customHeight="false" outlineLevel="0" collapsed="false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customFormat="false" ht="15.75" hidden="false" customHeight="false" outlineLevel="0" collapsed="false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customFormat="false" ht="15.75" hidden="false" customHeight="false" outlineLevel="0" collapsed="false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customFormat="false" ht="15.75" hidden="false" customHeight="false" outlineLevel="0" collapsed="false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customFormat="false" ht="15.75" hidden="false" customHeight="false" outlineLevel="0" collapsed="false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customFormat="false" ht="15.75" hidden="false" customHeight="false" outlineLevel="0" collapsed="false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customFormat="false" ht="15.75" hidden="false" customHeight="false" outlineLevel="0" collapsed="false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customFormat="false" ht="15.75" hidden="false" customHeight="false" outlineLevel="0" collapsed="false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customFormat="false" ht="15.75" hidden="false" customHeight="false" outlineLevel="0" collapsed="false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customFormat="false" ht="15.75" hidden="false" customHeight="false" outlineLevel="0" collapsed="false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customFormat="false" ht="15.75" hidden="false" customHeight="false" outlineLevel="0" collapsed="false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customFormat="false" ht="15.75" hidden="false" customHeight="false" outlineLevel="0" collapsed="false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customFormat="false" ht="15.75" hidden="false" customHeight="false" outlineLevel="0" collapsed="false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customFormat="false" ht="15.75" hidden="false" customHeight="false" outlineLevel="0" collapsed="false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customFormat="false" ht="15.75" hidden="false" customHeight="false" outlineLevel="0" collapsed="false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customFormat="false" ht="15.75" hidden="false" customHeight="false" outlineLevel="0" collapsed="false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customFormat="false" ht="15.75" hidden="false" customHeight="false" outlineLevel="0" collapsed="false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customFormat="false" ht="15.75" hidden="false" customHeight="false" outlineLevel="0" collapsed="false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customFormat="false" ht="15.75" hidden="false" customHeight="false" outlineLevel="0" collapsed="false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customFormat="false" ht="15.75" hidden="false" customHeight="false" outlineLevel="0" collapsed="false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customFormat="false" ht="15.75" hidden="false" customHeight="false" outlineLevel="0" collapsed="false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customFormat="false" ht="15.75" hidden="false" customHeight="false" outlineLevel="0" collapsed="false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customFormat="false" ht="15.75" hidden="false" customHeight="false" outlineLevel="0" collapsed="false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customFormat="false" ht="15.75" hidden="false" customHeight="false" outlineLevel="0" collapsed="false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customFormat="false" ht="15.75" hidden="false" customHeight="false" outlineLevel="0" collapsed="false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customFormat="false" ht="15.75" hidden="false" customHeight="false" outlineLevel="0" collapsed="false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customFormat="false" ht="15.75" hidden="false" customHeight="false" outlineLevel="0" collapsed="false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customFormat="false" ht="15.75" hidden="false" customHeight="false" outlineLevel="0" collapsed="false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customFormat="false" ht="15.75" hidden="false" customHeight="false" outlineLevel="0" collapsed="false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customFormat="false" ht="15.75" hidden="false" customHeight="false" outlineLevel="0" collapsed="false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customFormat="false" ht="15.75" hidden="false" customHeight="false" outlineLevel="0" collapsed="false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customFormat="false" ht="15.75" hidden="false" customHeight="false" outlineLevel="0" collapsed="false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customFormat="false" ht="15.75" hidden="false" customHeight="false" outlineLevel="0" collapsed="false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customFormat="false" ht="15.75" hidden="false" customHeight="false" outlineLevel="0" collapsed="false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customFormat="false" ht="15.75" hidden="false" customHeight="false" outlineLevel="0" collapsed="false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customFormat="false" ht="15.75" hidden="false" customHeight="false" outlineLevel="0" collapsed="false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customFormat="false" ht="15.75" hidden="false" customHeight="false" outlineLevel="0" collapsed="false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customFormat="false" ht="15.75" hidden="false" customHeight="false" outlineLevel="0" collapsed="false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customFormat="false" ht="15.75" hidden="false" customHeight="false" outlineLevel="0" collapsed="false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customFormat="false" ht="15.75" hidden="false" customHeight="false" outlineLevel="0" collapsed="false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customFormat="false" ht="15.75" hidden="false" customHeight="false" outlineLevel="0" collapsed="false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customFormat="false" ht="15.75" hidden="false" customHeight="false" outlineLevel="0" collapsed="false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customFormat="false" ht="15.75" hidden="false" customHeight="false" outlineLevel="0" collapsed="false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customFormat="false" ht="15.75" hidden="false" customHeight="false" outlineLevel="0" collapsed="false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customFormat="false" ht="15.75" hidden="false" customHeight="false" outlineLevel="0" collapsed="false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customFormat="false" ht="15.75" hidden="false" customHeight="false" outlineLevel="0" collapsed="false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customFormat="false" ht="15.75" hidden="false" customHeight="false" outlineLevel="0" collapsed="false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customFormat="false" ht="15.75" hidden="false" customHeight="false" outlineLevel="0" collapsed="false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customFormat="false" ht="15.75" hidden="false" customHeight="false" outlineLevel="0" collapsed="false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customFormat="false" ht="15.75" hidden="false" customHeight="false" outlineLevel="0" collapsed="false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customFormat="false" ht="15.75" hidden="false" customHeight="false" outlineLevel="0" collapsed="false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customFormat="false" ht="15.75" hidden="false" customHeight="false" outlineLevel="0" collapsed="false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customFormat="false" ht="15.75" hidden="false" customHeight="false" outlineLevel="0" collapsed="false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customFormat="false" ht="15.75" hidden="false" customHeight="false" outlineLevel="0" collapsed="false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customFormat="false" ht="15.75" hidden="false" customHeight="false" outlineLevel="0" collapsed="false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customFormat="false" ht="15.75" hidden="false" customHeight="false" outlineLevel="0" collapsed="false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customFormat="false" ht="15.75" hidden="false" customHeight="false" outlineLevel="0" collapsed="false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customFormat="false" ht="15.75" hidden="false" customHeight="false" outlineLevel="0" collapsed="false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customFormat="false" ht="15.75" hidden="false" customHeight="false" outlineLevel="0" collapsed="false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customFormat="false" ht="15.75" hidden="false" customHeight="false" outlineLevel="0" collapsed="false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customFormat="false" ht="15.75" hidden="false" customHeight="false" outlineLevel="0" collapsed="false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customFormat="false" ht="15.75" hidden="false" customHeight="false" outlineLevel="0" collapsed="false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customFormat="false" ht="15.75" hidden="false" customHeight="false" outlineLevel="0" collapsed="false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customFormat="false" ht="15.75" hidden="false" customHeight="false" outlineLevel="0" collapsed="false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customFormat="false" ht="15.75" hidden="false" customHeight="false" outlineLevel="0" collapsed="false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customFormat="false" ht="15.75" hidden="false" customHeight="false" outlineLevel="0" collapsed="false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customFormat="false" ht="15.75" hidden="false" customHeight="false" outlineLevel="0" collapsed="false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customFormat="false" ht="15.75" hidden="false" customHeight="false" outlineLevel="0" collapsed="false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customFormat="false" ht="15.75" hidden="false" customHeight="false" outlineLevel="0" collapsed="false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customFormat="false" ht="15.75" hidden="false" customHeight="false" outlineLevel="0" collapsed="false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customFormat="false" ht="15.75" hidden="false" customHeight="false" outlineLevel="0" collapsed="false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customFormat="false" ht="15.75" hidden="false" customHeight="false" outlineLevel="0" collapsed="false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customFormat="false" ht="15.75" hidden="false" customHeight="false" outlineLevel="0" collapsed="false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customFormat="false" ht="15.75" hidden="false" customHeight="false" outlineLevel="0" collapsed="false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customFormat="false" ht="15.75" hidden="false" customHeight="false" outlineLevel="0" collapsed="false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customFormat="false" ht="15.75" hidden="false" customHeight="false" outlineLevel="0" collapsed="false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customFormat="false" ht="15.75" hidden="false" customHeight="false" outlineLevel="0" collapsed="false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customFormat="false" ht="15.75" hidden="false" customHeight="false" outlineLevel="0" collapsed="false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customFormat="false" ht="15.75" hidden="false" customHeight="false" outlineLevel="0" collapsed="false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customFormat="false" ht="15.75" hidden="false" customHeight="false" outlineLevel="0" collapsed="false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customFormat="false" ht="15.75" hidden="false" customHeight="false" outlineLevel="0" collapsed="false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customFormat="false" ht="15.75" hidden="false" customHeight="false" outlineLevel="0" collapsed="false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customFormat="false" ht="15.75" hidden="false" customHeight="false" outlineLevel="0" collapsed="false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customFormat="false" ht="15.75" hidden="false" customHeight="false" outlineLevel="0" collapsed="false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customFormat="false" ht="15.75" hidden="false" customHeight="false" outlineLevel="0" collapsed="false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customFormat="false" ht="15.75" hidden="false" customHeight="false" outlineLevel="0" collapsed="false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customFormat="false" ht="15.75" hidden="false" customHeight="false" outlineLevel="0" collapsed="false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customFormat="false" ht="15.75" hidden="false" customHeight="false" outlineLevel="0" collapsed="false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customFormat="false" ht="15.75" hidden="false" customHeight="false" outlineLevel="0" collapsed="false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customFormat="false" ht="15.75" hidden="false" customHeight="false" outlineLevel="0" collapsed="false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customFormat="false" ht="15.75" hidden="false" customHeight="false" outlineLevel="0" collapsed="false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customFormat="false" ht="15.75" hidden="false" customHeight="false" outlineLevel="0" collapsed="false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customFormat="false" ht="15.75" hidden="false" customHeight="false" outlineLevel="0" collapsed="false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customFormat="false" ht="15.75" hidden="false" customHeight="false" outlineLevel="0" collapsed="false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customFormat="false" ht="15.75" hidden="false" customHeight="false" outlineLevel="0" collapsed="false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customFormat="false" ht="15.75" hidden="false" customHeight="false" outlineLevel="0" collapsed="false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customFormat="false" ht="15.75" hidden="false" customHeight="false" outlineLevel="0" collapsed="false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customFormat="false" ht="15.75" hidden="false" customHeight="false" outlineLevel="0" collapsed="false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customFormat="false" ht="15.75" hidden="false" customHeight="false" outlineLevel="0" collapsed="false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customFormat="false" ht="15.75" hidden="false" customHeight="false" outlineLevel="0" collapsed="false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customFormat="false" ht="15.75" hidden="false" customHeight="false" outlineLevel="0" collapsed="false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customFormat="false" ht="15.75" hidden="false" customHeight="false" outlineLevel="0" collapsed="false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customFormat="false" ht="15.75" hidden="false" customHeight="false" outlineLevel="0" collapsed="false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customFormat="false" ht="15.75" hidden="false" customHeight="false" outlineLevel="0" collapsed="false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customFormat="false" ht="15.75" hidden="false" customHeight="false" outlineLevel="0" collapsed="false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customFormat="false" ht="15.75" hidden="false" customHeight="false" outlineLevel="0" collapsed="false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customFormat="false" ht="15.75" hidden="false" customHeight="false" outlineLevel="0" collapsed="false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customFormat="false" ht="15.75" hidden="false" customHeight="false" outlineLevel="0" collapsed="false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customFormat="false" ht="15.75" hidden="false" customHeight="false" outlineLevel="0" collapsed="false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customFormat="false" ht="15.75" hidden="false" customHeight="false" outlineLevel="0" collapsed="false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customFormat="false" ht="15.75" hidden="false" customHeight="false" outlineLevel="0" collapsed="false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customFormat="false" ht="15.75" hidden="false" customHeight="false" outlineLevel="0" collapsed="false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customFormat="false" ht="15.75" hidden="false" customHeight="false" outlineLevel="0" collapsed="false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customFormat="false" ht="15.75" hidden="false" customHeight="false" outlineLevel="0" collapsed="false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customFormat="false" ht="15.75" hidden="false" customHeight="false" outlineLevel="0" collapsed="false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customFormat="false" ht="15.75" hidden="false" customHeight="false" outlineLevel="0" collapsed="false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customFormat="false" ht="15.75" hidden="false" customHeight="false" outlineLevel="0" collapsed="false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customFormat="false" ht="15.75" hidden="false" customHeight="false" outlineLevel="0" collapsed="false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customFormat="false" ht="15.75" hidden="false" customHeight="false" outlineLevel="0" collapsed="false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customFormat="false" ht="15.75" hidden="false" customHeight="false" outlineLevel="0" collapsed="false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customFormat="false" ht="15.75" hidden="false" customHeight="false" outlineLevel="0" collapsed="false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customFormat="false" ht="15.75" hidden="false" customHeight="false" outlineLevel="0" collapsed="false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customFormat="false" ht="15.75" hidden="false" customHeight="false" outlineLevel="0" collapsed="false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customFormat="false" ht="15.75" hidden="false" customHeight="false" outlineLevel="0" collapsed="false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customFormat="false" ht="15.75" hidden="false" customHeight="false" outlineLevel="0" collapsed="false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customFormat="false" ht="15.75" hidden="false" customHeight="false" outlineLevel="0" collapsed="false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customFormat="false" ht="15.75" hidden="false" customHeight="false" outlineLevel="0" collapsed="false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customFormat="false" ht="15.75" hidden="false" customHeight="false" outlineLevel="0" collapsed="false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customFormat="false" ht="15.75" hidden="false" customHeight="false" outlineLevel="0" collapsed="false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customFormat="false" ht="15.75" hidden="false" customHeight="false" outlineLevel="0" collapsed="false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customFormat="false" ht="15.75" hidden="false" customHeight="false" outlineLevel="0" collapsed="false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customFormat="false" ht="15.75" hidden="false" customHeight="false" outlineLevel="0" collapsed="false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customFormat="false" ht="15.75" hidden="false" customHeight="false" outlineLevel="0" collapsed="false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customFormat="false" ht="15.75" hidden="false" customHeight="false" outlineLevel="0" collapsed="false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customFormat="false" ht="15.75" hidden="false" customHeight="false" outlineLevel="0" collapsed="false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customFormat="false" ht="15.75" hidden="false" customHeight="false" outlineLevel="0" collapsed="false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customFormat="false" ht="15.75" hidden="false" customHeight="false" outlineLevel="0" collapsed="false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customFormat="false" ht="15.75" hidden="false" customHeight="false" outlineLevel="0" collapsed="false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customFormat="false" ht="15.75" hidden="false" customHeight="false" outlineLevel="0" collapsed="false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customFormat="false" ht="15.75" hidden="false" customHeight="false" outlineLevel="0" collapsed="false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customFormat="false" ht="15.75" hidden="false" customHeight="false" outlineLevel="0" collapsed="false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customFormat="false" ht="15.75" hidden="false" customHeight="false" outlineLevel="0" collapsed="false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customFormat="false" ht="15.75" hidden="false" customHeight="false" outlineLevel="0" collapsed="false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customFormat="false" ht="15.75" hidden="false" customHeight="false" outlineLevel="0" collapsed="false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customFormat="false" ht="15.75" hidden="false" customHeight="false" outlineLevel="0" collapsed="false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customFormat="false" ht="15.75" hidden="false" customHeight="false" outlineLevel="0" collapsed="false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customFormat="false" ht="15.75" hidden="false" customHeight="false" outlineLevel="0" collapsed="false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customFormat="false" ht="15.75" hidden="false" customHeight="false" outlineLevel="0" collapsed="false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customFormat="false" ht="15.75" hidden="false" customHeight="false" outlineLevel="0" collapsed="false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customFormat="false" ht="15.75" hidden="false" customHeight="false" outlineLevel="0" collapsed="false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customFormat="false" ht="15.75" hidden="false" customHeight="false" outlineLevel="0" collapsed="false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customFormat="false" ht="15.75" hidden="false" customHeight="false" outlineLevel="0" collapsed="false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customFormat="false" ht="15.75" hidden="false" customHeight="false" outlineLevel="0" collapsed="false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customFormat="false" ht="15.75" hidden="false" customHeight="false" outlineLevel="0" collapsed="false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customFormat="false" ht="15.75" hidden="false" customHeight="false" outlineLevel="0" collapsed="false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customFormat="false" ht="15.75" hidden="false" customHeight="false" outlineLevel="0" collapsed="false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customFormat="false" ht="15.75" hidden="false" customHeight="false" outlineLevel="0" collapsed="false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customFormat="false" ht="15.75" hidden="false" customHeight="false" outlineLevel="0" collapsed="false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customFormat="false" ht="15.75" hidden="false" customHeight="false" outlineLevel="0" collapsed="false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customFormat="false" ht="15.75" hidden="false" customHeight="false" outlineLevel="0" collapsed="false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customFormat="false" ht="15.75" hidden="false" customHeight="false" outlineLevel="0" collapsed="false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customFormat="false" ht="15.75" hidden="false" customHeight="false" outlineLevel="0" collapsed="false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customFormat="false" ht="15.75" hidden="false" customHeight="false" outlineLevel="0" collapsed="false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customFormat="false" ht="15.75" hidden="false" customHeight="false" outlineLevel="0" collapsed="false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customFormat="false" ht="15.75" hidden="false" customHeight="false" outlineLevel="0" collapsed="false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customFormat="false" ht="15.75" hidden="false" customHeight="false" outlineLevel="0" collapsed="false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customFormat="false" ht="15.75" hidden="false" customHeight="false" outlineLevel="0" collapsed="false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customFormat="false" ht="15.75" hidden="false" customHeight="false" outlineLevel="0" collapsed="false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customFormat="false" ht="15.75" hidden="false" customHeight="false" outlineLevel="0" collapsed="false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customFormat="false" ht="15.75" hidden="false" customHeight="false" outlineLevel="0" collapsed="false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customFormat="false" ht="15.75" hidden="false" customHeight="false" outlineLevel="0" collapsed="false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customFormat="false" ht="15.75" hidden="false" customHeight="false" outlineLevel="0" collapsed="false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customFormat="false" ht="15.75" hidden="false" customHeight="false" outlineLevel="0" collapsed="false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customFormat="false" ht="15.75" hidden="false" customHeight="false" outlineLevel="0" collapsed="false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customFormat="false" ht="15.75" hidden="false" customHeight="false" outlineLevel="0" collapsed="false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customFormat="false" ht="15.75" hidden="false" customHeight="false" outlineLevel="0" collapsed="false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customFormat="false" ht="15.75" hidden="false" customHeight="false" outlineLevel="0" collapsed="false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customFormat="false" ht="15.75" hidden="false" customHeight="false" outlineLevel="0" collapsed="false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customFormat="false" ht="15.75" hidden="false" customHeight="false" outlineLevel="0" collapsed="false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customFormat="false" ht="15.75" hidden="false" customHeight="false" outlineLevel="0" collapsed="false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customFormat="false" ht="15.75" hidden="false" customHeight="false" outlineLevel="0" collapsed="false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customFormat="false" ht="15.75" hidden="false" customHeight="false" outlineLevel="0" collapsed="false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customFormat="false" ht="15.75" hidden="false" customHeight="false" outlineLevel="0" collapsed="false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customFormat="false" ht="15.75" hidden="false" customHeight="false" outlineLevel="0" collapsed="false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customFormat="false" ht="15.75" hidden="false" customHeight="false" outlineLevel="0" collapsed="false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customFormat="false" ht="15.75" hidden="false" customHeight="false" outlineLevel="0" collapsed="false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customFormat="false" ht="15.75" hidden="false" customHeight="false" outlineLevel="0" collapsed="false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customFormat="false" ht="15.75" hidden="false" customHeight="false" outlineLevel="0" collapsed="false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customFormat="false" ht="15.75" hidden="false" customHeight="false" outlineLevel="0" collapsed="false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customFormat="false" ht="15.75" hidden="false" customHeight="false" outlineLevel="0" collapsed="false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customFormat="false" ht="15.75" hidden="false" customHeight="false" outlineLevel="0" collapsed="false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customFormat="false" ht="15.75" hidden="false" customHeight="false" outlineLevel="0" collapsed="false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customFormat="false" ht="15.75" hidden="false" customHeight="false" outlineLevel="0" collapsed="false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customFormat="false" ht="15.75" hidden="false" customHeight="false" outlineLevel="0" collapsed="false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customFormat="false" ht="15.75" hidden="false" customHeight="false" outlineLevel="0" collapsed="false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customFormat="false" ht="15.75" hidden="false" customHeight="false" outlineLevel="0" collapsed="false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customFormat="false" ht="15.75" hidden="false" customHeight="false" outlineLevel="0" collapsed="false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customFormat="false" ht="15.75" hidden="false" customHeight="false" outlineLevel="0" collapsed="false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customFormat="false" ht="15.75" hidden="false" customHeight="false" outlineLevel="0" collapsed="false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customFormat="false" ht="15.75" hidden="false" customHeight="false" outlineLevel="0" collapsed="false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customFormat="false" ht="15.75" hidden="false" customHeight="false" outlineLevel="0" collapsed="false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customFormat="false" ht="15.75" hidden="false" customHeight="false" outlineLevel="0" collapsed="false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customFormat="false" ht="15.75" hidden="false" customHeight="false" outlineLevel="0" collapsed="false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customFormat="false" ht="15.75" hidden="false" customHeight="false" outlineLevel="0" collapsed="false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customFormat="false" ht="15.75" hidden="false" customHeight="false" outlineLevel="0" collapsed="false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customFormat="false" ht="15.75" hidden="false" customHeight="false" outlineLevel="0" collapsed="false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customFormat="false" ht="15.75" hidden="false" customHeight="false" outlineLevel="0" collapsed="false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customFormat="false" ht="15.75" hidden="false" customHeight="false" outlineLevel="0" collapsed="false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customFormat="false" ht="15.75" hidden="false" customHeight="false" outlineLevel="0" collapsed="false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customFormat="false" ht="15.75" hidden="false" customHeight="false" outlineLevel="0" collapsed="false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customFormat="false" ht="15.75" hidden="false" customHeight="false" outlineLevel="0" collapsed="false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customFormat="false" ht="15.75" hidden="false" customHeight="false" outlineLevel="0" collapsed="false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customFormat="false" ht="15.75" hidden="false" customHeight="false" outlineLevel="0" collapsed="false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customFormat="false" ht="15.75" hidden="false" customHeight="false" outlineLevel="0" collapsed="false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customFormat="false" ht="15.75" hidden="false" customHeight="false" outlineLevel="0" collapsed="false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customFormat="false" ht="15.75" hidden="false" customHeight="false" outlineLevel="0" collapsed="false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customFormat="false" ht="15.75" hidden="false" customHeight="false" outlineLevel="0" collapsed="false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customFormat="false" ht="15.75" hidden="false" customHeight="false" outlineLevel="0" collapsed="false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customFormat="false" ht="15.75" hidden="false" customHeight="false" outlineLevel="0" collapsed="false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customFormat="false" ht="15.75" hidden="false" customHeight="false" outlineLevel="0" collapsed="false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customFormat="false" ht="15.75" hidden="false" customHeight="false" outlineLevel="0" collapsed="false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customFormat="false" ht="15.75" hidden="false" customHeight="false" outlineLevel="0" collapsed="false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customFormat="false" ht="15.75" hidden="false" customHeight="false" outlineLevel="0" collapsed="false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customFormat="false" ht="15.75" hidden="false" customHeight="false" outlineLevel="0" collapsed="false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customFormat="false" ht="15.75" hidden="false" customHeight="false" outlineLevel="0" collapsed="false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customFormat="false" ht="15.75" hidden="false" customHeight="false" outlineLevel="0" collapsed="false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customFormat="false" ht="15.75" hidden="false" customHeight="false" outlineLevel="0" collapsed="false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customFormat="false" ht="15.75" hidden="false" customHeight="false" outlineLevel="0" collapsed="false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customFormat="false" ht="15.75" hidden="false" customHeight="false" outlineLevel="0" collapsed="false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customFormat="false" ht="15.75" hidden="false" customHeight="false" outlineLevel="0" collapsed="false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customFormat="false" ht="15.75" hidden="false" customHeight="false" outlineLevel="0" collapsed="false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customFormat="false" ht="15.75" hidden="false" customHeight="false" outlineLevel="0" collapsed="false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customFormat="false" ht="15.75" hidden="false" customHeight="false" outlineLevel="0" collapsed="false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customFormat="false" ht="15.75" hidden="false" customHeight="false" outlineLevel="0" collapsed="false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customFormat="false" ht="15.75" hidden="false" customHeight="false" outlineLevel="0" collapsed="false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customFormat="false" ht="15.75" hidden="false" customHeight="false" outlineLevel="0" collapsed="false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customFormat="false" ht="15.75" hidden="false" customHeight="false" outlineLevel="0" collapsed="false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customFormat="false" ht="15.75" hidden="false" customHeight="false" outlineLevel="0" collapsed="false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customFormat="false" ht="15.75" hidden="false" customHeight="false" outlineLevel="0" collapsed="false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customFormat="false" ht="15.75" hidden="false" customHeight="false" outlineLevel="0" collapsed="false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customFormat="false" ht="15.75" hidden="false" customHeight="false" outlineLevel="0" collapsed="false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customFormat="false" ht="15.75" hidden="false" customHeight="false" outlineLevel="0" collapsed="false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customFormat="false" ht="15.75" hidden="false" customHeight="false" outlineLevel="0" collapsed="false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customFormat="false" ht="15.75" hidden="false" customHeight="false" outlineLevel="0" collapsed="false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customFormat="false" ht="15.75" hidden="false" customHeight="false" outlineLevel="0" collapsed="false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customFormat="false" ht="15.75" hidden="false" customHeight="false" outlineLevel="0" collapsed="false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customFormat="false" ht="15.75" hidden="false" customHeight="false" outlineLevel="0" collapsed="false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customFormat="false" ht="15.75" hidden="false" customHeight="false" outlineLevel="0" collapsed="false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customFormat="false" ht="15.75" hidden="false" customHeight="false" outlineLevel="0" collapsed="false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customFormat="false" ht="15.75" hidden="false" customHeight="false" outlineLevel="0" collapsed="false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customFormat="false" ht="15.75" hidden="false" customHeight="false" outlineLevel="0" collapsed="false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customFormat="false" ht="15.75" hidden="false" customHeight="false" outlineLevel="0" collapsed="false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customFormat="false" ht="15.75" hidden="false" customHeight="false" outlineLevel="0" collapsed="false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customFormat="false" ht="15.75" hidden="false" customHeight="false" outlineLevel="0" collapsed="false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customFormat="false" ht="15.75" hidden="false" customHeight="false" outlineLevel="0" collapsed="false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customFormat="false" ht="15.75" hidden="false" customHeight="false" outlineLevel="0" collapsed="false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customFormat="false" ht="15.75" hidden="false" customHeight="false" outlineLevel="0" collapsed="false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customFormat="false" ht="15.75" hidden="false" customHeight="false" outlineLevel="0" collapsed="false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customFormat="false" ht="15.75" hidden="false" customHeight="false" outlineLevel="0" collapsed="false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customFormat="false" ht="15.75" hidden="false" customHeight="false" outlineLevel="0" collapsed="false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customFormat="false" ht="15.75" hidden="false" customHeight="false" outlineLevel="0" collapsed="false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customFormat="false" ht="15.75" hidden="false" customHeight="false" outlineLevel="0" collapsed="false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customFormat="false" ht="15.75" hidden="false" customHeight="false" outlineLevel="0" collapsed="false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customFormat="false" ht="15.75" hidden="false" customHeight="false" outlineLevel="0" collapsed="false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customFormat="false" ht="15.75" hidden="false" customHeight="false" outlineLevel="0" collapsed="false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customFormat="false" ht="15.75" hidden="false" customHeight="false" outlineLevel="0" collapsed="false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customFormat="false" ht="15.75" hidden="false" customHeight="false" outlineLevel="0" collapsed="false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customFormat="false" ht="15.75" hidden="false" customHeight="false" outlineLevel="0" collapsed="false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customFormat="false" ht="15.75" hidden="false" customHeight="false" outlineLevel="0" collapsed="false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customFormat="false" ht="15.75" hidden="false" customHeight="false" outlineLevel="0" collapsed="false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customFormat="false" ht="15.75" hidden="false" customHeight="false" outlineLevel="0" collapsed="false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customFormat="false" ht="15.75" hidden="false" customHeight="false" outlineLevel="0" collapsed="false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customFormat="false" ht="15.75" hidden="false" customHeight="false" outlineLevel="0" collapsed="false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customFormat="false" ht="15.75" hidden="false" customHeight="false" outlineLevel="0" collapsed="false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customFormat="false" ht="15.75" hidden="false" customHeight="false" outlineLevel="0" collapsed="false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customFormat="false" ht="15.75" hidden="false" customHeight="false" outlineLevel="0" collapsed="false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customFormat="false" ht="15.75" hidden="false" customHeight="false" outlineLevel="0" collapsed="false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customFormat="false" ht="15.75" hidden="false" customHeight="false" outlineLevel="0" collapsed="false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customFormat="false" ht="15.75" hidden="false" customHeight="false" outlineLevel="0" collapsed="false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customFormat="false" ht="15.75" hidden="false" customHeight="false" outlineLevel="0" collapsed="false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customFormat="false" ht="15.75" hidden="false" customHeight="false" outlineLevel="0" collapsed="false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customFormat="false" ht="15.75" hidden="false" customHeight="false" outlineLevel="0" collapsed="false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customFormat="false" ht="15.75" hidden="false" customHeight="false" outlineLevel="0" collapsed="false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customFormat="false" ht="15.75" hidden="false" customHeight="false" outlineLevel="0" collapsed="false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customFormat="false" ht="15.75" hidden="false" customHeight="false" outlineLevel="0" collapsed="false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customFormat="false" ht="15.75" hidden="false" customHeight="false" outlineLevel="0" collapsed="false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customFormat="false" ht="15.75" hidden="false" customHeight="false" outlineLevel="0" collapsed="false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customFormat="false" ht="15.75" hidden="false" customHeight="false" outlineLevel="0" collapsed="false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customFormat="false" ht="15.75" hidden="false" customHeight="false" outlineLevel="0" collapsed="false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customFormat="false" ht="15.75" hidden="false" customHeight="false" outlineLevel="0" collapsed="false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customFormat="false" ht="15.75" hidden="false" customHeight="false" outlineLevel="0" collapsed="false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customFormat="false" ht="15.75" hidden="false" customHeight="false" outlineLevel="0" collapsed="false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customFormat="false" ht="15.75" hidden="false" customHeight="false" outlineLevel="0" collapsed="false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customFormat="false" ht="15.75" hidden="false" customHeight="false" outlineLevel="0" collapsed="false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customFormat="false" ht="15.75" hidden="false" customHeight="false" outlineLevel="0" collapsed="false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customFormat="false" ht="15.75" hidden="false" customHeight="false" outlineLevel="0" collapsed="false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customFormat="false" ht="15.75" hidden="false" customHeight="false" outlineLevel="0" collapsed="false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customFormat="false" ht="15.75" hidden="false" customHeight="false" outlineLevel="0" collapsed="false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customFormat="false" ht="15.75" hidden="false" customHeight="false" outlineLevel="0" collapsed="false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customFormat="false" ht="15.75" hidden="false" customHeight="false" outlineLevel="0" collapsed="false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customFormat="false" ht="15.75" hidden="false" customHeight="false" outlineLevel="0" collapsed="false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customFormat="false" ht="15.75" hidden="false" customHeight="false" outlineLevel="0" collapsed="false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customFormat="false" ht="15.75" hidden="false" customHeight="false" outlineLevel="0" collapsed="false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customFormat="false" ht="15.75" hidden="false" customHeight="false" outlineLevel="0" collapsed="false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customFormat="false" ht="15.75" hidden="false" customHeight="false" outlineLevel="0" collapsed="false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customFormat="false" ht="15.75" hidden="false" customHeight="false" outlineLevel="0" collapsed="false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customFormat="false" ht="15.75" hidden="false" customHeight="false" outlineLevel="0" collapsed="false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customFormat="false" ht="15.75" hidden="false" customHeight="false" outlineLevel="0" collapsed="false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customFormat="false" ht="15.75" hidden="false" customHeight="false" outlineLevel="0" collapsed="false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customFormat="false" ht="15.75" hidden="false" customHeight="false" outlineLevel="0" collapsed="false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customFormat="false" ht="15.75" hidden="false" customHeight="false" outlineLevel="0" collapsed="false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customFormat="false" ht="15.75" hidden="false" customHeight="false" outlineLevel="0" collapsed="false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customFormat="false" ht="15.75" hidden="false" customHeight="false" outlineLevel="0" collapsed="false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customFormat="false" ht="15.75" hidden="false" customHeight="false" outlineLevel="0" collapsed="false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customFormat="false" ht="15.75" hidden="false" customHeight="false" outlineLevel="0" collapsed="false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customFormat="false" ht="15.75" hidden="false" customHeight="false" outlineLevel="0" collapsed="false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customFormat="false" ht="15.75" hidden="false" customHeight="false" outlineLevel="0" collapsed="false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customFormat="false" ht="15.75" hidden="false" customHeight="false" outlineLevel="0" collapsed="false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customFormat="false" ht="15.75" hidden="false" customHeight="false" outlineLevel="0" collapsed="false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customFormat="false" ht="15.75" hidden="false" customHeight="false" outlineLevel="0" collapsed="false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customFormat="false" ht="15.75" hidden="false" customHeight="false" outlineLevel="0" collapsed="false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customFormat="false" ht="15.75" hidden="false" customHeight="false" outlineLevel="0" collapsed="false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customFormat="false" ht="15.75" hidden="false" customHeight="false" outlineLevel="0" collapsed="false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customFormat="false" ht="15.75" hidden="false" customHeight="false" outlineLevel="0" collapsed="false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customFormat="false" ht="15.75" hidden="false" customHeight="false" outlineLevel="0" collapsed="false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customFormat="false" ht="15.75" hidden="false" customHeight="false" outlineLevel="0" collapsed="false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customFormat="false" ht="15.75" hidden="false" customHeight="false" outlineLevel="0" collapsed="false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customFormat="false" ht="15.75" hidden="false" customHeight="false" outlineLevel="0" collapsed="false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customFormat="false" ht="15.75" hidden="false" customHeight="false" outlineLevel="0" collapsed="false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customFormat="false" ht="15.75" hidden="false" customHeight="false" outlineLevel="0" collapsed="false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customFormat="false" ht="15.75" hidden="false" customHeight="false" outlineLevel="0" collapsed="false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customFormat="false" ht="15.75" hidden="false" customHeight="false" outlineLevel="0" collapsed="false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customFormat="false" ht="15.75" hidden="false" customHeight="false" outlineLevel="0" collapsed="false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customFormat="false" ht="15.75" hidden="false" customHeight="false" outlineLevel="0" collapsed="false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customFormat="false" ht="15.75" hidden="false" customHeight="false" outlineLevel="0" collapsed="false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customFormat="false" ht="15.75" hidden="false" customHeight="false" outlineLevel="0" collapsed="false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customFormat="false" ht="15.75" hidden="false" customHeight="false" outlineLevel="0" collapsed="false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customFormat="false" ht="15.75" hidden="false" customHeight="false" outlineLevel="0" collapsed="false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customFormat="false" ht="15.75" hidden="false" customHeight="false" outlineLevel="0" collapsed="false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customFormat="false" ht="15.75" hidden="false" customHeight="false" outlineLevel="0" collapsed="false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customFormat="false" ht="15.75" hidden="false" customHeight="false" outlineLevel="0" collapsed="false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customFormat="false" ht="15.75" hidden="false" customHeight="false" outlineLevel="0" collapsed="false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customFormat="false" ht="15.75" hidden="false" customHeight="false" outlineLevel="0" collapsed="false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customFormat="false" ht="15.75" hidden="false" customHeight="false" outlineLevel="0" collapsed="false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customFormat="false" ht="15.75" hidden="false" customHeight="false" outlineLevel="0" collapsed="false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customFormat="false" ht="15.75" hidden="false" customHeight="false" outlineLevel="0" collapsed="false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customFormat="false" ht="15.75" hidden="false" customHeight="false" outlineLevel="0" collapsed="false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customFormat="false" ht="15.75" hidden="false" customHeight="false" outlineLevel="0" collapsed="false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customFormat="false" ht="15.75" hidden="false" customHeight="false" outlineLevel="0" collapsed="false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customFormat="false" ht="15.75" hidden="false" customHeight="false" outlineLevel="0" collapsed="false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customFormat="false" ht="15.75" hidden="false" customHeight="false" outlineLevel="0" collapsed="false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customFormat="false" ht="15.75" hidden="false" customHeight="false" outlineLevel="0" collapsed="false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customFormat="false" ht="15.75" hidden="false" customHeight="false" outlineLevel="0" collapsed="false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customFormat="false" ht="15.75" hidden="false" customHeight="false" outlineLevel="0" collapsed="false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customFormat="false" ht="15.75" hidden="false" customHeight="false" outlineLevel="0" collapsed="false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customFormat="false" ht="15.75" hidden="false" customHeight="false" outlineLevel="0" collapsed="false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customFormat="false" ht="15.75" hidden="false" customHeight="false" outlineLevel="0" collapsed="false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customFormat="false" ht="15.75" hidden="false" customHeight="false" outlineLevel="0" collapsed="false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customFormat="false" ht="15.75" hidden="false" customHeight="false" outlineLevel="0" collapsed="false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customFormat="false" ht="15.75" hidden="false" customHeight="false" outlineLevel="0" collapsed="false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customFormat="false" ht="15.75" hidden="false" customHeight="false" outlineLevel="0" collapsed="false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customFormat="false" ht="15.75" hidden="false" customHeight="false" outlineLevel="0" collapsed="false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customFormat="false" ht="15.75" hidden="false" customHeight="false" outlineLevel="0" collapsed="false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customFormat="false" ht="15.75" hidden="false" customHeight="false" outlineLevel="0" collapsed="false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customFormat="false" ht="15.75" hidden="false" customHeight="false" outlineLevel="0" collapsed="false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customFormat="false" ht="15.75" hidden="false" customHeight="false" outlineLevel="0" collapsed="false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customFormat="false" ht="15.75" hidden="false" customHeight="false" outlineLevel="0" collapsed="false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customFormat="false" ht="15.75" hidden="false" customHeight="false" outlineLevel="0" collapsed="false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customFormat="false" ht="15.75" hidden="false" customHeight="false" outlineLevel="0" collapsed="false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customFormat="false" ht="15.75" hidden="false" customHeight="false" outlineLevel="0" collapsed="false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customFormat="false" ht="15.75" hidden="false" customHeight="false" outlineLevel="0" collapsed="false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customFormat="false" ht="15.75" hidden="false" customHeight="false" outlineLevel="0" collapsed="false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customFormat="false" ht="15.75" hidden="false" customHeight="false" outlineLevel="0" collapsed="false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customFormat="false" ht="15.75" hidden="false" customHeight="false" outlineLevel="0" collapsed="false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customFormat="false" ht="15.75" hidden="false" customHeight="false" outlineLevel="0" collapsed="false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customFormat="false" ht="15.75" hidden="false" customHeight="false" outlineLevel="0" collapsed="false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customFormat="false" ht="15.75" hidden="false" customHeight="false" outlineLevel="0" collapsed="false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customFormat="false" ht="15.75" hidden="false" customHeight="false" outlineLevel="0" collapsed="false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customFormat="false" ht="15.75" hidden="false" customHeight="false" outlineLevel="0" collapsed="false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customFormat="false" ht="15.75" hidden="false" customHeight="false" outlineLevel="0" collapsed="false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customFormat="false" ht="15.75" hidden="false" customHeight="false" outlineLevel="0" collapsed="false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customFormat="false" ht="15.75" hidden="false" customHeight="false" outlineLevel="0" collapsed="false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customFormat="false" ht="15.75" hidden="false" customHeight="false" outlineLevel="0" collapsed="false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customFormat="false" ht="15.75" hidden="false" customHeight="false" outlineLevel="0" collapsed="false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customFormat="false" ht="15.75" hidden="false" customHeight="false" outlineLevel="0" collapsed="false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customFormat="false" ht="15.75" hidden="false" customHeight="false" outlineLevel="0" collapsed="false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customFormat="false" ht="15.75" hidden="false" customHeight="false" outlineLevel="0" collapsed="false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customFormat="false" ht="15.75" hidden="false" customHeight="false" outlineLevel="0" collapsed="false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customFormat="false" ht="15.75" hidden="false" customHeight="false" outlineLevel="0" collapsed="false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customFormat="false" ht="15.75" hidden="false" customHeight="false" outlineLevel="0" collapsed="false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customFormat="false" ht="15.75" hidden="false" customHeight="false" outlineLevel="0" collapsed="false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customFormat="false" ht="15.75" hidden="false" customHeight="false" outlineLevel="0" collapsed="false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customFormat="false" ht="15.75" hidden="false" customHeight="false" outlineLevel="0" collapsed="false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customFormat="false" ht="15.75" hidden="false" customHeight="false" outlineLevel="0" collapsed="false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customFormat="false" ht="15.75" hidden="false" customHeight="false" outlineLevel="0" collapsed="false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customFormat="false" ht="15.75" hidden="false" customHeight="false" outlineLevel="0" collapsed="false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customFormat="false" ht="15.75" hidden="false" customHeight="false" outlineLevel="0" collapsed="false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customFormat="false" ht="15.75" hidden="false" customHeight="false" outlineLevel="0" collapsed="false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customFormat="false" ht="15.75" hidden="false" customHeight="false" outlineLevel="0" collapsed="false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customFormat="false" ht="15.75" hidden="false" customHeight="false" outlineLevel="0" collapsed="false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customFormat="false" ht="15.75" hidden="false" customHeight="false" outlineLevel="0" collapsed="false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customFormat="false" ht="15.75" hidden="false" customHeight="false" outlineLevel="0" collapsed="false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customFormat="false" ht="15.75" hidden="false" customHeight="false" outlineLevel="0" collapsed="false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customFormat="false" ht="15.75" hidden="false" customHeight="false" outlineLevel="0" collapsed="false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customFormat="false" ht="15.75" hidden="false" customHeight="false" outlineLevel="0" collapsed="false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customFormat="false" ht="15.75" hidden="false" customHeight="false" outlineLevel="0" collapsed="false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customFormat="false" ht="15.75" hidden="false" customHeight="false" outlineLevel="0" collapsed="false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customFormat="false" ht="15.75" hidden="false" customHeight="false" outlineLevel="0" collapsed="false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customFormat="false" ht="15.75" hidden="false" customHeight="false" outlineLevel="0" collapsed="false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customFormat="false" ht="15.75" hidden="false" customHeight="false" outlineLevel="0" collapsed="false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customFormat="false" ht="15.75" hidden="false" customHeight="false" outlineLevel="0" collapsed="false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customFormat="false" ht="15.75" hidden="false" customHeight="false" outlineLevel="0" collapsed="false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customFormat="false" ht="15.75" hidden="false" customHeight="false" outlineLevel="0" collapsed="false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customFormat="false" ht="15.75" hidden="false" customHeight="false" outlineLevel="0" collapsed="false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customFormat="false" ht="15.75" hidden="false" customHeight="false" outlineLevel="0" collapsed="false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customFormat="false" ht="15.75" hidden="false" customHeight="false" outlineLevel="0" collapsed="false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customFormat="false" ht="15.75" hidden="false" customHeight="false" outlineLevel="0" collapsed="false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customFormat="false" ht="15.75" hidden="false" customHeight="false" outlineLevel="0" collapsed="false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customFormat="false" ht="15.75" hidden="false" customHeight="false" outlineLevel="0" collapsed="false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customFormat="false" ht="15.75" hidden="false" customHeight="false" outlineLevel="0" collapsed="false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customFormat="false" ht="15.75" hidden="false" customHeight="false" outlineLevel="0" collapsed="false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customFormat="false" ht="15.75" hidden="false" customHeight="false" outlineLevel="0" collapsed="false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customFormat="false" ht="15.75" hidden="false" customHeight="false" outlineLevel="0" collapsed="false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customFormat="false" ht="15.75" hidden="false" customHeight="false" outlineLevel="0" collapsed="false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customFormat="false" ht="15.75" hidden="false" customHeight="false" outlineLevel="0" collapsed="false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customFormat="false" ht="15.75" hidden="false" customHeight="false" outlineLevel="0" collapsed="false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customFormat="false" ht="15.75" hidden="false" customHeight="false" outlineLevel="0" collapsed="false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customFormat="false" ht="15.75" hidden="false" customHeight="false" outlineLevel="0" collapsed="false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customFormat="false" ht="15.75" hidden="false" customHeight="false" outlineLevel="0" collapsed="false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customFormat="false" ht="15.75" hidden="false" customHeight="false" outlineLevel="0" collapsed="false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customFormat="false" ht="15.75" hidden="false" customHeight="false" outlineLevel="0" collapsed="false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customFormat="false" ht="15.75" hidden="false" customHeight="false" outlineLevel="0" collapsed="false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customFormat="false" ht="15.75" hidden="false" customHeight="false" outlineLevel="0" collapsed="false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customFormat="false" ht="15.75" hidden="false" customHeight="false" outlineLevel="0" collapsed="false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customFormat="false" ht="15.75" hidden="false" customHeight="false" outlineLevel="0" collapsed="false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customFormat="false" ht="15.75" hidden="false" customHeight="false" outlineLevel="0" collapsed="false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customFormat="false" ht="15.75" hidden="false" customHeight="false" outlineLevel="0" collapsed="false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customFormat="false" ht="15.75" hidden="false" customHeight="false" outlineLevel="0" collapsed="false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customFormat="false" ht="15.75" hidden="false" customHeight="false" outlineLevel="0" collapsed="false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customFormat="false" ht="15.75" hidden="false" customHeight="false" outlineLevel="0" collapsed="false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customFormat="false" ht="15.75" hidden="false" customHeight="false" outlineLevel="0" collapsed="false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customFormat="false" ht="15.75" hidden="false" customHeight="false" outlineLevel="0" collapsed="false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customFormat="false" ht="15.75" hidden="false" customHeight="false" outlineLevel="0" collapsed="false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customFormat="false" ht="15.75" hidden="false" customHeight="false" outlineLevel="0" collapsed="false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customFormat="false" ht="15.75" hidden="false" customHeight="false" outlineLevel="0" collapsed="false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customFormat="false" ht="15.75" hidden="false" customHeight="false" outlineLevel="0" collapsed="false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customFormat="false" ht="15.75" hidden="false" customHeight="false" outlineLevel="0" collapsed="false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customFormat="false" ht="15.75" hidden="false" customHeight="false" outlineLevel="0" collapsed="false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customFormat="false" ht="15.75" hidden="false" customHeight="false" outlineLevel="0" collapsed="false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customFormat="false" ht="15.75" hidden="false" customHeight="false" outlineLevel="0" collapsed="false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customFormat="false" ht="15.75" hidden="false" customHeight="false" outlineLevel="0" collapsed="false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customFormat="false" ht="15.75" hidden="false" customHeight="false" outlineLevel="0" collapsed="false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customFormat="false" ht="15.75" hidden="false" customHeight="false" outlineLevel="0" collapsed="false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customFormat="false" ht="15.75" hidden="false" customHeight="false" outlineLevel="0" collapsed="false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customFormat="false" ht="15.75" hidden="false" customHeight="false" outlineLevel="0" collapsed="false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customFormat="false" ht="15.75" hidden="false" customHeight="false" outlineLevel="0" collapsed="false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customFormat="false" ht="15.75" hidden="false" customHeight="false" outlineLevel="0" collapsed="false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customFormat="false" ht="15.75" hidden="false" customHeight="false" outlineLevel="0" collapsed="false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customFormat="false" ht="15.75" hidden="false" customHeight="false" outlineLevel="0" collapsed="false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customFormat="false" ht="15.75" hidden="false" customHeight="false" outlineLevel="0" collapsed="false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customFormat="false" ht="15.75" hidden="false" customHeight="false" outlineLevel="0" collapsed="false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customFormat="false" ht="15.75" hidden="false" customHeight="false" outlineLevel="0" collapsed="false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customFormat="false" ht="15.75" hidden="false" customHeight="false" outlineLevel="0" collapsed="false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customFormat="false" ht="15.75" hidden="false" customHeight="false" outlineLevel="0" collapsed="false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customFormat="false" ht="15.75" hidden="false" customHeight="false" outlineLevel="0" collapsed="false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customFormat="false" ht="15.75" hidden="false" customHeight="false" outlineLevel="0" collapsed="false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customFormat="false" ht="15.75" hidden="false" customHeight="false" outlineLevel="0" collapsed="false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customFormat="false" ht="15.75" hidden="false" customHeight="false" outlineLevel="0" collapsed="false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customFormat="false" ht="15.75" hidden="false" customHeight="false" outlineLevel="0" collapsed="false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customFormat="false" ht="15.75" hidden="false" customHeight="false" outlineLevel="0" collapsed="false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customFormat="false" ht="15.75" hidden="false" customHeight="false" outlineLevel="0" collapsed="false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customFormat="false" ht="15.75" hidden="false" customHeight="false" outlineLevel="0" collapsed="false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customFormat="false" ht="15.75" hidden="false" customHeight="false" outlineLevel="0" collapsed="false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customFormat="false" ht="15.75" hidden="false" customHeight="false" outlineLevel="0" collapsed="false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customFormat="false" ht="15.75" hidden="false" customHeight="false" outlineLevel="0" collapsed="false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customFormat="false" ht="15.75" hidden="false" customHeight="false" outlineLevel="0" collapsed="false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customFormat="false" ht="15.75" hidden="false" customHeight="false" outlineLevel="0" collapsed="false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customFormat="false" ht="15.75" hidden="false" customHeight="false" outlineLevel="0" collapsed="false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customFormat="false" ht="15.75" hidden="false" customHeight="false" outlineLevel="0" collapsed="false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customFormat="false" ht="15.75" hidden="false" customHeight="false" outlineLevel="0" collapsed="false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customFormat="false" ht="15.75" hidden="false" customHeight="false" outlineLevel="0" collapsed="false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customFormat="false" ht="15.75" hidden="false" customHeight="false" outlineLevel="0" collapsed="false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customFormat="false" ht="15.75" hidden="false" customHeight="false" outlineLevel="0" collapsed="false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customFormat="false" ht="15.75" hidden="false" customHeight="false" outlineLevel="0" collapsed="false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customFormat="false" ht="15.75" hidden="false" customHeight="false" outlineLevel="0" collapsed="false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customFormat="false" ht="15.75" hidden="false" customHeight="false" outlineLevel="0" collapsed="false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customFormat="false" ht="15.75" hidden="false" customHeight="false" outlineLevel="0" collapsed="false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customFormat="false" ht="15.75" hidden="false" customHeight="false" outlineLevel="0" collapsed="false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customFormat="false" ht="15.75" hidden="false" customHeight="false" outlineLevel="0" collapsed="false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customFormat="false" ht="15.75" hidden="false" customHeight="false" outlineLevel="0" collapsed="false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customFormat="false" ht="15.75" hidden="false" customHeight="false" outlineLevel="0" collapsed="false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customFormat="false" ht="15.75" hidden="false" customHeight="false" outlineLevel="0" collapsed="false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customFormat="false" ht="15.75" hidden="false" customHeight="false" outlineLevel="0" collapsed="false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customFormat="false" ht="15.75" hidden="false" customHeight="false" outlineLevel="0" collapsed="false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customFormat="false" ht="15.75" hidden="false" customHeight="false" outlineLevel="0" collapsed="false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customFormat="false" ht="15.75" hidden="false" customHeight="false" outlineLevel="0" collapsed="false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customFormat="false" ht="15.75" hidden="false" customHeight="false" outlineLevel="0" collapsed="false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customFormat="false" ht="15.75" hidden="false" customHeight="false" outlineLevel="0" collapsed="false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customFormat="false" ht="15.75" hidden="false" customHeight="false" outlineLevel="0" collapsed="false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customFormat="false" ht="15.75" hidden="false" customHeight="false" outlineLevel="0" collapsed="false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customFormat="false" ht="15.75" hidden="false" customHeight="false" outlineLevel="0" collapsed="false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customFormat="false" ht="15.75" hidden="false" customHeight="false" outlineLevel="0" collapsed="false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customFormat="false" ht="15.75" hidden="false" customHeight="false" outlineLevel="0" collapsed="false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customFormat="false" ht="15.75" hidden="false" customHeight="false" outlineLevel="0" collapsed="false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customFormat="false" ht="15.75" hidden="false" customHeight="false" outlineLevel="0" collapsed="false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customFormat="false" ht="15.75" hidden="false" customHeight="false" outlineLevel="0" collapsed="false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customFormat="false" ht="15.75" hidden="false" customHeight="false" outlineLevel="0" collapsed="false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customFormat="false" ht="15.75" hidden="false" customHeight="false" outlineLevel="0" collapsed="false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customFormat="false" ht="15.75" hidden="false" customHeight="false" outlineLevel="0" collapsed="false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customFormat="false" ht="15.75" hidden="false" customHeight="false" outlineLevel="0" collapsed="false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customFormat="false" ht="15.75" hidden="false" customHeight="false" outlineLevel="0" collapsed="false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customFormat="false" ht="15.75" hidden="false" customHeight="false" outlineLevel="0" collapsed="false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customFormat="false" ht="15.75" hidden="false" customHeight="false" outlineLevel="0" collapsed="false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customFormat="false" ht="15.75" hidden="false" customHeight="false" outlineLevel="0" collapsed="false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customFormat="false" ht="15.75" hidden="false" customHeight="false" outlineLevel="0" collapsed="false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customFormat="false" ht="15.75" hidden="false" customHeight="false" outlineLevel="0" collapsed="false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customFormat="false" ht="15.75" hidden="false" customHeight="false" outlineLevel="0" collapsed="false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customFormat="false" ht="15.75" hidden="false" customHeight="false" outlineLevel="0" collapsed="false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customFormat="false" ht="15.75" hidden="false" customHeight="false" outlineLevel="0" collapsed="false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customFormat="false" ht="15.75" hidden="false" customHeight="false" outlineLevel="0" collapsed="false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customFormat="false" ht="15.75" hidden="false" customHeight="false" outlineLevel="0" collapsed="false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customFormat="false" ht="15.75" hidden="false" customHeight="false" outlineLevel="0" collapsed="false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customFormat="false" ht="15.75" hidden="false" customHeight="false" outlineLevel="0" collapsed="false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customFormat="false" ht="15.75" hidden="false" customHeight="false" outlineLevel="0" collapsed="false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customFormat="false" ht="15.75" hidden="false" customHeight="false" outlineLevel="0" collapsed="false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customFormat="false" ht="15.75" hidden="false" customHeight="false" outlineLevel="0" collapsed="false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customFormat="false" ht="15.75" hidden="false" customHeight="false" outlineLevel="0" collapsed="false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customFormat="false" ht="15.75" hidden="false" customHeight="false" outlineLevel="0" collapsed="false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customFormat="false" ht="15.75" hidden="false" customHeight="false" outlineLevel="0" collapsed="false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customFormat="false" ht="15.75" hidden="false" customHeight="false" outlineLevel="0" collapsed="false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customFormat="false" ht="15.75" hidden="false" customHeight="false" outlineLevel="0" collapsed="false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customFormat="false" ht="15.75" hidden="false" customHeight="false" outlineLevel="0" collapsed="false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customFormat="false" ht="15.75" hidden="false" customHeight="false" outlineLevel="0" collapsed="false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customFormat="false" ht="15.75" hidden="false" customHeight="false" outlineLevel="0" collapsed="false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customFormat="false" ht="15.75" hidden="false" customHeight="false" outlineLevel="0" collapsed="false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customFormat="false" ht="15.75" hidden="false" customHeight="false" outlineLevel="0" collapsed="false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customFormat="false" ht="15.75" hidden="false" customHeight="false" outlineLevel="0" collapsed="false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customFormat="false" ht="15.75" hidden="false" customHeight="false" outlineLevel="0" collapsed="false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customFormat="false" ht="15.75" hidden="false" customHeight="false" outlineLevel="0" collapsed="false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customFormat="false" ht="15.75" hidden="false" customHeight="false" outlineLevel="0" collapsed="false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customFormat="false" ht="15.75" hidden="false" customHeight="false" outlineLevel="0" collapsed="false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customFormat="false" ht="15.75" hidden="false" customHeight="false" outlineLevel="0" collapsed="false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customFormat="false" ht="15.75" hidden="false" customHeight="false" outlineLevel="0" collapsed="false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customFormat="false" ht="15.75" hidden="false" customHeight="false" outlineLevel="0" collapsed="false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customFormat="false" ht="15.75" hidden="false" customHeight="false" outlineLevel="0" collapsed="false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customFormat="false" ht="15.75" hidden="false" customHeight="false" outlineLevel="0" collapsed="false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customFormat="false" ht="15.75" hidden="false" customHeight="false" outlineLevel="0" collapsed="false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customFormat="false" ht="15.75" hidden="false" customHeight="false" outlineLevel="0" collapsed="false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customFormat="false" ht="15.75" hidden="false" customHeight="false" outlineLevel="0" collapsed="false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customFormat="false" ht="15.75" hidden="false" customHeight="false" outlineLevel="0" collapsed="false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customFormat="false" ht="15.75" hidden="false" customHeight="false" outlineLevel="0" collapsed="false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customFormat="false" ht="15.75" hidden="false" customHeight="false" outlineLevel="0" collapsed="false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customFormat="false" ht="15.75" hidden="false" customHeight="false" outlineLevel="0" collapsed="false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customFormat="false" ht="15.75" hidden="false" customHeight="false" outlineLevel="0" collapsed="false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customFormat="false" ht="15.75" hidden="false" customHeight="false" outlineLevel="0" collapsed="false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customFormat="false" ht="15.75" hidden="false" customHeight="false" outlineLevel="0" collapsed="false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customFormat="false" ht="15.75" hidden="false" customHeight="false" outlineLevel="0" collapsed="false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customFormat="false" ht="15.75" hidden="false" customHeight="false" outlineLevel="0" collapsed="false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customFormat="false" ht="15.75" hidden="false" customHeight="false" outlineLevel="0" collapsed="false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customFormat="false" ht="15.75" hidden="false" customHeight="false" outlineLevel="0" collapsed="false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customFormat="false" ht="15.75" hidden="false" customHeight="false" outlineLevel="0" collapsed="false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customFormat="false" ht="15.75" hidden="false" customHeight="false" outlineLevel="0" collapsed="false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customFormat="false" ht="15.75" hidden="false" customHeight="false" outlineLevel="0" collapsed="false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customFormat="false" ht="15.75" hidden="false" customHeight="false" outlineLevel="0" collapsed="false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customFormat="false" ht="15.75" hidden="false" customHeight="false" outlineLevel="0" collapsed="false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customFormat="false" ht="15.75" hidden="false" customHeight="false" outlineLevel="0" collapsed="false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customFormat="false" ht="15.75" hidden="false" customHeight="false" outlineLevel="0" collapsed="false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customFormat="false" ht="15.75" hidden="false" customHeight="false" outlineLevel="0" collapsed="false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customFormat="false" ht="15.75" hidden="false" customHeight="false" outlineLevel="0" collapsed="false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customFormat="false" ht="15.75" hidden="false" customHeight="false" outlineLevel="0" collapsed="false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customFormat="false" ht="15.75" hidden="false" customHeight="false" outlineLevel="0" collapsed="false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customFormat="false" ht="15.75" hidden="false" customHeight="false" outlineLevel="0" collapsed="false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customFormat="false" ht="15.75" hidden="false" customHeight="false" outlineLevel="0" collapsed="false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customFormat="false" ht="15.75" hidden="false" customHeight="false" outlineLevel="0" collapsed="false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customFormat="false" ht="15.75" hidden="false" customHeight="false" outlineLevel="0" collapsed="false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customFormat="false" ht="15.75" hidden="false" customHeight="false" outlineLevel="0" collapsed="false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customFormat="false" ht="15.75" hidden="false" customHeight="false" outlineLevel="0" collapsed="false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customFormat="false" ht="15.75" hidden="false" customHeight="false" outlineLevel="0" collapsed="false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customFormat="false" ht="15.75" hidden="false" customHeight="false" outlineLevel="0" collapsed="false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customFormat="false" ht="15.75" hidden="false" customHeight="false" outlineLevel="0" collapsed="false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customFormat="false" ht="15.75" hidden="false" customHeight="false" outlineLevel="0" collapsed="false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customFormat="false" ht="15.75" hidden="false" customHeight="false" outlineLevel="0" collapsed="false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customFormat="false" ht="15.75" hidden="false" customHeight="false" outlineLevel="0" collapsed="false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customFormat="false" ht="15.75" hidden="false" customHeight="false" outlineLevel="0" collapsed="false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customFormat="false" ht="15.75" hidden="false" customHeight="false" outlineLevel="0" collapsed="false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customFormat="false" ht="15.75" hidden="false" customHeight="false" outlineLevel="0" collapsed="false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customFormat="false" ht="15.75" hidden="false" customHeight="false" outlineLevel="0" collapsed="false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customFormat="false" ht="15.75" hidden="false" customHeight="false" outlineLevel="0" collapsed="false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customFormat="false" ht="15.75" hidden="false" customHeight="false" outlineLevel="0" collapsed="false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customFormat="false" ht="15.75" hidden="false" customHeight="false" outlineLevel="0" collapsed="false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customFormat="false" ht="15.75" hidden="false" customHeight="false" outlineLevel="0" collapsed="false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customFormat="false" ht="15.75" hidden="false" customHeight="false" outlineLevel="0" collapsed="false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customFormat="false" ht="15.75" hidden="false" customHeight="false" outlineLevel="0" collapsed="false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customFormat="false" ht="15.75" hidden="false" customHeight="false" outlineLevel="0" collapsed="false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customFormat="false" ht="15.75" hidden="false" customHeight="false" outlineLevel="0" collapsed="false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customFormat="false" ht="15.75" hidden="false" customHeight="false" outlineLevel="0" collapsed="false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customFormat="false" ht="15.75" hidden="false" customHeight="false" outlineLevel="0" collapsed="false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customFormat="false" ht="15.75" hidden="false" customHeight="false" outlineLevel="0" collapsed="false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customFormat="false" ht="15.75" hidden="false" customHeight="false" outlineLevel="0" collapsed="false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customFormat="false" ht="15.75" hidden="false" customHeight="false" outlineLevel="0" collapsed="false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customFormat="false" ht="15.75" hidden="false" customHeight="false" outlineLevel="0" collapsed="false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customFormat="false" ht="15.75" hidden="false" customHeight="false" outlineLevel="0" collapsed="false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customFormat="false" ht="15.75" hidden="false" customHeight="false" outlineLevel="0" collapsed="false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customFormat="false" ht="15.75" hidden="false" customHeight="false" outlineLevel="0" collapsed="false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customFormat="false" ht="15.75" hidden="false" customHeight="false" outlineLevel="0" collapsed="false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customFormat="false" ht="15.75" hidden="false" customHeight="false" outlineLevel="0" collapsed="false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13" t="str">
        <f aca="false">IFERROR(__xludf.dummyfunction("importrange(""https://docs.google.com/spreadsheets/d/1YGauecgVr6IitrGDDrOCoTXY8ruNxlmFhmS5Oas2JUg/edit?gid=0#gid=0"",""Sheet1!A1:G18"")"),"Helicopter|B/C")</f>
        <v>Helicopter|B/C</v>
      </c>
      <c r="B1" s="117" t="str">
        <f aca="false">IFERROR(__xludf.dummyfunction("""COMPUTED_VALUE"""),"Helicopter")</f>
        <v>Helicopter</v>
      </c>
      <c r="C1" s="113" t="str">
        <f aca="false">IFERROR(__xludf.dummyfunction("""COMPUTED_VALUE"""),"B/C")</f>
        <v>B/C</v>
      </c>
      <c r="D1" s="113" t="str">
        <f aca="false">IFERROR(__xludf.dummyfunction("""COMPUTED_VALUE"""),"0.6.1")</f>
        <v>0.6.1</v>
      </c>
      <c r="E1" s="118" t="n">
        <f aca="false">IFERROR(__xludf.dummyfunction("""COMPUTED_VALUE"""),46077)</f>
        <v>46077</v>
      </c>
      <c r="F1" s="113"/>
      <c r="G1" s="113" t="str">
        <f aca="false">IFERROR(__xludf.dummyfunction("""COMPUTED_VALUE"""),"Ready")</f>
        <v>Ready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</row>
    <row r="2" customFormat="false" ht="15.75" hidden="false" customHeight="false" outlineLevel="0" collapsed="false">
      <c r="A2" s="113" t="str">
        <f aca="false">IFERROR(__xludf.dummyfunction("""COMPUTED_VALUE"""),"Mission Possible|B")</f>
        <v>Mission Possible|B</v>
      </c>
      <c r="B2" s="113" t="str">
        <f aca="false">IFERROR(__xludf.dummyfunction("""COMPUTED_VALUE"""),"Mission Possible")</f>
        <v>Mission Possible</v>
      </c>
      <c r="C2" s="113" t="str">
        <f aca="false">IFERROR(__xludf.dummyfunction("""COMPUTED_VALUE"""),"B")</f>
        <v>B</v>
      </c>
      <c r="D2" s="113" t="str">
        <f aca="false">IFERROR(__xludf.dummyfunction("""COMPUTED_VALUE"""),"0.5.1")</f>
        <v>0.5.1</v>
      </c>
      <c r="E2" s="118" t="n">
        <f aca="false">IFERROR(__xludf.dummyfunction("""COMPUTED_VALUE"""),46077)</f>
        <v>46077</v>
      </c>
      <c r="F2" s="113"/>
      <c r="G2" s="113" t="str">
        <f aca="false">IFERROR(__xludf.dummyfunction("""COMPUTED_VALUE"""),"Ready")</f>
        <v>Ready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</row>
    <row r="3" customFormat="false" ht="15.75" hidden="false" customHeight="false" outlineLevel="0" collapsed="false">
      <c r="A3" s="113" t="str">
        <f aca="false">IFERROR(__xludf.dummyfunction("""COMPUTED_VALUE"""),"Scrambler|B")</f>
        <v>Scrambler|B</v>
      </c>
      <c r="B3" s="113" t="str">
        <f aca="false">IFERROR(__xludf.dummyfunction("""COMPUTED_VALUE"""),"Scrambler")</f>
        <v>Scrambler</v>
      </c>
      <c r="C3" s="113" t="str">
        <f aca="false">IFERROR(__xludf.dummyfunction("""COMPUTED_VALUE"""),"B")</f>
        <v>B</v>
      </c>
      <c r="D3" s="113" t="str">
        <f aca="false">IFERROR(__xludf.dummyfunction("""COMPUTED_VALUE"""),"0.4.1")</f>
        <v>0.4.1</v>
      </c>
      <c r="E3" s="118" t="n">
        <f aca="false">IFERROR(__xludf.dummyfunction("""COMPUTED_VALUE"""),46077)</f>
        <v>46077</v>
      </c>
      <c r="F3" s="113"/>
      <c r="G3" s="113" t="str">
        <f aca="false">IFERROR(__xludf.dummyfunction("""COMPUTED_VALUE"""),"Ready")</f>
        <v>Ready</v>
      </c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</row>
    <row r="4" customFormat="false" ht="15.75" hidden="false" customHeight="false" outlineLevel="0" collapsed="false">
      <c r="A4" s="113" t="str">
        <f aca="false">IFERROR(__xludf.dummyfunction("""COMPUTED_VALUE"""),"Bungee Drop|C")</f>
        <v>Bungee Drop|C</v>
      </c>
      <c r="B4" s="113" t="str">
        <f aca="false">IFERROR(__xludf.dummyfunction("""COMPUTED_VALUE"""),"Bungee Drop")</f>
        <v>Bungee Drop</v>
      </c>
      <c r="C4" s="113" t="str">
        <f aca="false">IFERROR(__xludf.dummyfunction("""COMPUTED_VALUE"""),"C")</f>
        <v>C</v>
      </c>
      <c r="D4" s="113" t="str">
        <f aca="false">IFERROR(__xludf.dummyfunction("""COMPUTED_VALUE"""),"0.4.3")</f>
        <v>0.4.3</v>
      </c>
      <c r="E4" s="118" t="n">
        <f aca="false">IFERROR(__xludf.dummyfunction("""COMPUTED_VALUE"""),46077)</f>
        <v>46077</v>
      </c>
      <c r="F4" s="113"/>
      <c r="G4" s="113" t="str">
        <f aca="false">IFERROR(__xludf.dummyfunction("""COMPUTED_VALUE"""),"Ready")</f>
        <v>Ready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</row>
    <row r="5" customFormat="false" ht="15.75" hidden="false" customHeight="false" outlineLevel="0" collapsed="false">
      <c r="A5" s="113" t="str">
        <f aca="false">IFERROR(__xludf.dummyfunction("""COMPUTED_VALUE"""),"Electric Vehicle|C")</f>
        <v>Electric Vehicle|C</v>
      </c>
      <c r="B5" s="113" t="str">
        <f aca="false">IFERROR(__xludf.dummyfunction("""COMPUTED_VALUE"""),"Electric Vehicle")</f>
        <v>Electric Vehicle</v>
      </c>
      <c r="C5" s="113" t="str">
        <f aca="false">IFERROR(__xludf.dummyfunction("""COMPUTED_VALUE"""),"C")</f>
        <v>C</v>
      </c>
      <c r="D5" s="113" t="str">
        <f aca="false">IFERROR(__xludf.dummyfunction("""COMPUTED_VALUE"""),"0.8.0")</f>
        <v>0.8.0</v>
      </c>
      <c r="E5" s="118" t="n">
        <f aca="false">IFERROR(__xludf.dummyfunction("""COMPUTED_VALUE"""),46047)</f>
        <v>46047</v>
      </c>
      <c r="F5" s="113"/>
      <c r="G5" s="113" t="str">
        <f aca="false">IFERROR(__xludf.dummyfunction("""COMPUTED_VALUE"""),"Ready")</f>
        <v>Ready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</row>
    <row r="6" customFormat="false" ht="15.75" hidden="false" customHeight="false" outlineLevel="0" collapsed="false">
      <c r="A6" s="113" t="str">
        <f aca="false">IFERROR(__xludf.dummyfunction("""COMPUTED_VALUE"""),"Robot Tour|C")</f>
        <v>Robot Tour|C</v>
      </c>
      <c r="B6" s="113" t="str">
        <f aca="false">IFERROR(__xludf.dummyfunction("""COMPUTED_VALUE"""),"Robot Tour")</f>
        <v>Robot Tour</v>
      </c>
      <c r="C6" s="113" t="str">
        <f aca="false">IFERROR(__xludf.dummyfunction("""COMPUTED_VALUE"""),"C")</f>
        <v>C</v>
      </c>
      <c r="D6" s="113" t="str">
        <f aca="false">IFERROR(__xludf.dummyfunction("""COMPUTED_VALUE"""),"0.6.0")</f>
        <v>0.6.0</v>
      </c>
      <c r="E6" s="118" t="n">
        <f aca="false">IFERROR(__xludf.dummyfunction("""COMPUTED_VALUE"""),46077)</f>
        <v>46077</v>
      </c>
      <c r="F6" s="113"/>
      <c r="G6" s="113" t="str">
        <f aca="false">IFERROR(__xludf.dummyfunction("""COMPUTED_VALUE"""),"Ready")</f>
        <v>Ready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</row>
    <row r="7" customFormat="false" ht="15.75" hidden="false" customHeight="false" outlineLevel="0" collapsed="false">
      <c r="A7" s="113" t="str">
        <f aca="false">IFERROR(__xludf.dummyfunction("""COMPUTED_VALUE"""),"Hovercraft|B/C")</f>
        <v>Hovercraft|B/C</v>
      </c>
      <c r="B7" s="113" t="str">
        <f aca="false">IFERROR(__xludf.dummyfunction("""COMPUTED_VALUE"""),"Hovercraft")</f>
        <v>Hovercraft</v>
      </c>
      <c r="C7" s="113" t="str">
        <f aca="false">IFERROR(__xludf.dummyfunction("""COMPUTED_VALUE"""),"B/C")</f>
        <v>B/C</v>
      </c>
      <c r="D7" s="113" t="str">
        <f aca="false">IFERROR(__xludf.dummyfunction("""COMPUTED_VALUE"""),"0.5.3")</f>
        <v>0.5.3</v>
      </c>
      <c r="E7" s="118" t="n">
        <f aca="false">IFERROR(__xludf.dummyfunction("""COMPUTED_VALUE"""),46055)</f>
        <v>46055</v>
      </c>
      <c r="F7" s="113"/>
      <c r="G7" s="113" t="str">
        <f aca="false">IFERROR(__xludf.dummyfunction("""COMPUTED_VALUE"""),"Ready")</f>
        <v>Ready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</row>
    <row r="8" customFormat="false" ht="15.75" hidden="false" customHeight="false" outlineLevel="0" collapsed="false">
      <c r="A8" s="113" t="str">
        <f aca="false">IFERROR(__xludf.dummyfunction("""COMPUTED_VALUE"""),"Boomilever|B/C")</f>
        <v>Boomilever|B/C</v>
      </c>
      <c r="B8" s="113" t="str">
        <f aca="false">IFERROR(__xludf.dummyfunction("""COMPUTED_VALUE"""),"Boomilever")</f>
        <v>Boomilever</v>
      </c>
      <c r="C8" s="113" t="str">
        <f aca="false">IFERROR(__xludf.dummyfunction("""COMPUTED_VALUE"""),"B/C")</f>
        <v>B/C</v>
      </c>
      <c r="D8" s="113" t="str">
        <f aca="false">IFERROR(__xludf.dummyfunction("""COMPUTED_VALUE"""),"0.1.0")</f>
        <v>0.1.0</v>
      </c>
      <c r="E8" s="118" t="n">
        <f aca="false">IFERROR(__xludf.dummyfunction("""COMPUTED_VALUE"""),46077)</f>
        <v>46077</v>
      </c>
      <c r="F8" s="113"/>
      <c r="G8" s="113" t="str">
        <f aca="false">IFERROR(__xludf.dummyfunction("""COMPUTED_VALUE"""),"Ready")</f>
        <v>Ready</v>
      </c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</row>
    <row r="9" customFormat="false" ht="15.75" hidden="false" customHeight="false" outlineLevel="0" collapsed="false">
      <c r="A9" s="113" t="str">
        <f aca="false">IFERROR(__xludf.dummyfunction("""COMPUTED_VALUE"""),"Machines|B/C")</f>
        <v>Machines|B/C</v>
      </c>
      <c r="B9" s="113" t="str">
        <f aca="false">IFERROR(__xludf.dummyfunction("""COMPUTED_VALUE"""),"Machines")</f>
        <v>Machines</v>
      </c>
      <c r="C9" s="113" t="str">
        <f aca="false">IFERROR(__xludf.dummyfunction("""COMPUTED_VALUE"""),"B/C")</f>
        <v>B/C</v>
      </c>
      <c r="D9" s="113" t="str">
        <f aca="false">IFERROR(__xludf.dummyfunction("""COMPUTED_VALUE"""),"0.4.0")</f>
        <v>0.4.0</v>
      </c>
      <c r="E9" s="118" t="n">
        <f aca="false">IFERROR(__xludf.dummyfunction("""COMPUTED_VALUE"""),45996)</f>
        <v>45996</v>
      </c>
      <c r="F9" s="113"/>
      <c r="G9" s="113" t="str">
        <f aca="false">IFERROR(__xludf.dummyfunction("""COMPUTED_VALUE"""),"Ready")</f>
        <v>Ready</v>
      </c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</row>
    <row r="10" customFormat="false" ht="15.75" hidden="false" customHeight="false" outlineLevel="0" collapsed="false">
      <c r="A10" s="113" t="str">
        <f aca="false">IFERROR(__xludf.dummyfunction("""COMPUTED_VALUE"""),"Engineering CAD|C")</f>
        <v>Engineering CAD|C</v>
      </c>
      <c r="B10" s="113" t="str">
        <f aca="false">IFERROR(__xludf.dummyfunction("""COMPUTED_VALUE"""),"Engineering CAD")</f>
        <v>Engineering CAD</v>
      </c>
      <c r="C10" s="113" t="str">
        <f aca="false">IFERROR(__xludf.dummyfunction("""COMPUTED_VALUE"""),"C")</f>
        <v>C</v>
      </c>
      <c r="D10" s="113" t="str">
        <f aca="false">IFERROR(__xludf.dummyfunction("""COMPUTED_VALUE"""),"1.0.0")</f>
        <v>1.0.0</v>
      </c>
      <c r="E10" s="118" t="n">
        <f aca="false">IFERROR(__xludf.dummyfunction("""COMPUTED_VALUE"""),46095)</f>
        <v>46095</v>
      </c>
      <c r="F10" s="113"/>
      <c r="G10" s="113" t="str">
        <f aca="false">IFERROR(__xludf.dummyfunction("""COMPUTED_VALUE"""),"Ready")</f>
        <v>Ready</v>
      </c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</row>
    <row r="11" customFormat="false" ht="15.75" hidden="false" customHeight="false" outlineLevel="0" collapsed="false">
      <c r="A11" s="113"/>
      <c r="B11" s="113"/>
      <c r="C11" s="113"/>
      <c r="D11" s="113"/>
      <c r="E11" s="118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</row>
    <row r="12" customFormat="false" ht="15.75" hidden="false" customHeight="false" outlineLevel="0" collapsed="false">
      <c r="A12" s="113"/>
      <c r="B12" s="113"/>
      <c r="C12" s="113"/>
      <c r="D12" s="113"/>
      <c r="E12" s="118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</row>
    <row r="13" customFormat="false" ht="15.75" hidden="false" customHeight="false" outlineLevel="0" collapsed="false">
      <c r="A13" s="113"/>
      <c r="B13" s="113"/>
      <c r="C13" s="113"/>
      <c r="D13" s="113"/>
      <c r="E13" s="118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</row>
    <row r="14" customFormat="false" ht="15.75" hidden="false" customHeight="false" outlineLevel="0" collapsed="false">
      <c r="A14" s="113"/>
      <c r="B14" s="113"/>
      <c r="C14" s="113"/>
      <c r="D14" s="113"/>
      <c r="E14" s="118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</row>
    <row r="15" customFormat="false" ht="15.75" hidden="false" customHeight="false" outlineLevel="0" collapsed="false">
      <c r="A15" s="113"/>
      <c r="B15" s="113"/>
      <c r="C15" s="113"/>
      <c r="D15" s="113"/>
      <c r="E15" s="118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</row>
    <row r="16" customFormat="false" ht="15.75" hidden="false" customHeight="false" outlineLevel="0" collapsed="false">
      <c r="A16" s="113"/>
      <c r="B16" s="113"/>
      <c r="C16" s="113"/>
      <c r="D16" s="113"/>
      <c r="E16" s="118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</row>
    <row r="17" customFormat="false" ht="15.75" hidden="false" customHeight="false" outlineLevel="0" collapsed="false">
      <c r="A17" s="113"/>
      <c r="B17" s="113"/>
      <c r="C17" s="113"/>
      <c r="D17" s="113"/>
      <c r="E17" s="118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</row>
    <row r="18" customFormat="false" ht="15.75" hidden="false" customHeight="false" outlineLevel="0" collapsed="false">
      <c r="A18" s="113"/>
      <c r="B18" s="113"/>
      <c r="C18" s="113"/>
      <c r="D18" s="113"/>
      <c r="E18" s="118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</row>
    <row r="19" customFormat="false" ht="15.75" hidden="false" customHeight="false" outlineLevel="0" collapsed="false">
      <c r="A19" s="113"/>
      <c r="B19" s="113"/>
      <c r="C19" s="113"/>
      <c r="D19" s="113"/>
      <c r="E19" s="118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</row>
    <row r="20" customFormat="false" ht="15.75" hidden="false" customHeight="false" outlineLevel="0" collapsed="false">
      <c r="A20" s="113"/>
      <c r="B20" s="113"/>
      <c r="C20" s="113"/>
      <c r="D20" s="113"/>
      <c r="E20" s="118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</row>
    <row r="21" customFormat="false" ht="15.75" hidden="false" customHeight="false" outlineLevel="0" collapsed="false">
      <c r="A21" s="113" t="str">
        <f aca="false">IF(ISBLANK(B21),"",B21&amp;"|"&amp;C21)</f>
        <v/>
      </c>
      <c r="B21" s="113"/>
      <c r="C21" s="113"/>
      <c r="D21" s="113"/>
      <c r="E21" s="118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</row>
    <row r="22" customFormat="false" ht="15.75" hidden="false" customHeight="false" outlineLevel="0" collapsed="false">
      <c r="A22" s="113" t="str">
        <f aca="false">IF(ISBLANK(B22),"",B22&amp;"|"&amp;C22)</f>
        <v/>
      </c>
      <c r="B22" s="113"/>
      <c r="C22" s="113"/>
      <c r="D22" s="113"/>
      <c r="E22" s="118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</row>
    <row r="23" customFormat="false" ht="15.75" hidden="false" customHeight="false" outlineLevel="0" collapsed="false">
      <c r="A23" s="113" t="str">
        <f aca="false">IF(ISBLANK(B23),"",B23&amp;"|"&amp;C23)</f>
        <v/>
      </c>
      <c r="B23" s="113"/>
      <c r="C23" s="113"/>
      <c r="D23" s="113"/>
      <c r="E23" s="118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</row>
    <row r="24" customFormat="false" ht="15.75" hidden="false" customHeight="false" outlineLevel="0" collapsed="false">
      <c r="A24" s="113" t="str">
        <f aca="false">IF(ISBLANK(B24),"",B24&amp;"|"&amp;C24)</f>
        <v/>
      </c>
      <c r="B24" s="113"/>
      <c r="C24" s="113"/>
      <c r="D24" s="113"/>
      <c r="E24" s="118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</row>
    <row r="25" customFormat="false" ht="15.75" hidden="false" customHeight="false" outlineLevel="0" collapsed="false">
      <c r="A25" s="113" t="str">
        <f aca="false">IF(ISBLANK(B25),"",B25&amp;"|"&amp;C25)</f>
        <v/>
      </c>
      <c r="B25" s="113"/>
      <c r="C25" s="113"/>
      <c r="D25" s="113"/>
      <c r="E25" s="118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</row>
    <row r="26" customFormat="false" ht="15.75" hidden="false" customHeight="false" outlineLevel="0" collapsed="false">
      <c r="A26" s="113" t="str">
        <f aca="false">IF(ISBLANK(B26),"",B26&amp;"|"&amp;C26)</f>
        <v/>
      </c>
      <c r="B26" s="113"/>
      <c r="C26" s="113"/>
      <c r="D26" s="113"/>
      <c r="E26" s="118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</row>
    <row r="27" customFormat="false" ht="15.75" hidden="false" customHeight="false" outlineLevel="0" collapsed="false">
      <c r="A27" s="113" t="str">
        <f aca="false">IF(ISBLANK(B27),"",B27&amp;"|"&amp;C27)</f>
        <v/>
      </c>
      <c r="B27" s="113"/>
      <c r="C27" s="113"/>
      <c r="D27" s="113"/>
      <c r="E27" s="118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</row>
    <row r="28" customFormat="false" ht="15.75" hidden="false" customHeight="false" outlineLevel="0" collapsed="false">
      <c r="A28" s="113" t="str">
        <f aca="false">IF(ISBLANK(B28),"",B28&amp;"|"&amp;C28)</f>
        <v/>
      </c>
      <c r="B28" s="113"/>
      <c r="C28" s="113"/>
      <c r="D28" s="113"/>
      <c r="E28" s="118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</row>
    <row r="29" customFormat="false" ht="15.75" hidden="false" customHeight="false" outlineLevel="0" collapsed="false">
      <c r="A29" s="113" t="str">
        <f aca="false">IF(ISBLANK(B29),"",B29&amp;"|"&amp;C29)</f>
        <v/>
      </c>
      <c r="B29" s="113"/>
      <c r="C29" s="113"/>
      <c r="D29" s="113"/>
      <c r="E29" s="118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</row>
    <row r="30" customFormat="false" ht="15.75" hidden="false" customHeight="false" outlineLevel="0" collapsed="false">
      <c r="A30" s="113" t="str">
        <f aca="false">IF(ISBLANK(B30),"",B30&amp;"|"&amp;C30)</f>
        <v/>
      </c>
      <c r="B30" s="113"/>
      <c r="C30" s="113"/>
      <c r="D30" s="113"/>
      <c r="E30" s="118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</row>
    <row r="31" customFormat="false" ht="15.75" hidden="false" customHeight="false" outlineLevel="0" collapsed="false">
      <c r="A31" s="113" t="str">
        <f aca="false">IF(ISBLANK(B31),"",B31&amp;"|"&amp;C31)</f>
        <v/>
      </c>
      <c r="B31" s="113"/>
      <c r="C31" s="113"/>
      <c r="D31" s="113"/>
      <c r="E31" s="118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</row>
    <row r="32" customFormat="false" ht="15.75" hidden="false" customHeight="false" outlineLevel="0" collapsed="false">
      <c r="A32" s="113" t="str">
        <f aca="false">IF(ISBLANK(B32),"",B32&amp;"|"&amp;C32)</f>
        <v/>
      </c>
      <c r="B32" s="113"/>
      <c r="C32" s="113"/>
      <c r="D32" s="113"/>
      <c r="E32" s="118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</row>
    <row r="33" customFormat="false" ht="15.75" hidden="false" customHeight="false" outlineLevel="0" collapsed="false">
      <c r="A33" s="113" t="str">
        <f aca="false">IF(ISBLANK(B33),"",B33&amp;"|"&amp;C33)</f>
        <v/>
      </c>
      <c r="B33" s="113"/>
      <c r="C33" s="113"/>
      <c r="D33" s="113"/>
      <c r="E33" s="118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</row>
    <row r="34" customFormat="false" ht="15.75" hidden="false" customHeight="false" outlineLevel="0" collapsed="false">
      <c r="A34" s="113" t="str">
        <f aca="false">IF(ISBLANK(B34),"",B34&amp;"|"&amp;C34)</f>
        <v/>
      </c>
      <c r="B34" s="113"/>
      <c r="C34" s="113"/>
      <c r="D34" s="113"/>
      <c r="E34" s="118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</row>
    <row r="35" customFormat="false" ht="15.75" hidden="false" customHeight="false" outlineLevel="0" collapsed="false">
      <c r="A35" s="113" t="str">
        <f aca="false">IF(ISBLANK(B35),"",B35&amp;"|"&amp;C35)</f>
        <v/>
      </c>
      <c r="B35" s="113"/>
      <c r="C35" s="113"/>
      <c r="D35" s="113"/>
      <c r="E35" s="118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</row>
    <row r="36" customFormat="false" ht="15.75" hidden="false" customHeight="false" outlineLevel="0" collapsed="false">
      <c r="A36" s="113" t="str">
        <f aca="false">IF(ISBLANK(B36),"",B36&amp;"|"&amp;C36)</f>
        <v/>
      </c>
      <c r="B36" s="113"/>
      <c r="C36" s="113"/>
      <c r="D36" s="113"/>
      <c r="E36" s="118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</row>
    <row r="37" customFormat="false" ht="15.75" hidden="false" customHeight="false" outlineLevel="0" collapsed="false">
      <c r="A37" s="113" t="str">
        <f aca="false">IF(ISBLANK(B37),"",B37&amp;"|"&amp;C37)</f>
        <v/>
      </c>
      <c r="B37" s="113"/>
      <c r="C37" s="113"/>
      <c r="D37" s="113"/>
      <c r="E37" s="118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</row>
    <row r="38" customFormat="false" ht="15.75" hidden="false" customHeight="false" outlineLevel="0" collapsed="false">
      <c r="A38" s="113" t="str">
        <f aca="false">IF(ISBLANK(B38),"",B38&amp;"|"&amp;C38)</f>
        <v/>
      </c>
      <c r="B38" s="113"/>
      <c r="C38" s="113"/>
      <c r="D38" s="113"/>
      <c r="E38" s="118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</row>
    <row r="39" customFormat="false" ht="15.75" hidden="false" customHeight="false" outlineLevel="0" collapsed="false">
      <c r="A39" s="113" t="str">
        <f aca="false">IF(ISBLANK(B39),"",B39&amp;"|"&amp;C39)</f>
        <v/>
      </c>
      <c r="B39" s="113"/>
      <c r="C39" s="113"/>
      <c r="D39" s="113"/>
      <c r="E39" s="118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</row>
    <row r="40" customFormat="false" ht="15.75" hidden="false" customHeight="false" outlineLevel="0" collapsed="false">
      <c r="A40" s="113" t="str">
        <f aca="false">IF(ISBLANK(B40),"",B40&amp;"|"&amp;C40)</f>
        <v/>
      </c>
      <c r="B40" s="113"/>
      <c r="C40" s="113"/>
      <c r="D40" s="113"/>
      <c r="E40" s="118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</row>
    <row r="41" customFormat="false" ht="15.75" hidden="false" customHeight="false" outlineLevel="0" collapsed="false">
      <c r="A41" s="113" t="str">
        <f aca="false">IF(ISBLANK(B41),"",B41&amp;"|"&amp;C41)</f>
        <v/>
      </c>
      <c r="B41" s="113"/>
      <c r="C41" s="113"/>
      <c r="D41" s="113"/>
      <c r="E41" s="118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</row>
    <row r="42" customFormat="false" ht="15.75" hidden="false" customHeight="false" outlineLevel="0" collapsed="false">
      <c r="A42" s="113" t="str">
        <f aca="false">IF(ISBLANK(B42),"",B42&amp;"|"&amp;C42)</f>
        <v/>
      </c>
      <c r="B42" s="113"/>
      <c r="C42" s="113"/>
      <c r="D42" s="113"/>
      <c r="E42" s="118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</row>
    <row r="43" customFormat="false" ht="15.75" hidden="false" customHeight="false" outlineLevel="0" collapsed="false">
      <c r="A43" s="113" t="str">
        <f aca="false">IF(ISBLANK(B43),"",B43&amp;"|"&amp;C43)</f>
        <v/>
      </c>
      <c r="B43" s="113"/>
      <c r="C43" s="113"/>
      <c r="D43" s="113"/>
      <c r="E43" s="118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</row>
    <row r="44" customFormat="false" ht="15.75" hidden="false" customHeight="false" outlineLevel="0" collapsed="false">
      <c r="A44" s="113" t="str">
        <f aca="false">IF(ISBLANK(B44),"",B44&amp;"|"&amp;C44)</f>
        <v/>
      </c>
      <c r="B44" s="113"/>
      <c r="C44" s="113"/>
      <c r="D44" s="113"/>
      <c r="E44" s="118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</row>
    <row r="45" customFormat="false" ht="15.75" hidden="false" customHeight="false" outlineLevel="0" collapsed="false">
      <c r="A45" s="113" t="str">
        <f aca="false">IF(ISBLANK(B45),"",B45&amp;"|"&amp;C45)</f>
        <v/>
      </c>
      <c r="B45" s="113"/>
      <c r="C45" s="113"/>
      <c r="D45" s="113"/>
      <c r="E45" s="118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</row>
    <row r="46" customFormat="false" ht="15.75" hidden="false" customHeight="false" outlineLevel="0" collapsed="false">
      <c r="A46" s="113" t="str">
        <f aca="false">IF(ISBLANK(B46),"",B46&amp;"|"&amp;C46)</f>
        <v/>
      </c>
      <c r="B46" s="113"/>
      <c r="C46" s="113"/>
      <c r="D46" s="113"/>
      <c r="E46" s="118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</row>
    <row r="47" customFormat="false" ht="15.75" hidden="false" customHeight="false" outlineLevel="0" collapsed="false">
      <c r="A47" s="113" t="str">
        <f aca="false">IF(ISBLANK(B47),"",B47&amp;"|"&amp;C47)</f>
        <v/>
      </c>
      <c r="B47" s="113"/>
      <c r="C47" s="113"/>
      <c r="D47" s="113"/>
      <c r="E47" s="118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</row>
    <row r="48" customFormat="false" ht="15.75" hidden="false" customHeight="false" outlineLevel="0" collapsed="false">
      <c r="A48" s="113" t="str">
        <f aca="false">IF(ISBLANK(B48),"",B48&amp;"|"&amp;C48)</f>
        <v/>
      </c>
      <c r="B48" s="113"/>
      <c r="C48" s="113"/>
      <c r="D48" s="113"/>
      <c r="E48" s="118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</row>
    <row r="49" customFormat="false" ht="15.75" hidden="false" customHeight="false" outlineLevel="0" collapsed="false">
      <c r="A49" s="113" t="str">
        <f aca="false">IF(ISBLANK(B49),"",B49&amp;"|"&amp;C49)</f>
        <v/>
      </c>
      <c r="B49" s="113"/>
      <c r="C49" s="113"/>
      <c r="D49" s="113"/>
      <c r="E49" s="118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</row>
    <row r="50" customFormat="false" ht="15.75" hidden="false" customHeight="false" outlineLevel="0" collapsed="false">
      <c r="A50" s="113" t="str">
        <f aca="false">IF(ISBLANK(B50),"",B50&amp;"|"&amp;C50)</f>
        <v/>
      </c>
      <c r="B50" s="113"/>
      <c r="C50" s="113"/>
      <c r="D50" s="113"/>
      <c r="E50" s="118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</row>
    <row r="51" customFormat="false" ht="15.75" hidden="false" customHeight="false" outlineLevel="0" collapsed="false">
      <c r="A51" s="113" t="str">
        <f aca="false">IF(ISBLANK(B51),"",B51&amp;"|"&amp;C51)</f>
        <v/>
      </c>
      <c r="B51" s="113"/>
      <c r="C51" s="113"/>
      <c r="D51" s="113"/>
      <c r="E51" s="118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</row>
    <row r="52" customFormat="false" ht="15.75" hidden="false" customHeight="false" outlineLevel="0" collapsed="false">
      <c r="A52" s="113" t="str">
        <f aca="false">IF(ISBLANK(B52),"",B52&amp;"|"&amp;C52)</f>
        <v/>
      </c>
      <c r="B52" s="113"/>
      <c r="C52" s="113"/>
      <c r="D52" s="113"/>
      <c r="E52" s="118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</row>
    <row r="53" customFormat="false" ht="15.75" hidden="false" customHeight="false" outlineLevel="0" collapsed="false">
      <c r="A53" s="113" t="str">
        <f aca="false">IF(ISBLANK(B53),"",B53&amp;"|"&amp;C53)</f>
        <v/>
      </c>
      <c r="B53" s="113"/>
      <c r="C53" s="113"/>
      <c r="D53" s="113"/>
      <c r="E53" s="118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</row>
    <row r="54" customFormat="false" ht="15.75" hidden="false" customHeight="false" outlineLevel="0" collapsed="false">
      <c r="A54" s="113" t="str">
        <f aca="false">IF(ISBLANK(B54),"",B54&amp;"|"&amp;C54)</f>
        <v/>
      </c>
      <c r="B54" s="113"/>
      <c r="C54" s="113"/>
      <c r="D54" s="113"/>
      <c r="E54" s="118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</row>
    <row r="55" customFormat="false" ht="15.75" hidden="false" customHeight="false" outlineLevel="0" collapsed="false">
      <c r="A55" s="113" t="str">
        <f aca="false">IF(ISBLANK(B55),"",B55&amp;"|"&amp;C55)</f>
        <v/>
      </c>
      <c r="B55" s="113"/>
      <c r="C55" s="113"/>
      <c r="D55" s="113"/>
      <c r="E55" s="118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</row>
    <row r="56" customFormat="false" ht="15.75" hidden="false" customHeight="false" outlineLevel="0" collapsed="false">
      <c r="A56" s="113" t="str">
        <f aca="false">IF(ISBLANK(B56),"",B56&amp;"|"&amp;C56)</f>
        <v/>
      </c>
      <c r="B56" s="113"/>
      <c r="C56" s="113"/>
      <c r="D56" s="113"/>
      <c r="E56" s="118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</row>
    <row r="57" customFormat="false" ht="15.75" hidden="false" customHeight="false" outlineLevel="0" collapsed="false">
      <c r="A57" s="113" t="str">
        <f aca="false">IF(ISBLANK(B57),"",B57&amp;"|"&amp;C57)</f>
        <v/>
      </c>
      <c r="B57" s="113"/>
      <c r="C57" s="113"/>
      <c r="D57" s="113"/>
      <c r="E57" s="118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</row>
    <row r="58" customFormat="false" ht="15.75" hidden="false" customHeight="false" outlineLevel="0" collapsed="false">
      <c r="A58" s="113" t="str">
        <f aca="false">IF(ISBLANK(B58),"",B58&amp;"|"&amp;C58)</f>
        <v/>
      </c>
      <c r="B58" s="113"/>
      <c r="C58" s="113"/>
      <c r="D58" s="113"/>
      <c r="E58" s="118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</row>
    <row r="59" customFormat="false" ht="15.75" hidden="false" customHeight="false" outlineLevel="0" collapsed="false">
      <c r="A59" s="113" t="str">
        <f aca="false">IF(ISBLANK(B59),"",B59&amp;"|"&amp;C59)</f>
        <v/>
      </c>
      <c r="B59" s="113"/>
      <c r="C59" s="113"/>
      <c r="D59" s="113"/>
      <c r="E59" s="118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</row>
    <row r="60" customFormat="false" ht="15.75" hidden="false" customHeight="false" outlineLevel="0" collapsed="false">
      <c r="A60" s="113" t="str">
        <f aca="false">IF(ISBLANK(B60),"",B60&amp;"|"&amp;C60)</f>
        <v/>
      </c>
      <c r="B60" s="113"/>
      <c r="C60" s="113"/>
      <c r="D60" s="113"/>
      <c r="E60" s="118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</row>
    <row r="61" customFormat="false" ht="15.75" hidden="false" customHeight="false" outlineLevel="0" collapsed="false">
      <c r="A61" s="113" t="str">
        <f aca="false">IF(ISBLANK(B61),"",B61&amp;"|"&amp;C61)</f>
        <v/>
      </c>
      <c r="B61" s="113"/>
      <c r="C61" s="113"/>
      <c r="D61" s="113"/>
      <c r="E61" s="118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</row>
    <row r="62" customFormat="false" ht="15.75" hidden="false" customHeight="false" outlineLevel="0" collapsed="false">
      <c r="A62" s="113" t="str">
        <f aca="false">IF(ISBLANK(B62),"",B62&amp;"|"&amp;C62)</f>
        <v/>
      </c>
      <c r="B62" s="113"/>
      <c r="C62" s="113"/>
      <c r="D62" s="113"/>
      <c r="E62" s="118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</row>
    <row r="63" customFormat="false" ht="15.75" hidden="false" customHeight="false" outlineLevel="0" collapsed="false">
      <c r="A63" s="113" t="str">
        <f aca="false">IF(ISBLANK(B63),"",B63&amp;"|"&amp;C63)</f>
        <v/>
      </c>
      <c r="B63" s="113"/>
      <c r="C63" s="113"/>
      <c r="D63" s="113"/>
      <c r="E63" s="118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</row>
    <row r="64" customFormat="false" ht="15.75" hidden="false" customHeight="false" outlineLevel="0" collapsed="false">
      <c r="A64" s="113" t="str">
        <f aca="false">IF(ISBLANK(B64),"",B64&amp;"|"&amp;C64)</f>
        <v/>
      </c>
      <c r="B64" s="113"/>
      <c r="C64" s="113"/>
      <c r="D64" s="113"/>
      <c r="E64" s="118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</row>
    <row r="65" customFormat="false" ht="15.75" hidden="false" customHeight="false" outlineLevel="0" collapsed="false">
      <c r="A65" s="113" t="str">
        <f aca="false">IF(ISBLANK(B65),"",B65&amp;"|"&amp;C65)</f>
        <v/>
      </c>
      <c r="B65" s="113"/>
      <c r="C65" s="113"/>
      <c r="D65" s="113"/>
      <c r="E65" s="118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</row>
    <row r="66" customFormat="false" ht="15.75" hidden="false" customHeight="false" outlineLevel="0" collapsed="false">
      <c r="A66" s="113" t="str">
        <f aca="false">IF(ISBLANK(B66),"",B66&amp;"|"&amp;C66)</f>
        <v/>
      </c>
      <c r="B66" s="113"/>
      <c r="C66" s="113"/>
      <c r="D66" s="113"/>
      <c r="E66" s="118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</row>
    <row r="67" customFormat="false" ht="15.75" hidden="false" customHeight="false" outlineLevel="0" collapsed="false">
      <c r="A67" s="113" t="str">
        <f aca="false">IF(ISBLANK(B67),"",B67&amp;"|"&amp;C67)</f>
        <v/>
      </c>
      <c r="B67" s="113"/>
      <c r="C67" s="113"/>
      <c r="D67" s="113"/>
      <c r="E67" s="118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customFormat="false" ht="15.75" hidden="false" customHeight="false" outlineLevel="0" collapsed="false">
      <c r="A68" s="113" t="str">
        <f aca="false">IF(ISBLANK(B68),"",B68&amp;"|"&amp;C68)</f>
        <v/>
      </c>
      <c r="B68" s="113"/>
      <c r="C68" s="113"/>
      <c r="D68" s="113"/>
      <c r="E68" s="118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customFormat="false" ht="15.75" hidden="false" customHeight="false" outlineLevel="0" collapsed="false">
      <c r="A69" s="113" t="str">
        <f aca="false">IF(ISBLANK(B69),"",B69&amp;"|"&amp;C69)</f>
        <v/>
      </c>
      <c r="B69" s="113"/>
      <c r="C69" s="113"/>
      <c r="D69" s="113"/>
      <c r="E69" s="118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customFormat="false" ht="15.75" hidden="false" customHeight="false" outlineLevel="0" collapsed="false">
      <c r="A70" s="113" t="str">
        <f aca="false">IF(ISBLANK(B70),"",B70&amp;"|"&amp;C70)</f>
        <v/>
      </c>
      <c r="B70" s="113"/>
      <c r="C70" s="113"/>
      <c r="D70" s="113"/>
      <c r="E70" s="118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customFormat="false" ht="15.75" hidden="false" customHeight="false" outlineLevel="0" collapsed="false">
      <c r="A71" s="113" t="str">
        <f aca="false">IF(ISBLANK(B71),"",B71&amp;"|"&amp;C71)</f>
        <v/>
      </c>
      <c r="B71" s="113"/>
      <c r="C71" s="113"/>
      <c r="D71" s="113"/>
      <c r="E71" s="118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customFormat="false" ht="15.75" hidden="false" customHeight="false" outlineLevel="0" collapsed="false">
      <c r="A72" s="113" t="str">
        <f aca="false">IF(ISBLANK(B72),"",B72&amp;"|"&amp;C72)</f>
        <v/>
      </c>
      <c r="B72" s="113"/>
      <c r="C72" s="113"/>
      <c r="D72" s="113"/>
      <c r="E72" s="118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customFormat="false" ht="15.75" hidden="false" customHeight="false" outlineLevel="0" collapsed="false">
      <c r="A73" s="113" t="str">
        <f aca="false">IF(ISBLANK(B73),"",B73&amp;"|"&amp;C73)</f>
        <v/>
      </c>
      <c r="B73" s="113"/>
      <c r="C73" s="113"/>
      <c r="D73" s="113"/>
      <c r="E73" s="118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customFormat="false" ht="15.75" hidden="false" customHeight="false" outlineLevel="0" collapsed="false">
      <c r="A74" s="113" t="str">
        <f aca="false">IF(ISBLANK(B74),"",B74&amp;"|"&amp;C74)</f>
        <v/>
      </c>
      <c r="B74" s="113"/>
      <c r="C74" s="113"/>
      <c r="D74" s="113"/>
      <c r="E74" s="118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</row>
    <row r="75" customFormat="false" ht="15.75" hidden="false" customHeight="false" outlineLevel="0" collapsed="false">
      <c r="A75" s="113" t="str">
        <f aca="false">IF(ISBLANK(B75),"",B75&amp;"|"&amp;C75)</f>
        <v/>
      </c>
      <c r="B75" s="113"/>
      <c r="C75" s="113"/>
      <c r="D75" s="113"/>
      <c r="E75" s="118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</row>
    <row r="76" customFormat="false" ht="15.75" hidden="false" customHeight="false" outlineLevel="0" collapsed="false">
      <c r="A76" s="113" t="str">
        <f aca="false">IF(ISBLANK(B76),"",B76&amp;"|"&amp;C76)</f>
        <v/>
      </c>
      <c r="B76" s="113"/>
      <c r="C76" s="113"/>
      <c r="D76" s="113"/>
      <c r="E76" s="118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</row>
    <row r="77" customFormat="false" ht="15.75" hidden="false" customHeight="false" outlineLevel="0" collapsed="false">
      <c r="A77" s="113" t="str">
        <f aca="false">IF(ISBLANK(B77),"",B77&amp;"|"&amp;C77)</f>
        <v/>
      </c>
      <c r="B77" s="113"/>
      <c r="C77" s="113"/>
      <c r="D77" s="113"/>
      <c r="E77" s="118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</row>
    <row r="78" customFormat="false" ht="15.75" hidden="false" customHeight="false" outlineLevel="0" collapsed="false">
      <c r="A78" s="113" t="str">
        <f aca="false">IF(ISBLANK(B78),"",B78&amp;"|"&amp;C78)</f>
        <v/>
      </c>
      <c r="B78" s="113"/>
      <c r="C78" s="113"/>
      <c r="D78" s="113"/>
      <c r="E78" s="118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</row>
    <row r="79" customFormat="false" ht="15.75" hidden="false" customHeight="false" outlineLevel="0" collapsed="false">
      <c r="A79" s="113" t="str">
        <f aca="false">IF(ISBLANK(B79),"",B79&amp;"|"&amp;C79)</f>
        <v/>
      </c>
      <c r="B79" s="113"/>
      <c r="C79" s="113"/>
      <c r="D79" s="113"/>
      <c r="E79" s="118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</row>
    <row r="80" customFormat="false" ht="15.75" hidden="false" customHeight="false" outlineLevel="0" collapsed="false">
      <c r="A80" s="113" t="str">
        <f aca="false">IF(ISBLANK(B80),"",B80&amp;"|"&amp;C80)</f>
        <v/>
      </c>
      <c r="B80" s="113"/>
      <c r="C80" s="113"/>
      <c r="D80" s="113"/>
      <c r="E80" s="118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</row>
    <row r="81" customFormat="false" ht="15.75" hidden="false" customHeight="false" outlineLevel="0" collapsed="false">
      <c r="A81" s="113" t="str">
        <f aca="false">IF(ISBLANK(B81),"",B81&amp;"|"&amp;C81)</f>
        <v/>
      </c>
      <c r="B81" s="113"/>
      <c r="C81" s="113"/>
      <c r="D81" s="113"/>
      <c r="E81" s="118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</row>
    <row r="82" customFormat="false" ht="15.75" hidden="false" customHeight="false" outlineLevel="0" collapsed="false">
      <c r="A82" s="113" t="str">
        <f aca="false">IF(ISBLANK(B82),"",B82&amp;"|"&amp;C82)</f>
        <v/>
      </c>
      <c r="B82" s="113"/>
      <c r="C82" s="113"/>
      <c r="D82" s="113"/>
      <c r="E82" s="118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</row>
    <row r="83" customFormat="false" ht="15.75" hidden="false" customHeight="false" outlineLevel="0" collapsed="false">
      <c r="A83" s="113" t="str">
        <f aca="false">IF(ISBLANK(B83),"",B83&amp;"|"&amp;C83)</f>
        <v/>
      </c>
      <c r="B83" s="113"/>
      <c r="C83" s="113"/>
      <c r="D83" s="113"/>
      <c r="E83" s="118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</row>
    <row r="84" customFormat="false" ht="15.75" hidden="false" customHeight="false" outlineLevel="0" collapsed="false">
      <c r="A84" s="113" t="str">
        <f aca="false">IF(ISBLANK(B84),"",B84&amp;"|"&amp;C84)</f>
        <v/>
      </c>
      <c r="B84" s="113"/>
      <c r="C84" s="113"/>
      <c r="D84" s="113"/>
      <c r="E84" s="118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</row>
    <row r="85" customFormat="false" ht="15.75" hidden="false" customHeight="false" outlineLevel="0" collapsed="false">
      <c r="A85" s="113" t="str">
        <f aca="false">IF(ISBLANK(B85),"",B85&amp;"|"&amp;C85)</f>
        <v/>
      </c>
      <c r="B85" s="113"/>
      <c r="C85" s="113"/>
      <c r="D85" s="113"/>
      <c r="E85" s="118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</row>
    <row r="86" customFormat="false" ht="15.75" hidden="false" customHeight="false" outlineLevel="0" collapsed="false">
      <c r="A86" s="113" t="str">
        <f aca="false">IF(ISBLANK(B86),"",B86&amp;"|"&amp;C86)</f>
        <v/>
      </c>
      <c r="B86" s="113"/>
      <c r="C86" s="113"/>
      <c r="D86" s="113"/>
      <c r="E86" s="118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</row>
    <row r="87" customFormat="false" ht="15.75" hidden="false" customHeight="false" outlineLevel="0" collapsed="false">
      <c r="A87" s="113" t="str">
        <f aca="false">IF(ISBLANK(B87),"",B87&amp;"|"&amp;C87)</f>
        <v/>
      </c>
      <c r="B87" s="113"/>
      <c r="C87" s="113"/>
      <c r="D87" s="113"/>
      <c r="E87" s="118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</row>
    <row r="88" customFormat="false" ht="15.75" hidden="false" customHeight="false" outlineLevel="0" collapsed="false">
      <c r="A88" s="113" t="str">
        <f aca="false">IF(ISBLANK(B88),"",B88&amp;"|"&amp;C88)</f>
        <v/>
      </c>
      <c r="B88" s="113"/>
      <c r="C88" s="113"/>
      <c r="D88" s="113"/>
      <c r="E88" s="118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</row>
    <row r="89" customFormat="false" ht="15.75" hidden="false" customHeight="false" outlineLevel="0" collapsed="false">
      <c r="A89" s="113" t="str">
        <f aca="false">IF(ISBLANK(B89),"",B89&amp;"|"&amp;C89)</f>
        <v/>
      </c>
      <c r="B89" s="113"/>
      <c r="C89" s="113"/>
      <c r="D89" s="113"/>
      <c r="E89" s="118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</row>
    <row r="90" customFormat="false" ht="15.75" hidden="false" customHeight="false" outlineLevel="0" collapsed="false">
      <c r="A90" s="113" t="str">
        <f aca="false">IF(ISBLANK(B90),"",B90&amp;"|"&amp;C90)</f>
        <v/>
      </c>
      <c r="B90" s="113"/>
      <c r="C90" s="113"/>
      <c r="D90" s="113"/>
      <c r="E90" s="118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</row>
    <row r="91" customFormat="false" ht="15.75" hidden="false" customHeight="false" outlineLevel="0" collapsed="false">
      <c r="A91" s="113" t="str">
        <f aca="false">IF(ISBLANK(B91),"",B91&amp;"|"&amp;C91)</f>
        <v/>
      </c>
      <c r="B91" s="113"/>
      <c r="C91" s="113"/>
      <c r="D91" s="113"/>
      <c r="E91" s="118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</row>
    <row r="92" customFormat="false" ht="15.75" hidden="false" customHeight="false" outlineLevel="0" collapsed="false">
      <c r="A92" s="113" t="str">
        <f aca="false">IF(ISBLANK(B92),"",B92&amp;"|"&amp;C92)</f>
        <v/>
      </c>
      <c r="B92" s="113"/>
      <c r="C92" s="113"/>
      <c r="D92" s="113"/>
      <c r="E92" s="118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</row>
    <row r="93" customFormat="false" ht="15.75" hidden="false" customHeight="false" outlineLevel="0" collapsed="false">
      <c r="A93" s="113" t="str">
        <f aca="false">IF(ISBLANK(B93),"",B93&amp;"|"&amp;C93)</f>
        <v/>
      </c>
      <c r="B93" s="113"/>
      <c r="C93" s="113"/>
      <c r="D93" s="113"/>
      <c r="E93" s="118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</row>
    <row r="94" customFormat="false" ht="15.75" hidden="false" customHeight="false" outlineLevel="0" collapsed="false">
      <c r="A94" s="113" t="str">
        <f aca="false">IF(ISBLANK(B94),"",B94&amp;"|"&amp;C94)</f>
        <v/>
      </c>
      <c r="B94" s="113"/>
      <c r="C94" s="113"/>
      <c r="D94" s="113"/>
      <c r="E94" s="118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</row>
    <row r="95" customFormat="false" ht="15.75" hidden="false" customHeight="false" outlineLevel="0" collapsed="false">
      <c r="A95" s="113" t="str">
        <f aca="false">IF(ISBLANK(B95),"",B95&amp;"|"&amp;C95)</f>
        <v/>
      </c>
      <c r="B95" s="113"/>
      <c r="C95" s="113"/>
      <c r="D95" s="113"/>
      <c r="E95" s="118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</row>
    <row r="96" customFormat="false" ht="15.75" hidden="false" customHeight="false" outlineLevel="0" collapsed="false">
      <c r="A96" s="113" t="str">
        <f aca="false">IF(ISBLANK(B96),"",B96&amp;"|"&amp;C96)</f>
        <v/>
      </c>
      <c r="B96" s="113"/>
      <c r="C96" s="113"/>
      <c r="D96" s="113"/>
      <c r="E96" s="118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</row>
    <row r="97" customFormat="false" ht="15.75" hidden="false" customHeight="false" outlineLevel="0" collapsed="false">
      <c r="A97" s="113" t="str">
        <f aca="false">IF(ISBLANK(B97),"",B97&amp;"|"&amp;C97)</f>
        <v/>
      </c>
      <c r="B97" s="113"/>
      <c r="C97" s="113"/>
      <c r="D97" s="113"/>
      <c r="E97" s="118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</row>
    <row r="98" customFormat="false" ht="15.75" hidden="false" customHeight="false" outlineLevel="0" collapsed="false">
      <c r="A98" s="113" t="str">
        <f aca="false">IF(ISBLANK(B98),"",B98&amp;"|"&amp;C98)</f>
        <v/>
      </c>
      <c r="B98" s="113"/>
      <c r="C98" s="113"/>
      <c r="D98" s="113"/>
      <c r="E98" s="118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</row>
    <row r="99" customFormat="false" ht="15.75" hidden="false" customHeight="false" outlineLevel="0" collapsed="false">
      <c r="A99" s="113" t="str">
        <f aca="false">IF(ISBLANK(B99),"",B99&amp;"|"&amp;C99)</f>
        <v/>
      </c>
      <c r="B99" s="113"/>
      <c r="C99" s="113"/>
      <c r="D99" s="113"/>
      <c r="E99" s="118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</row>
    <row r="100" customFormat="false" ht="15.75" hidden="false" customHeight="false" outlineLevel="0" collapsed="false">
      <c r="A100" s="113" t="str">
        <f aca="false">IF(ISBLANK(B100),"",B100&amp;"|"&amp;C100)</f>
        <v/>
      </c>
      <c r="B100" s="113"/>
      <c r="C100" s="113"/>
      <c r="D100" s="113"/>
      <c r="E100" s="118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</row>
    <row r="101" customFormat="false" ht="15.75" hidden="false" customHeight="false" outlineLevel="0" collapsed="false">
      <c r="A101" s="113" t="str">
        <f aca="false">IF(ISBLANK(B101),"",B101&amp;"|"&amp;C101)</f>
        <v/>
      </c>
      <c r="B101" s="113"/>
      <c r="C101" s="113"/>
      <c r="D101" s="113"/>
      <c r="E101" s="118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</row>
    <row r="102" customFormat="false" ht="15.75" hidden="false" customHeight="false" outlineLevel="0" collapsed="false">
      <c r="A102" s="113" t="str">
        <f aca="false">IF(ISBLANK(B102),"",B102&amp;"|"&amp;C102)</f>
        <v/>
      </c>
      <c r="B102" s="113"/>
      <c r="C102" s="113"/>
      <c r="D102" s="113"/>
      <c r="E102" s="118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</row>
    <row r="103" customFormat="false" ht="15.75" hidden="false" customHeight="false" outlineLevel="0" collapsed="false">
      <c r="A103" s="113" t="str">
        <f aca="false">IF(ISBLANK(B103),"",B103&amp;"|"&amp;C103)</f>
        <v/>
      </c>
      <c r="B103" s="113"/>
      <c r="C103" s="113"/>
      <c r="D103" s="113"/>
      <c r="E103" s="118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</row>
    <row r="104" customFormat="false" ht="15.75" hidden="false" customHeight="false" outlineLevel="0" collapsed="false">
      <c r="A104" s="113" t="str">
        <f aca="false">IF(ISBLANK(B104),"",B104&amp;"|"&amp;C104)</f>
        <v/>
      </c>
      <c r="B104" s="113"/>
      <c r="C104" s="113"/>
      <c r="D104" s="113"/>
      <c r="E104" s="118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</row>
    <row r="105" customFormat="false" ht="15.75" hidden="false" customHeight="false" outlineLevel="0" collapsed="false">
      <c r="A105" s="113" t="str">
        <f aca="false">IF(ISBLANK(B105),"",B105&amp;"|"&amp;C105)</f>
        <v/>
      </c>
      <c r="B105" s="113"/>
      <c r="C105" s="113"/>
      <c r="D105" s="113"/>
      <c r="E105" s="118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</row>
    <row r="106" customFormat="false" ht="15.75" hidden="false" customHeight="false" outlineLevel="0" collapsed="false">
      <c r="A106" s="113" t="str">
        <f aca="false">IF(ISBLANK(B106),"",B106&amp;"|"&amp;C106)</f>
        <v/>
      </c>
      <c r="B106" s="113"/>
      <c r="C106" s="113"/>
      <c r="D106" s="113"/>
      <c r="E106" s="118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</row>
    <row r="107" customFormat="false" ht="15.75" hidden="false" customHeight="false" outlineLevel="0" collapsed="false">
      <c r="A107" s="113" t="str">
        <f aca="false">IF(ISBLANK(B107),"",B107&amp;"|"&amp;C107)</f>
        <v/>
      </c>
      <c r="B107" s="113"/>
      <c r="C107" s="113"/>
      <c r="D107" s="113"/>
      <c r="E107" s="118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</row>
    <row r="108" customFormat="false" ht="15.75" hidden="false" customHeight="false" outlineLevel="0" collapsed="false">
      <c r="A108" s="113" t="str">
        <f aca="false">IF(ISBLANK(B108),"",B108&amp;"|"&amp;C108)</f>
        <v/>
      </c>
      <c r="B108" s="113"/>
      <c r="C108" s="113"/>
      <c r="D108" s="113"/>
      <c r="E108" s="118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</row>
    <row r="109" customFormat="false" ht="15.75" hidden="false" customHeight="false" outlineLevel="0" collapsed="false">
      <c r="A109" s="113" t="str">
        <f aca="false">IF(ISBLANK(B109),"",B109&amp;"|"&amp;C109)</f>
        <v/>
      </c>
      <c r="B109" s="113"/>
      <c r="C109" s="113"/>
      <c r="D109" s="113"/>
      <c r="E109" s="118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</row>
    <row r="110" customFormat="false" ht="15.75" hidden="false" customHeight="false" outlineLevel="0" collapsed="false">
      <c r="A110" s="113" t="str">
        <f aca="false">IF(ISBLANK(B110),"",B110&amp;"|"&amp;C110)</f>
        <v/>
      </c>
      <c r="B110" s="113"/>
      <c r="C110" s="113"/>
      <c r="D110" s="113"/>
      <c r="E110" s="118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</row>
    <row r="111" customFormat="false" ht="15.75" hidden="false" customHeight="false" outlineLevel="0" collapsed="false">
      <c r="A111" s="113" t="str">
        <f aca="false">IF(ISBLANK(B111),"",B111&amp;"|"&amp;C111)</f>
        <v/>
      </c>
      <c r="B111" s="113"/>
      <c r="C111" s="113"/>
      <c r="D111" s="113"/>
      <c r="E111" s="118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</row>
    <row r="112" customFormat="false" ht="15.75" hidden="false" customHeight="false" outlineLevel="0" collapsed="false">
      <c r="A112" s="113" t="str">
        <f aca="false">IF(ISBLANK(B112),"",B112&amp;"|"&amp;C112)</f>
        <v/>
      </c>
      <c r="B112" s="113"/>
      <c r="C112" s="113"/>
      <c r="D112" s="113"/>
      <c r="E112" s="118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</row>
    <row r="113" customFormat="false" ht="15.75" hidden="false" customHeight="false" outlineLevel="0" collapsed="false">
      <c r="A113" s="113" t="str">
        <f aca="false">IF(ISBLANK(B113),"",B113&amp;"|"&amp;C113)</f>
        <v/>
      </c>
      <c r="B113" s="113"/>
      <c r="C113" s="113"/>
      <c r="D113" s="113"/>
      <c r="E113" s="118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</row>
    <row r="114" customFormat="false" ht="15.75" hidden="false" customHeight="false" outlineLevel="0" collapsed="false">
      <c r="A114" s="113" t="str">
        <f aca="false">IF(ISBLANK(B114),"",B114&amp;"|"&amp;C114)</f>
        <v/>
      </c>
      <c r="B114" s="113"/>
      <c r="C114" s="113"/>
      <c r="D114" s="113"/>
      <c r="E114" s="118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</row>
    <row r="115" customFormat="false" ht="15.75" hidden="false" customHeight="false" outlineLevel="0" collapsed="false">
      <c r="A115" s="113" t="str">
        <f aca="false">IF(ISBLANK(B115),"",B115&amp;"|"&amp;C115)</f>
        <v/>
      </c>
      <c r="B115" s="113"/>
      <c r="C115" s="113"/>
      <c r="D115" s="113"/>
      <c r="E115" s="118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</row>
    <row r="116" customFormat="false" ht="15.75" hidden="false" customHeight="false" outlineLevel="0" collapsed="false">
      <c r="A116" s="113" t="str">
        <f aca="false">IF(ISBLANK(B116),"",B116&amp;"|"&amp;C116)</f>
        <v/>
      </c>
      <c r="B116" s="113"/>
      <c r="C116" s="113"/>
      <c r="D116" s="113"/>
      <c r="E116" s="118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</row>
    <row r="117" customFormat="false" ht="15.75" hidden="false" customHeight="false" outlineLevel="0" collapsed="false">
      <c r="A117" s="113" t="str">
        <f aca="false">IF(ISBLANK(B117),"",B117&amp;"|"&amp;C117)</f>
        <v/>
      </c>
      <c r="B117" s="113"/>
      <c r="C117" s="113"/>
      <c r="D117" s="113"/>
      <c r="E117" s="118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</row>
    <row r="118" customFormat="false" ht="15.75" hidden="false" customHeight="false" outlineLevel="0" collapsed="false">
      <c r="A118" s="113" t="str">
        <f aca="false">IF(ISBLANK(B118),"",B118&amp;"|"&amp;C118)</f>
        <v/>
      </c>
      <c r="B118" s="113"/>
      <c r="C118" s="113"/>
      <c r="D118" s="113"/>
      <c r="E118" s="118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</row>
    <row r="119" customFormat="false" ht="15.75" hidden="false" customHeight="false" outlineLevel="0" collapsed="false">
      <c r="A119" s="113" t="str">
        <f aca="false">IF(ISBLANK(B119),"",B119&amp;"|"&amp;C119)</f>
        <v/>
      </c>
      <c r="B119" s="113"/>
      <c r="C119" s="113"/>
      <c r="D119" s="113"/>
      <c r="E119" s="118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</row>
    <row r="120" customFormat="false" ht="15.75" hidden="false" customHeight="false" outlineLevel="0" collapsed="false">
      <c r="A120" s="113" t="str">
        <f aca="false">IF(ISBLANK(B120),"",B120&amp;"|"&amp;C120)</f>
        <v/>
      </c>
      <c r="B120" s="113"/>
      <c r="C120" s="113"/>
      <c r="D120" s="113"/>
      <c r="E120" s="118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</row>
    <row r="121" customFormat="false" ht="15.75" hidden="false" customHeight="false" outlineLevel="0" collapsed="false">
      <c r="A121" s="113" t="str">
        <f aca="false">IF(ISBLANK(B121),"",B121&amp;"|"&amp;C121)</f>
        <v/>
      </c>
      <c r="B121" s="113"/>
      <c r="C121" s="113"/>
      <c r="D121" s="113"/>
      <c r="E121" s="118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</row>
    <row r="122" customFormat="false" ht="15.75" hidden="false" customHeight="false" outlineLevel="0" collapsed="false">
      <c r="A122" s="113" t="str">
        <f aca="false">IF(ISBLANK(B122),"",B122&amp;"|"&amp;C122)</f>
        <v/>
      </c>
      <c r="B122" s="113"/>
      <c r="C122" s="113"/>
      <c r="D122" s="113"/>
      <c r="E122" s="118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</row>
    <row r="123" customFormat="false" ht="15.75" hidden="false" customHeight="false" outlineLevel="0" collapsed="false">
      <c r="A123" s="113" t="str">
        <f aca="false">IF(ISBLANK(B123),"",B123&amp;"|"&amp;C123)</f>
        <v/>
      </c>
      <c r="B123" s="113"/>
      <c r="C123" s="113"/>
      <c r="D123" s="113"/>
      <c r="E123" s="118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</row>
    <row r="124" customFormat="false" ht="15.75" hidden="false" customHeight="false" outlineLevel="0" collapsed="false">
      <c r="A124" s="113" t="str">
        <f aca="false">IF(ISBLANK(B124),"",B124&amp;"|"&amp;C124)</f>
        <v/>
      </c>
      <c r="B124" s="113"/>
      <c r="C124" s="113"/>
      <c r="D124" s="113"/>
      <c r="E124" s="118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</row>
    <row r="125" customFormat="false" ht="15.75" hidden="false" customHeight="false" outlineLevel="0" collapsed="false">
      <c r="A125" s="113" t="str">
        <f aca="false">IF(ISBLANK(B125),"",B125&amp;"|"&amp;C125)</f>
        <v/>
      </c>
      <c r="B125" s="113"/>
      <c r="C125" s="113"/>
      <c r="D125" s="113"/>
      <c r="E125" s="118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</row>
    <row r="126" customFormat="false" ht="15.75" hidden="false" customHeight="false" outlineLevel="0" collapsed="false">
      <c r="A126" s="113" t="str">
        <f aca="false">IF(ISBLANK(B126),"",B126&amp;"|"&amp;C126)</f>
        <v/>
      </c>
      <c r="B126" s="113"/>
      <c r="C126" s="113"/>
      <c r="D126" s="113"/>
      <c r="E126" s="118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</row>
    <row r="127" customFormat="false" ht="15.75" hidden="false" customHeight="false" outlineLevel="0" collapsed="false">
      <c r="A127" s="113" t="str">
        <f aca="false">IF(ISBLANK(B127),"",B127&amp;"|"&amp;C127)</f>
        <v/>
      </c>
      <c r="B127" s="113"/>
      <c r="C127" s="113"/>
      <c r="D127" s="113"/>
      <c r="E127" s="118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</row>
    <row r="128" customFormat="false" ht="15.75" hidden="false" customHeight="false" outlineLevel="0" collapsed="false">
      <c r="A128" s="113" t="str">
        <f aca="false">IF(ISBLANK(B128),"",B128&amp;"|"&amp;C128)</f>
        <v/>
      </c>
      <c r="B128" s="113"/>
      <c r="C128" s="113"/>
      <c r="D128" s="113"/>
      <c r="E128" s="118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</row>
    <row r="129" customFormat="false" ht="15.75" hidden="false" customHeight="false" outlineLevel="0" collapsed="false">
      <c r="A129" s="113" t="str">
        <f aca="false">IF(ISBLANK(B129),"",B129&amp;"|"&amp;C129)</f>
        <v/>
      </c>
      <c r="B129" s="113"/>
      <c r="C129" s="113"/>
      <c r="D129" s="113"/>
      <c r="E129" s="118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</row>
    <row r="130" customFormat="false" ht="15.75" hidden="false" customHeight="false" outlineLevel="0" collapsed="false">
      <c r="A130" s="113" t="str">
        <f aca="false">IF(ISBLANK(B130),"",B130&amp;"|"&amp;C130)</f>
        <v/>
      </c>
      <c r="B130" s="113"/>
      <c r="C130" s="113"/>
      <c r="D130" s="113"/>
      <c r="E130" s="118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</row>
    <row r="131" customFormat="false" ht="15.75" hidden="false" customHeight="false" outlineLevel="0" collapsed="false">
      <c r="A131" s="113" t="str">
        <f aca="false">IF(ISBLANK(B131),"",B131&amp;"|"&amp;C131)</f>
        <v/>
      </c>
      <c r="B131" s="113"/>
      <c r="C131" s="113"/>
      <c r="D131" s="113"/>
      <c r="E131" s="118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</row>
    <row r="132" customFormat="false" ht="15.75" hidden="false" customHeight="false" outlineLevel="0" collapsed="false">
      <c r="A132" s="113" t="str">
        <f aca="false">IF(ISBLANK(B132),"",B132&amp;"|"&amp;C132)</f>
        <v/>
      </c>
      <c r="B132" s="113"/>
      <c r="C132" s="113"/>
      <c r="D132" s="113"/>
      <c r="E132" s="118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</row>
    <row r="133" customFormat="false" ht="15.75" hidden="false" customHeight="false" outlineLevel="0" collapsed="false">
      <c r="A133" s="113" t="str">
        <f aca="false">IF(ISBLANK(B133),"",B133&amp;"|"&amp;C133)</f>
        <v/>
      </c>
      <c r="B133" s="113"/>
      <c r="C133" s="113"/>
      <c r="D133" s="113"/>
      <c r="E133" s="118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</row>
    <row r="134" customFormat="false" ht="15.75" hidden="false" customHeight="false" outlineLevel="0" collapsed="false">
      <c r="A134" s="113" t="str">
        <f aca="false">IF(ISBLANK(B134),"",B134&amp;"|"&amp;C134)</f>
        <v/>
      </c>
      <c r="B134" s="113"/>
      <c r="C134" s="113"/>
      <c r="D134" s="113"/>
      <c r="E134" s="118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</row>
    <row r="135" customFormat="false" ht="15.75" hidden="false" customHeight="false" outlineLevel="0" collapsed="false">
      <c r="A135" s="113" t="str">
        <f aca="false">IF(ISBLANK(B135),"",B135&amp;"|"&amp;C135)</f>
        <v/>
      </c>
      <c r="B135" s="113"/>
      <c r="C135" s="113"/>
      <c r="D135" s="113"/>
      <c r="E135" s="118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</row>
    <row r="136" customFormat="false" ht="15.75" hidden="false" customHeight="false" outlineLevel="0" collapsed="false">
      <c r="A136" s="113" t="str">
        <f aca="false">IF(ISBLANK(B136),"",B136&amp;"|"&amp;C136)</f>
        <v/>
      </c>
      <c r="B136" s="113"/>
      <c r="C136" s="113"/>
      <c r="D136" s="113"/>
      <c r="E136" s="118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</row>
    <row r="137" customFormat="false" ht="15.75" hidden="false" customHeight="false" outlineLevel="0" collapsed="false">
      <c r="A137" s="113" t="str">
        <f aca="false">IF(ISBLANK(B137),"",B137&amp;"|"&amp;C137)</f>
        <v/>
      </c>
      <c r="B137" s="113"/>
      <c r="C137" s="113"/>
      <c r="D137" s="113"/>
      <c r="E137" s="118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</row>
    <row r="138" customFormat="false" ht="15.75" hidden="false" customHeight="false" outlineLevel="0" collapsed="false">
      <c r="A138" s="113" t="str">
        <f aca="false">IF(ISBLANK(B138),"",B138&amp;"|"&amp;C138)</f>
        <v/>
      </c>
      <c r="B138" s="113"/>
      <c r="C138" s="113"/>
      <c r="D138" s="113"/>
      <c r="E138" s="118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</row>
    <row r="139" customFormat="false" ht="15.75" hidden="false" customHeight="false" outlineLevel="0" collapsed="false">
      <c r="A139" s="113" t="str">
        <f aca="false">IF(ISBLANK(B139),"",B139&amp;"|"&amp;C139)</f>
        <v/>
      </c>
      <c r="B139" s="113"/>
      <c r="C139" s="113"/>
      <c r="D139" s="113"/>
      <c r="E139" s="118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</row>
    <row r="140" customFormat="false" ht="15.75" hidden="false" customHeight="false" outlineLevel="0" collapsed="false">
      <c r="A140" s="113" t="str">
        <f aca="false">IF(ISBLANK(B140),"",B140&amp;"|"&amp;C140)</f>
        <v/>
      </c>
      <c r="B140" s="113"/>
      <c r="C140" s="113"/>
      <c r="D140" s="113"/>
      <c r="E140" s="118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</row>
    <row r="141" customFormat="false" ht="15.75" hidden="false" customHeight="false" outlineLevel="0" collapsed="false">
      <c r="A141" s="113" t="str">
        <f aca="false">IF(ISBLANK(B141),"",B141&amp;"|"&amp;C141)</f>
        <v/>
      </c>
      <c r="B141" s="113"/>
      <c r="C141" s="113"/>
      <c r="D141" s="113"/>
      <c r="E141" s="118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</row>
    <row r="142" customFormat="false" ht="15.75" hidden="false" customHeight="false" outlineLevel="0" collapsed="false">
      <c r="A142" s="113" t="str">
        <f aca="false">IF(ISBLANK(B142),"",B142&amp;"|"&amp;C142)</f>
        <v/>
      </c>
      <c r="B142" s="113"/>
      <c r="C142" s="113"/>
      <c r="D142" s="113"/>
      <c r="E142" s="118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</row>
    <row r="143" customFormat="false" ht="15.75" hidden="false" customHeight="false" outlineLevel="0" collapsed="false">
      <c r="A143" s="113" t="str">
        <f aca="false">IF(ISBLANK(B143),"",B143&amp;"|"&amp;C143)</f>
        <v/>
      </c>
      <c r="B143" s="113"/>
      <c r="C143" s="113"/>
      <c r="D143" s="113"/>
      <c r="E143" s="118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</row>
    <row r="144" customFormat="false" ht="15.75" hidden="false" customHeight="false" outlineLevel="0" collapsed="false">
      <c r="A144" s="113" t="str">
        <f aca="false">IF(ISBLANK(B144),"",B144&amp;"|"&amp;C144)</f>
        <v/>
      </c>
      <c r="B144" s="113"/>
      <c r="C144" s="113"/>
      <c r="D144" s="113"/>
      <c r="E144" s="118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</row>
    <row r="145" customFormat="false" ht="15.75" hidden="false" customHeight="false" outlineLevel="0" collapsed="false">
      <c r="A145" s="113" t="str">
        <f aca="false">IF(ISBLANK(B145),"",B145&amp;"|"&amp;C145)</f>
        <v/>
      </c>
      <c r="B145" s="113"/>
      <c r="C145" s="113"/>
      <c r="D145" s="113"/>
      <c r="E145" s="118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</row>
    <row r="146" customFormat="false" ht="15.75" hidden="false" customHeight="false" outlineLevel="0" collapsed="false">
      <c r="A146" s="113" t="str">
        <f aca="false">IF(ISBLANK(B146),"",B146&amp;"|"&amp;C146)</f>
        <v/>
      </c>
      <c r="B146" s="113"/>
      <c r="C146" s="113"/>
      <c r="D146" s="113"/>
      <c r="E146" s="118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</row>
    <row r="147" customFormat="false" ht="15.75" hidden="false" customHeight="false" outlineLevel="0" collapsed="false">
      <c r="A147" s="113" t="str">
        <f aca="false">IF(ISBLANK(B147),"",B147&amp;"|"&amp;C147)</f>
        <v/>
      </c>
      <c r="B147" s="113"/>
      <c r="C147" s="113"/>
      <c r="D147" s="113"/>
      <c r="E147" s="118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</row>
    <row r="148" customFormat="false" ht="15.75" hidden="false" customHeight="false" outlineLevel="0" collapsed="false">
      <c r="A148" s="113" t="str">
        <f aca="false">IF(ISBLANK(B148),"",B148&amp;"|"&amp;C148)</f>
        <v/>
      </c>
      <c r="B148" s="113"/>
      <c r="C148" s="113"/>
      <c r="D148" s="113"/>
      <c r="E148" s="118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</row>
    <row r="149" customFormat="false" ht="15.75" hidden="false" customHeight="false" outlineLevel="0" collapsed="false">
      <c r="A149" s="113" t="str">
        <f aca="false">IF(ISBLANK(B149),"",B149&amp;"|"&amp;C149)</f>
        <v/>
      </c>
      <c r="B149" s="113"/>
      <c r="C149" s="113"/>
      <c r="D149" s="113"/>
      <c r="E149" s="118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</row>
    <row r="150" customFormat="false" ht="15.75" hidden="false" customHeight="false" outlineLevel="0" collapsed="false">
      <c r="A150" s="113" t="str">
        <f aca="false">IF(ISBLANK(B150),"",B150&amp;"|"&amp;C150)</f>
        <v/>
      </c>
      <c r="B150" s="113"/>
      <c r="C150" s="113"/>
      <c r="D150" s="113"/>
      <c r="E150" s="118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</row>
    <row r="151" customFormat="false" ht="15.75" hidden="false" customHeight="false" outlineLevel="0" collapsed="false">
      <c r="A151" s="113" t="str">
        <f aca="false">IF(ISBLANK(B151),"",B151&amp;"|"&amp;C151)</f>
        <v/>
      </c>
      <c r="B151" s="113"/>
      <c r="C151" s="113"/>
      <c r="D151" s="113"/>
      <c r="E151" s="118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</row>
    <row r="152" customFormat="false" ht="15.75" hidden="false" customHeight="false" outlineLevel="0" collapsed="false">
      <c r="A152" s="113" t="str">
        <f aca="false">IF(ISBLANK(B152),"",B152&amp;"|"&amp;C152)</f>
        <v/>
      </c>
      <c r="B152" s="113"/>
      <c r="C152" s="113"/>
      <c r="D152" s="113"/>
      <c r="E152" s="118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</row>
    <row r="153" customFormat="false" ht="15.75" hidden="false" customHeight="false" outlineLevel="0" collapsed="false">
      <c r="A153" s="113" t="str">
        <f aca="false">IF(ISBLANK(B153),"",B153&amp;"|"&amp;C153)</f>
        <v/>
      </c>
      <c r="B153" s="113"/>
      <c r="C153" s="113"/>
      <c r="D153" s="113"/>
      <c r="E153" s="118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</row>
    <row r="154" customFormat="false" ht="15.75" hidden="false" customHeight="false" outlineLevel="0" collapsed="false">
      <c r="A154" s="113" t="str">
        <f aca="false">IF(ISBLANK(B154),"",B154&amp;"|"&amp;C154)</f>
        <v/>
      </c>
      <c r="B154" s="113"/>
      <c r="C154" s="113"/>
      <c r="D154" s="113"/>
      <c r="E154" s="118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</row>
    <row r="155" customFormat="false" ht="15.75" hidden="false" customHeight="false" outlineLevel="0" collapsed="false">
      <c r="A155" s="113" t="str">
        <f aca="false">IF(ISBLANK(B155),"",B155&amp;"|"&amp;C155)</f>
        <v/>
      </c>
      <c r="B155" s="113"/>
      <c r="C155" s="113"/>
      <c r="D155" s="113"/>
      <c r="E155" s="118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</row>
    <row r="156" customFormat="false" ht="15.75" hidden="false" customHeight="false" outlineLevel="0" collapsed="false">
      <c r="A156" s="113" t="str">
        <f aca="false">IF(ISBLANK(B156),"",B156&amp;"|"&amp;C156)</f>
        <v/>
      </c>
      <c r="B156" s="113"/>
      <c r="C156" s="113"/>
      <c r="D156" s="113"/>
      <c r="E156" s="118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</row>
    <row r="157" customFormat="false" ht="15.75" hidden="false" customHeight="false" outlineLevel="0" collapsed="false">
      <c r="A157" s="113" t="str">
        <f aca="false">IF(ISBLANK(B157),"",B157&amp;"|"&amp;C157)</f>
        <v/>
      </c>
      <c r="B157" s="113"/>
      <c r="C157" s="113"/>
      <c r="D157" s="113"/>
      <c r="E157" s="118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</row>
    <row r="158" customFormat="false" ht="15.75" hidden="false" customHeight="false" outlineLevel="0" collapsed="false">
      <c r="A158" s="113" t="str">
        <f aca="false">IF(ISBLANK(B158),"",B158&amp;"|"&amp;C158)</f>
        <v/>
      </c>
      <c r="B158" s="113"/>
      <c r="C158" s="113"/>
      <c r="D158" s="113"/>
      <c r="E158" s="118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</row>
    <row r="159" customFormat="false" ht="15.75" hidden="false" customHeight="false" outlineLevel="0" collapsed="false">
      <c r="A159" s="113" t="str">
        <f aca="false">IF(ISBLANK(B159),"",B159&amp;"|"&amp;C159)</f>
        <v/>
      </c>
      <c r="B159" s="113"/>
      <c r="C159" s="113"/>
      <c r="D159" s="113"/>
      <c r="E159" s="118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</row>
    <row r="160" customFormat="false" ht="15.75" hidden="false" customHeight="false" outlineLevel="0" collapsed="false">
      <c r="A160" s="113" t="str">
        <f aca="false">IF(ISBLANK(B160),"",B160&amp;"|"&amp;C160)</f>
        <v/>
      </c>
      <c r="B160" s="113"/>
      <c r="C160" s="113"/>
      <c r="D160" s="113"/>
      <c r="E160" s="118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</row>
    <row r="161" customFormat="false" ht="15.75" hidden="false" customHeight="false" outlineLevel="0" collapsed="false">
      <c r="A161" s="113" t="str">
        <f aca="false">IF(ISBLANK(B161),"",B161&amp;"|"&amp;C161)</f>
        <v/>
      </c>
      <c r="B161" s="113"/>
      <c r="C161" s="113"/>
      <c r="D161" s="113"/>
      <c r="E161" s="118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</row>
    <row r="162" customFormat="false" ht="15.75" hidden="false" customHeight="false" outlineLevel="0" collapsed="false">
      <c r="A162" s="113" t="str">
        <f aca="false">IF(ISBLANK(B162),"",B162&amp;"|"&amp;C162)</f>
        <v/>
      </c>
      <c r="B162" s="113"/>
      <c r="C162" s="113"/>
      <c r="D162" s="113"/>
      <c r="E162" s="118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</row>
    <row r="163" customFormat="false" ht="15.75" hidden="false" customHeight="false" outlineLevel="0" collapsed="false">
      <c r="A163" s="113" t="str">
        <f aca="false">IF(ISBLANK(B163),"",B163&amp;"|"&amp;C163)</f>
        <v/>
      </c>
      <c r="B163" s="113"/>
      <c r="C163" s="113"/>
      <c r="D163" s="113"/>
      <c r="E163" s="118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</row>
    <row r="164" customFormat="false" ht="15.75" hidden="false" customHeight="false" outlineLevel="0" collapsed="false">
      <c r="A164" s="113" t="str">
        <f aca="false">IF(ISBLANK(B164),"",B164&amp;"|"&amp;C164)</f>
        <v/>
      </c>
      <c r="B164" s="113"/>
      <c r="C164" s="113"/>
      <c r="D164" s="113"/>
      <c r="E164" s="118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</row>
    <row r="165" customFormat="false" ht="15.75" hidden="false" customHeight="false" outlineLevel="0" collapsed="false">
      <c r="A165" s="113" t="str">
        <f aca="false">IF(ISBLANK(B165),"",B165&amp;"|"&amp;C165)</f>
        <v/>
      </c>
      <c r="B165" s="113"/>
      <c r="C165" s="113"/>
      <c r="D165" s="113"/>
      <c r="E165" s="118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</row>
    <row r="166" customFormat="false" ht="15.75" hidden="false" customHeight="false" outlineLevel="0" collapsed="false">
      <c r="A166" s="113" t="str">
        <f aca="false">IF(ISBLANK(B166),"",B166&amp;"|"&amp;C166)</f>
        <v/>
      </c>
      <c r="B166" s="113"/>
      <c r="C166" s="113"/>
      <c r="D166" s="113"/>
      <c r="E166" s="118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</row>
    <row r="167" customFormat="false" ht="15.75" hidden="false" customHeight="false" outlineLevel="0" collapsed="false">
      <c r="A167" s="113" t="str">
        <f aca="false">IF(ISBLANK(B167),"",B167&amp;"|"&amp;C167)</f>
        <v/>
      </c>
      <c r="B167" s="113"/>
      <c r="C167" s="113"/>
      <c r="D167" s="113"/>
      <c r="E167" s="118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</row>
    <row r="168" customFormat="false" ht="15.75" hidden="false" customHeight="false" outlineLevel="0" collapsed="false">
      <c r="A168" s="113" t="str">
        <f aca="false">IF(ISBLANK(B168),"",B168&amp;"|"&amp;C168)</f>
        <v/>
      </c>
      <c r="B168" s="113"/>
      <c r="C168" s="113"/>
      <c r="D168" s="113"/>
      <c r="E168" s="118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</row>
    <row r="169" customFormat="false" ht="15.75" hidden="false" customHeight="false" outlineLevel="0" collapsed="false">
      <c r="A169" s="113" t="str">
        <f aca="false">IF(ISBLANK(B169),"",B169&amp;"|"&amp;C169)</f>
        <v/>
      </c>
      <c r="B169" s="113"/>
      <c r="C169" s="113"/>
      <c r="D169" s="113"/>
      <c r="E169" s="118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</row>
    <row r="170" customFormat="false" ht="15.75" hidden="false" customHeight="false" outlineLevel="0" collapsed="false">
      <c r="A170" s="113" t="str">
        <f aca="false">IF(ISBLANK(B170),"",B170&amp;"|"&amp;C170)</f>
        <v/>
      </c>
      <c r="B170" s="113"/>
      <c r="C170" s="113"/>
      <c r="D170" s="113"/>
      <c r="E170" s="118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</row>
    <row r="171" customFormat="false" ht="15.75" hidden="false" customHeight="false" outlineLevel="0" collapsed="false">
      <c r="A171" s="113" t="str">
        <f aca="false">IF(ISBLANK(B171),"",B171&amp;"|"&amp;C171)</f>
        <v/>
      </c>
      <c r="B171" s="113"/>
      <c r="C171" s="113"/>
      <c r="D171" s="113"/>
      <c r="E171" s="118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</row>
    <row r="172" customFormat="false" ht="15.75" hidden="false" customHeight="false" outlineLevel="0" collapsed="false">
      <c r="A172" s="113" t="str">
        <f aca="false">IF(ISBLANK(B172),"",B172&amp;"|"&amp;C172)</f>
        <v/>
      </c>
      <c r="B172" s="113"/>
      <c r="C172" s="113"/>
      <c r="D172" s="113"/>
      <c r="E172" s="118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</row>
    <row r="173" customFormat="false" ht="15.75" hidden="false" customHeight="false" outlineLevel="0" collapsed="false">
      <c r="A173" s="113" t="str">
        <f aca="false">IF(ISBLANK(B173),"",B173&amp;"|"&amp;C173)</f>
        <v/>
      </c>
      <c r="B173" s="113"/>
      <c r="C173" s="113"/>
      <c r="D173" s="113"/>
      <c r="E173" s="118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</row>
    <row r="174" customFormat="false" ht="15.75" hidden="false" customHeight="false" outlineLevel="0" collapsed="false">
      <c r="A174" s="113" t="str">
        <f aca="false">IF(ISBLANK(B174),"",B174&amp;"|"&amp;C174)</f>
        <v/>
      </c>
      <c r="B174" s="113"/>
      <c r="C174" s="113"/>
      <c r="D174" s="113"/>
      <c r="E174" s="118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</row>
    <row r="175" customFormat="false" ht="15.75" hidden="false" customHeight="false" outlineLevel="0" collapsed="false">
      <c r="A175" s="113" t="str">
        <f aca="false">IF(ISBLANK(B175),"",B175&amp;"|"&amp;C175)</f>
        <v/>
      </c>
      <c r="B175" s="113"/>
      <c r="C175" s="113"/>
      <c r="D175" s="113"/>
      <c r="E175" s="118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</row>
    <row r="176" customFormat="false" ht="15.75" hidden="false" customHeight="false" outlineLevel="0" collapsed="false">
      <c r="A176" s="113" t="str">
        <f aca="false">IF(ISBLANK(B176),"",B176&amp;"|"&amp;C176)</f>
        <v/>
      </c>
      <c r="B176" s="113"/>
      <c r="C176" s="113"/>
      <c r="D176" s="113"/>
      <c r="E176" s="118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</row>
    <row r="177" customFormat="false" ht="15.75" hidden="false" customHeight="false" outlineLevel="0" collapsed="false">
      <c r="A177" s="113" t="str">
        <f aca="false">IF(ISBLANK(B177),"",B177&amp;"|"&amp;C177)</f>
        <v/>
      </c>
      <c r="B177" s="113"/>
      <c r="C177" s="113"/>
      <c r="D177" s="113"/>
      <c r="E177" s="118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</row>
    <row r="178" customFormat="false" ht="15.75" hidden="false" customHeight="false" outlineLevel="0" collapsed="false">
      <c r="A178" s="113" t="str">
        <f aca="false">IF(ISBLANK(B178),"",B178&amp;"|"&amp;C178)</f>
        <v/>
      </c>
      <c r="B178" s="113"/>
      <c r="C178" s="113"/>
      <c r="D178" s="113"/>
      <c r="E178" s="118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</row>
    <row r="179" customFormat="false" ht="15.75" hidden="false" customHeight="false" outlineLevel="0" collapsed="false">
      <c r="A179" s="113" t="str">
        <f aca="false">IF(ISBLANK(B179),"",B179&amp;"|"&amp;C179)</f>
        <v/>
      </c>
      <c r="B179" s="113"/>
      <c r="C179" s="113"/>
      <c r="D179" s="113"/>
      <c r="E179" s="118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</row>
    <row r="180" customFormat="false" ht="15.75" hidden="false" customHeight="false" outlineLevel="0" collapsed="false">
      <c r="A180" s="113" t="str">
        <f aca="false">IF(ISBLANK(B180),"",B180&amp;"|"&amp;C180)</f>
        <v/>
      </c>
      <c r="B180" s="113"/>
      <c r="C180" s="113"/>
      <c r="D180" s="113"/>
      <c r="E180" s="118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</row>
    <row r="181" customFormat="false" ht="15.75" hidden="false" customHeight="false" outlineLevel="0" collapsed="false">
      <c r="A181" s="113" t="str">
        <f aca="false">IF(ISBLANK(B181),"",B181&amp;"|"&amp;C181)</f>
        <v/>
      </c>
      <c r="B181" s="113"/>
      <c r="C181" s="113"/>
      <c r="D181" s="113"/>
      <c r="E181" s="118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</row>
    <row r="182" customFormat="false" ht="15.75" hidden="false" customHeight="false" outlineLevel="0" collapsed="false">
      <c r="A182" s="113" t="str">
        <f aca="false">IF(ISBLANK(B182),"",B182&amp;"|"&amp;C182)</f>
        <v/>
      </c>
      <c r="B182" s="113"/>
      <c r="C182" s="113"/>
      <c r="D182" s="113"/>
      <c r="E182" s="118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</row>
    <row r="183" customFormat="false" ht="15.75" hidden="false" customHeight="false" outlineLevel="0" collapsed="false">
      <c r="A183" s="113" t="str">
        <f aca="false">IF(ISBLANK(B183),"",B183&amp;"|"&amp;C183)</f>
        <v/>
      </c>
      <c r="B183" s="113"/>
      <c r="C183" s="113"/>
      <c r="D183" s="113"/>
      <c r="E183" s="118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</row>
    <row r="184" customFormat="false" ht="15.75" hidden="false" customHeight="false" outlineLevel="0" collapsed="false">
      <c r="A184" s="113" t="str">
        <f aca="false">IF(ISBLANK(B184),"",B184&amp;"|"&amp;C184)</f>
        <v/>
      </c>
      <c r="B184" s="113"/>
      <c r="C184" s="113"/>
      <c r="D184" s="113"/>
      <c r="E184" s="118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</row>
    <row r="185" customFormat="false" ht="15.75" hidden="false" customHeight="false" outlineLevel="0" collapsed="false">
      <c r="A185" s="113" t="str">
        <f aca="false">IF(ISBLANK(B185),"",B185&amp;"|"&amp;C185)</f>
        <v/>
      </c>
      <c r="B185" s="113"/>
      <c r="C185" s="113"/>
      <c r="D185" s="113"/>
      <c r="E185" s="118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</row>
    <row r="186" customFormat="false" ht="15.75" hidden="false" customHeight="false" outlineLevel="0" collapsed="false">
      <c r="A186" s="113" t="str">
        <f aca="false">IF(ISBLANK(B186),"",B186&amp;"|"&amp;C186)</f>
        <v/>
      </c>
      <c r="B186" s="113"/>
      <c r="C186" s="113"/>
      <c r="D186" s="113"/>
      <c r="E186" s="118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</row>
    <row r="187" customFormat="false" ht="15.75" hidden="false" customHeight="false" outlineLevel="0" collapsed="false">
      <c r="A187" s="113" t="str">
        <f aca="false">IF(ISBLANK(B187),"",B187&amp;"|"&amp;C187)</f>
        <v/>
      </c>
      <c r="B187" s="113"/>
      <c r="C187" s="113"/>
      <c r="D187" s="113"/>
      <c r="E187" s="118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</row>
    <row r="188" customFormat="false" ht="15.75" hidden="false" customHeight="false" outlineLevel="0" collapsed="false">
      <c r="A188" s="113" t="str">
        <f aca="false">IF(ISBLANK(B188),"",B188&amp;"|"&amp;C188)</f>
        <v/>
      </c>
      <c r="B188" s="113"/>
      <c r="C188" s="113"/>
      <c r="D188" s="113"/>
      <c r="E188" s="118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</row>
    <row r="189" customFormat="false" ht="15.75" hidden="false" customHeight="false" outlineLevel="0" collapsed="false">
      <c r="A189" s="113" t="str">
        <f aca="false">IF(ISBLANK(B189),"",B189&amp;"|"&amp;C189)</f>
        <v/>
      </c>
      <c r="B189" s="113"/>
      <c r="C189" s="113"/>
      <c r="D189" s="113"/>
      <c r="E189" s="118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</row>
    <row r="190" customFormat="false" ht="15.75" hidden="false" customHeight="false" outlineLevel="0" collapsed="false">
      <c r="A190" s="113" t="str">
        <f aca="false">IF(ISBLANK(B190),"",B190&amp;"|"&amp;C190)</f>
        <v/>
      </c>
      <c r="B190" s="113"/>
      <c r="C190" s="113"/>
      <c r="D190" s="113"/>
      <c r="E190" s="118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</row>
    <row r="191" customFormat="false" ht="15.75" hidden="false" customHeight="false" outlineLevel="0" collapsed="false">
      <c r="A191" s="113" t="str">
        <f aca="false">IF(ISBLANK(B191),"",B191&amp;"|"&amp;C191)</f>
        <v/>
      </c>
      <c r="B191" s="113"/>
      <c r="C191" s="113"/>
      <c r="D191" s="113"/>
      <c r="E191" s="118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</row>
    <row r="192" customFormat="false" ht="15.75" hidden="false" customHeight="false" outlineLevel="0" collapsed="false">
      <c r="A192" s="113" t="str">
        <f aca="false">IF(ISBLANK(B192),"",B192&amp;"|"&amp;C192)</f>
        <v/>
      </c>
      <c r="B192" s="113"/>
      <c r="C192" s="113"/>
      <c r="D192" s="113"/>
      <c r="E192" s="118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</row>
    <row r="193" customFormat="false" ht="15.75" hidden="false" customHeight="false" outlineLevel="0" collapsed="false">
      <c r="A193" s="113" t="str">
        <f aca="false">IF(ISBLANK(B193),"",B193&amp;"|"&amp;C193)</f>
        <v/>
      </c>
      <c r="B193" s="113"/>
      <c r="C193" s="113"/>
      <c r="D193" s="113"/>
      <c r="E193" s="118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</row>
    <row r="194" customFormat="false" ht="15.75" hidden="false" customHeight="false" outlineLevel="0" collapsed="false">
      <c r="A194" s="113" t="str">
        <f aca="false">IF(ISBLANK(B194),"",B194&amp;"|"&amp;C194)</f>
        <v/>
      </c>
      <c r="B194" s="113"/>
      <c r="C194" s="113"/>
      <c r="D194" s="113"/>
      <c r="E194" s="118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</row>
    <row r="195" customFormat="false" ht="15.75" hidden="false" customHeight="false" outlineLevel="0" collapsed="false">
      <c r="A195" s="113" t="str">
        <f aca="false">IF(ISBLANK(B195),"",B195&amp;"|"&amp;C195)</f>
        <v/>
      </c>
      <c r="B195" s="113"/>
      <c r="C195" s="113"/>
      <c r="D195" s="113"/>
      <c r="E195" s="118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</row>
    <row r="196" customFormat="false" ht="15.75" hidden="false" customHeight="false" outlineLevel="0" collapsed="false">
      <c r="A196" s="113" t="str">
        <f aca="false">IF(ISBLANK(B196),"",B196&amp;"|"&amp;C196)</f>
        <v/>
      </c>
      <c r="B196" s="113"/>
      <c r="C196" s="113"/>
      <c r="D196" s="113"/>
      <c r="E196" s="118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</row>
    <row r="197" customFormat="false" ht="15.75" hidden="false" customHeight="false" outlineLevel="0" collapsed="false">
      <c r="A197" s="113" t="str">
        <f aca="false">IF(ISBLANK(B197),"",B197&amp;"|"&amp;C197)</f>
        <v/>
      </c>
      <c r="B197" s="113"/>
      <c r="C197" s="113"/>
      <c r="D197" s="113"/>
      <c r="E197" s="118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</row>
    <row r="198" customFormat="false" ht="15.75" hidden="false" customHeight="false" outlineLevel="0" collapsed="false">
      <c r="A198" s="113" t="str">
        <f aca="false">IF(ISBLANK(B198),"",B198&amp;"|"&amp;C198)</f>
        <v/>
      </c>
      <c r="B198" s="113"/>
      <c r="C198" s="113"/>
      <c r="D198" s="113"/>
      <c r="E198" s="118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</row>
    <row r="199" customFormat="false" ht="15.75" hidden="false" customHeight="false" outlineLevel="0" collapsed="false">
      <c r="A199" s="113" t="str">
        <f aca="false">IF(ISBLANK(B199),"",B199&amp;"|"&amp;C199)</f>
        <v/>
      </c>
      <c r="B199" s="113"/>
      <c r="C199" s="113"/>
      <c r="D199" s="113"/>
      <c r="E199" s="118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</row>
    <row r="200" customFormat="false" ht="15.75" hidden="false" customHeight="false" outlineLevel="0" collapsed="false">
      <c r="A200" s="113" t="str">
        <f aca="false">IF(ISBLANK(B200),"",B200&amp;"|"&amp;C200)</f>
        <v/>
      </c>
      <c r="B200" s="113"/>
      <c r="C200" s="113"/>
      <c r="D200" s="113"/>
      <c r="E200" s="118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</row>
    <row r="201" customFormat="false" ht="15.75" hidden="false" customHeight="false" outlineLevel="0" collapsed="false">
      <c r="A201" s="113" t="str">
        <f aca="false">IF(ISBLANK(B201),"",B201&amp;"|"&amp;C201)</f>
        <v/>
      </c>
      <c r="B201" s="113"/>
      <c r="C201" s="113"/>
      <c r="D201" s="113"/>
      <c r="E201" s="118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</row>
    <row r="202" customFormat="false" ht="15.75" hidden="false" customHeight="false" outlineLevel="0" collapsed="false">
      <c r="A202" s="113" t="str">
        <f aca="false">IF(ISBLANK(B202),"",B202&amp;"|"&amp;C202)</f>
        <v/>
      </c>
      <c r="B202" s="113"/>
      <c r="C202" s="113"/>
      <c r="D202" s="113"/>
      <c r="E202" s="118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</row>
    <row r="203" customFormat="false" ht="15.75" hidden="false" customHeight="false" outlineLevel="0" collapsed="false">
      <c r="A203" s="113" t="str">
        <f aca="false">IF(ISBLANK(B203),"",B203&amp;"|"&amp;C203)</f>
        <v/>
      </c>
      <c r="B203" s="113"/>
      <c r="C203" s="113"/>
      <c r="D203" s="113"/>
      <c r="E203" s="118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</row>
    <row r="204" customFormat="false" ht="15.75" hidden="false" customHeight="false" outlineLevel="0" collapsed="false">
      <c r="A204" s="113" t="str">
        <f aca="false">IF(ISBLANK(B204),"",B204&amp;"|"&amp;C204)</f>
        <v/>
      </c>
      <c r="B204" s="113"/>
      <c r="C204" s="113"/>
      <c r="D204" s="113"/>
      <c r="E204" s="118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</row>
    <row r="205" customFormat="false" ht="15.75" hidden="false" customHeight="false" outlineLevel="0" collapsed="false">
      <c r="A205" s="113" t="str">
        <f aca="false">IF(ISBLANK(B205),"",B205&amp;"|"&amp;C205)</f>
        <v/>
      </c>
      <c r="B205" s="113"/>
      <c r="C205" s="113"/>
      <c r="D205" s="113"/>
      <c r="E205" s="118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</row>
    <row r="206" customFormat="false" ht="15.75" hidden="false" customHeight="false" outlineLevel="0" collapsed="false">
      <c r="A206" s="113" t="str">
        <f aca="false">IF(ISBLANK(B206),"",B206&amp;"|"&amp;C206)</f>
        <v/>
      </c>
      <c r="B206" s="113"/>
      <c r="C206" s="113"/>
      <c r="D206" s="113"/>
      <c r="E206" s="118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</row>
    <row r="207" customFormat="false" ht="15.75" hidden="false" customHeight="false" outlineLevel="0" collapsed="false">
      <c r="A207" s="113" t="str">
        <f aca="false">IF(ISBLANK(B207),"",B207&amp;"|"&amp;C207)</f>
        <v/>
      </c>
      <c r="B207" s="113"/>
      <c r="C207" s="113"/>
      <c r="D207" s="113"/>
      <c r="E207" s="118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</row>
    <row r="208" customFormat="false" ht="15.75" hidden="false" customHeight="false" outlineLevel="0" collapsed="false">
      <c r="A208" s="113" t="str">
        <f aca="false">IF(ISBLANK(B208),"",B208&amp;"|"&amp;C208)</f>
        <v/>
      </c>
      <c r="B208" s="113"/>
      <c r="C208" s="113"/>
      <c r="D208" s="113"/>
      <c r="E208" s="118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</row>
    <row r="209" customFormat="false" ht="15.75" hidden="false" customHeight="false" outlineLevel="0" collapsed="false">
      <c r="A209" s="113" t="str">
        <f aca="false">IF(ISBLANK(B209),"",B209&amp;"|"&amp;C209)</f>
        <v/>
      </c>
      <c r="B209" s="113"/>
      <c r="C209" s="113"/>
      <c r="D209" s="113"/>
      <c r="E209" s="118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</row>
    <row r="210" customFormat="false" ht="15.75" hidden="false" customHeight="false" outlineLevel="0" collapsed="false">
      <c r="A210" s="113" t="str">
        <f aca="false">IF(ISBLANK(B210),"",B210&amp;"|"&amp;C210)</f>
        <v/>
      </c>
      <c r="B210" s="113"/>
      <c r="C210" s="113"/>
      <c r="D210" s="113"/>
      <c r="E210" s="118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</row>
    <row r="211" customFormat="false" ht="15.75" hidden="false" customHeight="false" outlineLevel="0" collapsed="false">
      <c r="A211" s="113" t="str">
        <f aca="false">IF(ISBLANK(B211),"",B211&amp;"|"&amp;C211)</f>
        <v/>
      </c>
      <c r="B211" s="113"/>
      <c r="C211" s="113"/>
      <c r="D211" s="113"/>
      <c r="E211" s="118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</row>
    <row r="212" customFormat="false" ht="15.75" hidden="false" customHeight="false" outlineLevel="0" collapsed="false">
      <c r="A212" s="113" t="str">
        <f aca="false">IF(ISBLANK(B212),"",B212&amp;"|"&amp;C212)</f>
        <v/>
      </c>
      <c r="B212" s="113"/>
      <c r="C212" s="113"/>
      <c r="D212" s="113"/>
      <c r="E212" s="118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</row>
    <row r="213" customFormat="false" ht="15.75" hidden="false" customHeight="false" outlineLevel="0" collapsed="false">
      <c r="A213" s="113" t="str">
        <f aca="false">IF(ISBLANK(B213),"",B213&amp;"|"&amp;C213)</f>
        <v/>
      </c>
      <c r="B213" s="113"/>
      <c r="C213" s="113"/>
      <c r="D213" s="113"/>
      <c r="E213" s="118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</row>
    <row r="214" customFormat="false" ht="15.75" hidden="false" customHeight="false" outlineLevel="0" collapsed="false">
      <c r="A214" s="113" t="str">
        <f aca="false">IF(ISBLANK(B214),"",B214&amp;"|"&amp;C214)</f>
        <v/>
      </c>
      <c r="B214" s="113"/>
      <c r="C214" s="113"/>
      <c r="D214" s="113"/>
      <c r="E214" s="118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</row>
    <row r="215" customFormat="false" ht="15.75" hidden="false" customHeight="false" outlineLevel="0" collapsed="false">
      <c r="A215" s="113" t="str">
        <f aca="false">IF(ISBLANK(B215),"",B215&amp;"|"&amp;C215)</f>
        <v/>
      </c>
      <c r="B215" s="113"/>
      <c r="C215" s="113"/>
      <c r="D215" s="113"/>
      <c r="E215" s="118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</row>
    <row r="216" customFormat="false" ht="15.75" hidden="false" customHeight="false" outlineLevel="0" collapsed="false">
      <c r="A216" s="113" t="str">
        <f aca="false">IF(ISBLANK(B216),"",B216&amp;"|"&amp;C216)</f>
        <v/>
      </c>
      <c r="B216" s="113"/>
      <c r="C216" s="113"/>
      <c r="D216" s="113"/>
      <c r="E216" s="118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</row>
    <row r="217" customFormat="false" ht="15.75" hidden="false" customHeight="false" outlineLevel="0" collapsed="false">
      <c r="A217" s="113" t="str">
        <f aca="false">IF(ISBLANK(B217),"",B217&amp;"|"&amp;C217)</f>
        <v/>
      </c>
      <c r="B217" s="113"/>
      <c r="C217" s="113"/>
      <c r="D217" s="113"/>
      <c r="E217" s="118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</row>
    <row r="218" customFormat="false" ht="15.75" hidden="false" customHeight="false" outlineLevel="0" collapsed="false">
      <c r="A218" s="113" t="str">
        <f aca="false">IF(ISBLANK(B218),"",B218&amp;"|"&amp;C218)</f>
        <v/>
      </c>
      <c r="B218" s="113"/>
      <c r="C218" s="113"/>
      <c r="D218" s="113"/>
      <c r="E218" s="118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</row>
    <row r="219" customFormat="false" ht="15.75" hidden="false" customHeight="false" outlineLevel="0" collapsed="false">
      <c r="A219" s="113" t="str">
        <f aca="false">IF(ISBLANK(B219),"",B219&amp;"|"&amp;C219)</f>
        <v/>
      </c>
      <c r="B219" s="113"/>
      <c r="C219" s="113"/>
      <c r="D219" s="113"/>
      <c r="E219" s="118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</row>
    <row r="220" customFormat="false" ht="15.75" hidden="false" customHeight="false" outlineLevel="0" collapsed="false">
      <c r="A220" s="113" t="str">
        <f aca="false">IF(ISBLANK(B220),"",B220&amp;"|"&amp;C220)</f>
        <v/>
      </c>
      <c r="B220" s="113"/>
      <c r="C220" s="113"/>
      <c r="D220" s="113"/>
      <c r="E220" s="118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</row>
    <row r="221" customFormat="false" ht="15.75" hidden="false" customHeight="false" outlineLevel="0" collapsed="false">
      <c r="A221" s="113" t="str">
        <f aca="false">IF(ISBLANK(B221),"",B221&amp;"|"&amp;C221)</f>
        <v/>
      </c>
      <c r="B221" s="113"/>
      <c r="C221" s="113"/>
      <c r="D221" s="113"/>
      <c r="E221" s="118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</row>
    <row r="222" customFormat="false" ht="15.75" hidden="false" customHeight="false" outlineLevel="0" collapsed="false">
      <c r="A222" s="113" t="str">
        <f aca="false">IF(ISBLANK(B222),"",B222&amp;"|"&amp;C222)</f>
        <v/>
      </c>
      <c r="B222" s="113"/>
      <c r="C222" s="113"/>
      <c r="D222" s="113"/>
      <c r="E222" s="118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</row>
    <row r="223" customFormat="false" ht="15.75" hidden="false" customHeight="false" outlineLevel="0" collapsed="false">
      <c r="A223" s="113" t="str">
        <f aca="false">IF(ISBLANK(B223),"",B223&amp;"|"&amp;C223)</f>
        <v/>
      </c>
      <c r="B223" s="113"/>
      <c r="C223" s="113"/>
      <c r="D223" s="113"/>
      <c r="E223" s="118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</row>
    <row r="224" customFormat="false" ht="15.75" hidden="false" customHeight="false" outlineLevel="0" collapsed="false">
      <c r="A224" s="113" t="str">
        <f aca="false">IF(ISBLANK(B224),"",B224&amp;"|"&amp;C224)</f>
        <v/>
      </c>
      <c r="B224" s="113"/>
      <c r="C224" s="113"/>
      <c r="D224" s="113"/>
      <c r="E224" s="118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</row>
    <row r="225" customFormat="false" ht="15.75" hidden="false" customHeight="false" outlineLevel="0" collapsed="false">
      <c r="A225" s="113" t="str">
        <f aca="false">IF(ISBLANK(B225),"",B225&amp;"|"&amp;C225)</f>
        <v/>
      </c>
      <c r="B225" s="113"/>
      <c r="C225" s="113"/>
      <c r="D225" s="113"/>
      <c r="E225" s="118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</row>
    <row r="226" customFormat="false" ht="15.75" hidden="false" customHeight="false" outlineLevel="0" collapsed="false">
      <c r="A226" s="113" t="str">
        <f aca="false">IF(ISBLANK(B226),"",B226&amp;"|"&amp;C226)</f>
        <v/>
      </c>
      <c r="B226" s="113"/>
      <c r="C226" s="113"/>
      <c r="D226" s="113"/>
      <c r="E226" s="118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</row>
    <row r="227" customFormat="false" ht="15.75" hidden="false" customHeight="false" outlineLevel="0" collapsed="false">
      <c r="A227" s="113" t="str">
        <f aca="false">IF(ISBLANK(B227),"",B227&amp;"|"&amp;C227)</f>
        <v/>
      </c>
      <c r="B227" s="113"/>
      <c r="C227" s="113"/>
      <c r="D227" s="113"/>
      <c r="E227" s="118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</row>
    <row r="228" customFormat="false" ht="15.75" hidden="false" customHeight="false" outlineLevel="0" collapsed="false">
      <c r="A228" s="113" t="str">
        <f aca="false">IF(ISBLANK(B228),"",B228&amp;"|"&amp;C228)</f>
        <v/>
      </c>
      <c r="B228" s="113"/>
      <c r="C228" s="113"/>
      <c r="D228" s="113"/>
      <c r="E228" s="118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</row>
    <row r="229" customFormat="false" ht="15.75" hidden="false" customHeight="false" outlineLevel="0" collapsed="false">
      <c r="A229" s="113" t="str">
        <f aca="false">IF(ISBLANK(B229),"",B229&amp;"|"&amp;C229)</f>
        <v/>
      </c>
      <c r="B229" s="113"/>
      <c r="C229" s="113"/>
      <c r="D229" s="113"/>
      <c r="E229" s="118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</row>
    <row r="230" customFormat="false" ht="15.75" hidden="false" customHeight="false" outlineLevel="0" collapsed="false">
      <c r="A230" s="113" t="str">
        <f aca="false">IF(ISBLANK(B230),"",B230&amp;"|"&amp;C230)</f>
        <v/>
      </c>
      <c r="B230" s="113"/>
      <c r="C230" s="113"/>
      <c r="D230" s="113"/>
      <c r="E230" s="118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</row>
    <row r="231" customFormat="false" ht="15.75" hidden="false" customHeight="false" outlineLevel="0" collapsed="false">
      <c r="A231" s="113" t="str">
        <f aca="false">IF(ISBLANK(B231),"",B231&amp;"|"&amp;C231)</f>
        <v/>
      </c>
      <c r="B231" s="113"/>
      <c r="C231" s="113"/>
      <c r="D231" s="113"/>
      <c r="E231" s="118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</row>
    <row r="232" customFormat="false" ht="15.75" hidden="false" customHeight="false" outlineLevel="0" collapsed="false">
      <c r="A232" s="113" t="str">
        <f aca="false">IF(ISBLANK(B232),"",B232&amp;"|"&amp;C232)</f>
        <v/>
      </c>
      <c r="B232" s="113"/>
      <c r="C232" s="113"/>
      <c r="D232" s="113"/>
      <c r="E232" s="118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</row>
    <row r="233" customFormat="false" ht="15.75" hidden="false" customHeight="false" outlineLevel="0" collapsed="false">
      <c r="A233" s="113" t="str">
        <f aca="false">IF(ISBLANK(B233),"",B233&amp;"|"&amp;C233)</f>
        <v/>
      </c>
      <c r="B233" s="113"/>
      <c r="C233" s="113"/>
      <c r="D233" s="113"/>
      <c r="E233" s="118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</row>
    <row r="234" customFormat="false" ht="15.75" hidden="false" customHeight="false" outlineLevel="0" collapsed="false">
      <c r="A234" s="113" t="str">
        <f aca="false">IF(ISBLANK(B234),"",B234&amp;"|"&amp;C234)</f>
        <v/>
      </c>
      <c r="B234" s="113"/>
      <c r="C234" s="113"/>
      <c r="D234" s="113"/>
      <c r="E234" s="118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</row>
    <row r="235" customFormat="false" ht="15.75" hidden="false" customHeight="false" outlineLevel="0" collapsed="false">
      <c r="A235" s="113" t="str">
        <f aca="false">IF(ISBLANK(B235),"",B235&amp;"|"&amp;C235)</f>
        <v/>
      </c>
      <c r="B235" s="113"/>
      <c r="C235" s="113"/>
      <c r="D235" s="113"/>
      <c r="E235" s="118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</row>
    <row r="236" customFormat="false" ht="15.75" hidden="false" customHeight="false" outlineLevel="0" collapsed="false">
      <c r="A236" s="113" t="str">
        <f aca="false">IF(ISBLANK(B236),"",B236&amp;"|"&amp;C236)</f>
        <v/>
      </c>
      <c r="B236" s="113"/>
      <c r="C236" s="113"/>
      <c r="D236" s="113"/>
      <c r="E236" s="118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</row>
    <row r="237" customFormat="false" ht="15.75" hidden="false" customHeight="false" outlineLevel="0" collapsed="false">
      <c r="A237" s="113" t="str">
        <f aca="false">IF(ISBLANK(B237),"",B237&amp;"|"&amp;C237)</f>
        <v/>
      </c>
      <c r="B237" s="113"/>
      <c r="C237" s="113"/>
      <c r="D237" s="113"/>
      <c r="E237" s="118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</row>
    <row r="238" customFormat="false" ht="15.75" hidden="false" customHeight="false" outlineLevel="0" collapsed="false">
      <c r="A238" s="113" t="str">
        <f aca="false">IF(ISBLANK(B238),"",B238&amp;"|"&amp;C238)</f>
        <v/>
      </c>
      <c r="B238" s="113"/>
      <c r="C238" s="113"/>
      <c r="D238" s="113"/>
      <c r="E238" s="118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</row>
    <row r="239" customFormat="false" ht="15.75" hidden="false" customHeight="false" outlineLevel="0" collapsed="false">
      <c r="A239" s="113" t="str">
        <f aca="false">IF(ISBLANK(B239),"",B239&amp;"|"&amp;C239)</f>
        <v/>
      </c>
      <c r="B239" s="113"/>
      <c r="C239" s="113"/>
      <c r="D239" s="113"/>
      <c r="E239" s="118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</row>
    <row r="240" customFormat="false" ht="15.75" hidden="false" customHeight="false" outlineLevel="0" collapsed="false">
      <c r="A240" s="113" t="str">
        <f aca="false">IF(ISBLANK(B240),"",B240&amp;"|"&amp;C240)</f>
        <v/>
      </c>
      <c r="B240" s="113"/>
      <c r="C240" s="113"/>
      <c r="D240" s="113"/>
      <c r="E240" s="118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</row>
    <row r="241" customFormat="false" ht="15.75" hidden="false" customHeight="false" outlineLevel="0" collapsed="false">
      <c r="A241" s="113" t="str">
        <f aca="false">IF(ISBLANK(B241),"",B241&amp;"|"&amp;C241)</f>
        <v/>
      </c>
      <c r="B241" s="113"/>
      <c r="C241" s="113"/>
      <c r="D241" s="113"/>
      <c r="E241" s="118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</row>
    <row r="242" customFormat="false" ht="15.75" hidden="false" customHeight="false" outlineLevel="0" collapsed="false">
      <c r="A242" s="113" t="str">
        <f aca="false">IF(ISBLANK(B242),"",B242&amp;"|"&amp;C242)</f>
        <v/>
      </c>
      <c r="B242" s="113"/>
      <c r="C242" s="113"/>
      <c r="D242" s="113"/>
      <c r="E242" s="118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</row>
    <row r="243" customFormat="false" ht="15.75" hidden="false" customHeight="false" outlineLevel="0" collapsed="false">
      <c r="A243" s="113" t="str">
        <f aca="false">IF(ISBLANK(B243),"",B243&amp;"|"&amp;C243)</f>
        <v/>
      </c>
      <c r="B243" s="113"/>
      <c r="C243" s="113"/>
      <c r="D243" s="113"/>
      <c r="E243" s="118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</row>
    <row r="244" customFormat="false" ht="15.75" hidden="false" customHeight="false" outlineLevel="0" collapsed="false">
      <c r="A244" s="113" t="str">
        <f aca="false">IF(ISBLANK(B244),"",B244&amp;"|"&amp;C244)</f>
        <v/>
      </c>
      <c r="B244" s="113"/>
      <c r="C244" s="113"/>
      <c r="D244" s="113"/>
      <c r="E244" s="118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</row>
    <row r="245" customFormat="false" ht="15.75" hidden="false" customHeight="false" outlineLevel="0" collapsed="false">
      <c r="A245" s="113" t="str">
        <f aca="false">IF(ISBLANK(B245),"",B245&amp;"|"&amp;C245)</f>
        <v/>
      </c>
      <c r="B245" s="113"/>
      <c r="C245" s="113"/>
      <c r="D245" s="113"/>
      <c r="E245" s="118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</row>
    <row r="246" customFormat="false" ht="15.75" hidden="false" customHeight="false" outlineLevel="0" collapsed="false">
      <c r="A246" s="113" t="str">
        <f aca="false">IF(ISBLANK(B246),"",B246&amp;"|"&amp;C246)</f>
        <v/>
      </c>
      <c r="B246" s="113"/>
      <c r="C246" s="113"/>
      <c r="D246" s="113"/>
      <c r="E246" s="118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</row>
    <row r="247" customFormat="false" ht="15.75" hidden="false" customHeight="false" outlineLevel="0" collapsed="false">
      <c r="A247" s="113" t="str">
        <f aca="false">IF(ISBLANK(B247),"",B247&amp;"|"&amp;C247)</f>
        <v/>
      </c>
      <c r="B247" s="113"/>
      <c r="C247" s="113"/>
      <c r="D247" s="113"/>
      <c r="E247" s="118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</row>
    <row r="248" customFormat="false" ht="15.75" hidden="false" customHeight="false" outlineLevel="0" collapsed="false">
      <c r="A248" s="113" t="str">
        <f aca="false">IF(ISBLANK(B248),"",B248&amp;"|"&amp;C248)</f>
        <v/>
      </c>
      <c r="B248" s="113"/>
      <c r="C248" s="113"/>
      <c r="D248" s="113"/>
      <c r="E248" s="118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</row>
    <row r="249" customFormat="false" ht="15.75" hidden="false" customHeight="false" outlineLevel="0" collapsed="false">
      <c r="A249" s="113" t="str">
        <f aca="false">IF(ISBLANK(B249),"",B249&amp;"|"&amp;C249)</f>
        <v/>
      </c>
      <c r="B249" s="113"/>
      <c r="C249" s="113"/>
      <c r="D249" s="113"/>
      <c r="E249" s="118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</row>
    <row r="250" customFormat="false" ht="15.75" hidden="false" customHeight="false" outlineLevel="0" collapsed="false">
      <c r="A250" s="113" t="str">
        <f aca="false">IF(ISBLANK(B250),"",B250&amp;"|"&amp;C250)</f>
        <v/>
      </c>
      <c r="B250" s="113"/>
      <c r="C250" s="113"/>
      <c r="D250" s="113"/>
      <c r="E250" s="118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</row>
    <row r="251" customFormat="false" ht="15.75" hidden="false" customHeight="false" outlineLevel="0" collapsed="false">
      <c r="A251" s="113" t="str">
        <f aca="false">IF(ISBLANK(B251),"",B251&amp;"|"&amp;C251)</f>
        <v/>
      </c>
      <c r="B251" s="113"/>
      <c r="C251" s="113"/>
      <c r="D251" s="113"/>
      <c r="E251" s="118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</row>
    <row r="252" customFormat="false" ht="15.75" hidden="false" customHeight="false" outlineLevel="0" collapsed="false">
      <c r="A252" s="113" t="str">
        <f aca="false">IF(ISBLANK(B252),"",B252&amp;"|"&amp;C252)</f>
        <v/>
      </c>
      <c r="B252" s="113"/>
      <c r="C252" s="113"/>
      <c r="D252" s="113"/>
      <c r="E252" s="118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</row>
    <row r="253" customFormat="false" ht="15.75" hidden="false" customHeight="false" outlineLevel="0" collapsed="false">
      <c r="A253" s="113" t="str">
        <f aca="false">IF(ISBLANK(B253),"",B253&amp;"|"&amp;C253)</f>
        <v/>
      </c>
      <c r="B253" s="113"/>
      <c r="C253" s="113"/>
      <c r="D253" s="113"/>
      <c r="E253" s="118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</row>
    <row r="254" customFormat="false" ht="15.75" hidden="false" customHeight="false" outlineLevel="0" collapsed="false">
      <c r="A254" s="113" t="str">
        <f aca="false">IF(ISBLANK(B254),"",B254&amp;"|"&amp;C254)</f>
        <v/>
      </c>
      <c r="B254" s="113"/>
      <c r="C254" s="113"/>
      <c r="D254" s="113"/>
      <c r="E254" s="118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</row>
    <row r="255" customFormat="false" ht="15.75" hidden="false" customHeight="false" outlineLevel="0" collapsed="false">
      <c r="A255" s="113" t="str">
        <f aca="false">IF(ISBLANK(B255),"",B255&amp;"|"&amp;C255)</f>
        <v/>
      </c>
      <c r="B255" s="113"/>
      <c r="C255" s="113"/>
      <c r="D255" s="113"/>
      <c r="E255" s="118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</row>
    <row r="256" customFormat="false" ht="15.75" hidden="false" customHeight="false" outlineLevel="0" collapsed="false">
      <c r="A256" s="113" t="str">
        <f aca="false">IF(ISBLANK(B256),"",B256&amp;"|"&amp;C256)</f>
        <v/>
      </c>
      <c r="B256" s="113"/>
      <c r="C256" s="113"/>
      <c r="D256" s="113"/>
      <c r="E256" s="118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</row>
    <row r="257" customFormat="false" ht="15.75" hidden="false" customHeight="false" outlineLevel="0" collapsed="false">
      <c r="A257" s="113" t="str">
        <f aca="false">IF(ISBLANK(B257),"",B257&amp;"|"&amp;C257)</f>
        <v/>
      </c>
      <c r="B257" s="113"/>
      <c r="C257" s="113"/>
      <c r="D257" s="113"/>
      <c r="E257" s="118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</row>
    <row r="258" customFormat="false" ht="15.75" hidden="false" customHeight="false" outlineLevel="0" collapsed="false">
      <c r="A258" s="113" t="str">
        <f aca="false">IF(ISBLANK(B258),"",B258&amp;"|"&amp;C258)</f>
        <v/>
      </c>
      <c r="B258" s="113"/>
      <c r="C258" s="113"/>
      <c r="D258" s="113"/>
      <c r="E258" s="118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</row>
    <row r="259" customFormat="false" ht="15.75" hidden="false" customHeight="false" outlineLevel="0" collapsed="false">
      <c r="A259" s="113" t="str">
        <f aca="false">IF(ISBLANK(B259),"",B259&amp;"|"&amp;C259)</f>
        <v/>
      </c>
      <c r="B259" s="113"/>
      <c r="C259" s="113"/>
      <c r="D259" s="113"/>
      <c r="E259" s="118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</row>
    <row r="260" customFormat="false" ht="15.75" hidden="false" customHeight="false" outlineLevel="0" collapsed="false">
      <c r="A260" s="113" t="str">
        <f aca="false">IF(ISBLANK(B260),"",B260&amp;"|"&amp;C260)</f>
        <v/>
      </c>
      <c r="B260" s="113"/>
      <c r="C260" s="113"/>
      <c r="D260" s="113"/>
      <c r="E260" s="118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</row>
    <row r="261" customFormat="false" ht="15.75" hidden="false" customHeight="false" outlineLevel="0" collapsed="false">
      <c r="A261" s="113" t="str">
        <f aca="false">IF(ISBLANK(B261),"",B261&amp;"|"&amp;C261)</f>
        <v/>
      </c>
      <c r="B261" s="113"/>
      <c r="C261" s="113"/>
      <c r="D261" s="113"/>
      <c r="E261" s="118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</row>
    <row r="262" customFormat="false" ht="15.75" hidden="false" customHeight="false" outlineLevel="0" collapsed="false">
      <c r="A262" s="113" t="str">
        <f aca="false">IF(ISBLANK(B262),"",B262&amp;"|"&amp;C262)</f>
        <v/>
      </c>
      <c r="B262" s="113"/>
      <c r="C262" s="113"/>
      <c r="D262" s="113"/>
      <c r="E262" s="118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</row>
    <row r="263" customFormat="false" ht="15.75" hidden="false" customHeight="false" outlineLevel="0" collapsed="false">
      <c r="A263" s="113" t="str">
        <f aca="false">IF(ISBLANK(B263),"",B263&amp;"|"&amp;C263)</f>
        <v/>
      </c>
      <c r="B263" s="113"/>
      <c r="C263" s="113"/>
      <c r="D263" s="113"/>
      <c r="E263" s="118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</row>
    <row r="264" customFormat="false" ht="15.75" hidden="false" customHeight="false" outlineLevel="0" collapsed="false">
      <c r="A264" s="113" t="str">
        <f aca="false">IF(ISBLANK(B264),"",B264&amp;"|"&amp;C264)</f>
        <v/>
      </c>
      <c r="B264" s="113"/>
      <c r="C264" s="113"/>
      <c r="D264" s="113"/>
      <c r="E264" s="118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</row>
    <row r="265" customFormat="false" ht="15.75" hidden="false" customHeight="false" outlineLevel="0" collapsed="false">
      <c r="A265" s="113" t="str">
        <f aca="false">IF(ISBLANK(B265),"",B265&amp;"|"&amp;C265)</f>
        <v/>
      </c>
      <c r="B265" s="113"/>
      <c r="C265" s="113"/>
      <c r="D265" s="113"/>
      <c r="E265" s="118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</row>
    <row r="266" customFormat="false" ht="15.75" hidden="false" customHeight="false" outlineLevel="0" collapsed="false">
      <c r="A266" s="113" t="str">
        <f aca="false">IF(ISBLANK(B266),"",B266&amp;"|"&amp;C266)</f>
        <v/>
      </c>
      <c r="B266" s="113"/>
      <c r="C266" s="113"/>
      <c r="D266" s="113"/>
      <c r="E266" s="118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</row>
    <row r="267" customFormat="false" ht="15.75" hidden="false" customHeight="false" outlineLevel="0" collapsed="false">
      <c r="A267" s="113" t="str">
        <f aca="false">IF(ISBLANK(B267),"",B267&amp;"|"&amp;C267)</f>
        <v/>
      </c>
      <c r="B267" s="113"/>
      <c r="C267" s="113"/>
      <c r="D267" s="113"/>
      <c r="E267" s="118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</row>
    <row r="268" customFormat="false" ht="15.75" hidden="false" customHeight="false" outlineLevel="0" collapsed="false">
      <c r="A268" s="113" t="str">
        <f aca="false">IF(ISBLANK(B268),"",B268&amp;"|"&amp;C268)</f>
        <v/>
      </c>
      <c r="B268" s="113"/>
      <c r="C268" s="113"/>
      <c r="D268" s="113"/>
      <c r="E268" s="118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</row>
    <row r="269" customFormat="false" ht="15.75" hidden="false" customHeight="false" outlineLevel="0" collapsed="false">
      <c r="A269" s="113" t="str">
        <f aca="false">IF(ISBLANK(B269),"",B269&amp;"|"&amp;C269)</f>
        <v/>
      </c>
      <c r="B269" s="113"/>
      <c r="C269" s="113"/>
      <c r="D269" s="113"/>
      <c r="E269" s="118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</row>
    <row r="270" customFormat="false" ht="15.75" hidden="false" customHeight="false" outlineLevel="0" collapsed="false">
      <c r="A270" s="113" t="str">
        <f aca="false">IF(ISBLANK(B270),"",B270&amp;"|"&amp;C270)</f>
        <v/>
      </c>
      <c r="B270" s="113"/>
      <c r="C270" s="113"/>
      <c r="D270" s="113"/>
      <c r="E270" s="118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</row>
    <row r="271" customFormat="false" ht="15.75" hidden="false" customHeight="false" outlineLevel="0" collapsed="false">
      <c r="A271" s="113" t="str">
        <f aca="false">IF(ISBLANK(B271),"",B271&amp;"|"&amp;C271)</f>
        <v/>
      </c>
      <c r="B271" s="113"/>
      <c r="C271" s="113"/>
      <c r="D271" s="113"/>
      <c r="E271" s="118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</row>
    <row r="272" customFormat="false" ht="15.75" hidden="false" customHeight="false" outlineLevel="0" collapsed="false">
      <c r="A272" s="113" t="str">
        <f aca="false">IF(ISBLANK(B272),"",B272&amp;"|"&amp;C272)</f>
        <v/>
      </c>
      <c r="B272" s="113"/>
      <c r="C272" s="113"/>
      <c r="D272" s="113"/>
      <c r="E272" s="118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</row>
    <row r="273" customFormat="false" ht="15.75" hidden="false" customHeight="false" outlineLevel="0" collapsed="false">
      <c r="A273" s="113" t="str">
        <f aca="false">IF(ISBLANK(B273),"",B273&amp;"|"&amp;C273)</f>
        <v/>
      </c>
      <c r="B273" s="113"/>
      <c r="C273" s="113"/>
      <c r="D273" s="113"/>
      <c r="E273" s="118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</row>
    <row r="274" customFormat="false" ht="15.75" hidden="false" customHeight="false" outlineLevel="0" collapsed="false">
      <c r="A274" s="113" t="str">
        <f aca="false">IF(ISBLANK(B274),"",B274&amp;"|"&amp;C274)</f>
        <v/>
      </c>
      <c r="B274" s="113"/>
      <c r="C274" s="113"/>
      <c r="D274" s="113"/>
      <c r="E274" s="118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</row>
    <row r="275" customFormat="false" ht="15.75" hidden="false" customHeight="false" outlineLevel="0" collapsed="false">
      <c r="A275" s="113" t="str">
        <f aca="false">IF(ISBLANK(B275),"",B275&amp;"|"&amp;C275)</f>
        <v/>
      </c>
      <c r="B275" s="113"/>
      <c r="C275" s="113"/>
      <c r="D275" s="113"/>
      <c r="E275" s="118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</row>
    <row r="276" customFormat="false" ht="15.75" hidden="false" customHeight="false" outlineLevel="0" collapsed="false">
      <c r="A276" s="113" t="str">
        <f aca="false">IF(ISBLANK(B276),"",B276&amp;"|"&amp;C276)</f>
        <v/>
      </c>
      <c r="B276" s="113"/>
      <c r="C276" s="113"/>
      <c r="D276" s="113"/>
      <c r="E276" s="118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</row>
    <row r="277" customFormat="false" ht="15.75" hidden="false" customHeight="false" outlineLevel="0" collapsed="false">
      <c r="A277" s="113" t="str">
        <f aca="false">IF(ISBLANK(B277),"",B277&amp;"|"&amp;C277)</f>
        <v/>
      </c>
      <c r="B277" s="113"/>
      <c r="C277" s="113"/>
      <c r="D277" s="113"/>
      <c r="E277" s="118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</row>
    <row r="278" customFormat="false" ht="15.75" hidden="false" customHeight="false" outlineLevel="0" collapsed="false">
      <c r="A278" s="113" t="str">
        <f aca="false">IF(ISBLANK(B278),"",B278&amp;"|"&amp;C278)</f>
        <v/>
      </c>
      <c r="B278" s="113"/>
      <c r="C278" s="113"/>
      <c r="D278" s="113"/>
      <c r="E278" s="118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</row>
    <row r="279" customFormat="false" ht="15.75" hidden="false" customHeight="false" outlineLevel="0" collapsed="false">
      <c r="A279" s="113" t="str">
        <f aca="false">IF(ISBLANK(B279),"",B279&amp;"|"&amp;C279)</f>
        <v/>
      </c>
      <c r="B279" s="113"/>
      <c r="C279" s="113"/>
      <c r="D279" s="113"/>
      <c r="E279" s="118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</row>
    <row r="280" customFormat="false" ht="15.75" hidden="false" customHeight="false" outlineLevel="0" collapsed="false">
      <c r="A280" s="113" t="str">
        <f aca="false">IF(ISBLANK(B280),"",B280&amp;"|"&amp;C280)</f>
        <v/>
      </c>
      <c r="B280" s="113"/>
      <c r="C280" s="113"/>
      <c r="D280" s="113"/>
      <c r="E280" s="118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</row>
    <row r="281" customFormat="false" ht="15.75" hidden="false" customHeight="false" outlineLevel="0" collapsed="false">
      <c r="A281" s="113" t="str">
        <f aca="false">IF(ISBLANK(B281),"",B281&amp;"|"&amp;C281)</f>
        <v/>
      </c>
      <c r="B281" s="113"/>
      <c r="C281" s="113"/>
      <c r="D281" s="113"/>
      <c r="E281" s="118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</row>
    <row r="282" customFormat="false" ht="15.75" hidden="false" customHeight="false" outlineLevel="0" collapsed="false">
      <c r="A282" s="113" t="str">
        <f aca="false">IF(ISBLANK(B282),"",B282&amp;"|"&amp;C282)</f>
        <v/>
      </c>
      <c r="B282" s="113"/>
      <c r="C282" s="113"/>
      <c r="D282" s="113"/>
      <c r="E282" s="118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</row>
    <row r="283" customFormat="false" ht="15.75" hidden="false" customHeight="false" outlineLevel="0" collapsed="false">
      <c r="A283" s="113" t="str">
        <f aca="false">IF(ISBLANK(B283),"",B283&amp;"|"&amp;C283)</f>
        <v/>
      </c>
      <c r="B283" s="113"/>
      <c r="C283" s="113"/>
      <c r="D283" s="113"/>
      <c r="E283" s="118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</row>
    <row r="284" customFormat="false" ht="15.75" hidden="false" customHeight="false" outlineLevel="0" collapsed="false">
      <c r="A284" s="113" t="str">
        <f aca="false">IF(ISBLANK(B284),"",B284&amp;"|"&amp;C284)</f>
        <v/>
      </c>
      <c r="B284" s="113"/>
      <c r="C284" s="113"/>
      <c r="D284" s="113"/>
      <c r="E284" s="118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</row>
    <row r="285" customFormat="false" ht="15.75" hidden="false" customHeight="false" outlineLevel="0" collapsed="false">
      <c r="A285" s="113" t="str">
        <f aca="false">IF(ISBLANK(B285),"",B285&amp;"|"&amp;C285)</f>
        <v/>
      </c>
      <c r="B285" s="113"/>
      <c r="C285" s="113"/>
      <c r="D285" s="113"/>
      <c r="E285" s="118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</row>
    <row r="286" customFormat="false" ht="15.75" hidden="false" customHeight="false" outlineLevel="0" collapsed="false">
      <c r="A286" s="113" t="str">
        <f aca="false">IF(ISBLANK(B286),"",B286&amp;"|"&amp;C286)</f>
        <v/>
      </c>
      <c r="B286" s="113"/>
      <c r="C286" s="113"/>
      <c r="D286" s="113"/>
      <c r="E286" s="118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</row>
    <row r="287" customFormat="false" ht="15.75" hidden="false" customHeight="false" outlineLevel="0" collapsed="false">
      <c r="A287" s="113" t="str">
        <f aca="false">IF(ISBLANK(B287),"",B287&amp;"|"&amp;C287)</f>
        <v/>
      </c>
      <c r="B287" s="113"/>
      <c r="C287" s="113"/>
      <c r="D287" s="113"/>
      <c r="E287" s="118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</row>
    <row r="288" customFormat="false" ht="15.75" hidden="false" customHeight="false" outlineLevel="0" collapsed="false">
      <c r="A288" s="113" t="str">
        <f aca="false">IF(ISBLANK(B288),"",B288&amp;"|"&amp;C288)</f>
        <v/>
      </c>
      <c r="B288" s="113"/>
      <c r="C288" s="113"/>
      <c r="D288" s="113"/>
      <c r="E288" s="118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</row>
    <row r="289" customFormat="false" ht="15.75" hidden="false" customHeight="false" outlineLevel="0" collapsed="false">
      <c r="A289" s="113" t="str">
        <f aca="false">IF(ISBLANK(B289),"",B289&amp;"|"&amp;C289)</f>
        <v/>
      </c>
      <c r="B289" s="113"/>
      <c r="C289" s="113"/>
      <c r="D289" s="113"/>
      <c r="E289" s="118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</row>
    <row r="290" customFormat="false" ht="15.75" hidden="false" customHeight="false" outlineLevel="0" collapsed="false">
      <c r="A290" s="113" t="str">
        <f aca="false">IF(ISBLANK(B290),"",B290&amp;"|"&amp;C290)</f>
        <v/>
      </c>
      <c r="B290" s="113"/>
      <c r="C290" s="113"/>
      <c r="D290" s="113"/>
      <c r="E290" s="118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</row>
    <row r="291" customFormat="false" ht="15.75" hidden="false" customHeight="false" outlineLevel="0" collapsed="false">
      <c r="A291" s="113" t="str">
        <f aca="false">IF(ISBLANK(B291),"",B291&amp;"|"&amp;C291)</f>
        <v/>
      </c>
      <c r="B291" s="113"/>
      <c r="C291" s="113"/>
      <c r="D291" s="113"/>
      <c r="E291" s="118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</row>
    <row r="292" customFormat="false" ht="15.75" hidden="false" customHeight="false" outlineLevel="0" collapsed="false">
      <c r="A292" s="113" t="str">
        <f aca="false">IF(ISBLANK(B292),"",B292&amp;"|"&amp;C292)</f>
        <v/>
      </c>
      <c r="B292" s="113"/>
      <c r="C292" s="113"/>
      <c r="D292" s="113"/>
      <c r="E292" s="118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</row>
    <row r="293" customFormat="false" ht="15.75" hidden="false" customHeight="false" outlineLevel="0" collapsed="false">
      <c r="A293" s="113" t="str">
        <f aca="false">IF(ISBLANK(B293),"",B293&amp;"|"&amp;C293)</f>
        <v/>
      </c>
      <c r="B293" s="113"/>
      <c r="C293" s="113"/>
      <c r="D293" s="113"/>
      <c r="E293" s="118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</row>
    <row r="294" customFormat="false" ht="15.75" hidden="false" customHeight="false" outlineLevel="0" collapsed="false">
      <c r="A294" s="113" t="str">
        <f aca="false">IF(ISBLANK(B294),"",B294&amp;"|"&amp;C294)</f>
        <v/>
      </c>
      <c r="B294" s="113"/>
      <c r="C294" s="113"/>
      <c r="D294" s="113"/>
      <c r="E294" s="118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</row>
    <row r="295" customFormat="false" ht="15.75" hidden="false" customHeight="false" outlineLevel="0" collapsed="false">
      <c r="A295" s="113" t="str">
        <f aca="false">IF(ISBLANK(B295),"",B295&amp;"|"&amp;C295)</f>
        <v/>
      </c>
      <c r="B295" s="113"/>
      <c r="C295" s="113"/>
      <c r="D295" s="113"/>
      <c r="E295" s="118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</row>
    <row r="296" customFormat="false" ht="15.75" hidden="false" customHeight="false" outlineLevel="0" collapsed="false">
      <c r="A296" s="113" t="str">
        <f aca="false">IF(ISBLANK(B296),"",B296&amp;"|"&amp;C296)</f>
        <v/>
      </c>
      <c r="B296" s="113"/>
      <c r="C296" s="113"/>
      <c r="D296" s="113"/>
      <c r="E296" s="118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</row>
    <row r="297" customFormat="false" ht="15.75" hidden="false" customHeight="false" outlineLevel="0" collapsed="false">
      <c r="A297" s="113" t="str">
        <f aca="false">IF(ISBLANK(B297),"",B297&amp;"|"&amp;C297)</f>
        <v/>
      </c>
      <c r="B297" s="113"/>
      <c r="C297" s="113"/>
      <c r="D297" s="113"/>
      <c r="E297" s="118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</row>
    <row r="298" customFormat="false" ht="15.75" hidden="false" customHeight="false" outlineLevel="0" collapsed="false">
      <c r="A298" s="113" t="str">
        <f aca="false">IF(ISBLANK(B298),"",B298&amp;"|"&amp;C298)</f>
        <v/>
      </c>
      <c r="B298" s="113"/>
      <c r="C298" s="113"/>
      <c r="D298" s="113"/>
      <c r="E298" s="118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</row>
    <row r="299" customFormat="false" ht="15.75" hidden="false" customHeight="false" outlineLevel="0" collapsed="false">
      <c r="A299" s="113" t="str">
        <f aca="false">IF(ISBLANK(B299),"",B299&amp;"|"&amp;C299)</f>
        <v/>
      </c>
      <c r="B299" s="113"/>
      <c r="C299" s="113"/>
      <c r="D299" s="113"/>
      <c r="E299" s="118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</row>
    <row r="300" customFormat="false" ht="15.75" hidden="false" customHeight="false" outlineLevel="0" collapsed="false">
      <c r="A300" s="113" t="str">
        <f aca="false">IF(ISBLANK(B300),"",B300&amp;"|"&amp;C300)</f>
        <v/>
      </c>
      <c r="B300" s="113"/>
      <c r="C300" s="113"/>
      <c r="D300" s="113"/>
      <c r="E300" s="118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</row>
    <row r="301" customFormat="false" ht="15.75" hidden="false" customHeight="false" outlineLevel="0" collapsed="false">
      <c r="A301" s="113" t="str">
        <f aca="false">IF(ISBLANK(B301),"",B301&amp;"|"&amp;C301)</f>
        <v/>
      </c>
      <c r="B301" s="113"/>
      <c r="C301" s="113"/>
      <c r="D301" s="113"/>
      <c r="E301" s="118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</row>
    <row r="302" customFormat="false" ht="15.75" hidden="false" customHeight="false" outlineLevel="0" collapsed="false">
      <c r="A302" s="113" t="str">
        <f aca="false">IF(ISBLANK(B302),"",B302&amp;"|"&amp;C302)</f>
        <v/>
      </c>
      <c r="B302" s="113"/>
      <c r="C302" s="113"/>
      <c r="D302" s="113"/>
      <c r="E302" s="118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</row>
    <row r="303" customFormat="false" ht="15.75" hidden="false" customHeight="false" outlineLevel="0" collapsed="false">
      <c r="A303" s="113" t="str">
        <f aca="false">IF(ISBLANK(B303),"",B303&amp;"|"&amp;C303)</f>
        <v/>
      </c>
      <c r="B303" s="113"/>
      <c r="C303" s="113"/>
      <c r="D303" s="113"/>
      <c r="E303" s="118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</row>
    <row r="304" customFormat="false" ht="15.75" hidden="false" customHeight="false" outlineLevel="0" collapsed="false">
      <c r="A304" s="113" t="str">
        <f aca="false">IF(ISBLANK(B304),"",B304&amp;"|"&amp;C304)</f>
        <v/>
      </c>
      <c r="B304" s="113"/>
      <c r="C304" s="113"/>
      <c r="D304" s="113"/>
      <c r="E304" s="118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</row>
    <row r="305" customFormat="false" ht="15.75" hidden="false" customHeight="false" outlineLevel="0" collapsed="false">
      <c r="A305" s="113" t="str">
        <f aca="false">IF(ISBLANK(B305),"",B305&amp;"|"&amp;C305)</f>
        <v/>
      </c>
      <c r="B305" s="113"/>
      <c r="C305" s="113"/>
      <c r="D305" s="113"/>
      <c r="E305" s="118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</row>
    <row r="306" customFormat="false" ht="15.75" hidden="false" customHeight="false" outlineLevel="0" collapsed="false">
      <c r="A306" s="113" t="str">
        <f aca="false">IF(ISBLANK(B306),"",B306&amp;"|"&amp;C306)</f>
        <v/>
      </c>
      <c r="B306" s="113"/>
      <c r="C306" s="113"/>
      <c r="D306" s="113"/>
      <c r="E306" s="118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</row>
    <row r="307" customFormat="false" ht="15.75" hidden="false" customHeight="false" outlineLevel="0" collapsed="false">
      <c r="A307" s="113" t="str">
        <f aca="false">IF(ISBLANK(B307),"",B307&amp;"|"&amp;C307)</f>
        <v/>
      </c>
      <c r="B307" s="113"/>
      <c r="C307" s="113"/>
      <c r="D307" s="113"/>
      <c r="E307" s="118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</row>
    <row r="308" customFormat="false" ht="15.75" hidden="false" customHeight="false" outlineLevel="0" collapsed="false">
      <c r="A308" s="113" t="str">
        <f aca="false">IF(ISBLANK(B308),"",B308&amp;"|"&amp;C308)</f>
        <v/>
      </c>
      <c r="B308" s="113"/>
      <c r="C308" s="113"/>
      <c r="D308" s="113"/>
      <c r="E308" s="118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</row>
    <row r="309" customFormat="false" ht="15.75" hidden="false" customHeight="false" outlineLevel="0" collapsed="false">
      <c r="A309" s="113" t="str">
        <f aca="false">IF(ISBLANK(B309),"",B309&amp;"|"&amp;C309)</f>
        <v/>
      </c>
      <c r="B309" s="113"/>
      <c r="C309" s="113"/>
      <c r="D309" s="113"/>
      <c r="E309" s="118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</row>
    <row r="310" customFormat="false" ht="15.75" hidden="false" customHeight="false" outlineLevel="0" collapsed="false">
      <c r="A310" s="113" t="str">
        <f aca="false">IF(ISBLANK(B310),"",B310&amp;"|"&amp;C310)</f>
        <v/>
      </c>
      <c r="B310" s="113"/>
      <c r="C310" s="113"/>
      <c r="D310" s="113"/>
      <c r="E310" s="118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</row>
    <row r="311" customFormat="false" ht="15.75" hidden="false" customHeight="false" outlineLevel="0" collapsed="false">
      <c r="A311" s="113" t="str">
        <f aca="false">IF(ISBLANK(B311),"",B311&amp;"|"&amp;C311)</f>
        <v/>
      </c>
      <c r="B311" s="113"/>
      <c r="C311" s="113"/>
      <c r="D311" s="113"/>
      <c r="E311" s="118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</row>
    <row r="312" customFormat="false" ht="15.75" hidden="false" customHeight="false" outlineLevel="0" collapsed="false">
      <c r="A312" s="113" t="str">
        <f aca="false">IF(ISBLANK(B312),"",B312&amp;"|"&amp;C312)</f>
        <v/>
      </c>
      <c r="B312" s="113"/>
      <c r="C312" s="113"/>
      <c r="D312" s="113"/>
      <c r="E312" s="118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</row>
    <row r="313" customFormat="false" ht="15.75" hidden="false" customHeight="false" outlineLevel="0" collapsed="false">
      <c r="A313" s="113" t="str">
        <f aca="false">IF(ISBLANK(B313),"",B313&amp;"|"&amp;C313)</f>
        <v/>
      </c>
      <c r="B313" s="113"/>
      <c r="C313" s="113"/>
      <c r="D313" s="113"/>
      <c r="E313" s="118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</row>
    <row r="314" customFormat="false" ht="15.75" hidden="false" customHeight="false" outlineLevel="0" collapsed="false">
      <c r="A314" s="113" t="str">
        <f aca="false">IF(ISBLANK(B314),"",B314&amp;"|"&amp;C314)</f>
        <v/>
      </c>
      <c r="B314" s="113"/>
      <c r="C314" s="113"/>
      <c r="D314" s="113"/>
      <c r="E314" s="118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</row>
    <row r="315" customFormat="false" ht="15.75" hidden="false" customHeight="false" outlineLevel="0" collapsed="false">
      <c r="A315" s="113" t="str">
        <f aca="false">IF(ISBLANK(B315),"",B315&amp;"|"&amp;C315)</f>
        <v/>
      </c>
      <c r="B315" s="113"/>
      <c r="C315" s="113"/>
      <c r="D315" s="113"/>
      <c r="E315" s="118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</row>
    <row r="316" customFormat="false" ht="15.75" hidden="false" customHeight="false" outlineLevel="0" collapsed="false">
      <c r="A316" s="113" t="str">
        <f aca="false">IF(ISBLANK(B316),"",B316&amp;"|"&amp;C316)</f>
        <v/>
      </c>
      <c r="B316" s="113"/>
      <c r="C316" s="113"/>
      <c r="D316" s="113"/>
      <c r="E316" s="118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</row>
    <row r="317" customFormat="false" ht="15.75" hidden="false" customHeight="false" outlineLevel="0" collapsed="false">
      <c r="A317" s="113" t="str">
        <f aca="false">IF(ISBLANK(B317),"",B317&amp;"|"&amp;C317)</f>
        <v/>
      </c>
      <c r="B317" s="113"/>
      <c r="C317" s="113"/>
      <c r="D317" s="113"/>
      <c r="E317" s="118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</row>
    <row r="318" customFormat="false" ht="15.75" hidden="false" customHeight="false" outlineLevel="0" collapsed="false">
      <c r="A318" s="113" t="str">
        <f aca="false">IF(ISBLANK(B318),"",B318&amp;"|"&amp;C318)</f>
        <v/>
      </c>
      <c r="B318" s="113"/>
      <c r="C318" s="113"/>
      <c r="D318" s="113"/>
      <c r="E318" s="118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</row>
    <row r="319" customFormat="false" ht="15.75" hidden="false" customHeight="false" outlineLevel="0" collapsed="false">
      <c r="A319" s="113" t="str">
        <f aca="false">IF(ISBLANK(B319),"",B319&amp;"|"&amp;C319)</f>
        <v/>
      </c>
      <c r="B319" s="113"/>
      <c r="C319" s="113"/>
      <c r="D319" s="113"/>
      <c r="E319" s="118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</row>
    <row r="320" customFormat="false" ht="15.75" hidden="false" customHeight="false" outlineLevel="0" collapsed="false">
      <c r="A320" s="113" t="str">
        <f aca="false">IF(ISBLANK(B320),"",B320&amp;"|"&amp;C320)</f>
        <v/>
      </c>
      <c r="B320" s="113"/>
      <c r="C320" s="113"/>
      <c r="D320" s="113"/>
      <c r="E320" s="118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</row>
    <row r="321" customFormat="false" ht="15.75" hidden="false" customHeight="false" outlineLevel="0" collapsed="false">
      <c r="A321" s="113" t="str">
        <f aca="false">IF(ISBLANK(B321),"",B321&amp;"|"&amp;C321)</f>
        <v/>
      </c>
      <c r="B321" s="113"/>
      <c r="C321" s="113"/>
      <c r="D321" s="113"/>
      <c r="E321" s="118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</row>
    <row r="322" customFormat="false" ht="15.75" hidden="false" customHeight="false" outlineLevel="0" collapsed="false">
      <c r="A322" s="113" t="str">
        <f aca="false">IF(ISBLANK(B322),"",B322&amp;"|"&amp;C322)</f>
        <v/>
      </c>
      <c r="B322" s="113"/>
      <c r="C322" s="113"/>
      <c r="D322" s="113"/>
      <c r="E322" s="118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</row>
    <row r="323" customFormat="false" ht="15.75" hidden="false" customHeight="false" outlineLevel="0" collapsed="false">
      <c r="A323" s="113" t="str">
        <f aca="false">IF(ISBLANK(B323),"",B323&amp;"|"&amp;C323)</f>
        <v/>
      </c>
      <c r="B323" s="113"/>
      <c r="C323" s="113"/>
      <c r="D323" s="113"/>
      <c r="E323" s="118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</row>
    <row r="324" customFormat="false" ht="15.75" hidden="false" customHeight="false" outlineLevel="0" collapsed="false">
      <c r="A324" s="113" t="str">
        <f aca="false">IF(ISBLANK(B324),"",B324&amp;"|"&amp;C324)</f>
        <v/>
      </c>
      <c r="B324" s="113"/>
      <c r="C324" s="113"/>
      <c r="D324" s="113"/>
      <c r="E324" s="118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</row>
    <row r="325" customFormat="false" ht="15.75" hidden="false" customHeight="false" outlineLevel="0" collapsed="false">
      <c r="A325" s="113" t="str">
        <f aca="false">IF(ISBLANK(B325),"",B325&amp;"|"&amp;C325)</f>
        <v/>
      </c>
      <c r="B325" s="113"/>
      <c r="C325" s="113"/>
      <c r="D325" s="113"/>
      <c r="E325" s="118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</row>
    <row r="326" customFormat="false" ht="15.75" hidden="false" customHeight="false" outlineLevel="0" collapsed="false">
      <c r="A326" s="113" t="str">
        <f aca="false">IF(ISBLANK(B326),"",B326&amp;"|"&amp;C326)</f>
        <v/>
      </c>
      <c r="B326" s="113"/>
      <c r="C326" s="113"/>
      <c r="D326" s="113"/>
      <c r="E326" s="118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</row>
    <row r="327" customFormat="false" ht="15.75" hidden="false" customHeight="false" outlineLevel="0" collapsed="false">
      <c r="A327" s="113" t="str">
        <f aca="false">IF(ISBLANK(B327),"",B327&amp;"|"&amp;C327)</f>
        <v/>
      </c>
      <c r="B327" s="113"/>
      <c r="C327" s="113"/>
      <c r="D327" s="113"/>
      <c r="E327" s="118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</row>
    <row r="328" customFormat="false" ht="15.75" hidden="false" customHeight="false" outlineLevel="0" collapsed="false">
      <c r="A328" s="113" t="str">
        <f aca="false">IF(ISBLANK(B328),"",B328&amp;"|"&amp;C328)</f>
        <v/>
      </c>
      <c r="B328" s="113"/>
      <c r="C328" s="113"/>
      <c r="D328" s="113"/>
      <c r="E328" s="118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</row>
    <row r="329" customFormat="false" ht="15.75" hidden="false" customHeight="false" outlineLevel="0" collapsed="false">
      <c r="A329" s="113" t="str">
        <f aca="false">IF(ISBLANK(B329),"",B329&amp;"|"&amp;C329)</f>
        <v/>
      </c>
      <c r="B329" s="113"/>
      <c r="C329" s="113"/>
      <c r="D329" s="113"/>
      <c r="E329" s="118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</row>
    <row r="330" customFormat="false" ht="15.75" hidden="false" customHeight="false" outlineLevel="0" collapsed="false">
      <c r="A330" s="113" t="str">
        <f aca="false">IF(ISBLANK(B330),"",B330&amp;"|"&amp;C330)</f>
        <v/>
      </c>
      <c r="B330" s="113"/>
      <c r="C330" s="113"/>
      <c r="D330" s="113"/>
      <c r="E330" s="118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</row>
    <row r="331" customFormat="false" ht="15.75" hidden="false" customHeight="false" outlineLevel="0" collapsed="false">
      <c r="A331" s="113" t="str">
        <f aca="false">IF(ISBLANK(B331),"",B331&amp;"|"&amp;C331)</f>
        <v/>
      </c>
      <c r="B331" s="113"/>
      <c r="C331" s="113"/>
      <c r="D331" s="113"/>
      <c r="E331" s="118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</row>
    <row r="332" customFormat="false" ht="15.75" hidden="false" customHeight="false" outlineLevel="0" collapsed="false">
      <c r="A332" s="113" t="str">
        <f aca="false">IF(ISBLANK(B332),"",B332&amp;"|"&amp;C332)</f>
        <v/>
      </c>
      <c r="B332" s="113"/>
      <c r="C332" s="113"/>
      <c r="D332" s="113"/>
      <c r="E332" s="118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</row>
    <row r="333" customFormat="false" ht="15.75" hidden="false" customHeight="false" outlineLevel="0" collapsed="false">
      <c r="A333" s="113" t="str">
        <f aca="false">IF(ISBLANK(B333),"",B333&amp;"|"&amp;C333)</f>
        <v/>
      </c>
      <c r="B333" s="113"/>
      <c r="C333" s="113"/>
      <c r="D333" s="113"/>
      <c r="E333" s="118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</row>
    <row r="334" customFormat="false" ht="15.75" hidden="false" customHeight="false" outlineLevel="0" collapsed="false">
      <c r="A334" s="113" t="str">
        <f aca="false">IF(ISBLANK(B334),"",B334&amp;"|"&amp;C334)</f>
        <v/>
      </c>
      <c r="B334" s="113"/>
      <c r="C334" s="113"/>
      <c r="D334" s="113"/>
      <c r="E334" s="118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</row>
    <row r="335" customFormat="false" ht="15.75" hidden="false" customHeight="false" outlineLevel="0" collapsed="false">
      <c r="A335" s="113" t="str">
        <f aca="false">IF(ISBLANK(B335),"",B335&amp;"|"&amp;C335)</f>
        <v/>
      </c>
      <c r="B335" s="113"/>
      <c r="C335" s="113"/>
      <c r="D335" s="113"/>
      <c r="E335" s="118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</row>
    <row r="336" customFormat="false" ht="15.75" hidden="false" customHeight="false" outlineLevel="0" collapsed="false">
      <c r="A336" s="113" t="str">
        <f aca="false">IF(ISBLANK(B336),"",B336&amp;"|"&amp;C336)</f>
        <v/>
      </c>
      <c r="B336" s="113"/>
      <c r="C336" s="113"/>
      <c r="D336" s="113"/>
      <c r="E336" s="118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</row>
    <row r="337" customFormat="false" ht="15.75" hidden="false" customHeight="false" outlineLevel="0" collapsed="false">
      <c r="A337" s="113" t="str">
        <f aca="false">IF(ISBLANK(B337),"",B337&amp;"|"&amp;C337)</f>
        <v/>
      </c>
      <c r="B337" s="113"/>
      <c r="C337" s="113"/>
      <c r="D337" s="113"/>
      <c r="E337" s="118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</row>
    <row r="338" customFormat="false" ht="15.75" hidden="false" customHeight="false" outlineLevel="0" collapsed="false">
      <c r="A338" s="113" t="str">
        <f aca="false">IF(ISBLANK(B338),"",B338&amp;"|"&amp;C338)</f>
        <v/>
      </c>
      <c r="B338" s="113"/>
      <c r="C338" s="113"/>
      <c r="D338" s="113"/>
      <c r="E338" s="118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</row>
    <row r="339" customFormat="false" ht="15.75" hidden="false" customHeight="false" outlineLevel="0" collapsed="false">
      <c r="A339" s="113" t="str">
        <f aca="false">IF(ISBLANK(B339),"",B339&amp;"|"&amp;C339)</f>
        <v/>
      </c>
      <c r="B339" s="113"/>
      <c r="C339" s="113"/>
      <c r="D339" s="113"/>
      <c r="E339" s="118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</row>
    <row r="340" customFormat="false" ht="15.75" hidden="false" customHeight="false" outlineLevel="0" collapsed="false">
      <c r="A340" s="113" t="str">
        <f aca="false">IF(ISBLANK(B340),"",B340&amp;"|"&amp;C340)</f>
        <v/>
      </c>
      <c r="B340" s="113"/>
      <c r="C340" s="113"/>
      <c r="D340" s="113"/>
      <c r="E340" s="118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</row>
    <row r="341" customFormat="false" ht="15.75" hidden="false" customHeight="false" outlineLevel="0" collapsed="false">
      <c r="A341" s="113" t="str">
        <f aca="false">IF(ISBLANK(B341),"",B341&amp;"|"&amp;C341)</f>
        <v/>
      </c>
      <c r="B341" s="113"/>
      <c r="C341" s="113"/>
      <c r="D341" s="113"/>
      <c r="E341" s="118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</row>
    <row r="342" customFormat="false" ht="15.75" hidden="false" customHeight="false" outlineLevel="0" collapsed="false">
      <c r="A342" s="113" t="str">
        <f aca="false">IF(ISBLANK(B342),"",B342&amp;"|"&amp;C342)</f>
        <v/>
      </c>
      <c r="B342" s="113"/>
      <c r="C342" s="113"/>
      <c r="D342" s="113"/>
      <c r="E342" s="118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</row>
    <row r="343" customFormat="false" ht="15.75" hidden="false" customHeight="false" outlineLevel="0" collapsed="false">
      <c r="A343" s="113" t="str">
        <f aca="false">IF(ISBLANK(B343),"",B343&amp;"|"&amp;C343)</f>
        <v/>
      </c>
      <c r="B343" s="113"/>
      <c r="C343" s="113"/>
      <c r="D343" s="113"/>
      <c r="E343" s="118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</row>
    <row r="344" customFormat="false" ht="15.75" hidden="false" customHeight="false" outlineLevel="0" collapsed="false">
      <c r="A344" s="113" t="str">
        <f aca="false">IF(ISBLANK(B344),"",B344&amp;"|"&amp;C344)</f>
        <v/>
      </c>
      <c r="B344" s="113"/>
      <c r="C344" s="113"/>
      <c r="D344" s="113"/>
      <c r="E344" s="118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</row>
    <row r="345" customFormat="false" ht="15.75" hidden="false" customHeight="false" outlineLevel="0" collapsed="false">
      <c r="A345" s="113" t="str">
        <f aca="false">IF(ISBLANK(B345),"",B345&amp;"|"&amp;C345)</f>
        <v/>
      </c>
      <c r="B345" s="113"/>
      <c r="C345" s="113"/>
      <c r="D345" s="113"/>
      <c r="E345" s="118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</row>
    <row r="346" customFormat="false" ht="15.75" hidden="false" customHeight="false" outlineLevel="0" collapsed="false">
      <c r="A346" s="113" t="str">
        <f aca="false">IF(ISBLANK(B346),"",B346&amp;"|"&amp;C346)</f>
        <v/>
      </c>
      <c r="B346" s="113"/>
      <c r="C346" s="113"/>
      <c r="D346" s="113"/>
      <c r="E346" s="118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</row>
    <row r="347" customFormat="false" ht="15.75" hidden="false" customHeight="false" outlineLevel="0" collapsed="false">
      <c r="A347" s="113" t="str">
        <f aca="false">IF(ISBLANK(B347),"",B347&amp;"|"&amp;C347)</f>
        <v/>
      </c>
      <c r="B347" s="113"/>
      <c r="C347" s="113"/>
      <c r="D347" s="113"/>
      <c r="E347" s="118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</row>
    <row r="348" customFormat="false" ht="15.75" hidden="false" customHeight="false" outlineLevel="0" collapsed="false">
      <c r="A348" s="113" t="str">
        <f aca="false">IF(ISBLANK(B348),"",B348&amp;"|"&amp;C348)</f>
        <v/>
      </c>
      <c r="B348" s="113"/>
      <c r="C348" s="113"/>
      <c r="D348" s="113"/>
      <c r="E348" s="118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</row>
    <row r="349" customFormat="false" ht="15.75" hidden="false" customHeight="false" outlineLevel="0" collapsed="false">
      <c r="A349" s="113" t="str">
        <f aca="false">IF(ISBLANK(B349),"",B349&amp;"|"&amp;C349)</f>
        <v/>
      </c>
      <c r="B349" s="113"/>
      <c r="C349" s="113"/>
      <c r="D349" s="113"/>
      <c r="E349" s="118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</row>
    <row r="350" customFormat="false" ht="15.75" hidden="false" customHeight="false" outlineLevel="0" collapsed="false">
      <c r="A350" s="113" t="str">
        <f aca="false">IF(ISBLANK(B350),"",B350&amp;"|"&amp;C350)</f>
        <v/>
      </c>
      <c r="B350" s="113"/>
      <c r="C350" s="113"/>
      <c r="D350" s="113"/>
      <c r="E350" s="118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</row>
    <row r="351" customFormat="false" ht="15.75" hidden="false" customHeight="false" outlineLevel="0" collapsed="false">
      <c r="A351" s="113" t="str">
        <f aca="false">IF(ISBLANK(B351),"",B351&amp;"|"&amp;C351)</f>
        <v/>
      </c>
      <c r="B351" s="113"/>
      <c r="C351" s="113"/>
      <c r="D351" s="113"/>
      <c r="E351" s="118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</row>
    <row r="352" customFormat="false" ht="15.75" hidden="false" customHeight="false" outlineLevel="0" collapsed="false">
      <c r="A352" s="113" t="str">
        <f aca="false">IF(ISBLANK(B352),"",B352&amp;"|"&amp;C352)</f>
        <v/>
      </c>
      <c r="B352" s="113"/>
      <c r="C352" s="113"/>
      <c r="D352" s="113"/>
      <c r="E352" s="118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</row>
    <row r="353" customFormat="false" ht="15.75" hidden="false" customHeight="false" outlineLevel="0" collapsed="false">
      <c r="A353" s="113" t="str">
        <f aca="false">IF(ISBLANK(B353),"",B353&amp;"|"&amp;C353)</f>
        <v/>
      </c>
      <c r="B353" s="113"/>
      <c r="C353" s="113"/>
      <c r="D353" s="113"/>
      <c r="E353" s="118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</row>
    <row r="354" customFormat="false" ht="15.75" hidden="false" customHeight="false" outlineLevel="0" collapsed="false">
      <c r="A354" s="113" t="str">
        <f aca="false">IF(ISBLANK(B354),"",B354&amp;"|"&amp;C354)</f>
        <v/>
      </c>
      <c r="B354" s="113"/>
      <c r="C354" s="113"/>
      <c r="D354" s="113"/>
      <c r="E354" s="118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</row>
    <row r="355" customFormat="false" ht="15.75" hidden="false" customHeight="false" outlineLevel="0" collapsed="false">
      <c r="A355" s="113" t="str">
        <f aca="false">IF(ISBLANK(B355),"",B355&amp;"|"&amp;C355)</f>
        <v/>
      </c>
      <c r="B355" s="113"/>
      <c r="C355" s="113"/>
      <c r="D355" s="113"/>
      <c r="E355" s="118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</row>
    <row r="356" customFormat="false" ht="15.75" hidden="false" customHeight="false" outlineLevel="0" collapsed="false">
      <c r="A356" s="113" t="str">
        <f aca="false">IF(ISBLANK(B356),"",B356&amp;"|"&amp;C356)</f>
        <v/>
      </c>
      <c r="B356" s="113"/>
      <c r="C356" s="113"/>
      <c r="D356" s="113"/>
      <c r="E356" s="118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</row>
    <row r="357" customFormat="false" ht="15.75" hidden="false" customHeight="false" outlineLevel="0" collapsed="false">
      <c r="A357" s="113" t="str">
        <f aca="false">IF(ISBLANK(B357),"",B357&amp;"|"&amp;C357)</f>
        <v/>
      </c>
      <c r="B357" s="113"/>
      <c r="C357" s="113"/>
      <c r="D357" s="113"/>
      <c r="E357" s="118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</row>
    <row r="358" customFormat="false" ht="15.75" hidden="false" customHeight="false" outlineLevel="0" collapsed="false">
      <c r="A358" s="113" t="str">
        <f aca="false">IF(ISBLANK(B358),"",B358&amp;"|"&amp;C358)</f>
        <v/>
      </c>
      <c r="B358" s="113"/>
      <c r="C358" s="113"/>
      <c r="D358" s="113"/>
      <c r="E358" s="118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</row>
    <row r="359" customFormat="false" ht="15.75" hidden="false" customHeight="false" outlineLevel="0" collapsed="false">
      <c r="A359" s="113" t="str">
        <f aca="false">IF(ISBLANK(B359),"",B359&amp;"|"&amp;C359)</f>
        <v/>
      </c>
      <c r="B359" s="113"/>
      <c r="C359" s="113"/>
      <c r="D359" s="113"/>
      <c r="E359" s="118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</row>
    <row r="360" customFormat="false" ht="15.75" hidden="false" customHeight="false" outlineLevel="0" collapsed="false">
      <c r="A360" s="113" t="str">
        <f aca="false">IF(ISBLANK(B360),"",B360&amp;"|"&amp;C360)</f>
        <v/>
      </c>
      <c r="B360" s="113"/>
      <c r="C360" s="113"/>
      <c r="D360" s="113"/>
      <c r="E360" s="118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</row>
    <row r="361" customFormat="false" ht="15.75" hidden="false" customHeight="false" outlineLevel="0" collapsed="false">
      <c r="A361" s="113" t="str">
        <f aca="false">IF(ISBLANK(B361),"",B361&amp;"|"&amp;C361)</f>
        <v/>
      </c>
      <c r="B361" s="113"/>
      <c r="C361" s="113"/>
      <c r="D361" s="113"/>
      <c r="E361" s="118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</row>
    <row r="362" customFormat="false" ht="15.75" hidden="false" customHeight="false" outlineLevel="0" collapsed="false">
      <c r="A362" s="113" t="str">
        <f aca="false">IF(ISBLANK(B362),"",B362&amp;"|"&amp;C362)</f>
        <v/>
      </c>
      <c r="B362" s="113"/>
      <c r="C362" s="113"/>
      <c r="D362" s="113"/>
      <c r="E362" s="118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</row>
    <row r="363" customFormat="false" ht="15.75" hidden="false" customHeight="false" outlineLevel="0" collapsed="false">
      <c r="A363" s="113" t="str">
        <f aca="false">IF(ISBLANK(B363),"",B363&amp;"|"&amp;C363)</f>
        <v/>
      </c>
      <c r="B363" s="113"/>
      <c r="C363" s="113"/>
      <c r="D363" s="113"/>
      <c r="E363" s="118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</row>
    <row r="364" customFormat="false" ht="15.75" hidden="false" customHeight="false" outlineLevel="0" collapsed="false">
      <c r="A364" s="113" t="str">
        <f aca="false">IF(ISBLANK(B364),"",B364&amp;"|"&amp;C364)</f>
        <v/>
      </c>
      <c r="B364" s="113"/>
      <c r="C364" s="113"/>
      <c r="D364" s="113"/>
      <c r="E364" s="118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</row>
    <row r="365" customFormat="false" ht="15.75" hidden="false" customHeight="false" outlineLevel="0" collapsed="false">
      <c r="A365" s="113" t="str">
        <f aca="false">IF(ISBLANK(B365),"",B365&amp;"|"&amp;C365)</f>
        <v/>
      </c>
      <c r="B365" s="113"/>
      <c r="C365" s="113"/>
      <c r="D365" s="113"/>
      <c r="E365" s="118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</row>
    <row r="366" customFormat="false" ht="15.75" hidden="false" customHeight="false" outlineLevel="0" collapsed="false">
      <c r="A366" s="113" t="str">
        <f aca="false">IF(ISBLANK(B366),"",B366&amp;"|"&amp;C366)</f>
        <v/>
      </c>
      <c r="B366" s="113"/>
      <c r="C366" s="113"/>
      <c r="D366" s="113"/>
      <c r="E366" s="118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</row>
    <row r="367" customFormat="false" ht="15.75" hidden="false" customHeight="false" outlineLevel="0" collapsed="false">
      <c r="A367" s="113" t="str">
        <f aca="false">IF(ISBLANK(B367),"",B367&amp;"|"&amp;C367)</f>
        <v/>
      </c>
      <c r="B367" s="113"/>
      <c r="C367" s="113"/>
      <c r="D367" s="113"/>
      <c r="E367" s="118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</row>
    <row r="368" customFormat="false" ht="15.75" hidden="false" customHeight="false" outlineLevel="0" collapsed="false">
      <c r="A368" s="113" t="str">
        <f aca="false">IF(ISBLANK(B368),"",B368&amp;"|"&amp;C368)</f>
        <v/>
      </c>
      <c r="B368" s="113"/>
      <c r="C368" s="113"/>
      <c r="D368" s="113"/>
      <c r="E368" s="118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</row>
    <row r="369" customFormat="false" ht="15.75" hidden="false" customHeight="false" outlineLevel="0" collapsed="false">
      <c r="A369" s="113" t="str">
        <f aca="false">IF(ISBLANK(B369),"",B369&amp;"|"&amp;C369)</f>
        <v/>
      </c>
      <c r="B369" s="113"/>
      <c r="C369" s="113"/>
      <c r="D369" s="113"/>
      <c r="E369" s="118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</row>
    <row r="370" customFormat="false" ht="15.75" hidden="false" customHeight="false" outlineLevel="0" collapsed="false">
      <c r="A370" s="113" t="str">
        <f aca="false">IF(ISBLANK(B370),"",B370&amp;"|"&amp;C370)</f>
        <v/>
      </c>
      <c r="B370" s="113"/>
      <c r="C370" s="113"/>
      <c r="D370" s="113"/>
      <c r="E370" s="118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</row>
    <row r="371" customFormat="false" ht="15.75" hidden="false" customHeight="false" outlineLevel="0" collapsed="false">
      <c r="A371" s="113" t="str">
        <f aca="false">IF(ISBLANK(B371),"",B371&amp;"|"&amp;C371)</f>
        <v/>
      </c>
      <c r="B371" s="113"/>
      <c r="C371" s="113"/>
      <c r="D371" s="113"/>
      <c r="E371" s="118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</row>
    <row r="372" customFormat="false" ht="15.75" hidden="false" customHeight="false" outlineLevel="0" collapsed="false">
      <c r="A372" s="113" t="str">
        <f aca="false">IF(ISBLANK(B372),"",B372&amp;"|"&amp;C372)</f>
        <v/>
      </c>
      <c r="B372" s="113"/>
      <c r="C372" s="113"/>
      <c r="D372" s="113"/>
      <c r="E372" s="118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</row>
    <row r="373" customFormat="false" ht="15.75" hidden="false" customHeight="false" outlineLevel="0" collapsed="false">
      <c r="A373" s="113" t="str">
        <f aca="false">IF(ISBLANK(B373),"",B373&amp;"|"&amp;C373)</f>
        <v/>
      </c>
      <c r="B373" s="113"/>
      <c r="C373" s="113"/>
      <c r="D373" s="113"/>
      <c r="E373" s="118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</row>
    <row r="374" customFormat="false" ht="15.75" hidden="false" customHeight="false" outlineLevel="0" collapsed="false">
      <c r="A374" s="113" t="str">
        <f aca="false">IF(ISBLANK(B374),"",B374&amp;"|"&amp;C374)</f>
        <v/>
      </c>
      <c r="B374" s="113"/>
      <c r="C374" s="113"/>
      <c r="D374" s="113"/>
      <c r="E374" s="118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</row>
    <row r="375" customFormat="false" ht="15.75" hidden="false" customHeight="false" outlineLevel="0" collapsed="false">
      <c r="A375" s="113" t="str">
        <f aca="false">IF(ISBLANK(B375),"",B375&amp;"|"&amp;C375)</f>
        <v/>
      </c>
      <c r="B375" s="113"/>
      <c r="C375" s="113"/>
      <c r="D375" s="113"/>
      <c r="E375" s="118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</row>
    <row r="376" customFormat="false" ht="15.75" hidden="false" customHeight="false" outlineLevel="0" collapsed="false">
      <c r="A376" s="113" t="str">
        <f aca="false">IF(ISBLANK(B376),"",B376&amp;"|"&amp;C376)</f>
        <v/>
      </c>
      <c r="B376" s="113"/>
      <c r="C376" s="113"/>
      <c r="D376" s="113"/>
      <c r="E376" s="118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</row>
    <row r="377" customFormat="false" ht="15.75" hidden="false" customHeight="false" outlineLevel="0" collapsed="false">
      <c r="A377" s="113" t="str">
        <f aca="false">IF(ISBLANK(B377),"",B377&amp;"|"&amp;C377)</f>
        <v/>
      </c>
      <c r="B377" s="113"/>
      <c r="C377" s="113"/>
      <c r="D377" s="113"/>
      <c r="E377" s="118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</row>
    <row r="378" customFormat="false" ht="15.75" hidden="false" customHeight="false" outlineLevel="0" collapsed="false">
      <c r="A378" s="113" t="str">
        <f aca="false">IF(ISBLANK(B378),"",B378&amp;"|"&amp;C378)</f>
        <v/>
      </c>
      <c r="B378" s="113"/>
      <c r="C378" s="113"/>
      <c r="D378" s="113"/>
      <c r="E378" s="118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</row>
    <row r="379" customFormat="false" ht="15.75" hidden="false" customHeight="false" outlineLevel="0" collapsed="false">
      <c r="A379" s="113" t="str">
        <f aca="false">IF(ISBLANK(B379),"",B379&amp;"|"&amp;C379)</f>
        <v/>
      </c>
      <c r="B379" s="113"/>
      <c r="C379" s="113"/>
      <c r="D379" s="113"/>
      <c r="E379" s="118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</row>
    <row r="380" customFormat="false" ht="15.75" hidden="false" customHeight="false" outlineLevel="0" collapsed="false">
      <c r="A380" s="113" t="str">
        <f aca="false">IF(ISBLANK(B380),"",B380&amp;"|"&amp;C380)</f>
        <v/>
      </c>
      <c r="B380" s="113"/>
      <c r="C380" s="113"/>
      <c r="D380" s="113"/>
      <c r="E380" s="118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</row>
    <row r="381" customFormat="false" ht="15.75" hidden="false" customHeight="false" outlineLevel="0" collapsed="false">
      <c r="A381" s="113" t="str">
        <f aca="false">IF(ISBLANK(B381),"",B381&amp;"|"&amp;C381)</f>
        <v/>
      </c>
      <c r="B381" s="113"/>
      <c r="C381" s="113"/>
      <c r="D381" s="113"/>
      <c r="E381" s="118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</row>
    <row r="382" customFormat="false" ht="15.75" hidden="false" customHeight="false" outlineLevel="0" collapsed="false">
      <c r="A382" s="113" t="str">
        <f aca="false">IF(ISBLANK(B382),"",B382&amp;"|"&amp;C382)</f>
        <v/>
      </c>
      <c r="B382" s="113"/>
      <c r="C382" s="113"/>
      <c r="D382" s="113"/>
      <c r="E382" s="118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</row>
    <row r="383" customFormat="false" ht="15.75" hidden="false" customHeight="false" outlineLevel="0" collapsed="false">
      <c r="A383" s="113" t="str">
        <f aca="false">IF(ISBLANK(B383),"",B383&amp;"|"&amp;C383)</f>
        <v/>
      </c>
      <c r="B383" s="113"/>
      <c r="C383" s="113"/>
      <c r="D383" s="113"/>
      <c r="E383" s="118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</row>
    <row r="384" customFormat="false" ht="15.75" hidden="false" customHeight="false" outlineLevel="0" collapsed="false">
      <c r="A384" s="113" t="str">
        <f aca="false">IF(ISBLANK(B384),"",B384&amp;"|"&amp;C384)</f>
        <v/>
      </c>
      <c r="B384" s="113"/>
      <c r="C384" s="113"/>
      <c r="D384" s="113"/>
      <c r="E384" s="118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</row>
    <row r="385" customFormat="false" ht="15.75" hidden="false" customHeight="false" outlineLevel="0" collapsed="false">
      <c r="A385" s="113" t="str">
        <f aca="false">IF(ISBLANK(B385),"",B385&amp;"|"&amp;C385)</f>
        <v/>
      </c>
      <c r="B385" s="113"/>
      <c r="C385" s="113"/>
      <c r="D385" s="113"/>
      <c r="E385" s="118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</row>
    <row r="386" customFormat="false" ht="15.75" hidden="false" customHeight="false" outlineLevel="0" collapsed="false">
      <c r="A386" s="113" t="str">
        <f aca="false">IF(ISBLANK(B386),"",B386&amp;"|"&amp;C386)</f>
        <v/>
      </c>
      <c r="B386" s="113"/>
      <c r="C386" s="113"/>
      <c r="D386" s="113"/>
      <c r="E386" s="118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</row>
    <row r="387" customFormat="false" ht="15.75" hidden="false" customHeight="false" outlineLevel="0" collapsed="false">
      <c r="A387" s="113" t="str">
        <f aca="false">IF(ISBLANK(B387),"",B387&amp;"|"&amp;C387)</f>
        <v/>
      </c>
      <c r="B387" s="113"/>
      <c r="C387" s="113"/>
      <c r="D387" s="113"/>
      <c r="E387" s="118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</row>
    <row r="388" customFormat="false" ht="15.75" hidden="false" customHeight="false" outlineLevel="0" collapsed="false">
      <c r="A388" s="113" t="str">
        <f aca="false">IF(ISBLANK(B388),"",B388&amp;"|"&amp;C388)</f>
        <v/>
      </c>
      <c r="B388" s="113"/>
      <c r="C388" s="113"/>
      <c r="D388" s="113"/>
      <c r="E388" s="118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</row>
    <row r="389" customFormat="false" ht="15.75" hidden="false" customHeight="false" outlineLevel="0" collapsed="false">
      <c r="A389" s="113" t="str">
        <f aca="false">IF(ISBLANK(B389),"",B389&amp;"|"&amp;C389)</f>
        <v/>
      </c>
      <c r="B389" s="113"/>
      <c r="C389" s="113"/>
      <c r="D389" s="113"/>
      <c r="E389" s="118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</row>
    <row r="390" customFormat="false" ht="15.75" hidden="false" customHeight="false" outlineLevel="0" collapsed="false">
      <c r="A390" s="113" t="str">
        <f aca="false">IF(ISBLANK(B390),"",B390&amp;"|"&amp;C390)</f>
        <v/>
      </c>
      <c r="B390" s="113"/>
      <c r="C390" s="113"/>
      <c r="D390" s="113"/>
      <c r="E390" s="118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</row>
    <row r="391" customFormat="false" ht="15.75" hidden="false" customHeight="false" outlineLevel="0" collapsed="false">
      <c r="A391" s="113" t="str">
        <f aca="false">IF(ISBLANK(B391),"",B391&amp;"|"&amp;C391)</f>
        <v/>
      </c>
      <c r="B391" s="113"/>
      <c r="C391" s="113"/>
      <c r="D391" s="113"/>
      <c r="E391" s="118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</row>
    <row r="392" customFormat="false" ht="15.75" hidden="false" customHeight="false" outlineLevel="0" collapsed="false">
      <c r="A392" s="113" t="str">
        <f aca="false">IF(ISBLANK(B392),"",B392&amp;"|"&amp;C392)</f>
        <v/>
      </c>
      <c r="B392" s="113"/>
      <c r="C392" s="113"/>
      <c r="D392" s="113"/>
      <c r="E392" s="118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</row>
    <row r="393" customFormat="false" ht="15.75" hidden="false" customHeight="false" outlineLevel="0" collapsed="false">
      <c r="A393" s="113" t="str">
        <f aca="false">IF(ISBLANK(B393),"",B393&amp;"|"&amp;C393)</f>
        <v/>
      </c>
      <c r="B393" s="113"/>
      <c r="C393" s="113"/>
      <c r="D393" s="113"/>
      <c r="E393" s="118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</row>
    <row r="394" customFormat="false" ht="15.75" hidden="false" customHeight="false" outlineLevel="0" collapsed="false">
      <c r="A394" s="113" t="str">
        <f aca="false">IF(ISBLANK(B394),"",B394&amp;"|"&amp;C394)</f>
        <v/>
      </c>
      <c r="B394" s="113"/>
      <c r="C394" s="113"/>
      <c r="D394" s="113"/>
      <c r="E394" s="118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</row>
    <row r="395" customFormat="false" ht="15.75" hidden="false" customHeight="false" outlineLevel="0" collapsed="false">
      <c r="A395" s="113" t="str">
        <f aca="false">IF(ISBLANK(B395),"",B395&amp;"|"&amp;C395)</f>
        <v/>
      </c>
      <c r="B395" s="113"/>
      <c r="C395" s="113"/>
      <c r="D395" s="113"/>
      <c r="E395" s="118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</row>
    <row r="396" customFormat="false" ht="15.75" hidden="false" customHeight="false" outlineLevel="0" collapsed="false">
      <c r="A396" s="113" t="str">
        <f aca="false">IF(ISBLANK(B396),"",B396&amp;"|"&amp;C396)</f>
        <v/>
      </c>
      <c r="B396" s="113"/>
      <c r="C396" s="113"/>
      <c r="D396" s="113"/>
      <c r="E396" s="118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</row>
    <row r="397" customFormat="false" ht="15.75" hidden="false" customHeight="false" outlineLevel="0" collapsed="false">
      <c r="A397" s="113" t="str">
        <f aca="false">IF(ISBLANK(B397),"",B397&amp;"|"&amp;C397)</f>
        <v/>
      </c>
      <c r="B397" s="113"/>
      <c r="C397" s="113"/>
      <c r="D397" s="113"/>
      <c r="E397" s="118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</row>
    <row r="398" customFormat="false" ht="15.75" hidden="false" customHeight="false" outlineLevel="0" collapsed="false">
      <c r="A398" s="113" t="str">
        <f aca="false">IF(ISBLANK(B398),"",B398&amp;"|"&amp;C398)</f>
        <v/>
      </c>
      <c r="B398" s="113"/>
      <c r="C398" s="113"/>
      <c r="D398" s="113"/>
      <c r="E398" s="118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</row>
    <row r="399" customFormat="false" ht="15.75" hidden="false" customHeight="false" outlineLevel="0" collapsed="false">
      <c r="A399" s="113" t="str">
        <f aca="false">IF(ISBLANK(B399),"",B399&amp;"|"&amp;C399)</f>
        <v/>
      </c>
      <c r="B399" s="113"/>
      <c r="C399" s="113"/>
      <c r="D399" s="113"/>
      <c r="E399" s="118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</row>
    <row r="400" customFormat="false" ht="15.75" hidden="false" customHeight="false" outlineLevel="0" collapsed="false">
      <c r="A400" s="113" t="str">
        <f aca="false">IF(ISBLANK(B400),"",B400&amp;"|"&amp;C400)</f>
        <v/>
      </c>
      <c r="B400" s="113"/>
      <c r="C400" s="113"/>
      <c r="D400" s="113"/>
      <c r="E400" s="118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</row>
    <row r="401" customFormat="false" ht="15.75" hidden="false" customHeight="false" outlineLevel="0" collapsed="false">
      <c r="A401" s="113" t="str">
        <f aca="false">IF(ISBLANK(B401),"",B401&amp;"|"&amp;C401)</f>
        <v/>
      </c>
      <c r="B401" s="113"/>
      <c r="C401" s="113"/>
      <c r="D401" s="113"/>
      <c r="E401" s="118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</row>
    <row r="402" customFormat="false" ht="15.75" hidden="false" customHeight="false" outlineLevel="0" collapsed="false">
      <c r="A402" s="113" t="str">
        <f aca="false">IF(ISBLANK(B402),"",B402&amp;"|"&amp;C402)</f>
        <v/>
      </c>
      <c r="B402" s="113"/>
      <c r="C402" s="113"/>
      <c r="D402" s="113"/>
      <c r="E402" s="118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</row>
    <row r="403" customFormat="false" ht="15.75" hidden="false" customHeight="false" outlineLevel="0" collapsed="false">
      <c r="A403" s="113" t="str">
        <f aca="false">IF(ISBLANK(B403),"",B403&amp;"|"&amp;C403)</f>
        <v/>
      </c>
      <c r="B403" s="113"/>
      <c r="C403" s="113"/>
      <c r="D403" s="113"/>
      <c r="E403" s="118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</row>
    <row r="404" customFormat="false" ht="15.75" hidden="false" customHeight="false" outlineLevel="0" collapsed="false">
      <c r="A404" s="113" t="str">
        <f aca="false">IF(ISBLANK(B404),"",B404&amp;"|"&amp;C404)</f>
        <v/>
      </c>
      <c r="B404" s="113"/>
      <c r="C404" s="113"/>
      <c r="D404" s="113"/>
      <c r="E404" s="118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</row>
    <row r="405" customFormat="false" ht="15.75" hidden="false" customHeight="false" outlineLevel="0" collapsed="false">
      <c r="A405" s="113" t="str">
        <f aca="false">IF(ISBLANK(B405),"",B405&amp;"|"&amp;C405)</f>
        <v/>
      </c>
      <c r="B405" s="113"/>
      <c r="C405" s="113"/>
      <c r="D405" s="113"/>
      <c r="E405" s="118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</row>
    <row r="406" customFormat="false" ht="15.75" hidden="false" customHeight="false" outlineLevel="0" collapsed="false">
      <c r="A406" s="113" t="str">
        <f aca="false">IF(ISBLANK(B406),"",B406&amp;"|"&amp;C406)</f>
        <v/>
      </c>
      <c r="B406" s="113"/>
      <c r="C406" s="113"/>
      <c r="D406" s="113"/>
      <c r="E406" s="118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</row>
    <row r="407" customFormat="false" ht="15.75" hidden="false" customHeight="false" outlineLevel="0" collapsed="false">
      <c r="A407" s="113" t="str">
        <f aca="false">IF(ISBLANK(B407),"",B407&amp;"|"&amp;C407)</f>
        <v/>
      </c>
      <c r="B407" s="113"/>
      <c r="C407" s="113"/>
      <c r="D407" s="113"/>
      <c r="E407" s="118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</row>
    <row r="408" customFormat="false" ht="15.75" hidden="false" customHeight="false" outlineLevel="0" collapsed="false">
      <c r="A408" s="113" t="str">
        <f aca="false">IF(ISBLANK(B408),"",B408&amp;"|"&amp;C408)</f>
        <v/>
      </c>
      <c r="B408" s="113"/>
      <c r="C408" s="113"/>
      <c r="D408" s="113"/>
      <c r="E408" s="118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</row>
    <row r="409" customFormat="false" ht="15.75" hidden="false" customHeight="false" outlineLevel="0" collapsed="false">
      <c r="A409" s="113" t="str">
        <f aca="false">IF(ISBLANK(B409),"",B409&amp;"|"&amp;C409)</f>
        <v/>
      </c>
      <c r="B409" s="113"/>
      <c r="C409" s="113"/>
      <c r="D409" s="113"/>
      <c r="E409" s="118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</row>
    <row r="410" customFormat="false" ht="15.75" hidden="false" customHeight="false" outlineLevel="0" collapsed="false">
      <c r="A410" s="113" t="str">
        <f aca="false">IF(ISBLANK(B410),"",B410&amp;"|"&amp;C410)</f>
        <v/>
      </c>
      <c r="B410" s="113"/>
      <c r="C410" s="113"/>
      <c r="D410" s="113"/>
      <c r="E410" s="118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</row>
    <row r="411" customFormat="false" ht="15.75" hidden="false" customHeight="false" outlineLevel="0" collapsed="false">
      <c r="A411" s="113" t="str">
        <f aca="false">IF(ISBLANK(B411),"",B411&amp;"|"&amp;C411)</f>
        <v/>
      </c>
      <c r="B411" s="113"/>
      <c r="C411" s="113"/>
      <c r="D411" s="113"/>
      <c r="E411" s="118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</row>
    <row r="412" customFormat="false" ht="15.75" hidden="false" customHeight="false" outlineLevel="0" collapsed="false">
      <c r="A412" s="113" t="str">
        <f aca="false">IF(ISBLANK(B412),"",B412&amp;"|"&amp;C412)</f>
        <v/>
      </c>
      <c r="B412" s="113"/>
      <c r="C412" s="113"/>
      <c r="D412" s="113"/>
      <c r="E412" s="118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</row>
    <row r="413" customFormat="false" ht="15.75" hidden="false" customHeight="false" outlineLevel="0" collapsed="false">
      <c r="A413" s="113" t="str">
        <f aca="false">IF(ISBLANK(B413),"",B413&amp;"|"&amp;C413)</f>
        <v/>
      </c>
      <c r="B413" s="113"/>
      <c r="C413" s="113"/>
      <c r="D413" s="113"/>
      <c r="E413" s="118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</row>
    <row r="414" customFormat="false" ht="15.75" hidden="false" customHeight="false" outlineLevel="0" collapsed="false">
      <c r="A414" s="113" t="str">
        <f aca="false">IF(ISBLANK(B414),"",B414&amp;"|"&amp;C414)</f>
        <v/>
      </c>
      <c r="B414" s="113"/>
      <c r="C414" s="113"/>
      <c r="D414" s="113"/>
      <c r="E414" s="118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</row>
    <row r="415" customFormat="false" ht="15.75" hidden="false" customHeight="false" outlineLevel="0" collapsed="false">
      <c r="A415" s="113" t="str">
        <f aca="false">IF(ISBLANK(B415),"",B415&amp;"|"&amp;C415)</f>
        <v/>
      </c>
      <c r="B415" s="113"/>
      <c r="C415" s="113"/>
      <c r="D415" s="113"/>
      <c r="E415" s="118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</row>
    <row r="416" customFormat="false" ht="15.75" hidden="false" customHeight="false" outlineLevel="0" collapsed="false">
      <c r="A416" s="113" t="str">
        <f aca="false">IF(ISBLANK(B416),"",B416&amp;"|"&amp;C416)</f>
        <v/>
      </c>
      <c r="B416" s="113"/>
      <c r="C416" s="113"/>
      <c r="D416" s="113"/>
      <c r="E416" s="118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</row>
    <row r="417" customFormat="false" ht="15.75" hidden="false" customHeight="false" outlineLevel="0" collapsed="false">
      <c r="A417" s="113" t="str">
        <f aca="false">IF(ISBLANK(B417),"",B417&amp;"|"&amp;C417)</f>
        <v/>
      </c>
      <c r="B417" s="113"/>
      <c r="C417" s="113"/>
      <c r="D417" s="113"/>
      <c r="E417" s="118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</row>
    <row r="418" customFormat="false" ht="15.75" hidden="false" customHeight="false" outlineLevel="0" collapsed="false">
      <c r="A418" s="113" t="str">
        <f aca="false">IF(ISBLANK(B418),"",B418&amp;"|"&amp;C418)</f>
        <v/>
      </c>
      <c r="B418" s="113"/>
      <c r="C418" s="113"/>
      <c r="D418" s="113"/>
      <c r="E418" s="118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</row>
    <row r="419" customFormat="false" ht="15.75" hidden="false" customHeight="false" outlineLevel="0" collapsed="false">
      <c r="A419" s="113" t="str">
        <f aca="false">IF(ISBLANK(B419),"",B419&amp;"|"&amp;C419)</f>
        <v/>
      </c>
      <c r="B419" s="113"/>
      <c r="C419" s="113"/>
      <c r="D419" s="113"/>
      <c r="E419" s="118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</row>
    <row r="420" customFormat="false" ht="15.75" hidden="false" customHeight="false" outlineLevel="0" collapsed="false">
      <c r="A420" s="113" t="str">
        <f aca="false">IF(ISBLANK(B420),"",B420&amp;"|"&amp;C420)</f>
        <v/>
      </c>
      <c r="B420" s="113"/>
      <c r="C420" s="113"/>
      <c r="D420" s="113"/>
      <c r="E420" s="118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</row>
    <row r="421" customFormat="false" ht="15.75" hidden="false" customHeight="false" outlineLevel="0" collapsed="false">
      <c r="A421" s="113" t="str">
        <f aca="false">IF(ISBLANK(B421),"",B421&amp;"|"&amp;C421)</f>
        <v/>
      </c>
      <c r="B421" s="113"/>
      <c r="C421" s="113"/>
      <c r="D421" s="113"/>
      <c r="E421" s="118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</row>
    <row r="422" customFormat="false" ht="15.75" hidden="false" customHeight="false" outlineLevel="0" collapsed="false">
      <c r="A422" s="113" t="str">
        <f aca="false">IF(ISBLANK(B422),"",B422&amp;"|"&amp;C422)</f>
        <v/>
      </c>
      <c r="B422" s="113"/>
      <c r="C422" s="113"/>
      <c r="D422" s="113"/>
      <c r="E422" s="118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</row>
    <row r="423" customFormat="false" ht="15.75" hidden="false" customHeight="false" outlineLevel="0" collapsed="false">
      <c r="A423" s="113" t="str">
        <f aca="false">IF(ISBLANK(B423),"",B423&amp;"|"&amp;C423)</f>
        <v/>
      </c>
      <c r="B423" s="113"/>
      <c r="C423" s="113"/>
      <c r="D423" s="113"/>
      <c r="E423" s="118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</row>
    <row r="424" customFormat="false" ht="15.75" hidden="false" customHeight="false" outlineLevel="0" collapsed="false">
      <c r="A424" s="113" t="str">
        <f aca="false">IF(ISBLANK(B424),"",B424&amp;"|"&amp;C424)</f>
        <v/>
      </c>
      <c r="B424" s="113"/>
      <c r="C424" s="113"/>
      <c r="D424" s="113"/>
      <c r="E424" s="118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</row>
    <row r="425" customFormat="false" ht="15.75" hidden="false" customHeight="false" outlineLevel="0" collapsed="false">
      <c r="A425" s="113" t="str">
        <f aca="false">IF(ISBLANK(B425),"",B425&amp;"|"&amp;C425)</f>
        <v/>
      </c>
      <c r="B425" s="113"/>
      <c r="C425" s="113"/>
      <c r="D425" s="113"/>
      <c r="E425" s="118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</row>
    <row r="426" customFormat="false" ht="15.75" hidden="false" customHeight="false" outlineLevel="0" collapsed="false">
      <c r="A426" s="113" t="str">
        <f aca="false">IF(ISBLANK(B426),"",B426&amp;"|"&amp;C426)</f>
        <v/>
      </c>
      <c r="B426" s="113"/>
      <c r="C426" s="113"/>
      <c r="D426" s="113"/>
      <c r="E426" s="118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</row>
    <row r="427" customFormat="false" ht="15.75" hidden="false" customHeight="false" outlineLevel="0" collapsed="false">
      <c r="A427" s="113" t="str">
        <f aca="false">IF(ISBLANK(B427),"",B427&amp;"|"&amp;C427)</f>
        <v/>
      </c>
      <c r="B427" s="113"/>
      <c r="C427" s="113"/>
      <c r="D427" s="113"/>
      <c r="E427" s="118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</row>
    <row r="428" customFormat="false" ht="15.75" hidden="false" customHeight="false" outlineLevel="0" collapsed="false">
      <c r="A428" s="113" t="str">
        <f aca="false">IF(ISBLANK(B428),"",B428&amp;"|"&amp;C428)</f>
        <v/>
      </c>
      <c r="B428" s="113"/>
      <c r="C428" s="113"/>
      <c r="D428" s="113"/>
      <c r="E428" s="118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</row>
    <row r="429" customFormat="false" ht="15.75" hidden="false" customHeight="false" outlineLevel="0" collapsed="false">
      <c r="A429" s="113" t="str">
        <f aca="false">IF(ISBLANK(B429),"",B429&amp;"|"&amp;C429)</f>
        <v/>
      </c>
      <c r="B429" s="113"/>
      <c r="C429" s="113"/>
      <c r="D429" s="113"/>
      <c r="E429" s="118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</row>
    <row r="430" customFormat="false" ht="15.75" hidden="false" customHeight="false" outlineLevel="0" collapsed="false">
      <c r="A430" s="113" t="str">
        <f aca="false">IF(ISBLANK(B430),"",B430&amp;"|"&amp;C430)</f>
        <v/>
      </c>
      <c r="B430" s="113"/>
      <c r="C430" s="113"/>
      <c r="D430" s="113"/>
      <c r="E430" s="118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</row>
    <row r="431" customFormat="false" ht="15.75" hidden="false" customHeight="false" outlineLevel="0" collapsed="false">
      <c r="A431" s="113" t="str">
        <f aca="false">IF(ISBLANK(B431),"",B431&amp;"|"&amp;C431)</f>
        <v/>
      </c>
      <c r="B431" s="113"/>
      <c r="C431" s="113"/>
      <c r="D431" s="113"/>
      <c r="E431" s="118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</row>
    <row r="432" customFormat="false" ht="15.75" hidden="false" customHeight="false" outlineLevel="0" collapsed="false">
      <c r="A432" s="113" t="str">
        <f aca="false">IF(ISBLANK(B432),"",B432&amp;"|"&amp;C432)</f>
        <v/>
      </c>
      <c r="B432" s="113"/>
      <c r="C432" s="113"/>
      <c r="D432" s="113"/>
      <c r="E432" s="118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</row>
    <row r="433" customFormat="false" ht="15.75" hidden="false" customHeight="false" outlineLevel="0" collapsed="false">
      <c r="A433" s="113" t="str">
        <f aca="false">IF(ISBLANK(B433),"",B433&amp;"|"&amp;C433)</f>
        <v/>
      </c>
      <c r="B433" s="113"/>
      <c r="C433" s="113"/>
      <c r="D433" s="113"/>
      <c r="E433" s="118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</row>
    <row r="434" customFormat="false" ht="15.75" hidden="false" customHeight="false" outlineLevel="0" collapsed="false">
      <c r="A434" s="113" t="str">
        <f aca="false">IF(ISBLANK(B434),"",B434&amp;"|"&amp;C434)</f>
        <v/>
      </c>
      <c r="B434" s="113"/>
      <c r="C434" s="113"/>
      <c r="D434" s="113"/>
      <c r="E434" s="118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</row>
    <row r="435" customFormat="false" ht="15.75" hidden="false" customHeight="false" outlineLevel="0" collapsed="false">
      <c r="A435" s="113" t="str">
        <f aca="false">IF(ISBLANK(B435),"",B435&amp;"|"&amp;C435)</f>
        <v/>
      </c>
      <c r="B435" s="113"/>
      <c r="C435" s="113"/>
      <c r="D435" s="113"/>
      <c r="E435" s="118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</row>
    <row r="436" customFormat="false" ht="15.75" hidden="false" customHeight="false" outlineLevel="0" collapsed="false">
      <c r="A436" s="113" t="str">
        <f aca="false">IF(ISBLANK(B436),"",B436&amp;"|"&amp;C436)</f>
        <v/>
      </c>
      <c r="B436" s="113"/>
      <c r="C436" s="113"/>
      <c r="D436" s="113"/>
      <c r="E436" s="118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</row>
    <row r="437" customFormat="false" ht="15.75" hidden="false" customHeight="false" outlineLevel="0" collapsed="false">
      <c r="A437" s="113" t="str">
        <f aca="false">IF(ISBLANK(B437),"",B437&amp;"|"&amp;C437)</f>
        <v/>
      </c>
      <c r="B437" s="113"/>
      <c r="C437" s="113"/>
      <c r="D437" s="113"/>
      <c r="E437" s="118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</row>
    <row r="438" customFormat="false" ht="15.75" hidden="false" customHeight="false" outlineLevel="0" collapsed="false">
      <c r="A438" s="113" t="str">
        <f aca="false">IF(ISBLANK(B438),"",B438&amp;"|"&amp;C438)</f>
        <v/>
      </c>
      <c r="B438" s="113"/>
      <c r="C438" s="113"/>
      <c r="D438" s="113"/>
      <c r="E438" s="118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</row>
    <row r="439" customFormat="false" ht="15.75" hidden="false" customHeight="false" outlineLevel="0" collapsed="false">
      <c r="A439" s="113" t="str">
        <f aca="false">IF(ISBLANK(B439),"",B439&amp;"|"&amp;C439)</f>
        <v/>
      </c>
      <c r="B439" s="113"/>
      <c r="C439" s="113"/>
      <c r="D439" s="113"/>
      <c r="E439" s="118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</row>
    <row r="440" customFormat="false" ht="15.75" hidden="false" customHeight="false" outlineLevel="0" collapsed="false">
      <c r="A440" s="113" t="str">
        <f aca="false">IF(ISBLANK(B440),"",B440&amp;"|"&amp;C440)</f>
        <v/>
      </c>
      <c r="B440" s="113"/>
      <c r="C440" s="113"/>
      <c r="D440" s="113"/>
      <c r="E440" s="118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</row>
    <row r="441" customFormat="false" ht="15.75" hidden="false" customHeight="false" outlineLevel="0" collapsed="false">
      <c r="A441" s="113" t="str">
        <f aca="false">IF(ISBLANK(B441),"",B441&amp;"|"&amp;C441)</f>
        <v/>
      </c>
      <c r="B441" s="113"/>
      <c r="C441" s="113"/>
      <c r="D441" s="113"/>
      <c r="E441" s="118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</row>
    <row r="442" customFormat="false" ht="15.75" hidden="false" customHeight="false" outlineLevel="0" collapsed="false">
      <c r="A442" s="113" t="str">
        <f aca="false">IF(ISBLANK(B442),"",B442&amp;"|"&amp;C442)</f>
        <v/>
      </c>
      <c r="B442" s="113"/>
      <c r="C442" s="113"/>
      <c r="D442" s="113"/>
      <c r="E442" s="118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</row>
    <row r="443" customFormat="false" ht="15.75" hidden="false" customHeight="false" outlineLevel="0" collapsed="false">
      <c r="A443" s="113" t="str">
        <f aca="false">IF(ISBLANK(B443),"",B443&amp;"|"&amp;C443)</f>
        <v/>
      </c>
      <c r="B443" s="113"/>
      <c r="C443" s="113"/>
      <c r="D443" s="113"/>
      <c r="E443" s="118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</row>
    <row r="444" customFormat="false" ht="15.75" hidden="false" customHeight="false" outlineLevel="0" collapsed="false">
      <c r="A444" s="113" t="str">
        <f aca="false">IF(ISBLANK(B444),"",B444&amp;"|"&amp;C444)</f>
        <v/>
      </c>
      <c r="B444" s="113"/>
      <c r="C444" s="113"/>
      <c r="D444" s="113"/>
      <c r="E444" s="118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</row>
    <row r="445" customFormat="false" ht="15.75" hidden="false" customHeight="false" outlineLevel="0" collapsed="false">
      <c r="A445" s="113" t="str">
        <f aca="false">IF(ISBLANK(B445),"",B445&amp;"|"&amp;C445)</f>
        <v/>
      </c>
      <c r="B445" s="113"/>
      <c r="C445" s="113"/>
      <c r="D445" s="113"/>
      <c r="E445" s="118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</row>
    <row r="446" customFormat="false" ht="15.75" hidden="false" customHeight="false" outlineLevel="0" collapsed="false">
      <c r="A446" s="113" t="str">
        <f aca="false">IF(ISBLANK(B446),"",B446&amp;"|"&amp;C446)</f>
        <v/>
      </c>
      <c r="B446" s="113"/>
      <c r="C446" s="113"/>
      <c r="D446" s="113"/>
      <c r="E446" s="118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</row>
    <row r="447" customFormat="false" ht="15.75" hidden="false" customHeight="false" outlineLevel="0" collapsed="false">
      <c r="A447" s="113" t="str">
        <f aca="false">IF(ISBLANK(B447),"",B447&amp;"|"&amp;C447)</f>
        <v/>
      </c>
      <c r="B447" s="113"/>
      <c r="C447" s="113"/>
      <c r="D447" s="113"/>
      <c r="E447" s="118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</row>
    <row r="448" customFormat="false" ht="15.75" hidden="false" customHeight="false" outlineLevel="0" collapsed="false">
      <c r="A448" s="113" t="str">
        <f aca="false">IF(ISBLANK(B448),"",B448&amp;"|"&amp;C448)</f>
        <v/>
      </c>
      <c r="B448" s="113"/>
      <c r="C448" s="113"/>
      <c r="D448" s="113"/>
      <c r="E448" s="118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</row>
    <row r="449" customFormat="false" ht="15.75" hidden="false" customHeight="false" outlineLevel="0" collapsed="false">
      <c r="A449" s="113" t="str">
        <f aca="false">IF(ISBLANK(B449),"",B449&amp;"|"&amp;C449)</f>
        <v/>
      </c>
      <c r="B449" s="113"/>
      <c r="C449" s="113"/>
      <c r="D449" s="113"/>
      <c r="E449" s="118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</row>
    <row r="450" customFormat="false" ht="15.75" hidden="false" customHeight="false" outlineLevel="0" collapsed="false">
      <c r="A450" s="113" t="str">
        <f aca="false">IF(ISBLANK(B450),"",B450&amp;"|"&amp;C450)</f>
        <v/>
      </c>
      <c r="B450" s="113"/>
      <c r="C450" s="113"/>
      <c r="D450" s="113"/>
      <c r="E450" s="118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</row>
    <row r="451" customFormat="false" ht="15.75" hidden="false" customHeight="false" outlineLevel="0" collapsed="false">
      <c r="A451" s="113" t="str">
        <f aca="false">IF(ISBLANK(B451),"",B451&amp;"|"&amp;C451)</f>
        <v/>
      </c>
      <c r="B451" s="113"/>
      <c r="C451" s="113"/>
      <c r="D451" s="113"/>
      <c r="E451" s="118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</row>
    <row r="452" customFormat="false" ht="15.75" hidden="false" customHeight="false" outlineLevel="0" collapsed="false">
      <c r="A452" s="113" t="str">
        <f aca="false">IF(ISBLANK(B452),"",B452&amp;"|"&amp;C452)</f>
        <v/>
      </c>
      <c r="B452" s="113"/>
      <c r="C452" s="113"/>
      <c r="D452" s="113"/>
      <c r="E452" s="118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</row>
    <row r="453" customFormat="false" ht="15.75" hidden="false" customHeight="false" outlineLevel="0" collapsed="false">
      <c r="A453" s="113" t="str">
        <f aca="false">IF(ISBLANK(B453),"",B453&amp;"|"&amp;C453)</f>
        <v/>
      </c>
      <c r="B453" s="113"/>
      <c r="C453" s="113"/>
      <c r="D453" s="113"/>
      <c r="E453" s="118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</row>
    <row r="454" customFormat="false" ht="15.75" hidden="false" customHeight="false" outlineLevel="0" collapsed="false">
      <c r="A454" s="113" t="str">
        <f aca="false">IF(ISBLANK(B454),"",B454&amp;"|"&amp;C454)</f>
        <v/>
      </c>
      <c r="B454" s="113"/>
      <c r="C454" s="113"/>
      <c r="D454" s="113"/>
      <c r="E454" s="118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</row>
    <row r="455" customFormat="false" ht="15.75" hidden="false" customHeight="false" outlineLevel="0" collapsed="false">
      <c r="A455" s="113" t="str">
        <f aca="false">IF(ISBLANK(B455),"",B455&amp;"|"&amp;C455)</f>
        <v/>
      </c>
      <c r="B455" s="113"/>
      <c r="C455" s="113"/>
      <c r="D455" s="113"/>
      <c r="E455" s="118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</row>
    <row r="456" customFormat="false" ht="15.75" hidden="false" customHeight="false" outlineLevel="0" collapsed="false">
      <c r="A456" s="113" t="str">
        <f aca="false">IF(ISBLANK(B456),"",B456&amp;"|"&amp;C456)</f>
        <v/>
      </c>
      <c r="B456" s="113"/>
      <c r="C456" s="113"/>
      <c r="D456" s="113"/>
      <c r="E456" s="118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</row>
    <row r="457" customFormat="false" ht="15.75" hidden="false" customHeight="false" outlineLevel="0" collapsed="false">
      <c r="A457" s="113" t="str">
        <f aca="false">IF(ISBLANK(B457),"",B457&amp;"|"&amp;C457)</f>
        <v/>
      </c>
      <c r="B457" s="113"/>
      <c r="C457" s="113"/>
      <c r="D457" s="113"/>
      <c r="E457" s="118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</row>
    <row r="458" customFormat="false" ht="15.75" hidden="false" customHeight="false" outlineLevel="0" collapsed="false">
      <c r="A458" s="113" t="str">
        <f aca="false">IF(ISBLANK(B458),"",B458&amp;"|"&amp;C458)</f>
        <v/>
      </c>
      <c r="B458" s="113"/>
      <c r="C458" s="113"/>
      <c r="D458" s="113"/>
      <c r="E458" s="118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</row>
    <row r="459" customFormat="false" ht="15.75" hidden="false" customHeight="false" outlineLevel="0" collapsed="false">
      <c r="A459" s="113" t="str">
        <f aca="false">IF(ISBLANK(B459),"",B459&amp;"|"&amp;C459)</f>
        <v/>
      </c>
      <c r="B459" s="113"/>
      <c r="C459" s="113"/>
      <c r="D459" s="113"/>
      <c r="E459" s="118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</row>
    <row r="460" customFormat="false" ht="15.75" hidden="false" customHeight="false" outlineLevel="0" collapsed="false">
      <c r="A460" s="113" t="str">
        <f aca="false">IF(ISBLANK(B460),"",B460&amp;"|"&amp;C460)</f>
        <v/>
      </c>
      <c r="B460" s="113"/>
      <c r="C460" s="113"/>
      <c r="D460" s="113"/>
      <c r="E460" s="118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</row>
    <row r="461" customFormat="false" ht="15.75" hidden="false" customHeight="false" outlineLevel="0" collapsed="false">
      <c r="A461" s="113" t="str">
        <f aca="false">IF(ISBLANK(B461),"",B461&amp;"|"&amp;C461)</f>
        <v/>
      </c>
      <c r="B461" s="113"/>
      <c r="C461" s="113"/>
      <c r="D461" s="113"/>
      <c r="E461" s="118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</row>
    <row r="462" customFormat="false" ht="15.75" hidden="false" customHeight="false" outlineLevel="0" collapsed="false">
      <c r="A462" s="113" t="str">
        <f aca="false">IF(ISBLANK(B462),"",B462&amp;"|"&amp;C462)</f>
        <v/>
      </c>
      <c r="B462" s="113"/>
      <c r="C462" s="113"/>
      <c r="D462" s="113"/>
      <c r="E462" s="118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</row>
    <row r="463" customFormat="false" ht="15.75" hidden="false" customHeight="false" outlineLevel="0" collapsed="false">
      <c r="A463" s="113" t="str">
        <f aca="false">IF(ISBLANK(B463),"",B463&amp;"|"&amp;C463)</f>
        <v/>
      </c>
      <c r="B463" s="113"/>
      <c r="C463" s="113"/>
      <c r="D463" s="113"/>
      <c r="E463" s="118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</row>
    <row r="464" customFormat="false" ht="15.75" hidden="false" customHeight="false" outlineLevel="0" collapsed="false">
      <c r="A464" s="113" t="str">
        <f aca="false">IF(ISBLANK(B464),"",B464&amp;"|"&amp;C464)</f>
        <v/>
      </c>
      <c r="B464" s="113"/>
      <c r="C464" s="113"/>
      <c r="D464" s="113"/>
      <c r="E464" s="118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</row>
    <row r="465" customFormat="false" ht="15.75" hidden="false" customHeight="false" outlineLevel="0" collapsed="false">
      <c r="A465" s="113" t="str">
        <f aca="false">IF(ISBLANK(B465),"",B465&amp;"|"&amp;C465)</f>
        <v/>
      </c>
      <c r="B465" s="113"/>
      <c r="C465" s="113"/>
      <c r="D465" s="113"/>
      <c r="E465" s="118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</row>
    <row r="466" customFormat="false" ht="15.75" hidden="false" customHeight="false" outlineLevel="0" collapsed="false">
      <c r="A466" s="113" t="str">
        <f aca="false">IF(ISBLANK(B466),"",B466&amp;"|"&amp;C466)</f>
        <v/>
      </c>
      <c r="B466" s="113"/>
      <c r="C466" s="113"/>
      <c r="D466" s="113"/>
      <c r="E466" s="118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</row>
    <row r="467" customFormat="false" ht="15.75" hidden="false" customHeight="false" outlineLevel="0" collapsed="false">
      <c r="A467" s="113" t="str">
        <f aca="false">IF(ISBLANK(B467),"",B467&amp;"|"&amp;C467)</f>
        <v/>
      </c>
      <c r="B467" s="113"/>
      <c r="C467" s="113"/>
      <c r="D467" s="113"/>
      <c r="E467" s="118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</row>
    <row r="468" customFormat="false" ht="15.75" hidden="false" customHeight="false" outlineLevel="0" collapsed="false">
      <c r="A468" s="113" t="str">
        <f aca="false">IF(ISBLANK(B468),"",B468&amp;"|"&amp;C468)</f>
        <v/>
      </c>
      <c r="B468" s="113"/>
      <c r="C468" s="113"/>
      <c r="D468" s="113"/>
      <c r="E468" s="118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</row>
    <row r="469" customFormat="false" ht="15.75" hidden="false" customHeight="false" outlineLevel="0" collapsed="false">
      <c r="A469" s="113" t="str">
        <f aca="false">IF(ISBLANK(B469),"",B469&amp;"|"&amp;C469)</f>
        <v/>
      </c>
      <c r="B469" s="113"/>
      <c r="C469" s="113"/>
      <c r="D469" s="113"/>
      <c r="E469" s="118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</row>
    <row r="470" customFormat="false" ht="15.75" hidden="false" customHeight="false" outlineLevel="0" collapsed="false">
      <c r="A470" s="113" t="str">
        <f aca="false">IF(ISBLANK(B470),"",B470&amp;"|"&amp;C470)</f>
        <v/>
      </c>
      <c r="B470" s="113"/>
      <c r="C470" s="113"/>
      <c r="D470" s="113"/>
      <c r="E470" s="118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</row>
    <row r="471" customFormat="false" ht="15.75" hidden="false" customHeight="false" outlineLevel="0" collapsed="false">
      <c r="A471" s="113" t="str">
        <f aca="false">IF(ISBLANK(B471),"",B471&amp;"|"&amp;C471)</f>
        <v/>
      </c>
      <c r="B471" s="113"/>
      <c r="C471" s="113"/>
      <c r="D471" s="113"/>
      <c r="E471" s="118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</row>
    <row r="472" customFormat="false" ht="15.75" hidden="false" customHeight="false" outlineLevel="0" collapsed="false">
      <c r="A472" s="113" t="str">
        <f aca="false">IF(ISBLANK(B472),"",B472&amp;"|"&amp;C472)</f>
        <v/>
      </c>
      <c r="B472" s="113"/>
      <c r="C472" s="113"/>
      <c r="D472" s="113"/>
      <c r="E472" s="118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</row>
    <row r="473" customFormat="false" ht="15.75" hidden="false" customHeight="false" outlineLevel="0" collapsed="false">
      <c r="A473" s="113" t="str">
        <f aca="false">IF(ISBLANK(B473),"",B473&amp;"|"&amp;C473)</f>
        <v/>
      </c>
      <c r="B473" s="113"/>
      <c r="C473" s="113"/>
      <c r="D473" s="113"/>
      <c r="E473" s="118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</row>
    <row r="474" customFormat="false" ht="15.75" hidden="false" customHeight="false" outlineLevel="0" collapsed="false">
      <c r="A474" s="113" t="str">
        <f aca="false">IF(ISBLANK(B474),"",B474&amp;"|"&amp;C474)</f>
        <v/>
      </c>
      <c r="B474" s="113"/>
      <c r="C474" s="113"/>
      <c r="D474" s="113"/>
      <c r="E474" s="118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</row>
    <row r="475" customFormat="false" ht="15.75" hidden="false" customHeight="false" outlineLevel="0" collapsed="false">
      <c r="A475" s="113" t="str">
        <f aca="false">IF(ISBLANK(B475),"",B475&amp;"|"&amp;C475)</f>
        <v/>
      </c>
      <c r="B475" s="113"/>
      <c r="C475" s="113"/>
      <c r="D475" s="113"/>
      <c r="E475" s="118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</row>
    <row r="476" customFormat="false" ht="15.75" hidden="false" customHeight="false" outlineLevel="0" collapsed="false">
      <c r="A476" s="113" t="str">
        <f aca="false">IF(ISBLANK(B476),"",B476&amp;"|"&amp;C476)</f>
        <v/>
      </c>
      <c r="B476" s="113"/>
      <c r="C476" s="113"/>
      <c r="D476" s="113"/>
      <c r="E476" s="118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</row>
    <row r="477" customFormat="false" ht="15.75" hidden="false" customHeight="false" outlineLevel="0" collapsed="false">
      <c r="A477" s="113" t="str">
        <f aca="false">IF(ISBLANK(B477),"",B477&amp;"|"&amp;C477)</f>
        <v/>
      </c>
      <c r="B477" s="113"/>
      <c r="C477" s="113"/>
      <c r="D477" s="113"/>
      <c r="E477" s="118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</row>
    <row r="478" customFormat="false" ht="15.75" hidden="false" customHeight="false" outlineLevel="0" collapsed="false">
      <c r="A478" s="113" t="str">
        <f aca="false">IF(ISBLANK(B478),"",B478&amp;"|"&amp;C478)</f>
        <v/>
      </c>
      <c r="B478" s="113"/>
      <c r="C478" s="113"/>
      <c r="D478" s="113"/>
      <c r="E478" s="118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</row>
    <row r="479" customFormat="false" ht="15.75" hidden="false" customHeight="false" outlineLevel="0" collapsed="false">
      <c r="A479" s="113" t="str">
        <f aca="false">IF(ISBLANK(B479),"",B479&amp;"|"&amp;C479)</f>
        <v/>
      </c>
      <c r="B479" s="113"/>
      <c r="C479" s="113"/>
      <c r="D479" s="113"/>
      <c r="E479" s="118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</row>
    <row r="480" customFormat="false" ht="15.75" hidden="false" customHeight="false" outlineLevel="0" collapsed="false">
      <c r="A480" s="113" t="str">
        <f aca="false">IF(ISBLANK(B480),"",B480&amp;"|"&amp;C480)</f>
        <v/>
      </c>
      <c r="B480" s="113"/>
      <c r="C480" s="113"/>
      <c r="D480" s="113"/>
      <c r="E480" s="118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</row>
    <row r="481" customFormat="false" ht="15.75" hidden="false" customHeight="false" outlineLevel="0" collapsed="false">
      <c r="A481" s="113" t="str">
        <f aca="false">IF(ISBLANK(B481),"",B481&amp;"|"&amp;C481)</f>
        <v/>
      </c>
      <c r="B481" s="113"/>
      <c r="C481" s="113"/>
      <c r="D481" s="113"/>
      <c r="E481" s="118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</row>
    <row r="482" customFormat="false" ht="15.75" hidden="false" customHeight="false" outlineLevel="0" collapsed="false">
      <c r="A482" s="113" t="str">
        <f aca="false">IF(ISBLANK(B482),"",B482&amp;"|"&amp;C482)</f>
        <v/>
      </c>
      <c r="B482" s="113"/>
      <c r="C482" s="113"/>
      <c r="D482" s="113"/>
      <c r="E482" s="118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</row>
    <row r="483" customFormat="false" ht="15.75" hidden="false" customHeight="false" outlineLevel="0" collapsed="false">
      <c r="A483" s="113" t="str">
        <f aca="false">IF(ISBLANK(B483),"",B483&amp;"|"&amp;C483)</f>
        <v/>
      </c>
      <c r="B483" s="113"/>
      <c r="C483" s="113"/>
      <c r="D483" s="113"/>
      <c r="E483" s="118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</row>
    <row r="484" customFormat="false" ht="15.75" hidden="false" customHeight="false" outlineLevel="0" collapsed="false">
      <c r="A484" s="113" t="str">
        <f aca="false">IF(ISBLANK(B484),"",B484&amp;"|"&amp;C484)</f>
        <v/>
      </c>
      <c r="B484" s="113"/>
      <c r="C484" s="113"/>
      <c r="D484" s="113"/>
      <c r="E484" s="118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</row>
    <row r="485" customFormat="false" ht="15.75" hidden="false" customHeight="false" outlineLevel="0" collapsed="false">
      <c r="A485" s="113" t="str">
        <f aca="false">IF(ISBLANK(B485),"",B485&amp;"|"&amp;C485)</f>
        <v/>
      </c>
      <c r="B485" s="113"/>
      <c r="C485" s="113"/>
      <c r="D485" s="113"/>
      <c r="E485" s="118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</row>
    <row r="486" customFormat="false" ht="15.75" hidden="false" customHeight="false" outlineLevel="0" collapsed="false">
      <c r="A486" s="113" t="str">
        <f aca="false">IF(ISBLANK(B486),"",B486&amp;"|"&amp;C486)</f>
        <v/>
      </c>
      <c r="B486" s="113"/>
      <c r="C486" s="113"/>
      <c r="D486" s="113"/>
      <c r="E486" s="118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</row>
    <row r="487" customFormat="false" ht="15.75" hidden="false" customHeight="false" outlineLevel="0" collapsed="false">
      <c r="A487" s="113" t="str">
        <f aca="false">IF(ISBLANK(B487),"",B487&amp;"|"&amp;C487)</f>
        <v/>
      </c>
      <c r="B487" s="113"/>
      <c r="C487" s="113"/>
      <c r="D487" s="113"/>
      <c r="E487" s="118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</row>
    <row r="488" customFormat="false" ht="15.75" hidden="false" customHeight="false" outlineLevel="0" collapsed="false">
      <c r="A488" s="113" t="str">
        <f aca="false">IF(ISBLANK(B488),"",B488&amp;"|"&amp;C488)</f>
        <v/>
      </c>
      <c r="B488" s="113"/>
      <c r="C488" s="113"/>
      <c r="D488" s="113"/>
      <c r="E488" s="118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</row>
    <row r="489" customFormat="false" ht="15.75" hidden="false" customHeight="false" outlineLevel="0" collapsed="false">
      <c r="A489" s="113" t="str">
        <f aca="false">IF(ISBLANK(B489),"",B489&amp;"|"&amp;C489)</f>
        <v/>
      </c>
      <c r="B489" s="113"/>
      <c r="C489" s="113"/>
      <c r="D489" s="113"/>
      <c r="E489" s="118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</row>
    <row r="490" customFormat="false" ht="15.75" hidden="false" customHeight="false" outlineLevel="0" collapsed="false">
      <c r="A490" s="113" t="str">
        <f aca="false">IF(ISBLANK(B490),"",B490&amp;"|"&amp;C490)</f>
        <v/>
      </c>
      <c r="B490" s="113"/>
      <c r="C490" s="113"/>
      <c r="D490" s="113"/>
      <c r="E490" s="118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</row>
    <row r="491" customFormat="false" ht="15.75" hidden="false" customHeight="false" outlineLevel="0" collapsed="false">
      <c r="A491" s="113" t="str">
        <f aca="false">IF(ISBLANK(B491),"",B491&amp;"|"&amp;C491)</f>
        <v/>
      </c>
      <c r="B491" s="113"/>
      <c r="C491" s="113"/>
      <c r="D491" s="113"/>
      <c r="E491" s="118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</row>
    <row r="492" customFormat="false" ht="15.75" hidden="false" customHeight="false" outlineLevel="0" collapsed="false">
      <c r="A492" s="113" t="str">
        <f aca="false">IF(ISBLANK(B492),"",B492&amp;"|"&amp;C492)</f>
        <v/>
      </c>
      <c r="B492" s="113"/>
      <c r="C492" s="113"/>
      <c r="D492" s="113"/>
      <c r="E492" s="118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</row>
    <row r="493" customFormat="false" ht="15.75" hidden="false" customHeight="false" outlineLevel="0" collapsed="false">
      <c r="A493" s="113" t="str">
        <f aca="false">IF(ISBLANK(B493),"",B493&amp;"|"&amp;C493)</f>
        <v/>
      </c>
      <c r="B493" s="113"/>
      <c r="C493" s="113"/>
      <c r="D493" s="113"/>
      <c r="E493" s="118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</row>
    <row r="494" customFormat="false" ht="15.75" hidden="false" customHeight="false" outlineLevel="0" collapsed="false">
      <c r="A494" s="113" t="str">
        <f aca="false">IF(ISBLANK(B494),"",B494&amp;"|"&amp;C494)</f>
        <v/>
      </c>
      <c r="B494" s="113"/>
      <c r="C494" s="113"/>
      <c r="D494" s="113"/>
      <c r="E494" s="118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</row>
    <row r="495" customFormat="false" ht="15.75" hidden="false" customHeight="false" outlineLevel="0" collapsed="false">
      <c r="A495" s="113" t="str">
        <f aca="false">IF(ISBLANK(B495),"",B495&amp;"|"&amp;C495)</f>
        <v/>
      </c>
      <c r="B495" s="113"/>
      <c r="C495" s="113"/>
      <c r="D495" s="113"/>
      <c r="E495" s="118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</row>
    <row r="496" customFormat="false" ht="15.75" hidden="false" customHeight="false" outlineLevel="0" collapsed="false">
      <c r="A496" s="113" t="str">
        <f aca="false">IF(ISBLANK(B496),"",B496&amp;"|"&amp;C496)</f>
        <v/>
      </c>
      <c r="B496" s="113"/>
      <c r="C496" s="113"/>
      <c r="D496" s="113"/>
      <c r="E496" s="118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</row>
    <row r="497" customFormat="false" ht="15.75" hidden="false" customHeight="false" outlineLevel="0" collapsed="false">
      <c r="A497" s="113" t="str">
        <f aca="false">IF(ISBLANK(B497),"",B497&amp;"|"&amp;C497)</f>
        <v/>
      </c>
      <c r="B497" s="113"/>
      <c r="C497" s="113"/>
      <c r="D497" s="113"/>
      <c r="E497" s="118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</row>
    <row r="498" customFormat="false" ht="15.75" hidden="false" customHeight="false" outlineLevel="0" collapsed="false">
      <c r="A498" s="113" t="str">
        <f aca="false">IF(ISBLANK(B498),"",B498&amp;"|"&amp;C498)</f>
        <v/>
      </c>
      <c r="B498" s="113"/>
      <c r="C498" s="113"/>
      <c r="D498" s="113"/>
      <c r="E498" s="118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</row>
    <row r="499" customFormat="false" ht="15.75" hidden="false" customHeight="false" outlineLevel="0" collapsed="false">
      <c r="A499" s="113" t="str">
        <f aca="false">IF(ISBLANK(B499),"",B499&amp;"|"&amp;C499)</f>
        <v/>
      </c>
      <c r="B499" s="113"/>
      <c r="C499" s="113"/>
      <c r="D499" s="113"/>
      <c r="E499" s="118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</row>
    <row r="500" customFormat="false" ht="15.75" hidden="false" customHeight="false" outlineLevel="0" collapsed="false">
      <c r="A500" s="113" t="str">
        <f aca="false">IF(ISBLANK(B500),"",B500&amp;"|"&amp;C500)</f>
        <v/>
      </c>
      <c r="B500" s="113"/>
      <c r="C500" s="113"/>
      <c r="D500" s="113"/>
      <c r="E500" s="118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</row>
    <row r="501" customFormat="false" ht="15.75" hidden="false" customHeight="false" outlineLevel="0" collapsed="false">
      <c r="A501" s="113" t="str">
        <f aca="false">IF(ISBLANK(B501),"",B501&amp;"|"&amp;C501)</f>
        <v/>
      </c>
      <c r="B501" s="113"/>
      <c r="C501" s="113"/>
      <c r="D501" s="113"/>
      <c r="E501" s="118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</row>
    <row r="502" customFormat="false" ht="15.75" hidden="false" customHeight="false" outlineLevel="0" collapsed="false">
      <c r="A502" s="113" t="str">
        <f aca="false">IF(ISBLANK(B502),"",B502&amp;"|"&amp;C502)</f>
        <v/>
      </c>
      <c r="B502" s="113"/>
      <c r="C502" s="113"/>
      <c r="D502" s="113"/>
      <c r="E502" s="118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</row>
    <row r="503" customFormat="false" ht="15.75" hidden="false" customHeight="false" outlineLevel="0" collapsed="false">
      <c r="A503" s="113" t="str">
        <f aca="false">IF(ISBLANK(B503),"",B503&amp;"|"&amp;C503)</f>
        <v/>
      </c>
      <c r="B503" s="113"/>
      <c r="C503" s="113"/>
      <c r="D503" s="113"/>
      <c r="E503" s="118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</row>
    <row r="504" customFormat="false" ht="15.75" hidden="false" customHeight="false" outlineLevel="0" collapsed="false">
      <c r="A504" s="113" t="str">
        <f aca="false">IF(ISBLANK(B504),"",B504&amp;"|"&amp;C504)</f>
        <v/>
      </c>
      <c r="B504" s="113"/>
      <c r="C504" s="113"/>
      <c r="D504" s="113"/>
      <c r="E504" s="118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</row>
    <row r="505" customFormat="false" ht="15.75" hidden="false" customHeight="false" outlineLevel="0" collapsed="false">
      <c r="A505" s="113" t="str">
        <f aca="false">IF(ISBLANK(B505),"",B505&amp;"|"&amp;C505)</f>
        <v/>
      </c>
      <c r="B505" s="113"/>
      <c r="C505" s="113"/>
      <c r="D505" s="113"/>
      <c r="E505" s="118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</row>
    <row r="506" customFormat="false" ht="15.75" hidden="false" customHeight="false" outlineLevel="0" collapsed="false">
      <c r="A506" s="113" t="str">
        <f aca="false">IF(ISBLANK(B506),"",B506&amp;"|"&amp;C506)</f>
        <v/>
      </c>
      <c r="B506" s="113"/>
      <c r="C506" s="113"/>
      <c r="D506" s="113"/>
      <c r="E506" s="118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</row>
    <row r="507" customFormat="false" ht="15.75" hidden="false" customHeight="false" outlineLevel="0" collapsed="false">
      <c r="A507" s="113" t="str">
        <f aca="false">IF(ISBLANK(B507),"",B507&amp;"|"&amp;C507)</f>
        <v/>
      </c>
      <c r="B507" s="113"/>
      <c r="C507" s="113"/>
      <c r="D507" s="113"/>
      <c r="E507" s="118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</row>
    <row r="508" customFormat="false" ht="15.75" hidden="false" customHeight="false" outlineLevel="0" collapsed="false">
      <c r="A508" s="113" t="str">
        <f aca="false">IF(ISBLANK(B508),"",B508&amp;"|"&amp;C508)</f>
        <v/>
      </c>
      <c r="B508" s="113"/>
      <c r="C508" s="113"/>
      <c r="D508" s="113"/>
      <c r="E508" s="118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</row>
    <row r="509" customFormat="false" ht="15.75" hidden="false" customHeight="false" outlineLevel="0" collapsed="false">
      <c r="A509" s="113" t="str">
        <f aca="false">IF(ISBLANK(B509),"",B509&amp;"|"&amp;C509)</f>
        <v/>
      </c>
      <c r="B509" s="113"/>
      <c r="C509" s="113"/>
      <c r="D509" s="113"/>
      <c r="E509" s="118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</row>
    <row r="510" customFormat="false" ht="15.75" hidden="false" customHeight="false" outlineLevel="0" collapsed="false">
      <c r="A510" s="113" t="str">
        <f aca="false">IF(ISBLANK(B510),"",B510&amp;"|"&amp;C510)</f>
        <v/>
      </c>
      <c r="B510" s="113"/>
      <c r="C510" s="113"/>
      <c r="D510" s="113"/>
      <c r="E510" s="118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</row>
    <row r="511" customFormat="false" ht="15.75" hidden="false" customHeight="false" outlineLevel="0" collapsed="false">
      <c r="A511" s="113" t="str">
        <f aca="false">IF(ISBLANK(B511),"",B511&amp;"|"&amp;C511)</f>
        <v/>
      </c>
      <c r="B511" s="113"/>
      <c r="C511" s="113"/>
      <c r="D511" s="113"/>
      <c r="E511" s="118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</row>
    <row r="512" customFormat="false" ht="15.75" hidden="false" customHeight="false" outlineLevel="0" collapsed="false">
      <c r="A512" s="113" t="str">
        <f aca="false">IF(ISBLANK(B512),"",B512&amp;"|"&amp;C512)</f>
        <v/>
      </c>
      <c r="B512" s="113"/>
      <c r="C512" s="113"/>
      <c r="D512" s="113"/>
      <c r="E512" s="118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</row>
    <row r="513" customFormat="false" ht="15.75" hidden="false" customHeight="false" outlineLevel="0" collapsed="false">
      <c r="A513" s="113" t="str">
        <f aca="false">IF(ISBLANK(B513),"",B513&amp;"|"&amp;C513)</f>
        <v/>
      </c>
      <c r="B513" s="113"/>
      <c r="C513" s="113"/>
      <c r="D513" s="113"/>
      <c r="E513" s="118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</row>
    <row r="514" customFormat="false" ht="15.75" hidden="false" customHeight="false" outlineLevel="0" collapsed="false">
      <c r="A514" s="113" t="str">
        <f aca="false">IF(ISBLANK(B514),"",B514&amp;"|"&amp;C514)</f>
        <v/>
      </c>
      <c r="B514" s="113"/>
      <c r="C514" s="113"/>
      <c r="D514" s="113"/>
      <c r="E514" s="118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</row>
    <row r="515" customFormat="false" ht="15.75" hidden="false" customHeight="false" outlineLevel="0" collapsed="false">
      <c r="A515" s="113" t="str">
        <f aca="false">IF(ISBLANK(B515),"",B515&amp;"|"&amp;C515)</f>
        <v/>
      </c>
      <c r="B515" s="113"/>
      <c r="C515" s="113"/>
      <c r="D515" s="113"/>
      <c r="E515" s="118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</row>
    <row r="516" customFormat="false" ht="15.75" hidden="false" customHeight="false" outlineLevel="0" collapsed="false">
      <c r="A516" s="113" t="str">
        <f aca="false">IF(ISBLANK(B516),"",B516&amp;"|"&amp;C516)</f>
        <v/>
      </c>
      <c r="B516" s="113"/>
      <c r="C516" s="113"/>
      <c r="D516" s="113"/>
      <c r="E516" s="118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</row>
    <row r="517" customFormat="false" ht="15.75" hidden="false" customHeight="false" outlineLevel="0" collapsed="false">
      <c r="A517" s="113" t="str">
        <f aca="false">IF(ISBLANK(B517),"",B517&amp;"|"&amp;C517)</f>
        <v/>
      </c>
      <c r="B517" s="113"/>
      <c r="C517" s="113"/>
      <c r="D517" s="113"/>
      <c r="E517" s="118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</row>
    <row r="518" customFormat="false" ht="15.75" hidden="false" customHeight="false" outlineLevel="0" collapsed="false">
      <c r="A518" s="113" t="str">
        <f aca="false">IF(ISBLANK(B518),"",B518&amp;"|"&amp;C518)</f>
        <v/>
      </c>
      <c r="B518" s="113"/>
      <c r="C518" s="113"/>
      <c r="D518" s="113"/>
      <c r="E518" s="118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</row>
    <row r="519" customFormat="false" ht="15.75" hidden="false" customHeight="false" outlineLevel="0" collapsed="false">
      <c r="A519" s="113" t="str">
        <f aca="false">IF(ISBLANK(B519),"",B519&amp;"|"&amp;C519)</f>
        <v/>
      </c>
      <c r="B519" s="113"/>
      <c r="C519" s="113"/>
      <c r="D519" s="113"/>
      <c r="E519" s="118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</row>
    <row r="520" customFormat="false" ht="15.75" hidden="false" customHeight="false" outlineLevel="0" collapsed="false">
      <c r="A520" s="113" t="str">
        <f aca="false">IF(ISBLANK(B520),"",B520&amp;"|"&amp;C520)</f>
        <v/>
      </c>
      <c r="B520" s="113"/>
      <c r="C520" s="113"/>
      <c r="D520" s="113"/>
      <c r="E520" s="118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</row>
    <row r="521" customFormat="false" ht="15.75" hidden="false" customHeight="false" outlineLevel="0" collapsed="false">
      <c r="A521" s="113" t="str">
        <f aca="false">IF(ISBLANK(B521),"",B521&amp;"|"&amp;C521)</f>
        <v/>
      </c>
      <c r="B521" s="113"/>
      <c r="C521" s="113"/>
      <c r="D521" s="113"/>
      <c r="E521" s="118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</row>
    <row r="522" customFormat="false" ht="15.75" hidden="false" customHeight="false" outlineLevel="0" collapsed="false">
      <c r="A522" s="113" t="str">
        <f aca="false">IF(ISBLANK(B522),"",B522&amp;"|"&amp;C522)</f>
        <v/>
      </c>
      <c r="B522" s="113"/>
      <c r="C522" s="113"/>
      <c r="D522" s="113"/>
      <c r="E522" s="118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</row>
    <row r="523" customFormat="false" ht="15.75" hidden="false" customHeight="false" outlineLevel="0" collapsed="false">
      <c r="A523" s="113" t="str">
        <f aca="false">IF(ISBLANK(B523),"",B523&amp;"|"&amp;C523)</f>
        <v/>
      </c>
      <c r="B523" s="113"/>
      <c r="C523" s="113"/>
      <c r="D523" s="113"/>
      <c r="E523" s="118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</row>
    <row r="524" customFormat="false" ht="15.75" hidden="false" customHeight="false" outlineLevel="0" collapsed="false">
      <c r="A524" s="113" t="str">
        <f aca="false">IF(ISBLANK(B524),"",B524&amp;"|"&amp;C524)</f>
        <v/>
      </c>
      <c r="B524" s="113"/>
      <c r="C524" s="113"/>
      <c r="D524" s="113"/>
      <c r="E524" s="118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</row>
    <row r="525" customFormat="false" ht="15.75" hidden="false" customHeight="false" outlineLevel="0" collapsed="false">
      <c r="A525" s="113" t="str">
        <f aca="false">IF(ISBLANK(B525),"",B525&amp;"|"&amp;C525)</f>
        <v/>
      </c>
      <c r="B525" s="113"/>
      <c r="C525" s="113"/>
      <c r="D525" s="113"/>
      <c r="E525" s="118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</row>
    <row r="526" customFormat="false" ht="15.75" hidden="false" customHeight="false" outlineLevel="0" collapsed="false">
      <c r="A526" s="113" t="str">
        <f aca="false">IF(ISBLANK(B526),"",B526&amp;"|"&amp;C526)</f>
        <v/>
      </c>
      <c r="B526" s="113"/>
      <c r="C526" s="113"/>
      <c r="D526" s="113"/>
      <c r="E526" s="118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</row>
    <row r="527" customFormat="false" ht="15.75" hidden="false" customHeight="false" outlineLevel="0" collapsed="false">
      <c r="A527" s="113" t="str">
        <f aca="false">IF(ISBLANK(B527),"",B527&amp;"|"&amp;C527)</f>
        <v/>
      </c>
      <c r="B527" s="113"/>
      <c r="C527" s="113"/>
      <c r="D527" s="113"/>
      <c r="E527" s="118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</row>
    <row r="528" customFormat="false" ht="15.75" hidden="false" customHeight="false" outlineLevel="0" collapsed="false">
      <c r="A528" s="113" t="str">
        <f aca="false">IF(ISBLANK(B528),"",B528&amp;"|"&amp;C528)</f>
        <v/>
      </c>
      <c r="B528" s="113"/>
      <c r="C528" s="113"/>
      <c r="D528" s="113"/>
      <c r="E528" s="118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</row>
    <row r="529" customFormat="false" ht="15.75" hidden="false" customHeight="false" outlineLevel="0" collapsed="false">
      <c r="A529" s="113" t="str">
        <f aca="false">IF(ISBLANK(B529),"",B529&amp;"|"&amp;C529)</f>
        <v/>
      </c>
      <c r="B529" s="113"/>
      <c r="C529" s="113"/>
      <c r="D529" s="113"/>
      <c r="E529" s="118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</row>
    <row r="530" customFormat="false" ht="15.75" hidden="false" customHeight="false" outlineLevel="0" collapsed="false">
      <c r="A530" s="113" t="str">
        <f aca="false">IF(ISBLANK(B530),"",B530&amp;"|"&amp;C530)</f>
        <v/>
      </c>
      <c r="B530" s="113"/>
      <c r="C530" s="113"/>
      <c r="D530" s="113"/>
      <c r="E530" s="118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</row>
    <row r="531" customFormat="false" ht="15.75" hidden="false" customHeight="false" outlineLevel="0" collapsed="false">
      <c r="A531" s="113" t="str">
        <f aca="false">IF(ISBLANK(B531),"",B531&amp;"|"&amp;C531)</f>
        <v/>
      </c>
      <c r="B531" s="113"/>
      <c r="C531" s="113"/>
      <c r="D531" s="113"/>
      <c r="E531" s="118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</row>
    <row r="532" customFormat="false" ht="15.75" hidden="false" customHeight="false" outlineLevel="0" collapsed="false">
      <c r="A532" s="113" t="str">
        <f aca="false">IF(ISBLANK(B532),"",B532&amp;"|"&amp;C532)</f>
        <v/>
      </c>
      <c r="B532" s="113"/>
      <c r="C532" s="113"/>
      <c r="D532" s="113"/>
      <c r="E532" s="118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</row>
    <row r="533" customFormat="false" ht="15.75" hidden="false" customHeight="false" outlineLevel="0" collapsed="false">
      <c r="A533" s="113" t="str">
        <f aca="false">IF(ISBLANK(B533),"",B533&amp;"|"&amp;C533)</f>
        <v/>
      </c>
      <c r="B533" s="113"/>
      <c r="C533" s="113"/>
      <c r="D533" s="113"/>
      <c r="E533" s="118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</row>
    <row r="534" customFormat="false" ht="15.75" hidden="false" customHeight="false" outlineLevel="0" collapsed="false">
      <c r="A534" s="113" t="str">
        <f aca="false">IF(ISBLANK(B534),"",B534&amp;"|"&amp;C534)</f>
        <v/>
      </c>
      <c r="B534" s="113"/>
      <c r="C534" s="113"/>
      <c r="D534" s="113"/>
      <c r="E534" s="118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</row>
    <row r="535" customFormat="false" ht="15.75" hidden="false" customHeight="false" outlineLevel="0" collapsed="false">
      <c r="A535" s="113" t="str">
        <f aca="false">IF(ISBLANK(B535),"",B535&amp;"|"&amp;C535)</f>
        <v/>
      </c>
      <c r="B535" s="113"/>
      <c r="C535" s="113"/>
      <c r="D535" s="113"/>
      <c r="E535" s="118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</row>
    <row r="536" customFormat="false" ht="15.75" hidden="false" customHeight="false" outlineLevel="0" collapsed="false">
      <c r="A536" s="113" t="str">
        <f aca="false">IF(ISBLANK(B536),"",B536&amp;"|"&amp;C536)</f>
        <v/>
      </c>
      <c r="B536" s="113"/>
      <c r="C536" s="113"/>
      <c r="D536" s="113"/>
      <c r="E536" s="118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</row>
    <row r="537" customFormat="false" ht="15.75" hidden="false" customHeight="false" outlineLevel="0" collapsed="false">
      <c r="A537" s="113" t="str">
        <f aca="false">IF(ISBLANK(B537),"",B537&amp;"|"&amp;C537)</f>
        <v/>
      </c>
      <c r="B537" s="113"/>
      <c r="C537" s="113"/>
      <c r="D537" s="113"/>
      <c r="E537" s="118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</row>
    <row r="538" customFormat="false" ht="15.75" hidden="false" customHeight="false" outlineLevel="0" collapsed="false">
      <c r="A538" s="113" t="str">
        <f aca="false">IF(ISBLANK(B538),"",B538&amp;"|"&amp;C538)</f>
        <v/>
      </c>
      <c r="B538" s="113"/>
      <c r="C538" s="113"/>
      <c r="D538" s="113"/>
      <c r="E538" s="118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</row>
    <row r="539" customFormat="false" ht="15.75" hidden="false" customHeight="false" outlineLevel="0" collapsed="false">
      <c r="A539" s="113" t="str">
        <f aca="false">IF(ISBLANK(B539),"",B539&amp;"|"&amp;C539)</f>
        <v/>
      </c>
      <c r="B539" s="113"/>
      <c r="C539" s="113"/>
      <c r="D539" s="113"/>
      <c r="E539" s="118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</row>
    <row r="540" customFormat="false" ht="15.75" hidden="false" customHeight="false" outlineLevel="0" collapsed="false">
      <c r="A540" s="113" t="str">
        <f aca="false">IF(ISBLANK(B540),"",B540&amp;"|"&amp;C540)</f>
        <v/>
      </c>
      <c r="B540" s="113"/>
      <c r="C540" s="113"/>
      <c r="D540" s="113"/>
      <c r="E540" s="118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</row>
    <row r="541" customFormat="false" ht="15.75" hidden="false" customHeight="false" outlineLevel="0" collapsed="false">
      <c r="A541" s="113" t="str">
        <f aca="false">IF(ISBLANK(B541),"",B541&amp;"|"&amp;C541)</f>
        <v/>
      </c>
      <c r="B541" s="113"/>
      <c r="C541" s="113"/>
      <c r="D541" s="113"/>
      <c r="E541" s="118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</row>
    <row r="542" customFormat="false" ht="15.75" hidden="false" customHeight="false" outlineLevel="0" collapsed="false">
      <c r="A542" s="113" t="str">
        <f aca="false">IF(ISBLANK(B542),"",B542&amp;"|"&amp;C542)</f>
        <v/>
      </c>
      <c r="B542" s="113"/>
      <c r="C542" s="113"/>
      <c r="D542" s="113"/>
      <c r="E542" s="118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</row>
    <row r="543" customFormat="false" ht="15.75" hidden="false" customHeight="false" outlineLevel="0" collapsed="false">
      <c r="A543" s="113" t="str">
        <f aca="false">IF(ISBLANK(B543),"",B543&amp;"|"&amp;C543)</f>
        <v/>
      </c>
      <c r="B543" s="113"/>
      <c r="C543" s="113"/>
      <c r="D543" s="113"/>
      <c r="E543" s="118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</row>
    <row r="544" customFormat="false" ht="15.75" hidden="false" customHeight="false" outlineLevel="0" collapsed="false">
      <c r="A544" s="113" t="str">
        <f aca="false">IF(ISBLANK(B544),"",B544&amp;"|"&amp;C544)</f>
        <v/>
      </c>
      <c r="B544" s="113"/>
      <c r="C544" s="113"/>
      <c r="D544" s="113"/>
      <c r="E544" s="118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</row>
    <row r="545" customFormat="false" ht="15.75" hidden="false" customHeight="false" outlineLevel="0" collapsed="false">
      <c r="A545" s="113" t="str">
        <f aca="false">IF(ISBLANK(B545),"",B545&amp;"|"&amp;C545)</f>
        <v/>
      </c>
      <c r="B545" s="113"/>
      <c r="C545" s="113"/>
      <c r="D545" s="113"/>
      <c r="E545" s="118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</row>
    <row r="546" customFormat="false" ht="15.75" hidden="false" customHeight="false" outlineLevel="0" collapsed="false">
      <c r="A546" s="113" t="str">
        <f aca="false">IF(ISBLANK(B546),"",B546&amp;"|"&amp;C546)</f>
        <v/>
      </c>
      <c r="B546" s="113"/>
      <c r="C546" s="113"/>
      <c r="D546" s="113"/>
      <c r="E546" s="118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</row>
    <row r="547" customFormat="false" ht="15.75" hidden="false" customHeight="false" outlineLevel="0" collapsed="false">
      <c r="A547" s="113" t="str">
        <f aca="false">IF(ISBLANK(B547),"",B547&amp;"|"&amp;C547)</f>
        <v/>
      </c>
      <c r="B547" s="113"/>
      <c r="C547" s="113"/>
      <c r="D547" s="113"/>
      <c r="E547" s="118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</row>
    <row r="548" customFormat="false" ht="15.75" hidden="false" customHeight="false" outlineLevel="0" collapsed="false">
      <c r="A548" s="113" t="str">
        <f aca="false">IF(ISBLANK(B548),"",B548&amp;"|"&amp;C548)</f>
        <v/>
      </c>
      <c r="B548" s="113"/>
      <c r="C548" s="113"/>
      <c r="D548" s="113"/>
      <c r="E548" s="118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</row>
    <row r="549" customFormat="false" ht="15.75" hidden="false" customHeight="false" outlineLevel="0" collapsed="false">
      <c r="A549" s="113" t="str">
        <f aca="false">IF(ISBLANK(B549),"",B549&amp;"|"&amp;C549)</f>
        <v/>
      </c>
      <c r="B549" s="113"/>
      <c r="C549" s="113"/>
      <c r="D549" s="113"/>
      <c r="E549" s="118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</row>
    <row r="550" customFormat="false" ht="15.75" hidden="false" customHeight="false" outlineLevel="0" collapsed="false">
      <c r="A550" s="113" t="str">
        <f aca="false">IF(ISBLANK(B550),"",B550&amp;"|"&amp;C550)</f>
        <v/>
      </c>
      <c r="B550" s="113"/>
      <c r="C550" s="113"/>
      <c r="D550" s="113"/>
      <c r="E550" s="118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</row>
    <row r="551" customFormat="false" ht="15.75" hidden="false" customHeight="false" outlineLevel="0" collapsed="false">
      <c r="A551" s="113" t="str">
        <f aca="false">IF(ISBLANK(B551),"",B551&amp;"|"&amp;C551)</f>
        <v/>
      </c>
      <c r="B551" s="113"/>
      <c r="C551" s="113"/>
      <c r="D551" s="113"/>
      <c r="E551" s="118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</row>
    <row r="552" customFormat="false" ht="15.75" hidden="false" customHeight="false" outlineLevel="0" collapsed="false">
      <c r="A552" s="113" t="str">
        <f aca="false">IF(ISBLANK(B552),"",B552&amp;"|"&amp;C552)</f>
        <v/>
      </c>
      <c r="B552" s="113"/>
      <c r="C552" s="113"/>
      <c r="D552" s="113"/>
      <c r="E552" s="118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</row>
    <row r="553" customFormat="false" ht="15.75" hidden="false" customHeight="false" outlineLevel="0" collapsed="false">
      <c r="A553" s="113" t="str">
        <f aca="false">IF(ISBLANK(B553),"",B553&amp;"|"&amp;C553)</f>
        <v/>
      </c>
      <c r="B553" s="113"/>
      <c r="C553" s="113"/>
      <c r="D553" s="113"/>
      <c r="E553" s="118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</row>
    <row r="554" customFormat="false" ht="15.75" hidden="false" customHeight="false" outlineLevel="0" collapsed="false">
      <c r="A554" s="113" t="str">
        <f aca="false">IF(ISBLANK(B554),"",B554&amp;"|"&amp;C554)</f>
        <v/>
      </c>
      <c r="B554" s="113"/>
      <c r="C554" s="113"/>
      <c r="D554" s="113"/>
      <c r="E554" s="118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</row>
    <row r="555" customFormat="false" ht="15.75" hidden="false" customHeight="false" outlineLevel="0" collapsed="false">
      <c r="A555" s="113" t="str">
        <f aca="false">IF(ISBLANK(B555),"",B555&amp;"|"&amp;C555)</f>
        <v/>
      </c>
      <c r="B555" s="113"/>
      <c r="C555" s="113"/>
      <c r="D555" s="113"/>
      <c r="E555" s="118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</row>
    <row r="556" customFormat="false" ht="15.75" hidden="false" customHeight="false" outlineLevel="0" collapsed="false">
      <c r="A556" s="113" t="str">
        <f aca="false">IF(ISBLANK(B556),"",B556&amp;"|"&amp;C556)</f>
        <v/>
      </c>
      <c r="B556" s="113"/>
      <c r="C556" s="113"/>
      <c r="D556" s="113"/>
      <c r="E556" s="118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</row>
    <row r="557" customFormat="false" ht="15.75" hidden="false" customHeight="false" outlineLevel="0" collapsed="false">
      <c r="A557" s="113" t="str">
        <f aca="false">IF(ISBLANK(B557),"",B557&amp;"|"&amp;C557)</f>
        <v/>
      </c>
      <c r="B557" s="113"/>
      <c r="C557" s="113"/>
      <c r="D557" s="113"/>
      <c r="E557" s="118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</row>
    <row r="558" customFormat="false" ht="15.75" hidden="false" customHeight="false" outlineLevel="0" collapsed="false">
      <c r="A558" s="113" t="str">
        <f aca="false">IF(ISBLANK(B558),"",B558&amp;"|"&amp;C558)</f>
        <v/>
      </c>
      <c r="B558" s="113"/>
      <c r="C558" s="113"/>
      <c r="D558" s="113"/>
      <c r="E558" s="118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</row>
    <row r="559" customFormat="false" ht="15.75" hidden="false" customHeight="false" outlineLevel="0" collapsed="false">
      <c r="A559" s="113" t="str">
        <f aca="false">IF(ISBLANK(B559),"",B559&amp;"|"&amp;C559)</f>
        <v/>
      </c>
      <c r="B559" s="113"/>
      <c r="C559" s="113"/>
      <c r="D559" s="113"/>
      <c r="E559" s="118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</row>
    <row r="560" customFormat="false" ht="15.75" hidden="false" customHeight="false" outlineLevel="0" collapsed="false">
      <c r="A560" s="113" t="str">
        <f aca="false">IF(ISBLANK(B560),"",B560&amp;"|"&amp;C560)</f>
        <v/>
      </c>
      <c r="B560" s="113"/>
      <c r="C560" s="113"/>
      <c r="D560" s="113"/>
      <c r="E560" s="118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</row>
    <row r="561" customFormat="false" ht="15.75" hidden="false" customHeight="false" outlineLevel="0" collapsed="false">
      <c r="A561" s="113" t="str">
        <f aca="false">IF(ISBLANK(B561),"",B561&amp;"|"&amp;C561)</f>
        <v/>
      </c>
      <c r="B561" s="113"/>
      <c r="C561" s="113"/>
      <c r="D561" s="113"/>
      <c r="E561" s="118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</row>
    <row r="562" customFormat="false" ht="15.75" hidden="false" customHeight="false" outlineLevel="0" collapsed="false">
      <c r="A562" s="113" t="str">
        <f aca="false">IF(ISBLANK(B562),"",B562&amp;"|"&amp;C562)</f>
        <v/>
      </c>
      <c r="B562" s="113"/>
      <c r="C562" s="113"/>
      <c r="D562" s="113"/>
      <c r="E562" s="118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</row>
    <row r="563" customFormat="false" ht="15.75" hidden="false" customHeight="false" outlineLevel="0" collapsed="false">
      <c r="A563" s="113" t="str">
        <f aca="false">IF(ISBLANK(B563),"",B563&amp;"|"&amp;C563)</f>
        <v/>
      </c>
      <c r="B563" s="113"/>
      <c r="C563" s="113"/>
      <c r="D563" s="113"/>
      <c r="E563" s="118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</row>
    <row r="564" customFormat="false" ht="15.75" hidden="false" customHeight="false" outlineLevel="0" collapsed="false">
      <c r="A564" s="113" t="str">
        <f aca="false">IF(ISBLANK(B564),"",B564&amp;"|"&amp;C564)</f>
        <v/>
      </c>
      <c r="B564" s="113"/>
      <c r="C564" s="113"/>
      <c r="D564" s="113"/>
      <c r="E564" s="118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</row>
    <row r="565" customFormat="false" ht="15.75" hidden="false" customHeight="false" outlineLevel="0" collapsed="false">
      <c r="A565" s="113" t="str">
        <f aca="false">IF(ISBLANK(B565),"",B565&amp;"|"&amp;C565)</f>
        <v/>
      </c>
      <c r="B565" s="113"/>
      <c r="C565" s="113"/>
      <c r="D565" s="113"/>
      <c r="E565" s="118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</row>
    <row r="566" customFormat="false" ht="15.75" hidden="false" customHeight="false" outlineLevel="0" collapsed="false">
      <c r="A566" s="113" t="str">
        <f aca="false">IF(ISBLANK(B566),"",B566&amp;"|"&amp;C566)</f>
        <v/>
      </c>
      <c r="B566" s="113"/>
      <c r="C566" s="113"/>
      <c r="D566" s="113"/>
      <c r="E566" s="118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</row>
    <row r="567" customFormat="false" ht="15.75" hidden="false" customHeight="false" outlineLevel="0" collapsed="false">
      <c r="A567" s="113" t="str">
        <f aca="false">IF(ISBLANK(B567),"",B567&amp;"|"&amp;C567)</f>
        <v/>
      </c>
      <c r="B567" s="113"/>
      <c r="C567" s="113"/>
      <c r="D567" s="113"/>
      <c r="E567" s="118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</row>
    <row r="568" customFormat="false" ht="15.75" hidden="false" customHeight="false" outlineLevel="0" collapsed="false">
      <c r="A568" s="113" t="str">
        <f aca="false">IF(ISBLANK(B568),"",B568&amp;"|"&amp;C568)</f>
        <v/>
      </c>
      <c r="B568" s="113"/>
      <c r="C568" s="113"/>
      <c r="D568" s="113"/>
      <c r="E568" s="118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</row>
    <row r="569" customFormat="false" ht="15.75" hidden="false" customHeight="false" outlineLevel="0" collapsed="false">
      <c r="A569" s="113" t="str">
        <f aca="false">IF(ISBLANK(B569),"",B569&amp;"|"&amp;C569)</f>
        <v/>
      </c>
      <c r="B569" s="113"/>
      <c r="C569" s="113"/>
      <c r="D569" s="113"/>
      <c r="E569" s="118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</row>
    <row r="570" customFormat="false" ht="15.75" hidden="false" customHeight="false" outlineLevel="0" collapsed="false">
      <c r="A570" s="113" t="str">
        <f aca="false">IF(ISBLANK(B570),"",B570&amp;"|"&amp;C570)</f>
        <v/>
      </c>
      <c r="B570" s="113"/>
      <c r="C570" s="113"/>
      <c r="D570" s="113"/>
      <c r="E570" s="118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</row>
    <row r="571" customFormat="false" ht="15.75" hidden="false" customHeight="false" outlineLevel="0" collapsed="false">
      <c r="A571" s="113" t="str">
        <f aca="false">IF(ISBLANK(B571),"",B571&amp;"|"&amp;C571)</f>
        <v/>
      </c>
      <c r="B571" s="113"/>
      <c r="C571" s="113"/>
      <c r="D571" s="113"/>
      <c r="E571" s="118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</row>
    <row r="572" customFormat="false" ht="15.75" hidden="false" customHeight="false" outlineLevel="0" collapsed="false">
      <c r="A572" s="113" t="str">
        <f aca="false">IF(ISBLANK(B572),"",B572&amp;"|"&amp;C572)</f>
        <v/>
      </c>
      <c r="B572" s="113"/>
      <c r="C572" s="113"/>
      <c r="D572" s="113"/>
      <c r="E572" s="118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</row>
    <row r="573" customFormat="false" ht="15.75" hidden="false" customHeight="false" outlineLevel="0" collapsed="false">
      <c r="A573" s="113" t="str">
        <f aca="false">IF(ISBLANK(B573),"",B573&amp;"|"&amp;C573)</f>
        <v/>
      </c>
      <c r="B573" s="113"/>
      <c r="C573" s="113"/>
      <c r="D573" s="113"/>
      <c r="E573" s="118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</row>
    <row r="574" customFormat="false" ht="15.75" hidden="false" customHeight="false" outlineLevel="0" collapsed="false">
      <c r="A574" s="113" t="str">
        <f aca="false">IF(ISBLANK(B574),"",B574&amp;"|"&amp;C574)</f>
        <v/>
      </c>
      <c r="B574" s="113"/>
      <c r="C574" s="113"/>
      <c r="D574" s="113"/>
      <c r="E574" s="118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</row>
    <row r="575" customFormat="false" ht="15.75" hidden="false" customHeight="false" outlineLevel="0" collapsed="false">
      <c r="A575" s="113" t="str">
        <f aca="false">IF(ISBLANK(B575),"",B575&amp;"|"&amp;C575)</f>
        <v/>
      </c>
      <c r="B575" s="113"/>
      <c r="C575" s="113"/>
      <c r="D575" s="113"/>
      <c r="E575" s="118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</row>
    <row r="576" customFormat="false" ht="15.75" hidden="false" customHeight="false" outlineLevel="0" collapsed="false">
      <c r="A576" s="113" t="str">
        <f aca="false">IF(ISBLANK(B576),"",B576&amp;"|"&amp;C576)</f>
        <v/>
      </c>
      <c r="B576" s="113"/>
      <c r="C576" s="113"/>
      <c r="D576" s="113"/>
      <c r="E576" s="118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</row>
    <row r="577" customFormat="false" ht="15.75" hidden="false" customHeight="false" outlineLevel="0" collapsed="false">
      <c r="A577" s="113" t="str">
        <f aca="false">IF(ISBLANK(B577),"",B577&amp;"|"&amp;C577)</f>
        <v/>
      </c>
      <c r="B577" s="113"/>
      <c r="C577" s="113"/>
      <c r="D577" s="113"/>
      <c r="E577" s="118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</row>
    <row r="578" customFormat="false" ht="15.75" hidden="false" customHeight="false" outlineLevel="0" collapsed="false">
      <c r="A578" s="113" t="str">
        <f aca="false">IF(ISBLANK(B578),"",B578&amp;"|"&amp;C578)</f>
        <v/>
      </c>
      <c r="B578" s="113"/>
      <c r="C578" s="113"/>
      <c r="D578" s="113"/>
      <c r="E578" s="118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</row>
    <row r="579" customFormat="false" ht="15.75" hidden="false" customHeight="false" outlineLevel="0" collapsed="false">
      <c r="A579" s="113" t="str">
        <f aca="false">IF(ISBLANK(B579),"",B579&amp;"|"&amp;C579)</f>
        <v/>
      </c>
      <c r="B579" s="113"/>
      <c r="C579" s="113"/>
      <c r="D579" s="113"/>
      <c r="E579" s="118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</row>
    <row r="580" customFormat="false" ht="15.75" hidden="false" customHeight="false" outlineLevel="0" collapsed="false">
      <c r="A580" s="113" t="str">
        <f aca="false">IF(ISBLANK(B580),"",B580&amp;"|"&amp;C580)</f>
        <v/>
      </c>
      <c r="B580" s="113"/>
      <c r="C580" s="113"/>
      <c r="D580" s="113"/>
      <c r="E580" s="118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</row>
    <row r="581" customFormat="false" ht="15.75" hidden="false" customHeight="false" outlineLevel="0" collapsed="false">
      <c r="A581" s="113" t="str">
        <f aca="false">IF(ISBLANK(B581),"",B581&amp;"|"&amp;C581)</f>
        <v/>
      </c>
      <c r="B581" s="113"/>
      <c r="C581" s="113"/>
      <c r="D581" s="113"/>
      <c r="E581" s="118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</row>
    <row r="582" customFormat="false" ht="15.75" hidden="false" customHeight="false" outlineLevel="0" collapsed="false">
      <c r="A582" s="113" t="str">
        <f aca="false">IF(ISBLANK(B582),"",B582&amp;"|"&amp;C582)</f>
        <v/>
      </c>
      <c r="B582" s="113"/>
      <c r="C582" s="113"/>
      <c r="D582" s="113"/>
      <c r="E582" s="118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</row>
    <row r="583" customFormat="false" ht="15.75" hidden="false" customHeight="false" outlineLevel="0" collapsed="false">
      <c r="A583" s="113" t="str">
        <f aca="false">IF(ISBLANK(B583),"",B583&amp;"|"&amp;C583)</f>
        <v/>
      </c>
      <c r="B583" s="113"/>
      <c r="C583" s="113"/>
      <c r="D583" s="113"/>
      <c r="E583" s="118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</row>
    <row r="584" customFormat="false" ht="15.75" hidden="false" customHeight="false" outlineLevel="0" collapsed="false">
      <c r="A584" s="113" t="str">
        <f aca="false">IF(ISBLANK(B584),"",B584&amp;"|"&amp;C584)</f>
        <v/>
      </c>
      <c r="B584" s="113"/>
      <c r="C584" s="113"/>
      <c r="D584" s="113"/>
      <c r="E584" s="118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</row>
    <row r="585" customFormat="false" ht="15.75" hidden="false" customHeight="false" outlineLevel="0" collapsed="false">
      <c r="A585" s="113" t="str">
        <f aca="false">IF(ISBLANK(B585),"",B585&amp;"|"&amp;C585)</f>
        <v/>
      </c>
      <c r="B585" s="113"/>
      <c r="C585" s="113"/>
      <c r="D585" s="113"/>
      <c r="E585" s="118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</row>
    <row r="586" customFormat="false" ht="15.75" hidden="false" customHeight="false" outlineLevel="0" collapsed="false">
      <c r="A586" s="113" t="str">
        <f aca="false">IF(ISBLANK(B586),"",B586&amp;"|"&amp;C586)</f>
        <v/>
      </c>
      <c r="B586" s="113"/>
      <c r="C586" s="113"/>
      <c r="D586" s="113"/>
      <c r="E586" s="118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</row>
    <row r="587" customFormat="false" ht="15.75" hidden="false" customHeight="false" outlineLevel="0" collapsed="false">
      <c r="A587" s="113" t="str">
        <f aca="false">IF(ISBLANK(B587),"",B587&amp;"|"&amp;C587)</f>
        <v/>
      </c>
      <c r="B587" s="113"/>
      <c r="C587" s="113"/>
      <c r="D587" s="113"/>
      <c r="E587" s="118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</row>
    <row r="588" customFormat="false" ht="15.75" hidden="false" customHeight="false" outlineLevel="0" collapsed="false">
      <c r="A588" s="113" t="str">
        <f aca="false">IF(ISBLANK(B588),"",B588&amp;"|"&amp;C588)</f>
        <v/>
      </c>
      <c r="B588" s="113"/>
      <c r="C588" s="113"/>
      <c r="D588" s="113"/>
      <c r="E588" s="118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</row>
    <row r="589" customFormat="false" ht="15.75" hidden="false" customHeight="false" outlineLevel="0" collapsed="false">
      <c r="A589" s="113" t="str">
        <f aca="false">IF(ISBLANK(B589),"",B589&amp;"|"&amp;C589)</f>
        <v/>
      </c>
      <c r="B589" s="113"/>
      <c r="C589" s="113"/>
      <c r="D589" s="113"/>
      <c r="E589" s="118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</row>
    <row r="590" customFormat="false" ht="15.75" hidden="false" customHeight="false" outlineLevel="0" collapsed="false">
      <c r="A590" s="113" t="str">
        <f aca="false">IF(ISBLANK(B590),"",B590&amp;"|"&amp;C590)</f>
        <v/>
      </c>
      <c r="B590" s="113"/>
      <c r="C590" s="113"/>
      <c r="D590" s="113"/>
      <c r="E590" s="118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</row>
    <row r="591" customFormat="false" ht="15.75" hidden="false" customHeight="false" outlineLevel="0" collapsed="false">
      <c r="A591" s="113" t="str">
        <f aca="false">IF(ISBLANK(B591),"",B591&amp;"|"&amp;C591)</f>
        <v/>
      </c>
      <c r="B591" s="113"/>
      <c r="C591" s="113"/>
      <c r="D591" s="113"/>
      <c r="E591" s="118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</row>
    <row r="592" customFormat="false" ht="15.75" hidden="false" customHeight="false" outlineLevel="0" collapsed="false">
      <c r="A592" s="113" t="str">
        <f aca="false">IF(ISBLANK(B592),"",B592&amp;"|"&amp;C592)</f>
        <v/>
      </c>
      <c r="B592" s="113"/>
      <c r="C592" s="113"/>
      <c r="D592" s="113"/>
      <c r="E592" s="118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</row>
    <row r="593" customFormat="false" ht="15.75" hidden="false" customHeight="false" outlineLevel="0" collapsed="false">
      <c r="A593" s="113" t="str">
        <f aca="false">IF(ISBLANK(B593),"",B593&amp;"|"&amp;C593)</f>
        <v/>
      </c>
      <c r="B593" s="113"/>
      <c r="C593" s="113"/>
      <c r="D593" s="113"/>
      <c r="E593" s="118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</row>
    <row r="594" customFormat="false" ht="15.75" hidden="false" customHeight="false" outlineLevel="0" collapsed="false">
      <c r="A594" s="113" t="str">
        <f aca="false">IF(ISBLANK(B594),"",B594&amp;"|"&amp;C594)</f>
        <v/>
      </c>
      <c r="B594" s="113"/>
      <c r="C594" s="113"/>
      <c r="D594" s="113"/>
      <c r="E594" s="118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</row>
    <row r="595" customFormat="false" ht="15.75" hidden="false" customHeight="false" outlineLevel="0" collapsed="false">
      <c r="A595" s="113" t="str">
        <f aca="false">IF(ISBLANK(B595),"",B595&amp;"|"&amp;C595)</f>
        <v/>
      </c>
      <c r="B595" s="113"/>
      <c r="C595" s="113"/>
      <c r="D595" s="113"/>
      <c r="E595" s="118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</row>
    <row r="596" customFormat="false" ht="15.75" hidden="false" customHeight="false" outlineLevel="0" collapsed="false">
      <c r="A596" s="113" t="str">
        <f aca="false">IF(ISBLANK(B596),"",B596&amp;"|"&amp;C596)</f>
        <v/>
      </c>
      <c r="B596" s="113"/>
      <c r="C596" s="113"/>
      <c r="D596" s="113"/>
      <c r="E596" s="118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</row>
    <row r="597" customFormat="false" ht="15.75" hidden="false" customHeight="false" outlineLevel="0" collapsed="false">
      <c r="A597" s="113" t="str">
        <f aca="false">IF(ISBLANK(B597),"",B597&amp;"|"&amp;C597)</f>
        <v/>
      </c>
      <c r="B597" s="113"/>
      <c r="C597" s="113"/>
      <c r="D597" s="113"/>
      <c r="E597" s="118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</row>
    <row r="598" customFormat="false" ht="15.75" hidden="false" customHeight="false" outlineLevel="0" collapsed="false">
      <c r="A598" s="113" t="str">
        <f aca="false">IF(ISBLANK(B598),"",B598&amp;"|"&amp;C598)</f>
        <v/>
      </c>
      <c r="B598" s="113"/>
      <c r="C598" s="113"/>
      <c r="D598" s="113"/>
      <c r="E598" s="118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</row>
    <row r="599" customFormat="false" ht="15.75" hidden="false" customHeight="false" outlineLevel="0" collapsed="false">
      <c r="A599" s="113" t="str">
        <f aca="false">IF(ISBLANK(B599),"",B599&amp;"|"&amp;C599)</f>
        <v/>
      </c>
      <c r="B599" s="113"/>
      <c r="C599" s="113"/>
      <c r="D599" s="113"/>
      <c r="E599" s="118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</row>
    <row r="600" customFormat="false" ht="15.75" hidden="false" customHeight="false" outlineLevel="0" collapsed="false">
      <c r="A600" s="113" t="str">
        <f aca="false">IF(ISBLANK(B600),"",B600&amp;"|"&amp;C600)</f>
        <v/>
      </c>
      <c r="B600" s="113"/>
      <c r="C600" s="113"/>
      <c r="D600" s="113"/>
      <c r="E600" s="118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</row>
    <row r="601" customFormat="false" ht="15.75" hidden="false" customHeight="false" outlineLevel="0" collapsed="false">
      <c r="A601" s="113" t="str">
        <f aca="false">IF(ISBLANK(B601),"",B601&amp;"|"&amp;C601)</f>
        <v/>
      </c>
      <c r="B601" s="113"/>
      <c r="C601" s="113"/>
      <c r="D601" s="113"/>
      <c r="E601" s="118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</row>
    <row r="602" customFormat="false" ht="15.75" hidden="false" customHeight="false" outlineLevel="0" collapsed="false">
      <c r="A602" s="113" t="str">
        <f aca="false">IF(ISBLANK(B602),"",B602&amp;"|"&amp;C602)</f>
        <v/>
      </c>
      <c r="B602" s="113"/>
      <c r="C602" s="113"/>
      <c r="D602" s="113"/>
      <c r="E602" s="118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</row>
    <row r="603" customFormat="false" ht="15.75" hidden="false" customHeight="false" outlineLevel="0" collapsed="false">
      <c r="A603" s="113" t="str">
        <f aca="false">IF(ISBLANK(B603),"",B603&amp;"|"&amp;C603)</f>
        <v/>
      </c>
      <c r="B603" s="113"/>
      <c r="C603" s="113"/>
      <c r="D603" s="113"/>
      <c r="E603" s="118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</row>
    <row r="604" customFormat="false" ht="15.75" hidden="false" customHeight="false" outlineLevel="0" collapsed="false">
      <c r="A604" s="113" t="str">
        <f aca="false">IF(ISBLANK(B604),"",B604&amp;"|"&amp;C604)</f>
        <v/>
      </c>
      <c r="B604" s="113"/>
      <c r="C604" s="113"/>
      <c r="D604" s="113"/>
      <c r="E604" s="118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</row>
    <row r="605" customFormat="false" ht="15.75" hidden="false" customHeight="false" outlineLevel="0" collapsed="false">
      <c r="A605" s="113" t="str">
        <f aca="false">IF(ISBLANK(B605),"",B605&amp;"|"&amp;C605)</f>
        <v/>
      </c>
      <c r="B605" s="113"/>
      <c r="C605" s="113"/>
      <c r="D605" s="113"/>
      <c r="E605" s="118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</row>
    <row r="606" customFormat="false" ht="15.75" hidden="false" customHeight="false" outlineLevel="0" collapsed="false">
      <c r="A606" s="113" t="str">
        <f aca="false">IF(ISBLANK(B606),"",B606&amp;"|"&amp;C606)</f>
        <v/>
      </c>
      <c r="B606" s="113"/>
      <c r="C606" s="113"/>
      <c r="D606" s="113"/>
      <c r="E606" s="118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</row>
    <row r="607" customFormat="false" ht="15.75" hidden="false" customHeight="false" outlineLevel="0" collapsed="false">
      <c r="A607" s="113" t="str">
        <f aca="false">IF(ISBLANK(B607),"",B607&amp;"|"&amp;C607)</f>
        <v/>
      </c>
      <c r="B607" s="113"/>
      <c r="C607" s="113"/>
      <c r="D607" s="113"/>
      <c r="E607" s="118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</row>
    <row r="608" customFormat="false" ht="15.75" hidden="false" customHeight="false" outlineLevel="0" collapsed="false">
      <c r="A608" s="113" t="str">
        <f aca="false">IF(ISBLANK(B608),"",B608&amp;"|"&amp;C608)</f>
        <v/>
      </c>
      <c r="B608" s="113"/>
      <c r="C608" s="113"/>
      <c r="D608" s="113"/>
      <c r="E608" s="118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</row>
    <row r="609" customFormat="false" ht="15.75" hidden="false" customHeight="false" outlineLevel="0" collapsed="false">
      <c r="A609" s="113" t="str">
        <f aca="false">IF(ISBLANK(B609),"",B609&amp;"|"&amp;C609)</f>
        <v/>
      </c>
      <c r="B609" s="113"/>
      <c r="C609" s="113"/>
      <c r="D609" s="113"/>
      <c r="E609" s="118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</row>
    <row r="610" customFormat="false" ht="15.75" hidden="false" customHeight="false" outlineLevel="0" collapsed="false">
      <c r="A610" s="113" t="str">
        <f aca="false">IF(ISBLANK(B610),"",B610&amp;"|"&amp;C610)</f>
        <v/>
      </c>
      <c r="B610" s="113"/>
      <c r="C610" s="113"/>
      <c r="D610" s="113"/>
      <c r="E610" s="118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</row>
    <row r="611" customFormat="false" ht="15.75" hidden="false" customHeight="false" outlineLevel="0" collapsed="false">
      <c r="A611" s="113" t="str">
        <f aca="false">IF(ISBLANK(B611),"",B611&amp;"|"&amp;C611)</f>
        <v/>
      </c>
      <c r="B611" s="113"/>
      <c r="C611" s="113"/>
      <c r="D611" s="113"/>
      <c r="E611" s="118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</row>
    <row r="612" customFormat="false" ht="15.75" hidden="false" customHeight="false" outlineLevel="0" collapsed="false">
      <c r="A612" s="113" t="str">
        <f aca="false">IF(ISBLANK(B612),"",B612&amp;"|"&amp;C612)</f>
        <v/>
      </c>
      <c r="B612" s="113"/>
      <c r="C612" s="113"/>
      <c r="D612" s="113"/>
      <c r="E612" s="118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</row>
    <row r="613" customFormat="false" ht="15.75" hidden="false" customHeight="false" outlineLevel="0" collapsed="false">
      <c r="A613" s="113" t="str">
        <f aca="false">IF(ISBLANK(B613),"",B613&amp;"|"&amp;C613)</f>
        <v/>
      </c>
      <c r="B613" s="113"/>
      <c r="C613" s="113"/>
      <c r="D613" s="113"/>
      <c r="E613" s="118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</row>
    <row r="614" customFormat="false" ht="15.75" hidden="false" customHeight="false" outlineLevel="0" collapsed="false">
      <c r="A614" s="113" t="str">
        <f aca="false">IF(ISBLANK(B614),"",B614&amp;"|"&amp;C614)</f>
        <v/>
      </c>
      <c r="B614" s="113"/>
      <c r="C614" s="113"/>
      <c r="D614" s="113"/>
      <c r="E614" s="118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</row>
    <row r="615" customFormat="false" ht="15.75" hidden="false" customHeight="false" outlineLevel="0" collapsed="false">
      <c r="A615" s="113" t="str">
        <f aca="false">IF(ISBLANK(B615),"",B615&amp;"|"&amp;C615)</f>
        <v/>
      </c>
      <c r="B615" s="113"/>
      <c r="C615" s="113"/>
      <c r="D615" s="113"/>
      <c r="E615" s="118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</row>
    <row r="616" customFormat="false" ht="15.75" hidden="false" customHeight="false" outlineLevel="0" collapsed="false">
      <c r="A616" s="113" t="str">
        <f aca="false">IF(ISBLANK(B616),"",B616&amp;"|"&amp;C616)</f>
        <v/>
      </c>
      <c r="B616" s="113"/>
      <c r="C616" s="113"/>
      <c r="D616" s="113"/>
      <c r="E616" s="118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</row>
    <row r="617" customFormat="false" ht="15.75" hidden="false" customHeight="false" outlineLevel="0" collapsed="false">
      <c r="A617" s="113" t="str">
        <f aca="false">IF(ISBLANK(B617),"",B617&amp;"|"&amp;C617)</f>
        <v/>
      </c>
      <c r="B617" s="113"/>
      <c r="C617" s="113"/>
      <c r="D617" s="113"/>
      <c r="E617" s="118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</row>
    <row r="618" customFormat="false" ht="15.75" hidden="false" customHeight="false" outlineLevel="0" collapsed="false">
      <c r="A618" s="113" t="str">
        <f aca="false">IF(ISBLANK(B618),"",B618&amp;"|"&amp;C618)</f>
        <v/>
      </c>
      <c r="B618" s="113"/>
      <c r="C618" s="113"/>
      <c r="D618" s="113"/>
      <c r="E618" s="118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</row>
    <row r="619" customFormat="false" ht="15.75" hidden="false" customHeight="false" outlineLevel="0" collapsed="false">
      <c r="A619" s="113" t="str">
        <f aca="false">IF(ISBLANK(B619),"",B619&amp;"|"&amp;C619)</f>
        <v/>
      </c>
      <c r="B619" s="113"/>
      <c r="C619" s="113"/>
      <c r="D619" s="113"/>
      <c r="E619" s="118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</row>
    <row r="620" customFormat="false" ht="15.75" hidden="false" customHeight="false" outlineLevel="0" collapsed="false">
      <c r="A620" s="113" t="str">
        <f aca="false">IF(ISBLANK(B620),"",B620&amp;"|"&amp;C620)</f>
        <v/>
      </c>
      <c r="B620" s="113"/>
      <c r="C620" s="113"/>
      <c r="D620" s="113"/>
      <c r="E620" s="118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</row>
    <row r="621" customFormat="false" ht="15.75" hidden="false" customHeight="false" outlineLevel="0" collapsed="false">
      <c r="A621" s="113" t="str">
        <f aca="false">IF(ISBLANK(B621),"",B621&amp;"|"&amp;C621)</f>
        <v/>
      </c>
      <c r="B621" s="113"/>
      <c r="C621" s="113"/>
      <c r="D621" s="113"/>
      <c r="E621" s="118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</row>
    <row r="622" customFormat="false" ht="15.75" hidden="false" customHeight="false" outlineLevel="0" collapsed="false">
      <c r="A622" s="113" t="str">
        <f aca="false">IF(ISBLANK(B622),"",B622&amp;"|"&amp;C622)</f>
        <v/>
      </c>
      <c r="B622" s="113"/>
      <c r="C622" s="113"/>
      <c r="D622" s="113"/>
      <c r="E622" s="118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</row>
    <row r="623" customFormat="false" ht="15.75" hidden="false" customHeight="false" outlineLevel="0" collapsed="false">
      <c r="A623" s="113" t="str">
        <f aca="false">IF(ISBLANK(B623),"",B623&amp;"|"&amp;C623)</f>
        <v/>
      </c>
      <c r="B623" s="113"/>
      <c r="C623" s="113"/>
      <c r="D623" s="113"/>
      <c r="E623" s="118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</row>
    <row r="624" customFormat="false" ht="15.75" hidden="false" customHeight="false" outlineLevel="0" collapsed="false">
      <c r="A624" s="113" t="str">
        <f aca="false">IF(ISBLANK(B624),"",B624&amp;"|"&amp;C624)</f>
        <v/>
      </c>
      <c r="B624" s="113"/>
      <c r="C624" s="113"/>
      <c r="D624" s="113"/>
      <c r="E624" s="118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</row>
    <row r="625" customFormat="false" ht="15.75" hidden="false" customHeight="false" outlineLevel="0" collapsed="false">
      <c r="A625" s="113" t="str">
        <f aca="false">IF(ISBLANK(B625),"",B625&amp;"|"&amp;C625)</f>
        <v/>
      </c>
      <c r="B625" s="113"/>
      <c r="C625" s="113"/>
      <c r="D625" s="113"/>
      <c r="E625" s="118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</row>
    <row r="626" customFormat="false" ht="15.75" hidden="false" customHeight="false" outlineLevel="0" collapsed="false">
      <c r="A626" s="113" t="str">
        <f aca="false">IF(ISBLANK(B626),"",B626&amp;"|"&amp;C626)</f>
        <v/>
      </c>
      <c r="B626" s="113"/>
      <c r="C626" s="113"/>
      <c r="D626" s="113"/>
      <c r="E626" s="118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</row>
    <row r="627" customFormat="false" ht="15.75" hidden="false" customHeight="false" outlineLevel="0" collapsed="false">
      <c r="A627" s="113" t="str">
        <f aca="false">IF(ISBLANK(B627),"",B627&amp;"|"&amp;C627)</f>
        <v/>
      </c>
      <c r="B627" s="113"/>
      <c r="C627" s="113"/>
      <c r="D627" s="113"/>
      <c r="E627" s="118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</row>
    <row r="628" customFormat="false" ht="15.75" hidden="false" customHeight="false" outlineLevel="0" collapsed="false">
      <c r="A628" s="113" t="str">
        <f aca="false">IF(ISBLANK(B628),"",B628&amp;"|"&amp;C628)</f>
        <v/>
      </c>
      <c r="B628" s="113"/>
      <c r="C628" s="113"/>
      <c r="D628" s="113"/>
      <c r="E628" s="118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</row>
    <row r="629" customFormat="false" ht="15.75" hidden="false" customHeight="false" outlineLevel="0" collapsed="false">
      <c r="A629" s="113" t="str">
        <f aca="false">IF(ISBLANK(B629),"",B629&amp;"|"&amp;C629)</f>
        <v/>
      </c>
      <c r="B629" s="113"/>
      <c r="C629" s="113"/>
      <c r="D629" s="113"/>
      <c r="E629" s="118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</row>
    <row r="630" customFormat="false" ht="15.75" hidden="false" customHeight="false" outlineLevel="0" collapsed="false">
      <c r="A630" s="113" t="str">
        <f aca="false">IF(ISBLANK(B630),"",B630&amp;"|"&amp;C630)</f>
        <v/>
      </c>
      <c r="B630" s="113"/>
      <c r="C630" s="113"/>
      <c r="D630" s="113"/>
      <c r="E630" s="118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</row>
    <row r="631" customFormat="false" ht="15.75" hidden="false" customHeight="false" outlineLevel="0" collapsed="false">
      <c r="A631" s="113" t="str">
        <f aca="false">IF(ISBLANK(B631),"",B631&amp;"|"&amp;C631)</f>
        <v/>
      </c>
      <c r="B631" s="113"/>
      <c r="C631" s="113"/>
      <c r="D631" s="113"/>
      <c r="E631" s="118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</row>
    <row r="632" customFormat="false" ht="15.75" hidden="false" customHeight="false" outlineLevel="0" collapsed="false">
      <c r="A632" s="113" t="str">
        <f aca="false">IF(ISBLANK(B632),"",B632&amp;"|"&amp;C632)</f>
        <v/>
      </c>
      <c r="B632" s="113"/>
      <c r="C632" s="113"/>
      <c r="D632" s="113"/>
      <c r="E632" s="118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</row>
    <row r="633" customFormat="false" ht="15.75" hidden="false" customHeight="false" outlineLevel="0" collapsed="false">
      <c r="A633" s="113" t="str">
        <f aca="false">IF(ISBLANK(B633),"",B633&amp;"|"&amp;C633)</f>
        <v/>
      </c>
      <c r="B633" s="113"/>
      <c r="C633" s="113"/>
      <c r="D633" s="113"/>
      <c r="E633" s="118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</row>
    <row r="634" customFormat="false" ht="15.75" hidden="false" customHeight="false" outlineLevel="0" collapsed="false">
      <c r="A634" s="113" t="str">
        <f aca="false">IF(ISBLANK(B634),"",B634&amp;"|"&amp;C634)</f>
        <v/>
      </c>
      <c r="B634" s="113"/>
      <c r="C634" s="113"/>
      <c r="D634" s="113"/>
      <c r="E634" s="118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</row>
    <row r="635" customFormat="false" ht="15.75" hidden="false" customHeight="false" outlineLevel="0" collapsed="false">
      <c r="A635" s="113" t="str">
        <f aca="false">IF(ISBLANK(B635),"",B635&amp;"|"&amp;C635)</f>
        <v/>
      </c>
      <c r="B635" s="113"/>
      <c r="C635" s="113"/>
      <c r="D635" s="113"/>
      <c r="E635" s="118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</row>
    <row r="636" customFormat="false" ht="15.75" hidden="false" customHeight="false" outlineLevel="0" collapsed="false">
      <c r="A636" s="113" t="str">
        <f aca="false">IF(ISBLANK(B636),"",B636&amp;"|"&amp;C636)</f>
        <v/>
      </c>
      <c r="B636" s="113"/>
      <c r="C636" s="113"/>
      <c r="D636" s="113"/>
      <c r="E636" s="118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</row>
    <row r="637" customFormat="false" ht="15.75" hidden="false" customHeight="false" outlineLevel="0" collapsed="false">
      <c r="A637" s="113" t="str">
        <f aca="false">IF(ISBLANK(B637),"",B637&amp;"|"&amp;C637)</f>
        <v/>
      </c>
      <c r="B637" s="113"/>
      <c r="C637" s="113"/>
      <c r="D637" s="113"/>
      <c r="E637" s="118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</row>
    <row r="638" customFormat="false" ht="15.75" hidden="false" customHeight="false" outlineLevel="0" collapsed="false">
      <c r="A638" s="113" t="str">
        <f aca="false">IF(ISBLANK(B638),"",B638&amp;"|"&amp;C638)</f>
        <v/>
      </c>
      <c r="B638" s="113"/>
      <c r="C638" s="113"/>
      <c r="D638" s="113"/>
      <c r="E638" s="118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</row>
    <row r="639" customFormat="false" ht="15.75" hidden="false" customHeight="false" outlineLevel="0" collapsed="false">
      <c r="A639" s="113" t="str">
        <f aca="false">IF(ISBLANK(B639),"",B639&amp;"|"&amp;C639)</f>
        <v/>
      </c>
      <c r="B639" s="113"/>
      <c r="C639" s="113"/>
      <c r="D639" s="113"/>
      <c r="E639" s="118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</row>
    <row r="640" customFormat="false" ht="15.75" hidden="false" customHeight="false" outlineLevel="0" collapsed="false">
      <c r="A640" s="113" t="str">
        <f aca="false">IF(ISBLANK(B640),"",B640&amp;"|"&amp;C640)</f>
        <v/>
      </c>
      <c r="B640" s="113"/>
      <c r="C640" s="113"/>
      <c r="D640" s="113"/>
      <c r="E640" s="118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</row>
    <row r="641" customFormat="false" ht="15.75" hidden="false" customHeight="false" outlineLevel="0" collapsed="false">
      <c r="A641" s="113" t="str">
        <f aca="false">IF(ISBLANK(B641),"",B641&amp;"|"&amp;C641)</f>
        <v/>
      </c>
      <c r="B641" s="113"/>
      <c r="C641" s="113"/>
      <c r="D641" s="113"/>
      <c r="E641" s="118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</row>
    <row r="642" customFormat="false" ht="15.75" hidden="false" customHeight="false" outlineLevel="0" collapsed="false">
      <c r="A642" s="113" t="str">
        <f aca="false">IF(ISBLANK(B642),"",B642&amp;"|"&amp;C642)</f>
        <v/>
      </c>
      <c r="B642" s="113"/>
      <c r="C642" s="113"/>
      <c r="D642" s="113"/>
      <c r="E642" s="118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</row>
    <row r="643" customFormat="false" ht="15.75" hidden="false" customHeight="false" outlineLevel="0" collapsed="false">
      <c r="A643" s="113" t="str">
        <f aca="false">IF(ISBLANK(B643),"",B643&amp;"|"&amp;C643)</f>
        <v/>
      </c>
      <c r="B643" s="113"/>
      <c r="C643" s="113"/>
      <c r="D643" s="113"/>
      <c r="E643" s="118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</row>
    <row r="644" customFormat="false" ht="15.75" hidden="false" customHeight="false" outlineLevel="0" collapsed="false">
      <c r="A644" s="113" t="str">
        <f aca="false">IF(ISBLANK(B644),"",B644&amp;"|"&amp;C644)</f>
        <v/>
      </c>
      <c r="B644" s="113"/>
      <c r="C644" s="113"/>
      <c r="D644" s="113"/>
      <c r="E644" s="118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</row>
    <row r="645" customFormat="false" ht="15.75" hidden="false" customHeight="false" outlineLevel="0" collapsed="false">
      <c r="A645" s="113" t="str">
        <f aca="false">IF(ISBLANK(B645),"",B645&amp;"|"&amp;C645)</f>
        <v/>
      </c>
      <c r="B645" s="113"/>
      <c r="C645" s="113"/>
      <c r="D645" s="113"/>
      <c r="E645" s="118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</row>
    <row r="646" customFormat="false" ht="15.75" hidden="false" customHeight="false" outlineLevel="0" collapsed="false">
      <c r="A646" s="113" t="str">
        <f aca="false">IF(ISBLANK(B646),"",B646&amp;"|"&amp;C646)</f>
        <v/>
      </c>
      <c r="B646" s="113"/>
      <c r="C646" s="113"/>
      <c r="D646" s="113"/>
      <c r="E646" s="118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</row>
    <row r="647" customFormat="false" ht="15.75" hidden="false" customHeight="false" outlineLevel="0" collapsed="false">
      <c r="A647" s="113" t="str">
        <f aca="false">IF(ISBLANK(B647),"",B647&amp;"|"&amp;C647)</f>
        <v/>
      </c>
      <c r="B647" s="113"/>
      <c r="C647" s="113"/>
      <c r="D647" s="113"/>
      <c r="E647" s="118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</row>
    <row r="648" customFormat="false" ht="15.75" hidden="false" customHeight="false" outlineLevel="0" collapsed="false">
      <c r="A648" s="113" t="str">
        <f aca="false">IF(ISBLANK(B648),"",B648&amp;"|"&amp;C648)</f>
        <v/>
      </c>
      <c r="B648" s="113"/>
      <c r="C648" s="113"/>
      <c r="D648" s="113"/>
      <c r="E648" s="118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</row>
    <row r="649" customFormat="false" ht="15.75" hidden="false" customHeight="false" outlineLevel="0" collapsed="false">
      <c r="A649" s="113" t="str">
        <f aca="false">IF(ISBLANK(B649),"",B649&amp;"|"&amp;C649)</f>
        <v/>
      </c>
      <c r="B649" s="113"/>
      <c r="C649" s="113"/>
      <c r="D649" s="113"/>
      <c r="E649" s="118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</row>
    <row r="650" customFormat="false" ht="15.75" hidden="false" customHeight="false" outlineLevel="0" collapsed="false">
      <c r="A650" s="113" t="str">
        <f aca="false">IF(ISBLANK(B650),"",B650&amp;"|"&amp;C650)</f>
        <v/>
      </c>
      <c r="B650" s="113"/>
      <c r="C650" s="113"/>
      <c r="D650" s="113"/>
      <c r="E650" s="118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</row>
    <row r="651" customFormat="false" ht="15.75" hidden="false" customHeight="false" outlineLevel="0" collapsed="false">
      <c r="A651" s="113" t="str">
        <f aca="false">IF(ISBLANK(B651),"",B651&amp;"|"&amp;C651)</f>
        <v/>
      </c>
      <c r="B651" s="113"/>
      <c r="C651" s="113"/>
      <c r="D651" s="113"/>
      <c r="E651" s="118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</row>
    <row r="652" customFormat="false" ht="15.75" hidden="false" customHeight="false" outlineLevel="0" collapsed="false">
      <c r="A652" s="113" t="str">
        <f aca="false">IF(ISBLANK(B652),"",B652&amp;"|"&amp;C652)</f>
        <v/>
      </c>
      <c r="B652" s="113"/>
      <c r="C652" s="113"/>
      <c r="D652" s="113"/>
      <c r="E652" s="118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</row>
    <row r="653" customFormat="false" ht="15.75" hidden="false" customHeight="false" outlineLevel="0" collapsed="false">
      <c r="A653" s="113" t="str">
        <f aca="false">IF(ISBLANK(B653),"",B653&amp;"|"&amp;C653)</f>
        <v/>
      </c>
      <c r="B653" s="113"/>
      <c r="C653" s="113"/>
      <c r="D653" s="113"/>
      <c r="E653" s="118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</row>
    <row r="654" customFormat="false" ht="15.75" hidden="false" customHeight="false" outlineLevel="0" collapsed="false">
      <c r="A654" s="113" t="str">
        <f aca="false">IF(ISBLANK(B654),"",B654&amp;"|"&amp;C654)</f>
        <v/>
      </c>
      <c r="B654" s="113"/>
      <c r="C654" s="113"/>
      <c r="D654" s="113"/>
      <c r="E654" s="118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</row>
    <row r="655" customFormat="false" ht="15.75" hidden="false" customHeight="false" outlineLevel="0" collapsed="false">
      <c r="A655" s="113" t="str">
        <f aca="false">IF(ISBLANK(B655),"",B655&amp;"|"&amp;C655)</f>
        <v/>
      </c>
      <c r="B655" s="113"/>
      <c r="C655" s="113"/>
      <c r="D655" s="113"/>
      <c r="E655" s="118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</row>
    <row r="656" customFormat="false" ht="15.75" hidden="false" customHeight="false" outlineLevel="0" collapsed="false">
      <c r="A656" s="113" t="str">
        <f aca="false">IF(ISBLANK(B656),"",B656&amp;"|"&amp;C656)</f>
        <v/>
      </c>
      <c r="B656" s="113"/>
      <c r="C656" s="113"/>
      <c r="D656" s="113"/>
      <c r="E656" s="118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</row>
    <row r="657" customFormat="false" ht="15.75" hidden="false" customHeight="false" outlineLevel="0" collapsed="false">
      <c r="A657" s="113" t="str">
        <f aca="false">IF(ISBLANK(B657),"",B657&amp;"|"&amp;C657)</f>
        <v/>
      </c>
      <c r="B657" s="113"/>
      <c r="C657" s="113"/>
      <c r="D657" s="113"/>
      <c r="E657" s="118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</row>
    <row r="658" customFormat="false" ht="15.75" hidden="false" customHeight="false" outlineLevel="0" collapsed="false">
      <c r="A658" s="113" t="str">
        <f aca="false">IF(ISBLANK(B658),"",B658&amp;"|"&amp;C658)</f>
        <v/>
      </c>
      <c r="B658" s="113"/>
      <c r="C658" s="113"/>
      <c r="D658" s="113"/>
      <c r="E658" s="118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</row>
    <row r="659" customFormat="false" ht="15.75" hidden="false" customHeight="false" outlineLevel="0" collapsed="false">
      <c r="A659" s="113" t="str">
        <f aca="false">IF(ISBLANK(B659),"",B659&amp;"|"&amp;C659)</f>
        <v/>
      </c>
      <c r="B659" s="113"/>
      <c r="C659" s="113"/>
      <c r="D659" s="113"/>
      <c r="E659" s="118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</row>
    <row r="660" customFormat="false" ht="15.75" hidden="false" customHeight="false" outlineLevel="0" collapsed="false">
      <c r="A660" s="113" t="str">
        <f aca="false">IF(ISBLANK(B660),"",B660&amp;"|"&amp;C660)</f>
        <v/>
      </c>
      <c r="B660" s="113"/>
      <c r="C660" s="113"/>
      <c r="D660" s="113"/>
      <c r="E660" s="118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</row>
    <row r="661" customFormat="false" ht="15.75" hidden="false" customHeight="false" outlineLevel="0" collapsed="false">
      <c r="A661" s="113" t="str">
        <f aca="false">IF(ISBLANK(B661),"",B661&amp;"|"&amp;C661)</f>
        <v/>
      </c>
      <c r="B661" s="113"/>
      <c r="C661" s="113"/>
      <c r="D661" s="113"/>
      <c r="E661" s="118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</row>
    <row r="662" customFormat="false" ht="15.75" hidden="false" customHeight="false" outlineLevel="0" collapsed="false">
      <c r="A662" s="113" t="str">
        <f aca="false">IF(ISBLANK(B662),"",B662&amp;"|"&amp;C662)</f>
        <v/>
      </c>
      <c r="B662" s="113"/>
      <c r="C662" s="113"/>
      <c r="D662" s="113"/>
      <c r="E662" s="118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</row>
    <row r="663" customFormat="false" ht="15.75" hidden="false" customHeight="false" outlineLevel="0" collapsed="false">
      <c r="A663" s="113" t="str">
        <f aca="false">IF(ISBLANK(B663),"",B663&amp;"|"&amp;C663)</f>
        <v/>
      </c>
      <c r="B663" s="113"/>
      <c r="C663" s="113"/>
      <c r="D663" s="113"/>
      <c r="E663" s="118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</row>
    <row r="664" customFormat="false" ht="15.75" hidden="false" customHeight="false" outlineLevel="0" collapsed="false">
      <c r="A664" s="113" t="str">
        <f aca="false">IF(ISBLANK(B664),"",B664&amp;"|"&amp;C664)</f>
        <v/>
      </c>
      <c r="B664" s="113"/>
      <c r="C664" s="113"/>
      <c r="D664" s="113"/>
      <c r="E664" s="118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</row>
    <row r="665" customFormat="false" ht="15.75" hidden="false" customHeight="false" outlineLevel="0" collapsed="false">
      <c r="A665" s="113" t="str">
        <f aca="false">IF(ISBLANK(B665),"",B665&amp;"|"&amp;C665)</f>
        <v/>
      </c>
      <c r="B665" s="113"/>
      <c r="C665" s="113"/>
      <c r="D665" s="113"/>
      <c r="E665" s="118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</row>
    <row r="666" customFormat="false" ht="15.75" hidden="false" customHeight="false" outlineLevel="0" collapsed="false">
      <c r="A666" s="113" t="str">
        <f aca="false">IF(ISBLANK(B666),"",B666&amp;"|"&amp;C666)</f>
        <v/>
      </c>
      <c r="B666" s="113"/>
      <c r="C666" s="113"/>
      <c r="D666" s="113"/>
      <c r="E666" s="118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</row>
    <row r="667" customFormat="false" ht="15.75" hidden="false" customHeight="false" outlineLevel="0" collapsed="false">
      <c r="A667" s="113" t="str">
        <f aca="false">IF(ISBLANK(B667),"",B667&amp;"|"&amp;C667)</f>
        <v/>
      </c>
      <c r="B667" s="113"/>
      <c r="C667" s="113"/>
      <c r="D667" s="113"/>
      <c r="E667" s="118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</row>
    <row r="668" customFormat="false" ht="15.75" hidden="false" customHeight="false" outlineLevel="0" collapsed="false">
      <c r="A668" s="113" t="str">
        <f aca="false">IF(ISBLANK(B668),"",B668&amp;"|"&amp;C668)</f>
        <v/>
      </c>
      <c r="B668" s="113"/>
      <c r="C668" s="113"/>
      <c r="D668" s="113"/>
      <c r="E668" s="118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</row>
    <row r="669" customFormat="false" ht="15.75" hidden="false" customHeight="false" outlineLevel="0" collapsed="false">
      <c r="A669" s="113" t="str">
        <f aca="false">IF(ISBLANK(B669),"",B669&amp;"|"&amp;C669)</f>
        <v/>
      </c>
      <c r="B669" s="113"/>
      <c r="C669" s="113"/>
      <c r="D669" s="113"/>
      <c r="E669" s="118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</row>
    <row r="670" customFormat="false" ht="15.75" hidden="false" customHeight="false" outlineLevel="0" collapsed="false">
      <c r="A670" s="113" t="str">
        <f aca="false">IF(ISBLANK(B670),"",B670&amp;"|"&amp;C670)</f>
        <v/>
      </c>
      <c r="B670" s="113"/>
      <c r="C670" s="113"/>
      <c r="D670" s="113"/>
      <c r="E670" s="118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</row>
    <row r="671" customFormat="false" ht="15.75" hidden="false" customHeight="false" outlineLevel="0" collapsed="false">
      <c r="A671" s="113" t="str">
        <f aca="false">IF(ISBLANK(B671),"",B671&amp;"|"&amp;C671)</f>
        <v/>
      </c>
      <c r="B671" s="113"/>
      <c r="C671" s="113"/>
      <c r="D671" s="113"/>
      <c r="E671" s="118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</row>
    <row r="672" customFormat="false" ht="15.75" hidden="false" customHeight="false" outlineLevel="0" collapsed="false">
      <c r="A672" s="113" t="str">
        <f aca="false">IF(ISBLANK(B672),"",B672&amp;"|"&amp;C672)</f>
        <v/>
      </c>
      <c r="B672" s="113"/>
      <c r="C672" s="113"/>
      <c r="D672" s="113"/>
      <c r="E672" s="118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</row>
    <row r="673" customFormat="false" ht="15.75" hidden="false" customHeight="false" outlineLevel="0" collapsed="false">
      <c r="A673" s="113" t="str">
        <f aca="false">IF(ISBLANK(B673),"",B673&amp;"|"&amp;C673)</f>
        <v/>
      </c>
      <c r="B673" s="113"/>
      <c r="C673" s="113"/>
      <c r="D673" s="113"/>
      <c r="E673" s="118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</row>
    <row r="674" customFormat="false" ht="15.75" hidden="false" customHeight="false" outlineLevel="0" collapsed="false">
      <c r="A674" s="113" t="str">
        <f aca="false">IF(ISBLANK(B674),"",B674&amp;"|"&amp;C674)</f>
        <v/>
      </c>
      <c r="B674" s="113"/>
      <c r="C674" s="113"/>
      <c r="D674" s="113"/>
      <c r="E674" s="118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</row>
    <row r="675" customFormat="false" ht="15.75" hidden="false" customHeight="false" outlineLevel="0" collapsed="false">
      <c r="A675" s="113" t="str">
        <f aca="false">IF(ISBLANK(B675),"",B675&amp;"|"&amp;C675)</f>
        <v/>
      </c>
      <c r="B675" s="113"/>
      <c r="C675" s="113"/>
      <c r="D675" s="113"/>
      <c r="E675" s="118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</row>
    <row r="676" customFormat="false" ht="15.75" hidden="false" customHeight="false" outlineLevel="0" collapsed="false">
      <c r="A676" s="113" t="str">
        <f aca="false">IF(ISBLANK(B676),"",B676&amp;"|"&amp;C676)</f>
        <v/>
      </c>
      <c r="B676" s="113"/>
      <c r="C676" s="113"/>
      <c r="D676" s="113"/>
      <c r="E676" s="118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</row>
    <row r="677" customFormat="false" ht="15.75" hidden="false" customHeight="false" outlineLevel="0" collapsed="false">
      <c r="A677" s="113" t="str">
        <f aca="false">IF(ISBLANK(B677),"",B677&amp;"|"&amp;C677)</f>
        <v/>
      </c>
      <c r="B677" s="113"/>
      <c r="C677" s="113"/>
      <c r="D677" s="113"/>
      <c r="E677" s="118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</row>
    <row r="678" customFormat="false" ht="15.75" hidden="false" customHeight="false" outlineLevel="0" collapsed="false">
      <c r="A678" s="113" t="str">
        <f aca="false">IF(ISBLANK(B678),"",B678&amp;"|"&amp;C678)</f>
        <v/>
      </c>
      <c r="B678" s="113"/>
      <c r="C678" s="113"/>
      <c r="D678" s="113"/>
      <c r="E678" s="118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</row>
    <row r="679" customFormat="false" ht="15.75" hidden="false" customHeight="false" outlineLevel="0" collapsed="false">
      <c r="A679" s="113" t="str">
        <f aca="false">IF(ISBLANK(B679),"",B679&amp;"|"&amp;C679)</f>
        <v/>
      </c>
      <c r="B679" s="113"/>
      <c r="C679" s="113"/>
      <c r="D679" s="113"/>
      <c r="E679" s="118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</row>
    <row r="680" customFormat="false" ht="15.75" hidden="false" customHeight="false" outlineLevel="0" collapsed="false">
      <c r="A680" s="113" t="str">
        <f aca="false">IF(ISBLANK(B680),"",B680&amp;"|"&amp;C680)</f>
        <v/>
      </c>
      <c r="B680" s="113"/>
      <c r="C680" s="113"/>
      <c r="D680" s="113"/>
      <c r="E680" s="118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</row>
    <row r="681" customFormat="false" ht="15.75" hidden="false" customHeight="false" outlineLevel="0" collapsed="false">
      <c r="A681" s="113" t="str">
        <f aca="false">IF(ISBLANK(B681),"",B681&amp;"|"&amp;C681)</f>
        <v/>
      </c>
      <c r="B681" s="113"/>
      <c r="C681" s="113"/>
      <c r="D681" s="113"/>
      <c r="E681" s="118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</row>
    <row r="682" customFormat="false" ht="15.75" hidden="false" customHeight="false" outlineLevel="0" collapsed="false">
      <c r="A682" s="113" t="str">
        <f aca="false">IF(ISBLANK(B682),"",B682&amp;"|"&amp;C682)</f>
        <v/>
      </c>
      <c r="B682" s="113"/>
      <c r="C682" s="113"/>
      <c r="D682" s="113"/>
      <c r="E682" s="118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</row>
    <row r="683" customFormat="false" ht="15.75" hidden="false" customHeight="false" outlineLevel="0" collapsed="false">
      <c r="A683" s="113" t="str">
        <f aca="false">IF(ISBLANK(B683),"",B683&amp;"|"&amp;C683)</f>
        <v/>
      </c>
      <c r="B683" s="113"/>
      <c r="C683" s="113"/>
      <c r="D683" s="113"/>
      <c r="E683" s="118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</row>
    <row r="684" customFormat="false" ht="15.75" hidden="false" customHeight="false" outlineLevel="0" collapsed="false">
      <c r="A684" s="113" t="str">
        <f aca="false">IF(ISBLANK(B684),"",B684&amp;"|"&amp;C684)</f>
        <v/>
      </c>
      <c r="B684" s="113"/>
      <c r="C684" s="113"/>
      <c r="D684" s="113"/>
      <c r="E684" s="118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</row>
    <row r="685" customFormat="false" ht="15.75" hidden="false" customHeight="false" outlineLevel="0" collapsed="false">
      <c r="A685" s="113" t="str">
        <f aca="false">IF(ISBLANK(B685),"",B685&amp;"|"&amp;C685)</f>
        <v/>
      </c>
      <c r="B685" s="113"/>
      <c r="C685" s="113"/>
      <c r="D685" s="113"/>
      <c r="E685" s="118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</row>
    <row r="686" customFormat="false" ht="15.75" hidden="false" customHeight="false" outlineLevel="0" collapsed="false">
      <c r="A686" s="113" t="str">
        <f aca="false">IF(ISBLANK(B686),"",B686&amp;"|"&amp;C686)</f>
        <v/>
      </c>
      <c r="B686" s="113"/>
      <c r="C686" s="113"/>
      <c r="D686" s="113"/>
      <c r="E686" s="118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</row>
    <row r="687" customFormat="false" ht="15.75" hidden="false" customHeight="false" outlineLevel="0" collapsed="false">
      <c r="A687" s="113" t="str">
        <f aca="false">IF(ISBLANK(B687),"",B687&amp;"|"&amp;C687)</f>
        <v/>
      </c>
      <c r="B687" s="113"/>
      <c r="C687" s="113"/>
      <c r="D687" s="113"/>
      <c r="E687" s="118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</row>
    <row r="688" customFormat="false" ht="15.75" hidden="false" customHeight="false" outlineLevel="0" collapsed="false">
      <c r="A688" s="113" t="str">
        <f aca="false">IF(ISBLANK(B688),"",B688&amp;"|"&amp;C688)</f>
        <v/>
      </c>
      <c r="B688" s="113"/>
      <c r="C688" s="113"/>
      <c r="D688" s="113"/>
      <c r="E688" s="118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</row>
    <row r="689" customFormat="false" ht="15.75" hidden="false" customHeight="false" outlineLevel="0" collapsed="false">
      <c r="A689" s="113" t="str">
        <f aca="false">IF(ISBLANK(B689),"",B689&amp;"|"&amp;C689)</f>
        <v/>
      </c>
      <c r="B689" s="113"/>
      <c r="C689" s="113"/>
      <c r="D689" s="113"/>
      <c r="E689" s="118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</row>
    <row r="690" customFormat="false" ht="15.75" hidden="false" customHeight="false" outlineLevel="0" collapsed="false">
      <c r="A690" s="113" t="str">
        <f aca="false">IF(ISBLANK(B690),"",B690&amp;"|"&amp;C690)</f>
        <v/>
      </c>
      <c r="B690" s="113"/>
      <c r="C690" s="113"/>
      <c r="D690" s="113"/>
      <c r="E690" s="118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</row>
    <row r="691" customFormat="false" ht="15.75" hidden="false" customHeight="false" outlineLevel="0" collapsed="false">
      <c r="A691" s="113" t="str">
        <f aca="false">IF(ISBLANK(B691),"",B691&amp;"|"&amp;C691)</f>
        <v/>
      </c>
      <c r="B691" s="113"/>
      <c r="C691" s="113"/>
      <c r="D691" s="113"/>
      <c r="E691" s="118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</row>
    <row r="692" customFormat="false" ht="15.75" hidden="false" customHeight="false" outlineLevel="0" collapsed="false">
      <c r="A692" s="113" t="str">
        <f aca="false">IF(ISBLANK(B692),"",B692&amp;"|"&amp;C692)</f>
        <v/>
      </c>
      <c r="B692" s="113"/>
      <c r="C692" s="113"/>
      <c r="D692" s="113"/>
      <c r="E692" s="118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</row>
    <row r="693" customFormat="false" ht="15.75" hidden="false" customHeight="false" outlineLevel="0" collapsed="false">
      <c r="A693" s="113" t="str">
        <f aca="false">IF(ISBLANK(B693),"",B693&amp;"|"&amp;C693)</f>
        <v/>
      </c>
      <c r="B693" s="113"/>
      <c r="C693" s="113"/>
      <c r="D693" s="113"/>
      <c r="E693" s="118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</row>
    <row r="694" customFormat="false" ht="15.75" hidden="false" customHeight="false" outlineLevel="0" collapsed="false">
      <c r="A694" s="113" t="str">
        <f aca="false">IF(ISBLANK(B694),"",B694&amp;"|"&amp;C694)</f>
        <v/>
      </c>
      <c r="B694" s="113"/>
      <c r="C694" s="113"/>
      <c r="D694" s="113"/>
      <c r="E694" s="118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</row>
    <row r="695" customFormat="false" ht="15.75" hidden="false" customHeight="false" outlineLevel="0" collapsed="false">
      <c r="A695" s="113" t="str">
        <f aca="false">IF(ISBLANK(B695),"",B695&amp;"|"&amp;C695)</f>
        <v/>
      </c>
      <c r="B695" s="113"/>
      <c r="C695" s="113"/>
      <c r="D695" s="113"/>
      <c r="E695" s="118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</row>
    <row r="696" customFormat="false" ht="15.75" hidden="false" customHeight="false" outlineLevel="0" collapsed="false">
      <c r="A696" s="113" t="str">
        <f aca="false">IF(ISBLANK(B696),"",B696&amp;"|"&amp;C696)</f>
        <v/>
      </c>
      <c r="B696" s="113"/>
      <c r="C696" s="113"/>
      <c r="D696" s="113"/>
      <c r="E696" s="118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</row>
    <row r="697" customFormat="false" ht="15.75" hidden="false" customHeight="false" outlineLevel="0" collapsed="false">
      <c r="A697" s="113" t="str">
        <f aca="false">IF(ISBLANK(B697),"",B697&amp;"|"&amp;C697)</f>
        <v/>
      </c>
      <c r="B697" s="113"/>
      <c r="C697" s="113"/>
      <c r="D697" s="113"/>
      <c r="E697" s="118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</row>
    <row r="698" customFormat="false" ht="15.75" hidden="false" customHeight="false" outlineLevel="0" collapsed="false">
      <c r="A698" s="113" t="str">
        <f aca="false">IF(ISBLANK(B698),"",B698&amp;"|"&amp;C698)</f>
        <v/>
      </c>
      <c r="B698" s="113"/>
      <c r="C698" s="113"/>
      <c r="D698" s="113"/>
      <c r="E698" s="118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</row>
    <row r="699" customFormat="false" ht="15.75" hidden="false" customHeight="false" outlineLevel="0" collapsed="false">
      <c r="A699" s="113" t="str">
        <f aca="false">IF(ISBLANK(B699),"",B699&amp;"|"&amp;C699)</f>
        <v/>
      </c>
      <c r="B699" s="113"/>
      <c r="C699" s="113"/>
      <c r="D699" s="113"/>
      <c r="E699" s="118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</row>
    <row r="700" customFormat="false" ht="15.75" hidden="false" customHeight="false" outlineLevel="0" collapsed="false">
      <c r="A700" s="113" t="str">
        <f aca="false">IF(ISBLANK(B700),"",B700&amp;"|"&amp;C700)</f>
        <v/>
      </c>
      <c r="B700" s="113"/>
      <c r="C700" s="113"/>
      <c r="D700" s="113"/>
      <c r="E700" s="118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</row>
    <row r="701" customFormat="false" ht="15.75" hidden="false" customHeight="false" outlineLevel="0" collapsed="false">
      <c r="A701" s="113" t="str">
        <f aca="false">IF(ISBLANK(B701),"",B701&amp;"|"&amp;C701)</f>
        <v/>
      </c>
      <c r="B701" s="113"/>
      <c r="C701" s="113"/>
      <c r="D701" s="113"/>
      <c r="E701" s="118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</row>
    <row r="702" customFormat="false" ht="15.75" hidden="false" customHeight="false" outlineLevel="0" collapsed="false">
      <c r="A702" s="113" t="str">
        <f aca="false">IF(ISBLANK(B702),"",B702&amp;"|"&amp;C702)</f>
        <v/>
      </c>
      <c r="B702" s="113"/>
      <c r="C702" s="113"/>
      <c r="D702" s="113"/>
      <c r="E702" s="118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</row>
    <row r="703" customFormat="false" ht="15.75" hidden="false" customHeight="false" outlineLevel="0" collapsed="false">
      <c r="A703" s="113" t="str">
        <f aca="false">IF(ISBLANK(B703),"",B703&amp;"|"&amp;C703)</f>
        <v/>
      </c>
      <c r="B703" s="113"/>
      <c r="C703" s="113"/>
      <c r="D703" s="113"/>
      <c r="E703" s="118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</row>
    <row r="704" customFormat="false" ht="15.75" hidden="false" customHeight="false" outlineLevel="0" collapsed="false">
      <c r="A704" s="113" t="str">
        <f aca="false">IF(ISBLANK(B704),"",B704&amp;"|"&amp;C704)</f>
        <v/>
      </c>
      <c r="B704" s="113"/>
      <c r="C704" s="113"/>
      <c r="D704" s="113"/>
      <c r="E704" s="118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</row>
    <row r="705" customFormat="false" ht="15.75" hidden="false" customHeight="false" outlineLevel="0" collapsed="false">
      <c r="A705" s="113" t="str">
        <f aca="false">IF(ISBLANK(B705),"",B705&amp;"|"&amp;C705)</f>
        <v/>
      </c>
      <c r="B705" s="113"/>
      <c r="C705" s="113"/>
      <c r="D705" s="113"/>
      <c r="E705" s="118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</row>
    <row r="706" customFormat="false" ht="15.75" hidden="false" customHeight="false" outlineLevel="0" collapsed="false">
      <c r="A706" s="113" t="str">
        <f aca="false">IF(ISBLANK(B706),"",B706&amp;"|"&amp;C706)</f>
        <v/>
      </c>
      <c r="B706" s="113"/>
      <c r="C706" s="113"/>
      <c r="D706" s="113"/>
      <c r="E706" s="118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</row>
    <row r="707" customFormat="false" ht="15.75" hidden="false" customHeight="false" outlineLevel="0" collapsed="false">
      <c r="A707" s="113" t="str">
        <f aca="false">IF(ISBLANK(B707),"",B707&amp;"|"&amp;C707)</f>
        <v/>
      </c>
      <c r="B707" s="113"/>
      <c r="C707" s="113"/>
      <c r="D707" s="113"/>
      <c r="E707" s="118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</row>
    <row r="708" customFormat="false" ht="15.75" hidden="false" customHeight="false" outlineLevel="0" collapsed="false">
      <c r="A708" s="113" t="str">
        <f aca="false">IF(ISBLANK(B708),"",B708&amp;"|"&amp;C708)</f>
        <v/>
      </c>
      <c r="B708" s="113"/>
      <c r="C708" s="113"/>
      <c r="D708" s="113"/>
      <c r="E708" s="118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</row>
    <row r="709" customFormat="false" ht="15.75" hidden="false" customHeight="false" outlineLevel="0" collapsed="false">
      <c r="A709" s="113" t="str">
        <f aca="false">IF(ISBLANK(B709),"",B709&amp;"|"&amp;C709)</f>
        <v/>
      </c>
      <c r="B709" s="113"/>
      <c r="C709" s="113"/>
      <c r="D709" s="113"/>
      <c r="E709" s="118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</row>
    <row r="710" customFormat="false" ht="15.75" hidden="false" customHeight="false" outlineLevel="0" collapsed="false">
      <c r="A710" s="113" t="str">
        <f aca="false">IF(ISBLANK(B710),"",B710&amp;"|"&amp;C710)</f>
        <v/>
      </c>
      <c r="B710" s="113"/>
      <c r="C710" s="113"/>
      <c r="D710" s="113"/>
      <c r="E710" s="118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</row>
    <row r="711" customFormat="false" ht="15.75" hidden="false" customHeight="false" outlineLevel="0" collapsed="false">
      <c r="A711" s="113" t="str">
        <f aca="false">IF(ISBLANK(B711),"",B711&amp;"|"&amp;C711)</f>
        <v/>
      </c>
      <c r="B711" s="113"/>
      <c r="C711" s="113"/>
      <c r="D711" s="113"/>
      <c r="E711" s="118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</row>
    <row r="712" customFormat="false" ht="15.75" hidden="false" customHeight="false" outlineLevel="0" collapsed="false">
      <c r="A712" s="113" t="str">
        <f aca="false">IF(ISBLANK(B712),"",B712&amp;"|"&amp;C712)</f>
        <v/>
      </c>
      <c r="B712" s="113"/>
      <c r="C712" s="113"/>
      <c r="D712" s="113"/>
      <c r="E712" s="118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</row>
    <row r="713" customFormat="false" ht="15.75" hidden="false" customHeight="false" outlineLevel="0" collapsed="false">
      <c r="A713" s="113" t="str">
        <f aca="false">IF(ISBLANK(B713),"",B713&amp;"|"&amp;C713)</f>
        <v/>
      </c>
      <c r="B713" s="113"/>
      <c r="C713" s="113"/>
      <c r="D713" s="113"/>
      <c r="E713" s="118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</row>
    <row r="714" customFormat="false" ht="15.75" hidden="false" customHeight="false" outlineLevel="0" collapsed="false">
      <c r="A714" s="113" t="str">
        <f aca="false">IF(ISBLANK(B714),"",B714&amp;"|"&amp;C714)</f>
        <v/>
      </c>
      <c r="B714" s="113"/>
      <c r="C714" s="113"/>
      <c r="D714" s="113"/>
      <c r="E714" s="118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</row>
    <row r="715" customFormat="false" ht="15.75" hidden="false" customHeight="false" outlineLevel="0" collapsed="false">
      <c r="A715" s="113" t="str">
        <f aca="false">IF(ISBLANK(B715),"",B715&amp;"|"&amp;C715)</f>
        <v/>
      </c>
      <c r="B715" s="113"/>
      <c r="C715" s="113"/>
      <c r="D715" s="113"/>
      <c r="E715" s="118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</row>
    <row r="716" customFormat="false" ht="15.75" hidden="false" customHeight="false" outlineLevel="0" collapsed="false">
      <c r="A716" s="113" t="str">
        <f aca="false">IF(ISBLANK(B716),"",B716&amp;"|"&amp;C716)</f>
        <v/>
      </c>
      <c r="B716" s="113"/>
      <c r="C716" s="113"/>
      <c r="D716" s="113"/>
      <c r="E716" s="118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</row>
    <row r="717" customFormat="false" ht="15.75" hidden="false" customHeight="false" outlineLevel="0" collapsed="false">
      <c r="A717" s="113" t="str">
        <f aca="false">IF(ISBLANK(B717),"",B717&amp;"|"&amp;C717)</f>
        <v/>
      </c>
      <c r="B717" s="113"/>
      <c r="C717" s="113"/>
      <c r="D717" s="113"/>
      <c r="E717" s="118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</row>
    <row r="718" customFormat="false" ht="15.75" hidden="false" customHeight="false" outlineLevel="0" collapsed="false">
      <c r="A718" s="113" t="str">
        <f aca="false">IF(ISBLANK(B718),"",B718&amp;"|"&amp;C718)</f>
        <v/>
      </c>
      <c r="B718" s="113"/>
      <c r="C718" s="113"/>
      <c r="D718" s="113"/>
      <c r="E718" s="118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</row>
    <row r="719" customFormat="false" ht="15.75" hidden="false" customHeight="false" outlineLevel="0" collapsed="false">
      <c r="A719" s="113" t="str">
        <f aca="false">IF(ISBLANK(B719),"",B719&amp;"|"&amp;C719)</f>
        <v/>
      </c>
      <c r="B719" s="113"/>
      <c r="C719" s="113"/>
      <c r="D719" s="113"/>
      <c r="E719" s="118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</row>
    <row r="720" customFormat="false" ht="15.75" hidden="false" customHeight="false" outlineLevel="0" collapsed="false">
      <c r="A720" s="113" t="str">
        <f aca="false">IF(ISBLANK(B720),"",B720&amp;"|"&amp;C720)</f>
        <v/>
      </c>
      <c r="B720" s="113"/>
      <c r="C720" s="113"/>
      <c r="D720" s="113"/>
      <c r="E720" s="118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</row>
    <row r="721" customFormat="false" ht="15.75" hidden="false" customHeight="false" outlineLevel="0" collapsed="false">
      <c r="A721" s="113" t="str">
        <f aca="false">IF(ISBLANK(B721),"",B721&amp;"|"&amp;C721)</f>
        <v/>
      </c>
      <c r="B721" s="113"/>
      <c r="C721" s="113"/>
      <c r="D721" s="113"/>
      <c r="E721" s="118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</row>
    <row r="722" customFormat="false" ht="15.75" hidden="false" customHeight="false" outlineLevel="0" collapsed="false">
      <c r="A722" s="113" t="str">
        <f aca="false">IF(ISBLANK(B722),"",B722&amp;"|"&amp;C722)</f>
        <v/>
      </c>
      <c r="B722" s="113"/>
      <c r="C722" s="113"/>
      <c r="D722" s="113"/>
      <c r="E722" s="118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</row>
    <row r="723" customFormat="false" ht="15.75" hidden="false" customHeight="false" outlineLevel="0" collapsed="false">
      <c r="A723" s="113" t="str">
        <f aca="false">IF(ISBLANK(B723),"",B723&amp;"|"&amp;C723)</f>
        <v/>
      </c>
      <c r="B723" s="113"/>
      <c r="C723" s="113"/>
      <c r="D723" s="113"/>
      <c r="E723" s="118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</row>
    <row r="724" customFormat="false" ht="15.75" hidden="false" customHeight="false" outlineLevel="0" collapsed="false">
      <c r="A724" s="113" t="str">
        <f aca="false">IF(ISBLANK(B724),"",B724&amp;"|"&amp;C724)</f>
        <v/>
      </c>
      <c r="B724" s="113"/>
      <c r="C724" s="113"/>
      <c r="D724" s="113"/>
      <c r="E724" s="118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</row>
    <row r="725" customFormat="false" ht="15.75" hidden="false" customHeight="false" outlineLevel="0" collapsed="false">
      <c r="A725" s="113" t="str">
        <f aca="false">IF(ISBLANK(B725),"",B725&amp;"|"&amp;C725)</f>
        <v/>
      </c>
      <c r="B725" s="113"/>
      <c r="C725" s="113"/>
      <c r="D725" s="113"/>
      <c r="E725" s="118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</row>
    <row r="726" customFormat="false" ht="15.75" hidden="false" customHeight="false" outlineLevel="0" collapsed="false">
      <c r="A726" s="113" t="str">
        <f aca="false">IF(ISBLANK(B726),"",B726&amp;"|"&amp;C726)</f>
        <v/>
      </c>
      <c r="B726" s="113"/>
      <c r="C726" s="113"/>
      <c r="D726" s="113"/>
      <c r="E726" s="118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</row>
    <row r="727" customFormat="false" ht="15.75" hidden="false" customHeight="false" outlineLevel="0" collapsed="false">
      <c r="A727" s="113" t="str">
        <f aca="false">IF(ISBLANK(B727),"",B727&amp;"|"&amp;C727)</f>
        <v/>
      </c>
      <c r="B727" s="113"/>
      <c r="C727" s="113"/>
      <c r="D727" s="113"/>
      <c r="E727" s="118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</row>
    <row r="728" customFormat="false" ht="15.75" hidden="false" customHeight="false" outlineLevel="0" collapsed="false">
      <c r="A728" s="113" t="str">
        <f aca="false">IF(ISBLANK(B728),"",B728&amp;"|"&amp;C728)</f>
        <v/>
      </c>
      <c r="B728" s="113"/>
      <c r="C728" s="113"/>
      <c r="D728" s="113"/>
      <c r="E728" s="118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</row>
    <row r="729" customFormat="false" ht="15.75" hidden="false" customHeight="false" outlineLevel="0" collapsed="false">
      <c r="A729" s="113" t="str">
        <f aca="false">IF(ISBLANK(B729),"",B729&amp;"|"&amp;C729)</f>
        <v/>
      </c>
      <c r="B729" s="113"/>
      <c r="C729" s="113"/>
      <c r="D729" s="113"/>
      <c r="E729" s="118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</row>
    <row r="730" customFormat="false" ht="15.75" hidden="false" customHeight="false" outlineLevel="0" collapsed="false">
      <c r="A730" s="113" t="str">
        <f aca="false">IF(ISBLANK(B730),"",B730&amp;"|"&amp;C730)</f>
        <v/>
      </c>
      <c r="B730" s="113"/>
      <c r="C730" s="113"/>
      <c r="D730" s="113"/>
      <c r="E730" s="118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</row>
    <row r="731" customFormat="false" ht="15.75" hidden="false" customHeight="false" outlineLevel="0" collapsed="false">
      <c r="A731" s="113" t="str">
        <f aca="false">IF(ISBLANK(B731),"",B731&amp;"|"&amp;C731)</f>
        <v/>
      </c>
      <c r="B731" s="113"/>
      <c r="C731" s="113"/>
      <c r="D731" s="113"/>
      <c r="E731" s="118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</row>
    <row r="732" customFormat="false" ht="15.75" hidden="false" customHeight="false" outlineLevel="0" collapsed="false">
      <c r="A732" s="113" t="str">
        <f aca="false">IF(ISBLANK(B732),"",B732&amp;"|"&amp;C732)</f>
        <v/>
      </c>
      <c r="B732" s="113"/>
      <c r="C732" s="113"/>
      <c r="D732" s="113"/>
      <c r="E732" s="118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</row>
    <row r="733" customFormat="false" ht="15.75" hidden="false" customHeight="false" outlineLevel="0" collapsed="false">
      <c r="A733" s="113" t="str">
        <f aca="false">IF(ISBLANK(B733),"",B733&amp;"|"&amp;C733)</f>
        <v/>
      </c>
      <c r="B733" s="113"/>
      <c r="C733" s="113"/>
      <c r="D733" s="113"/>
      <c r="E733" s="118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</row>
    <row r="734" customFormat="false" ht="15.75" hidden="false" customHeight="false" outlineLevel="0" collapsed="false">
      <c r="A734" s="113" t="str">
        <f aca="false">IF(ISBLANK(B734),"",B734&amp;"|"&amp;C734)</f>
        <v/>
      </c>
      <c r="B734" s="113"/>
      <c r="C734" s="113"/>
      <c r="D734" s="113"/>
      <c r="E734" s="118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</row>
    <row r="735" customFormat="false" ht="15.75" hidden="false" customHeight="false" outlineLevel="0" collapsed="false">
      <c r="A735" s="113" t="str">
        <f aca="false">IF(ISBLANK(B735),"",B735&amp;"|"&amp;C735)</f>
        <v/>
      </c>
      <c r="B735" s="113"/>
      <c r="C735" s="113"/>
      <c r="D735" s="113"/>
      <c r="E735" s="118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</row>
    <row r="736" customFormat="false" ht="15.75" hidden="false" customHeight="false" outlineLevel="0" collapsed="false">
      <c r="A736" s="113" t="str">
        <f aca="false">IF(ISBLANK(B736),"",B736&amp;"|"&amp;C736)</f>
        <v/>
      </c>
      <c r="B736" s="113"/>
      <c r="C736" s="113"/>
      <c r="D736" s="113"/>
      <c r="E736" s="118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</row>
    <row r="737" customFormat="false" ht="15.75" hidden="false" customHeight="false" outlineLevel="0" collapsed="false">
      <c r="A737" s="113" t="str">
        <f aca="false">IF(ISBLANK(B737),"",B737&amp;"|"&amp;C737)</f>
        <v/>
      </c>
      <c r="B737" s="113"/>
      <c r="C737" s="113"/>
      <c r="D737" s="113"/>
      <c r="E737" s="118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</row>
    <row r="738" customFormat="false" ht="15.75" hidden="false" customHeight="false" outlineLevel="0" collapsed="false">
      <c r="A738" s="113" t="str">
        <f aca="false">IF(ISBLANK(B738),"",B738&amp;"|"&amp;C738)</f>
        <v/>
      </c>
      <c r="B738" s="113"/>
      <c r="C738" s="113"/>
      <c r="D738" s="113"/>
      <c r="E738" s="118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</row>
    <row r="739" customFormat="false" ht="15.75" hidden="false" customHeight="false" outlineLevel="0" collapsed="false">
      <c r="A739" s="113" t="str">
        <f aca="false">IF(ISBLANK(B739),"",B739&amp;"|"&amp;C739)</f>
        <v/>
      </c>
      <c r="B739" s="113"/>
      <c r="C739" s="113"/>
      <c r="D739" s="113"/>
      <c r="E739" s="118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</row>
    <row r="740" customFormat="false" ht="15.75" hidden="false" customHeight="false" outlineLevel="0" collapsed="false">
      <c r="A740" s="113" t="str">
        <f aca="false">IF(ISBLANK(B740),"",B740&amp;"|"&amp;C740)</f>
        <v/>
      </c>
      <c r="B740" s="113"/>
      <c r="C740" s="113"/>
      <c r="D740" s="113"/>
      <c r="E740" s="118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</row>
    <row r="741" customFormat="false" ht="15.75" hidden="false" customHeight="false" outlineLevel="0" collapsed="false">
      <c r="A741" s="113" t="str">
        <f aca="false">IF(ISBLANK(B741),"",B741&amp;"|"&amp;C741)</f>
        <v/>
      </c>
      <c r="B741" s="113"/>
      <c r="C741" s="113"/>
      <c r="D741" s="113"/>
      <c r="E741" s="118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</row>
    <row r="742" customFormat="false" ht="15.75" hidden="false" customHeight="false" outlineLevel="0" collapsed="false">
      <c r="A742" s="113" t="str">
        <f aca="false">IF(ISBLANK(B742),"",B742&amp;"|"&amp;C742)</f>
        <v/>
      </c>
      <c r="B742" s="113"/>
      <c r="C742" s="113"/>
      <c r="D742" s="113"/>
      <c r="E742" s="118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</row>
    <row r="743" customFormat="false" ht="15.75" hidden="false" customHeight="false" outlineLevel="0" collapsed="false">
      <c r="A743" s="113" t="str">
        <f aca="false">IF(ISBLANK(B743),"",B743&amp;"|"&amp;C743)</f>
        <v/>
      </c>
      <c r="B743" s="113"/>
      <c r="C743" s="113"/>
      <c r="D743" s="113"/>
      <c r="E743" s="118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</row>
    <row r="744" customFormat="false" ht="15.75" hidden="false" customHeight="false" outlineLevel="0" collapsed="false">
      <c r="A744" s="113" t="str">
        <f aca="false">IF(ISBLANK(B744),"",B744&amp;"|"&amp;C744)</f>
        <v/>
      </c>
      <c r="B744" s="113"/>
      <c r="C744" s="113"/>
      <c r="D744" s="113"/>
      <c r="E744" s="118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</row>
    <row r="745" customFormat="false" ht="15.75" hidden="false" customHeight="false" outlineLevel="0" collapsed="false">
      <c r="A745" s="113" t="str">
        <f aca="false">IF(ISBLANK(B745),"",B745&amp;"|"&amp;C745)</f>
        <v/>
      </c>
      <c r="B745" s="113"/>
      <c r="C745" s="113"/>
      <c r="D745" s="113"/>
      <c r="E745" s="118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</row>
    <row r="746" customFormat="false" ht="15.75" hidden="false" customHeight="false" outlineLevel="0" collapsed="false">
      <c r="A746" s="113" t="str">
        <f aca="false">IF(ISBLANK(B746),"",B746&amp;"|"&amp;C746)</f>
        <v/>
      </c>
      <c r="B746" s="113"/>
      <c r="C746" s="113"/>
      <c r="D746" s="113"/>
      <c r="E746" s="118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</row>
    <row r="747" customFormat="false" ht="15.75" hidden="false" customHeight="false" outlineLevel="0" collapsed="false">
      <c r="A747" s="113" t="str">
        <f aca="false">IF(ISBLANK(B747),"",B747&amp;"|"&amp;C747)</f>
        <v/>
      </c>
      <c r="B747" s="113"/>
      <c r="C747" s="113"/>
      <c r="D747" s="113"/>
      <c r="E747" s="118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</row>
    <row r="748" customFormat="false" ht="15.75" hidden="false" customHeight="false" outlineLevel="0" collapsed="false">
      <c r="A748" s="113" t="str">
        <f aca="false">IF(ISBLANK(B748),"",B748&amp;"|"&amp;C748)</f>
        <v/>
      </c>
      <c r="B748" s="113"/>
      <c r="C748" s="113"/>
      <c r="D748" s="113"/>
      <c r="E748" s="118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</row>
    <row r="749" customFormat="false" ht="15.75" hidden="false" customHeight="false" outlineLevel="0" collapsed="false">
      <c r="A749" s="113" t="str">
        <f aca="false">IF(ISBLANK(B749),"",B749&amp;"|"&amp;C749)</f>
        <v/>
      </c>
      <c r="B749" s="113"/>
      <c r="C749" s="113"/>
      <c r="D749" s="113"/>
      <c r="E749" s="118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</row>
    <row r="750" customFormat="false" ht="15.75" hidden="false" customHeight="false" outlineLevel="0" collapsed="false">
      <c r="A750" s="113" t="str">
        <f aca="false">IF(ISBLANK(B750),"",B750&amp;"|"&amp;C750)</f>
        <v/>
      </c>
      <c r="B750" s="113"/>
      <c r="C750" s="113"/>
      <c r="D750" s="113"/>
      <c r="E750" s="118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</row>
    <row r="751" customFormat="false" ht="15.75" hidden="false" customHeight="false" outlineLevel="0" collapsed="false">
      <c r="A751" s="113" t="str">
        <f aca="false">IF(ISBLANK(B751),"",B751&amp;"|"&amp;C751)</f>
        <v/>
      </c>
      <c r="B751" s="113"/>
      <c r="C751" s="113"/>
      <c r="D751" s="113"/>
      <c r="E751" s="118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</row>
    <row r="752" customFormat="false" ht="15.75" hidden="false" customHeight="false" outlineLevel="0" collapsed="false">
      <c r="A752" s="113" t="str">
        <f aca="false">IF(ISBLANK(B752),"",B752&amp;"|"&amp;C752)</f>
        <v/>
      </c>
      <c r="B752" s="113"/>
      <c r="C752" s="113"/>
      <c r="D752" s="113"/>
      <c r="E752" s="118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</row>
    <row r="753" customFormat="false" ht="15.75" hidden="false" customHeight="false" outlineLevel="0" collapsed="false">
      <c r="A753" s="113" t="str">
        <f aca="false">IF(ISBLANK(B753),"",B753&amp;"|"&amp;C753)</f>
        <v/>
      </c>
      <c r="B753" s="113"/>
      <c r="C753" s="113"/>
      <c r="D753" s="113"/>
      <c r="E753" s="118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</row>
    <row r="754" customFormat="false" ht="15.75" hidden="false" customHeight="false" outlineLevel="0" collapsed="false">
      <c r="A754" s="113" t="str">
        <f aca="false">IF(ISBLANK(B754),"",B754&amp;"|"&amp;C754)</f>
        <v/>
      </c>
      <c r="B754" s="113"/>
      <c r="C754" s="113"/>
      <c r="D754" s="113"/>
      <c r="E754" s="118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</row>
    <row r="755" customFormat="false" ht="15.75" hidden="false" customHeight="false" outlineLevel="0" collapsed="false">
      <c r="A755" s="113" t="str">
        <f aca="false">IF(ISBLANK(B755),"",B755&amp;"|"&amp;C755)</f>
        <v/>
      </c>
      <c r="B755" s="113"/>
      <c r="C755" s="113"/>
      <c r="D755" s="113"/>
      <c r="E755" s="118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</row>
    <row r="756" customFormat="false" ht="15.75" hidden="false" customHeight="false" outlineLevel="0" collapsed="false">
      <c r="A756" s="113" t="str">
        <f aca="false">IF(ISBLANK(B756),"",B756&amp;"|"&amp;C756)</f>
        <v/>
      </c>
      <c r="B756" s="113"/>
      <c r="C756" s="113"/>
      <c r="D756" s="113"/>
      <c r="E756" s="118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</row>
    <row r="757" customFormat="false" ht="15.75" hidden="false" customHeight="false" outlineLevel="0" collapsed="false">
      <c r="A757" s="113" t="str">
        <f aca="false">IF(ISBLANK(B757),"",B757&amp;"|"&amp;C757)</f>
        <v/>
      </c>
      <c r="B757" s="113"/>
      <c r="C757" s="113"/>
      <c r="D757" s="113"/>
      <c r="E757" s="118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</row>
    <row r="758" customFormat="false" ht="15.75" hidden="false" customHeight="false" outlineLevel="0" collapsed="false">
      <c r="A758" s="113" t="str">
        <f aca="false">IF(ISBLANK(B758),"",B758&amp;"|"&amp;C758)</f>
        <v/>
      </c>
      <c r="B758" s="113"/>
      <c r="C758" s="113"/>
      <c r="D758" s="113"/>
      <c r="E758" s="118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</row>
    <row r="759" customFormat="false" ht="15.75" hidden="false" customHeight="false" outlineLevel="0" collapsed="false">
      <c r="A759" s="113" t="str">
        <f aca="false">IF(ISBLANK(B759),"",B759&amp;"|"&amp;C759)</f>
        <v/>
      </c>
      <c r="B759" s="113"/>
      <c r="C759" s="113"/>
      <c r="D759" s="113"/>
      <c r="E759" s="118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</row>
    <row r="760" customFormat="false" ht="15.75" hidden="false" customHeight="false" outlineLevel="0" collapsed="false">
      <c r="A760" s="113" t="str">
        <f aca="false">IF(ISBLANK(B760),"",B760&amp;"|"&amp;C760)</f>
        <v/>
      </c>
      <c r="B760" s="113"/>
      <c r="C760" s="113"/>
      <c r="D760" s="113"/>
      <c r="E760" s="118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</row>
    <row r="761" customFormat="false" ht="15.75" hidden="false" customHeight="false" outlineLevel="0" collapsed="false">
      <c r="A761" s="113" t="str">
        <f aca="false">IF(ISBLANK(B761),"",B761&amp;"|"&amp;C761)</f>
        <v/>
      </c>
      <c r="B761" s="113"/>
      <c r="C761" s="113"/>
      <c r="D761" s="113"/>
      <c r="E761" s="118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</row>
    <row r="762" customFormat="false" ht="15.75" hidden="false" customHeight="false" outlineLevel="0" collapsed="false">
      <c r="A762" s="113" t="str">
        <f aca="false">IF(ISBLANK(B762),"",B762&amp;"|"&amp;C762)</f>
        <v/>
      </c>
      <c r="B762" s="113"/>
      <c r="C762" s="113"/>
      <c r="D762" s="113"/>
      <c r="E762" s="118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</row>
    <row r="763" customFormat="false" ht="15.75" hidden="false" customHeight="false" outlineLevel="0" collapsed="false">
      <c r="A763" s="113" t="str">
        <f aca="false">IF(ISBLANK(B763),"",B763&amp;"|"&amp;C763)</f>
        <v/>
      </c>
      <c r="B763" s="113"/>
      <c r="C763" s="113"/>
      <c r="D763" s="113"/>
      <c r="E763" s="118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</row>
    <row r="764" customFormat="false" ht="15.75" hidden="false" customHeight="false" outlineLevel="0" collapsed="false">
      <c r="A764" s="113" t="str">
        <f aca="false">IF(ISBLANK(B764),"",B764&amp;"|"&amp;C764)</f>
        <v/>
      </c>
      <c r="B764" s="113"/>
      <c r="C764" s="113"/>
      <c r="D764" s="113"/>
      <c r="E764" s="118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</row>
    <row r="765" customFormat="false" ht="15.75" hidden="false" customHeight="false" outlineLevel="0" collapsed="false">
      <c r="A765" s="113" t="str">
        <f aca="false">IF(ISBLANK(B765),"",B765&amp;"|"&amp;C765)</f>
        <v/>
      </c>
      <c r="B765" s="113"/>
      <c r="C765" s="113"/>
      <c r="D765" s="113"/>
      <c r="E765" s="118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</row>
    <row r="766" customFormat="false" ht="15.75" hidden="false" customHeight="false" outlineLevel="0" collapsed="false">
      <c r="A766" s="113" t="str">
        <f aca="false">IF(ISBLANK(B766),"",B766&amp;"|"&amp;C766)</f>
        <v/>
      </c>
      <c r="B766" s="113"/>
      <c r="C766" s="113"/>
      <c r="D766" s="113"/>
      <c r="E766" s="118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</row>
    <row r="767" customFormat="false" ht="15.75" hidden="false" customHeight="false" outlineLevel="0" collapsed="false">
      <c r="A767" s="113" t="str">
        <f aca="false">IF(ISBLANK(B767),"",B767&amp;"|"&amp;C767)</f>
        <v/>
      </c>
      <c r="B767" s="113"/>
      <c r="C767" s="113"/>
      <c r="D767" s="113"/>
      <c r="E767" s="118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</row>
    <row r="768" customFormat="false" ht="15.75" hidden="false" customHeight="false" outlineLevel="0" collapsed="false">
      <c r="A768" s="113" t="str">
        <f aca="false">IF(ISBLANK(B768),"",B768&amp;"|"&amp;C768)</f>
        <v/>
      </c>
      <c r="B768" s="113"/>
      <c r="C768" s="113"/>
      <c r="D768" s="113"/>
      <c r="E768" s="118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</row>
    <row r="769" customFormat="false" ht="15.75" hidden="false" customHeight="false" outlineLevel="0" collapsed="false">
      <c r="A769" s="113" t="str">
        <f aca="false">IF(ISBLANK(B769),"",B769&amp;"|"&amp;C769)</f>
        <v/>
      </c>
      <c r="B769" s="113"/>
      <c r="C769" s="113"/>
      <c r="D769" s="113"/>
      <c r="E769" s="118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</row>
    <row r="770" customFormat="false" ht="15.75" hidden="false" customHeight="false" outlineLevel="0" collapsed="false">
      <c r="A770" s="113" t="str">
        <f aca="false">IF(ISBLANK(B770),"",B770&amp;"|"&amp;C770)</f>
        <v/>
      </c>
      <c r="B770" s="113"/>
      <c r="C770" s="113"/>
      <c r="D770" s="113"/>
      <c r="E770" s="118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</row>
    <row r="771" customFormat="false" ht="15.75" hidden="false" customHeight="false" outlineLevel="0" collapsed="false">
      <c r="A771" s="113" t="str">
        <f aca="false">IF(ISBLANK(B771),"",B771&amp;"|"&amp;C771)</f>
        <v/>
      </c>
      <c r="B771" s="113"/>
      <c r="C771" s="113"/>
      <c r="D771" s="113"/>
      <c r="E771" s="118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</row>
    <row r="772" customFormat="false" ht="15.75" hidden="false" customHeight="false" outlineLevel="0" collapsed="false">
      <c r="A772" s="113" t="str">
        <f aca="false">IF(ISBLANK(B772),"",B772&amp;"|"&amp;C772)</f>
        <v/>
      </c>
      <c r="B772" s="113"/>
      <c r="C772" s="113"/>
      <c r="D772" s="113"/>
      <c r="E772" s="118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</row>
    <row r="773" customFormat="false" ht="15.75" hidden="false" customHeight="false" outlineLevel="0" collapsed="false">
      <c r="A773" s="113" t="str">
        <f aca="false">IF(ISBLANK(B773),"",B773&amp;"|"&amp;C773)</f>
        <v/>
      </c>
      <c r="B773" s="113"/>
      <c r="C773" s="113"/>
      <c r="D773" s="113"/>
      <c r="E773" s="118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</row>
    <row r="774" customFormat="false" ht="15.75" hidden="false" customHeight="false" outlineLevel="0" collapsed="false">
      <c r="A774" s="113" t="str">
        <f aca="false">IF(ISBLANK(B774),"",B774&amp;"|"&amp;C774)</f>
        <v/>
      </c>
      <c r="B774" s="113"/>
      <c r="C774" s="113"/>
      <c r="D774" s="113"/>
      <c r="E774" s="118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</row>
    <row r="775" customFormat="false" ht="15.75" hidden="false" customHeight="false" outlineLevel="0" collapsed="false">
      <c r="A775" s="113" t="str">
        <f aca="false">IF(ISBLANK(B775),"",B775&amp;"|"&amp;C775)</f>
        <v/>
      </c>
      <c r="B775" s="113"/>
      <c r="C775" s="113"/>
      <c r="D775" s="113"/>
      <c r="E775" s="118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</row>
    <row r="776" customFormat="false" ht="15.75" hidden="false" customHeight="false" outlineLevel="0" collapsed="false">
      <c r="A776" s="113" t="str">
        <f aca="false">IF(ISBLANK(B776),"",B776&amp;"|"&amp;C776)</f>
        <v/>
      </c>
      <c r="B776" s="113"/>
      <c r="C776" s="113"/>
      <c r="D776" s="113"/>
      <c r="E776" s="118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</row>
    <row r="777" customFormat="false" ht="15.75" hidden="false" customHeight="false" outlineLevel="0" collapsed="false">
      <c r="A777" s="113" t="str">
        <f aca="false">IF(ISBLANK(B777),"",B777&amp;"|"&amp;C777)</f>
        <v/>
      </c>
      <c r="B777" s="113"/>
      <c r="C777" s="113"/>
      <c r="D777" s="113"/>
      <c r="E777" s="118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</row>
    <row r="778" customFormat="false" ht="15.75" hidden="false" customHeight="false" outlineLevel="0" collapsed="false">
      <c r="A778" s="113" t="str">
        <f aca="false">IF(ISBLANK(B778),"",B778&amp;"|"&amp;C778)</f>
        <v/>
      </c>
      <c r="B778" s="113"/>
      <c r="C778" s="113"/>
      <c r="D778" s="113"/>
      <c r="E778" s="118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</row>
    <row r="779" customFormat="false" ht="15.75" hidden="false" customHeight="false" outlineLevel="0" collapsed="false">
      <c r="A779" s="113" t="str">
        <f aca="false">IF(ISBLANK(B779),"",B779&amp;"|"&amp;C779)</f>
        <v/>
      </c>
      <c r="B779" s="113"/>
      <c r="C779" s="113"/>
      <c r="D779" s="113"/>
      <c r="E779" s="118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</row>
    <row r="780" customFormat="false" ht="15.75" hidden="false" customHeight="false" outlineLevel="0" collapsed="false">
      <c r="A780" s="113" t="str">
        <f aca="false">IF(ISBLANK(B780),"",B780&amp;"|"&amp;C780)</f>
        <v/>
      </c>
      <c r="B780" s="113"/>
      <c r="C780" s="113"/>
      <c r="D780" s="113"/>
      <c r="E780" s="118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</row>
    <row r="781" customFormat="false" ht="15.75" hidden="false" customHeight="false" outlineLevel="0" collapsed="false">
      <c r="A781" s="113" t="str">
        <f aca="false">IF(ISBLANK(B781),"",B781&amp;"|"&amp;C781)</f>
        <v/>
      </c>
      <c r="B781" s="113"/>
      <c r="C781" s="113"/>
      <c r="D781" s="113"/>
      <c r="E781" s="118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</row>
    <row r="782" customFormat="false" ht="15.75" hidden="false" customHeight="false" outlineLevel="0" collapsed="false">
      <c r="A782" s="113" t="str">
        <f aca="false">IF(ISBLANK(B782),"",B782&amp;"|"&amp;C782)</f>
        <v/>
      </c>
      <c r="B782" s="113"/>
      <c r="C782" s="113"/>
      <c r="D782" s="113"/>
      <c r="E782" s="118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</row>
    <row r="783" customFormat="false" ht="15.75" hidden="false" customHeight="false" outlineLevel="0" collapsed="false">
      <c r="A783" s="113" t="str">
        <f aca="false">IF(ISBLANK(B783),"",B783&amp;"|"&amp;C783)</f>
        <v/>
      </c>
      <c r="B783" s="113"/>
      <c r="C783" s="113"/>
      <c r="D783" s="113"/>
      <c r="E783" s="118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</row>
    <row r="784" customFormat="false" ht="15.75" hidden="false" customHeight="false" outlineLevel="0" collapsed="false">
      <c r="A784" s="113" t="str">
        <f aca="false">IF(ISBLANK(B784),"",B784&amp;"|"&amp;C784)</f>
        <v/>
      </c>
      <c r="B784" s="113"/>
      <c r="C784" s="113"/>
      <c r="D784" s="113"/>
      <c r="E784" s="118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</row>
    <row r="785" customFormat="false" ht="15.75" hidden="false" customHeight="false" outlineLevel="0" collapsed="false">
      <c r="A785" s="113" t="str">
        <f aca="false">IF(ISBLANK(B785),"",B785&amp;"|"&amp;C785)</f>
        <v/>
      </c>
      <c r="B785" s="113"/>
      <c r="C785" s="113"/>
      <c r="D785" s="113"/>
      <c r="E785" s="118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</row>
    <row r="786" customFormat="false" ht="15.75" hidden="false" customHeight="false" outlineLevel="0" collapsed="false">
      <c r="A786" s="113" t="str">
        <f aca="false">IF(ISBLANK(B786),"",B786&amp;"|"&amp;C786)</f>
        <v/>
      </c>
      <c r="B786" s="113"/>
      <c r="C786" s="113"/>
      <c r="D786" s="113"/>
      <c r="E786" s="118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</row>
    <row r="787" customFormat="false" ht="15.75" hidden="false" customHeight="false" outlineLevel="0" collapsed="false">
      <c r="A787" s="113" t="str">
        <f aca="false">IF(ISBLANK(B787),"",B787&amp;"|"&amp;C787)</f>
        <v/>
      </c>
      <c r="B787" s="113"/>
      <c r="C787" s="113"/>
      <c r="D787" s="113"/>
      <c r="E787" s="118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</row>
    <row r="788" customFormat="false" ht="15.75" hidden="false" customHeight="false" outlineLevel="0" collapsed="false">
      <c r="A788" s="113" t="str">
        <f aca="false">IF(ISBLANK(B788),"",B788&amp;"|"&amp;C788)</f>
        <v/>
      </c>
      <c r="B788" s="113"/>
      <c r="C788" s="113"/>
      <c r="D788" s="113"/>
      <c r="E788" s="118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</row>
    <row r="789" customFormat="false" ht="15.75" hidden="false" customHeight="false" outlineLevel="0" collapsed="false">
      <c r="A789" s="113" t="str">
        <f aca="false">IF(ISBLANK(B789),"",B789&amp;"|"&amp;C789)</f>
        <v/>
      </c>
      <c r="B789" s="113"/>
      <c r="C789" s="113"/>
      <c r="D789" s="113"/>
      <c r="E789" s="118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</row>
    <row r="790" customFormat="false" ht="15.75" hidden="false" customHeight="false" outlineLevel="0" collapsed="false">
      <c r="A790" s="113" t="str">
        <f aca="false">IF(ISBLANK(B790),"",B790&amp;"|"&amp;C790)</f>
        <v/>
      </c>
      <c r="B790" s="113"/>
      <c r="C790" s="113"/>
      <c r="D790" s="113"/>
      <c r="E790" s="118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</row>
    <row r="791" customFormat="false" ht="15.75" hidden="false" customHeight="false" outlineLevel="0" collapsed="false">
      <c r="A791" s="113" t="str">
        <f aca="false">IF(ISBLANK(B791),"",B791&amp;"|"&amp;C791)</f>
        <v/>
      </c>
      <c r="B791" s="113"/>
      <c r="C791" s="113"/>
      <c r="D791" s="113"/>
      <c r="E791" s="118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</row>
    <row r="792" customFormat="false" ht="15.75" hidden="false" customHeight="false" outlineLevel="0" collapsed="false">
      <c r="A792" s="113" t="str">
        <f aca="false">IF(ISBLANK(B792),"",B792&amp;"|"&amp;C792)</f>
        <v/>
      </c>
      <c r="B792" s="113"/>
      <c r="C792" s="113"/>
      <c r="D792" s="113"/>
      <c r="E792" s="118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</row>
    <row r="793" customFormat="false" ht="15.75" hidden="false" customHeight="false" outlineLevel="0" collapsed="false">
      <c r="A793" s="113" t="str">
        <f aca="false">IF(ISBLANK(B793),"",B793&amp;"|"&amp;C793)</f>
        <v/>
      </c>
      <c r="B793" s="113"/>
      <c r="C793" s="113"/>
      <c r="D793" s="113"/>
      <c r="E793" s="118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</row>
    <row r="794" customFormat="false" ht="15.75" hidden="false" customHeight="false" outlineLevel="0" collapsed="false">
      <c r="A794" s="113" t="str">
        <f aca="false">IF(ISBLANK(B794),"",B794&amp;"|"&amp;C794)</f>
        <v/>
      </c>
      <c r="B794" s="113"/>
      <c r="C794" s="113"/>
      <c r="D794" s="113"/>
      <c r="E794" s="118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</row>
    <row r="795" customFormat="false" ht="15.75" hidden="false" customHeight="false" outlineLevel="0" collapsed="false">
      <c r="A795" s="113" t="str">
        <f aca="false">IF(ISBLANK(B795),"",B795&amp;"|"&amp;C795)</f>
        <v/>
      </c>
      <c r="B795" s="113"/>
      <c r="C795" s="113"/>
      <c r="D795" s="113"/>
      <c r="E795" s="118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</row>
    <row r="796" customFormat="false" ht="15.75" hidden="false" customHeight="false" outlineLevel="0" collapsed="false">
      <c r="A796" s="113" t="str">
        <f aca="false">IF(ISBLANK(B796),"",B796&amp;"|"&amp;C796)</f>
        <v/>
      </c>
      <c r="B796" s="113"/>
      <c r="C796" s="113"/>
      <c r="D796" s="113"/>
      <c r="E796" s="118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</row>
    <row r="797" customFormat="false" ht="15.75" hidden="false" customHeight="false" outlineLevel="0" collapsed="false">
      <c r="A797" s="113" t="str">
        <f aca="false">IF(ISBLANK(B797),"",B797&amp;"|"&amp;C797)</f>
        <v/>
      </c>
      <c r="B797" s="113"/>
      <c r="C797" s="113"/>
      <c r="D797" s="113"/>
      <c r="E797" s="118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</row>
    <row r="798" customFormat="false" ht="15.75" hidden="false" customHeight="false" outlineLevel="0" collapsed="false">
      <c r="A798" s="113" t="str">
        <f aca="false">IF(ISBLANK(B798),"",B798&amp;"|"&amp;C798)</f>
        <v/>
      </c>
      <c r="B798" s="113"/>
      <c r="C798" s="113"/>
      <c r="D798" s="113"/>
      <c r="E798" s="118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</row>
    <row r="799" customFormat="false" ht="15.75" hidden="false" customHeight="false" outlineLevel="0" collapsed="false">
      <c r="A799" s="113" t="str">
        <f aca="false">IF(ISBLANK(B799),"",B799&amp;"|"&amp;C799)</f>
        <v/>
      </c>
      <c r="B799" s="113"/>
      <c r="C799" s="113"/>
      <c r="D799" s="113"/>
      <c r="E799" s="118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</row>
    <row r="800" customFormat="false" ht="15.75" hidden="false" customHeight="false" outlineLevel="0" collapsed="false">
      <c r="A800" s="113" t="str">
        <f aca="false">IF(ISBLANK(B800),"",B800&amp;"|"&amp;C800)</f>
        <v/>
      </c>
      <c r="B800" s="113"/>
      <c r="C800" s="113"/>
      <c r="D800" s="113"/>
      <c r="E800" s="118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</row>
    <row r="801" customFormat="false" ht="15.75" hidden="false" customHeight="false" outlineLevel="0" collapsed="false">
      <c r="A801" s="113" t="str">
        <f aca="false">IF(ISBLANK(B801),"",B801&amp;"|"&amp;C801)</f>
        <v/>
      </c>
      <c r="B801" s="113"/>
      <c r="C801" s="113"/>
      <c r="D801" s="113"/>
      <c r="E801" s="118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</row>
    <row r="802" customFormat="false" ht="15.75" hidden="false" customHeight="false" outlineLevel="0" collapsed="false">
      <c r="A802" s="113" t="str">
        <f aca="false">IF(ISBLANK(B802),"",B802&amp;"|"&amp;C802)</f>
        <v/>
      </c>
      <c r="B802" s="113"/>
      <c r="C802" s="113"/>
      <c r="D802" s="113"/>
      <c r="E802" s="118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</row>
    <row r="803" customFormat="false" ht="15.75" hidden="false" customHeight="false" outlineLevel="0" collapsed="false">
      <c r="A803" s="113" t="str">
        <f aca="false">IF(ISBLANK(B803),"",B803&amp;"|"&amp;C803)</f>
        <v/>
      </c>
      <c r="B803" s="113"/>
      <c r="C803" s="113"/>
      <c r="D803" s="113"/>
      <c r="E803" s="118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</row>
    <row r="804" customFormat="false" ht="15.75" hidden="false" customHeight="false" outlineLevel="0" collapsed="false">
      <c r="A804" s="113" t="str">
        <f aca="false">IF(ISBLANK(B804),"",B804&amp;"|"&amp;C804)</f>
        <v/>
      </c>
      <c r="B804" s="113"/>
      <c r="C804" s="113"/>
      <c r="D804" s="113"/>
      <c r="E804" s="118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</row>
    <row r="805" customFormat="false" ht="15.75" hidden="false" customHeight="false" outlineLevel="0" collapsed="false">
      <c r="A805" s="113" t="str">
        <f aca="false">IF(ISBLANK(B805),"",B805&amp;"|"&amp;C805)</f>
        <v/>
      </c>
      <c r="B805" s="113"/>
      <c r="C805" s="113"/>
      <c r="D805" s="113"/>
      <c r="E805" s="118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</row>
    <row r="806" customFormat="false" ht="15.75" hidden="false" customHeight="false" outlineLevel="0" collapsed="false">
      <c r="A806" s="113" t="str">
        <f aca="false">IF(ISBLANK(B806),"",B806&amp;"|"&amp;C806)</f>
        <v/>
      </c>
      <c r="B806" s="113"/>
      <c r="C806" s="113"/>
      <c r="D806" s="113"/>
      <c r="E806" s="118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</row>
    <row r="807" customFormat="false" ht="15.75" hidden="false" customHeight="false" outlineLevel="0" collapsed="false">
      <c r="A807" s="113" t="str">
        <f aca="false">IF(ISBLANK(B807),"",B807&amp;"|"&amp;C807)</f>
        <v/>
      </c>
      <c r="B807" s="113"/>
      <c r="C807" s="113"/>
      <c r="D807" s="113"/>
      <c r="E807" s="118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</row>
    <row r="808" customFormat="false" ht="15.75" hidden="false" customHeight="false" outlineLevel="0" collapsed="false">
      <c r="A808" s="113" t="str">
        <f aca="false">IF(ISBLANK(B808),"",B808&amp;"|"&amp;C808)</f>
        <v/>
      </c>
      <c r="B808" s="113"/>
      <c r="C808" s="113"/>
      <c r="D808" s="113"/>
      <c r="E808" s="118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</row>
    <row r="809" customFormat="false" ht="15.75" hidden="false" customHeight="false" outlineLevel="0" collapsed="false">
      <c r="A809" s="113" t="str">
        <f aca="false">IF(ISBLANK(B809),"",B809&amp;"|"&amp;C809)</f>
        <v/>
      </c>
      <c r="B809" s="113"/>
      <c r="C809" s="113"/>
      <c r="D809" s="113"/>
      <c r="E809" s="118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</row>
    <row r="810" customFormat="false" ht="15.75" hidden="false" customHeight="false" outlineLevel="0" collapsed="false">
      <c r="A810" s="113" t="str">
        <f aca="false">IF(ISBLANK(B810),"",B810&amp;"|"&amp;C810)</f>
        <v/>
      </c>
      <c r="B810" s="113"/>
      <c r="C810" s="113"/>
      <c r="D810" s="113"/>
      <c r="E810" s="118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</row>
    <row r="811" customFormat="false" ht="15.75" hidden="false" customHeight="false" outlineLevel="0" collapsed="false">
      <c r="A811" s="113" t="str">
        <f aca="false">IF(ISBLANK(B811),"",B811&amp;"|"&amp;C811)</f>
        <v/>
      </c>
      <c r="B811" s="113"/>
      <c r="C811" s="113"/>
      <c r="D811" s="113"/>
      <c r="E811" s="118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</row>
    <row r="812" customFormat="false" ht="15.75" hidden="false" customHeight="false" outlineLevel="0" collapsed="false">
      <c r="A812" s="113" t="str">
        <f aca="false">IF(ISBLANK(B812),"",B812&amp;"|"&amp;C812)</f>
        <v/>
      </c>
      <c r="B812" s="113"/>
      <c r="C812" s="113"/>
      <c r="D812" s="113"/>
      <c r="E812" s="118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</row>
    <row r="813" customFormat="false" ht="15.75" hidden="false" customHeight="false" outlineLevel="0" collapsed="false">
      <c r="A813" s="113" t="str">
        <f aca="false">IF(ISBLANK(B813),"",B813&amp;"|"&amp;C813)</f>
        <v/>
      </c>
      <c r="B813" s="113"/>
      <c r="C813" s="113"/>
      <c r="D813" s="113"/>
      <c r="E813" s="118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</row>
    <row r="814" customFormat="false" ht="15.75" hidden="false" customHeight="false" outlineLevel="0" collapsed="false">
      <c r="A814" s="113" t="str">
        <f aca="false">IF(ISBLANK(B814),"",B814&amp;"|"&amp;C814)</f>
        <v/>
      </c>
      <c r="B814" s="113"/>
      <c r="C814" s="113"/>
      <c r="D814" s="113"/>
      <c r="E814" s="118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</row>
    <row r="815" customFormat="false" ht="15.75" hidden="false" customHeight="false" outlineLevel="0" collapsed="false">
      <c r="A815" s="113" t="str">
        <f aca="false">IF(ISBLANK(B815),"",B815&amp;"|"&amp;C815)</f>
        <v/>
      </c>
      <c r="B815" s="113"/>
      <c r="C815" s="113"/>
      <c r="D815" s="113"/>
      <c r="E815" s="118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</row>
    <row r="816" customFormat="false" ht="15.75" hidden="false" customHeight="false" outlineLevel="0" collapsed="false">
      <c r="A816" s="113" t="str">
        <f aca="false">IF(ISBLANK(B816),"",B816&amp;"|"&amp;C816)</f>
        <v/>
      </c>
      <c r="B816" s="113"/>
      <c r="C816" s="113"/>
      <c r="D816" s="113"/>
      <c r="E816" s="118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</row>
    <row r="817" customFormat="false" ht="15.75" hidden="false" customHeight="false" outlineLevel="0" collapsed="false">
      <c r="A817" s="113" t="str">
        <f aca="false">IF(ISBLANK(B817),"",B817&amp;"|"&amp;C817)</f>
        <v/>
      </c>
      <c r="B817" s="113"/>
      <c r="C817" s="113"/>
      <c r="D817" s="113"/>
      <c r="E817" s="118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</row>
    <row r="818" customFormat="false" ht="15.75" hidden="false" customHeight="false" outlineLevel="0" collapsed="false">
      <c r="A818" s="113" t="str">
        <f aca="false">IF(ISBLANK(B818),"",B818&amp;"|"&amp;C818)</f>
        <v/>
      </c>
      <c r="B818" s="113"/>
      <c r="C818" s="113"/>
      <c r="D818" s="113"/>
      <c r="E818" s="118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</row>
    <row r="819" customFormat="false" ht="15.75" hidden="false" customHeight="false" outlineLevel="0" collapsed="false">
      <c r="A819" s="113" t="str">
        <f aca="false">IF(ISBLANK(B819),"",B819&amp;"|"&amp;C819)</f>
        <v/>
      </c>
      <c r="B819" s="113"/>
      <c r="C819" s="113"/>
      <c r="D819" s="113"/>
      <c r="E819" s="118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</row>
    <row r="820" customFormat="false" ht="15.75" hidden="false" customHeight="false" outlineLevel="0" collapsed="false">
      <c r="A820" s="113" t="str">
        <f aca="false">IF(ISBLANK(B820),"",B820&amp;"|"&amp;C820)</f>
        <v/>
      </c>
      <c r="B820" s="113"/>
      <c r="C820" s="113"/>
      <c r="D820" s="113"/>
      <c r="E820" s="118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</row>
    <row r="821" customFormat="false" ht="15.75" hidden="false" customHeight="false" outlineLevel="0" collapsed="false">
      <c r="A821" s="113" t="str">
        <f aca="false">IF(ISBLANK(B821),"",B821&amp;"|"&amp;C821)</f>
        <v/>
      </c>
      <c r="B821" s="113"/>
      <c r="C821" s="113"/>
      <c r="D821" s="113"/>
      <c r="E821" s="118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</row>
    <row r="822" customFormat="false" ht="15.75" hidden="false" customHeight="false" outlineLevel="0" collapsed="false">
      <c r="A822" s="113" t="str">
        <f aca="false">IF(ISBLANK(B822),"",B822&amp;"|"&amp;C822)</f>
        <v/>
      </c>
      <c r="B822" s="113"/>
      <c r="C822" s="113"/>
      <c r="D822" s="113"/>
      <c r="E822" s="118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</row>
    <row r="823" customFormat="false" ht="15.75" hidden="false" customHeight="false" outlineLevel="0" collapsed="false">
      <c r="A823" s="113" t="str">
        <f aca="false">IF(ISBLANK(B823),"",B823&amp;"|"&amp;C823)</f>
        <v/>
      </c>
      <c r="B823" s="113"/>
      <c r="C823" s="113"/>
      <c r="D823" s="113"/>
      <c r="E823" s="118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</row>
    <row r="824" customFormat="false" ht="15.75" hidden="false" customHeight="false" outlineLevel="0" collapsed="false">
      <c r="A824" s="113" t="str">
        <f aca="false">IF(ISBLANK(B824),"",B824&amp;"|"&amp;C824)</f>
        <v/>
      </c>
      <c r="B824" s="113"/>
      <c r="C824" s="113"/>
      <c r="D824" s="113"/>
      <c r="E824" s="118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</row>
    <row r="825" customFormat="false" ht="15.75" hidden="false" customHeight="false" outlineLevel="0" collapsed="false">
      <c r="A825" s="113" t="str">
        <f aca="false">IF(ISBLANK(B825),"",B825&amp;"|"&amp;C825)</f>
        <v/>
      </c>
      <c r="B825" s="113"/>
      <c r="C825" s="113"/>
      <c r="D825" s="113"/>
      <c r="E825" s="118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</row>
    <row r="826" customFormat="false" ht="15.75" hidden="false" customHeight="false" outlineLevel="0" collapsed="false">
      <c r="A826" s="113" t="str">
        <f aca="false">IF(ISBLANK(B826),"",B826&amp;"|"&amp;C826)</f>
        <v/>
      </c>
      <c r="B826" s="113"/>
      <c r="C826" s="113"/>
      <c r="D826" s="113"/>
      <c r="E826" s="118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</row>
    <row r="827" customFormat="false" ht="15.75" hidden="false" customHeight="false" outlineLevel="0" collapsed="false">
      <c r="A827" s="113" t="str">
        <f aca="false">IF(ISBLANK(B827),"",B827&amp;"|"&amp;C827)</f>
        <v/>
      </c>
      <c r="B827" s="113"/>
      <c r="C827" s="113"/>
      <c r="D827" s="113"/>
      <c r="E827" s="118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</row>
    <row r="828" customFormat="false" ht="15.75" hidden="false" customHeight="false" outlineLevel="0" collapsed="false">
      <c r="A828" s="113" t="str">
        <f aca="false">IF(ISBLANK(B828),"",B828&amp;"|"&amp;C828)</f>
        <v/>
      </c>
      <c r="B828" s="113"/>
      <c r="C828" s="113"/>
      <c r="D828" s="113"/>
      <c r="E828" s="118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</row>
    <row r="829" customFormat="false" ht="15.75" hidden="false" customHeight="false" outlineLevel="0" collapsed="false">
      <c r="A829" s="113" t="str">
        <f aca="false">IF(ISBLANK(B829),"",B829&amp;"|"&amp;C829)</f>
        <v/>
      </c>
      <c r="B829" s="113"/>
      <c r="C829" s="113"/>
      <c r="D829" s="113"/>
      <c r="E829" s="118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</row>
    <row r="830" customFormat="false" ht="15.75" hidden="false" customHeight="false" outlineLevel="0" collapsed="false">
      <c r="A830" s="113" t="str">
        <f aca="false">IF(ISBLANK(B830),"",B830&amp;"|"&amp;C830)</f>
        <v/>
      </c>
      <c r="B830" s="113"/>
      <c r="C830" s="113"/>
      <c r="D830" s="113"/>
      <c r="E830" s="118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</row>
    <row r="831" customFormat="false" ht="15.75" hidden="false" customHeight="false" outlineLevel="0" collapsed="false">
      <c r="A831" s="113" t="str">
        <f aca="false">IF(ISBLANK(B831),"",B831&amp;"|"&amp;C831)</f>
        <v/>
      </c>
      <c r="B831" s="113"/>
      <c r="C831" s="113"/>
      <c r="D831" s="113"/>
      <c r="E831" s="118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</row>
    <row r="832" customFormat="false" ht="15.75" hidden="false" customHeight="false" outlineLevel="0" collapsed="false">
      <c r="A832" s="113" t="str">
        <f aca="false">IF(ISBLANK(B832),"",B832&amp;"|"&amp;C832)</f>
        <v/>
      </c>
      <c r="B832" s="113"/>
      <c r="C832" s="113"/>
      <c r="D832" s="113"/>
      <c r="E832" s="118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</row>
    <row r="833" customFormat="false" ht="15.75" hidden="false" customHeight="false" outlineLevel="0" collapsed="false">
      <c r="A833" s="113" t="str">
        <f aca="false">IF(ISBLANK(B833),"",B833&amp;"|"&amp;C833)</f>
        <v/>
      </c>
      <c r="B833" s="113"/>
      <c r="C833" s="113"/>
      <c r="D833" s="113"/>
      <c r="E833" s="118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</row>
    <row r="834" customFormat="false" ht="15.75" hidden="false" customHeight="false" outlineLevel="0" collapsed="false">
      <c r="A834" s="113" t="str">
        <f aca="false">IF(ISBLANK(B834),"",B834&amp;"|"&amp;C834)</f>
        <v/>
      </c>
      <c r="B834" s="113"/>
      <c r="C834" s="113"/>
      <c r="D834" s="113"/>
      <c r="E834" s="118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</row>
    <row r="835" customFormat="false" ht="15.75" hidden="false" customHeight="false" outlineLevel="0" collapsed="false">
      <c r="A835" s="113" t="str">
        <f aca="false">IF(ISBLANK(B835),"",B835&amp;"|"&amp;C835)</f>
        <v/>
      </c>
      <c r="B835" s="113"/>
      <c r="C835" s="113"/>
      <c r="D835" s="113"/>
      <c r="E835" s="118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</row>
    <row r="836" customFormat="false" ht="15.75" hidden="false" customHeight="false" outlineLevel="0" collapsed="false">
      <c r="A836" s="113" t="str">
        <f aca="false">IF(ISBLANK(B836),"",B836&amp;"|"&amp;C836)</f>
        <v/>
      </c>
      <c r="B836" s="113"/>
      <c r="C836" s="113"/>
      <c r="D836" s="113"/>
      <c r="E836" s="118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</row>
    <row r="837" customFormat="false" ht="15.75" hidden="false" customHeight="false" outlineLevel="0" collapsed="false">
      <c r="A837" s="113" t="str">
        <f aca="false">IF(ISBLANK(B837),"",B837&amp;"|"&amp;C837)</f>
        <v/>
      </c>
      <c r="B837" s="113"/>
      <c r="C837" s="113"/>
      <c r="D837" s="113"/>
      <c r="E837" s="118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</row>
    <row r="838" customFormat="false" ht="15.75" hidden="false" customHeight="false" outlineLevel="0" collapsed="false">
      <c r="A838" s="113" t="str">
        <f aca="false">IF(ISBLANK(B838),"",B838&amp;"|"&amp;C838)</f>
        <v/>
      </c>
      <c r="B838" s="113"/>
      <c r="C838" s="113"/>
      <c r="D838" s="113"/>
      <c r="E838" s="118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</row>
    <row r="839" customFormat="false" ht="15.75" hidden="false" customHeight="false" outlineLevel="0" collapsed="false">
      <c r="A839" s="113" t="str">
        <f aca="false">IF(ISBLANK(B839),"",B839&amp;"|"&amp;C839)</f>
        <v/>
      </c>
      <c r="B839" s="113"/>
      <c r="C839" s="113"/>
      <c r="D839" s="113"/>
      <c r="E839" s="118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</row>
    <row r="840" customFormat="false" ht="15.75" hidden="false" customHeight="false" outlineLevel="0" collapsed="false">
      <c r="A840" s="113" t="str">
        <f aca="false">IF(ISBLANK(B840),"",B840&amp;"|"&amp;C840)</f>
        <v/>
      </c>
      <c r="B840" s="113"/>
      <c r="C840" s="113"/>
      <c r="D840" s="113"/>
      <c r="E840" s="118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</row>
    <row r="841" customFormat="false" ht="15.75" hidden="false" customHeight="false" outlineLevel="0" collapsed="false">
      <c r="A841" s="113" t="str">
        <f aca="false">IF(ISBLANK(B841),"",B841&amp;"|"&amp;C841)</f>
        <v/>
      </c>
      <c r="B841" s="113"/>
      <c r="C841" s="113"/>
      <c r="D841" s="113"/>
      <c r="E841" s="118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</row>
    <row r="842" customFormat="false" ht="15.75" hidden="false" customHeight="false" outlineLevel="0" collapsed="false">
      <c r="A842" s="113" t="str">
        <f aca="false">IF(ISBLANK(B842),"",B842&amp;"|"&amp;C842)</f>
        <v/>
      </c>
      <c r="B842" s="113"/>
      <c r="C842" s="113"/>
      <c r="D842" s="113"/>
      <c r="E842" s="118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</row>
    <row r="843" customFormat="false" ht="15.75" hidden="false" customHeight="false" outlineLevel="0" collapsed="false">
      <c r="A843" s="113" t="str">
        <f aca="false">IF(ISBLANK(B843),"",B843&amp;"|"&amp;C843)</f>
        <v/>
      </c>
      <c r="B843" s="113"/>
      <c r="C843" s="113"/>
      <c r="D843" s="113"/>
      <c r="E843" s="118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</row>
    <row r="844" customFormat="false" ht="15.75" hidden="false" customHeight="false" outlineLevel="0" collapsed="false">
      <c r="A844" s="113" t="str">
        <f aca="false">IF(ISBLANK(B844),"",B844&amp;"|"&amp;C844)</f>
        <v/>
      </c>
      <c r="B844" s="113"/>
      <c r="C844" s="113"/>
      <c r="D844" s="113"/>
      <c r="E844" s="118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</row>
    <row r="845" customFormat="false" ht="15.75" hidden="false" customHeight="false" outlineLevel="0" collapsed="false">
      <c r="A845" s="113" t="str">
        <f aca="false">IF(ISBLANK(B845),"",B845&amp;"|"&amp;C845)</f>
        <v/>
      </c>
      <c r="B845" s="113"/>
      <c r="C845" s="113"/>
      <c r="D845" s="113"/>
      <c r="E845" s="118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</row>
    <row r="846" customFormat="false" ht="15.75" hidden="false" customHeight="false" outlineLevel="0" collapsed="false">
      <c r="A846" s="113" t="str">
        <f aca="false">IF(ISBLANK(B846),"",B846&amp;"|"&amp;C846)</f>
        <v/>
      </c>
      <c r="B846" s="113"/>
      <c r="C846" s="113"/>
      <c r="D846" s="113"/>
      <c r="E846" s="118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</row>
    <row r="847" customFormat="false" ht="15.75" hidden="false" customHeight="false" outlineLevel="0" collapsed="false">
      <c r="A847" s="113" t="str">
        <f aca="false">IF(ISBLANK(B847),"",B847&amp;"|"&amp;C847)</f>
        <v/>
      </c>
      <c r="B847" s="113"/>
      <c r="C847" s="113"/>
      <c r="D847" s="113"/>
      <c r="E847" s="118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</row>
    <row r="848" customFormat="false" ht="15.75" hidden="false" customHeight="false" outlineLevel="0" collapsed="false">
      <c r="A848" s="113" t="str">
        <f aca="false">IF(ISBLANK(B848),"",B848&amp;"|"&amp;C848)</f>
        <v/>
      </c>
      <c r="B848" s="113"/>
      <c r="C848" s="113"/>
      <c r="D848" s="113"/>
      <c r="E848" s="118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</row>
    <row r="849" customFormat="false" ht="15.75" hidden="false" customHeight="false" outlineLevel="0" collapsed="false">
      <c r="A849" s="113" t="str">
        <f aca="false">IF(ISBLANK(B849),"",B849&amp;"|"&amp;C849)</f>
        <v/>
      </c>
      <c r="B849" s="113"/>
      <c r="C849" s="113"/>
      <c r="D849" s="113"/>
      <c r="E849" s="118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</row>
    <row r="850" customFormat="false" ht="15.75" hidden="false" customHeight="false" outlineLevel="0" collapsed="false">
      <c r="A850" s="113" t="str">
        <f aca="false">IF(ISBLANK(B850),"",B850&amp;"|"&amp;C850)</f>
        <v/>
      </c>
      <c r="B850" s="113"/>
      <c r="C850" s="113"/>
      <c r="D850" s="113"/>
      <c r="E850" s="118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</row>
    <row r="851" customFormat="false" ht="15.75" hidden="false" customHeight="false" outlineLevel="0" collapsed="false">
      <c r="A851" s="113" t="str">
        <f aca="false">IF(ISBLANK(B851),"",B851&amp;"|"&amp;C851)</f>
        <v/>
      </c>
      <c r="B851" s="113"/>
      <c r="C851" s="113"/>
      <c r="D851" s="113"/>
      <c r="E851" s="118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</row>
    <row r="852" customFormat="false" ht="15.75" hidden="false" customHeight="false" outlineLevel="0" collapsed="false">
      <c r="A852" s="113" t="str">
        <f aca="false">IF(ISBLANK(B852),"",B852&amp;"|"&amp;C852)</f>
        <v/>
      </c>
      <c r="B852" s="113"/>
      <c r="C852" s="113"/>
      <c r="D852" s="113"/>
      <c r="E852" s="118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</row>
    <row r="853" customFormat="false" ht="15.75" hidden="false" customHeight="false" outlineLevel="0" collapsed="false">
      <c r="A853" s="113" t="str">
        <f aca="false">IF(ISBLANK(B853),"",B853&amp;"|"&amp;C853)</f>
        <v/>
      </c>
      <c r="B853" s="113"/>
      <c r="C853" s="113"/>
      <c r="D853" s="113"/>
      <c r="E853" s="118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</row>
    <row r="854" customFormat="false" ht="15.75" hidden="false" customHeight="false" outlineLevel="0" collapsed="false">
      <c r="A854" s="113" t="str">
        <f aca="false">IF(ISBLANK(B854),"",B854&amp;"|"&amp;C854)</f>
        <v/>
      </c>
      <c r="B854" s="113"/>
      <c r="C854" s="113"/>
      <c r="D854" s="113"/>
      <c r="E854" s="118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</row>
    <row r="855" customFormat="false" ht="15.75" hidden="false" customHeight="false" outlineLevel="0" collapsed="false">
      <c r="A855" s="113" t="str">
        <f aca="false">IF(ISBLANK(B855),"",B855&amp;"|"&amp;C855)</f>
        <v/>
      </c>
      <c r="B855" s="113"/>
      <c r="C855" s="113"/>
      <c r="D855" s="113"/>
      <c r="E855" s="118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</row>
    <row r="856" customFormat="false" ht="15.75" hidden="false" customHeight="false" outlineLevel="0" collapsed="false">
      <c r="A856" s="113" t="str">
        <f aca="false">IF(ISBLANK(B856),"",B856&amp;"|"&amp;C856)</f>
        <v/>
      </c>
      <c r="B856" s="113"/>
      <c r="C856" s="113"/>
      <c r="D856" s="113"/>
      <c r="E856" s="118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</row>
    <row r="857" customFormat="false" ht="15.75" hidden="false" customHeight="false" outlineLevel="0" collapsed="false">
      <c r="A857" s="113" t="str">
        <f aca="false">IF(ISBLANK(B857),"",B857&amp;"|"&amp;C857)</f>
        <v/>
      </c>
      <c r="B857" s="113"/>
      <c r="C857" s="113"/>
      <c r="D857" s="113"/>
      <c r="E857" s="118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</row>
    <row r="858" customFormat="false" ht="15.75" hidden="false" customHeight="false" outlineLevel="0" collapsed="false">
      <c r="A858" s="113" t="str">
        <f aca="false">IF(ISBLANK(B858),"",B858&amp;"|"&amp;C858)</f>
        <v/>
      </c>
      <c r="B858" s="113"/>
      <c r="C858" s="113"/>
      <c r="D858" s="113"/>
      <c r="E858" s="118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</row>
    <row r="859" customFormat="false" ht="15.75" hidden="false" customHeight="false" outlineLevel="0" collapsed="false">
      <c r="A859" s="113" t="str">
        <f aca="false">IF(ISBLANK(B859),"",B859&amp;"|"&amp;C859)</f>
        <v/>
      </c>
      <c r="B859" s="113"/>
      <c r="C859" s="113"/>
      <c r="D859" s="113"/>
      <c r="E859" s="118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</row>
    <row r="860" customFormat="false" ht="15.75" hidden="false" customHeight="false" outlineLevel="0" collapsed="false">
      <c r="A860" s="113" t="str">
        <f aca="false">IF(ISBLANK(B860),"",B860&amp;"|"&amp;C860)</f>
        <v/>
      </c>
      <c r="B860" s="113"/>
      <c r="C860" s="113"/>
      <c r="D860" s="113"/>
      <c r="E860" s="118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</row>
    <row r="861" customFormat="false" ht="15.75" hidden="false" customHeight="false" outlineLevel="0" collapsed="false">
      <c r="A861" s="113" t="str">
        <f aca="false">IF(ISBLANK(B861),"",B861&amp;"|"&amp;C861)</f>
        <v/>
      </c>
      <c r="B861" s="113"/>
      <c r="C861" s="113"/>
      <c r="D861" s="113"/>
      <c r="E861" s="118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</row>
    <row r="862" customFormat="false" ht="15.75" hidden="false" customHeight="false" outlineLevel="0" collapsed="false">
      <c r="A862" s="113" t="str">
        <f aca="false">IF(ISBLANK(B862),"",B862&amp;"|"&amp;C862)</f>
        <v/>
      </c>
      <c r="B862" s="113"/>
      <c r="C862" s="113"/>
      <c r="D862" s="113"/>
      <c r="E862" s="118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</row>
    <row r="863" customFormat="false" ht="15.75" hidden="false" customHeight="false" outlineLevel="0" collapsed="false">
      <c r="A863" s="113" t="str">
        <f aca="false">IF(ISBLANK(B863),"",B863&amp;"|"&amp;C863)</f>
        <v/>
      </c>
      <c r="B863" s="113"/>
      <c r="C863" s="113"/>
      <c r="D863" s="113"/>
      <c r="E863" s="118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</row>
    <row r="864" customFormat="false" ht="15.75" hidden="false" customHeight="false" outlineLevel="0" collapsed="false">
      <c r="A864" s="113" t="str">
        <f aca="false">IF(ISBLANK(B864),"",B864&amp;"|"&amp;C864)</f>
        <v/>
      </c>
      <c r="B864" s="113"/>
      <c r="C864" s="113"/>
      <c r="D864" s="113"/>
      <c r="E864" s="118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</row>
    <row r="865" customFormat="false" ht="15.75" hidden="false" customHeight="false" outlineLevel="0" collapsed="false">
      <c r="A865" s="113" t="str">
        <f aca="false">IF(ISBLANK(B865),"",B865&amp;"|"&amp;C865)</f>
        <v/>
      </c>
      <c r="B865" s="113"/>
      <c r="C865" s="113"/>
      <c r="D865" s="113"/>
      <c r="E865" s="118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</row>
    <row r="866" customFormat="false" ht="15.75" hidden="false" customHeight="false" outlineLevel="0" collapsed="false">
      <c r="A866" s="113" t="str">
        <f aca="false">IF(ISBLANK(B866),"",B866&amp;"|"&amp;C866)</f>
        <v/>
      </c>
      <c r="B866" s="113"/>
      <c r="C866" s="113"/>
      <c r="D866" s="113"/>
      <c r="E866" s="118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</row>
    <row r="867" customFormat="false" ht="15.75" hidden="false" customHeight="false" outlineLevel="0" collapsed="false">
      <c r="A867" s="113" t="str">
        <f aca="false">IF(ISBLANK(B867),"",B867&amp;"|"&amp;C867)</f>
        <v/>
      </c>
      <c r="B867" s="113"/>
      <c r="C867" s="113"/>
      <c r="D867" s="113"/>
      <c r="E867" s="118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</row>
    <row r="868" customFormat="false" ht="15.75" hidden="false" customHeight="false" outlineLevel="0" collapsed="false">
      <c r="A868" s="113" t="str">
        <f aca="false">IF(ISBLANK(B868),"",B868&amp;"|"&amp;C868)</f>
        <v/>
      </c>
      <c r="B868" s="113"/>
      <c r="C868" s="113"/>
      <c r="D868" s="113"/>
      <c r="E868" s="118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</row>
    <row r="869" customFormat="false" ht="15.75" hidden="false" customHeight="false" outlineLevel="0" collapsed="false">
      <c r="A869" s="113" t="str">
        <f aca="false">IF(ISBLANK(B869),"",B869&amp;"|"&amp;C869)</f>
        <v/>
      </c>
      <c r="B869" s="113"/>
      <c r="C869" s="113"/>
      <c r="D869" s="113"/>
      <c r="E869" s="118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</row>
    <row r="870" customFormat="false" ht="15.75" hidden="false" customHeight="false" outlineLevel="0" collapsed="false">
      <c r="A870" s="113" t="str">
        <f aca="false">IF(ISBLANK(B870),"",B870&amp;"|"&amp;C870)</f>
        <v/>
      </c>
      <c r="B870" s="113"/>
      <c r="C870" s="113"/>
      <c r="D870" s="113"/>
      <c r="E870" s="118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</row>
    <row r="871" customFormat="false" ht="15.75" hidden="false" customHeight="false" outlineLevel="0" collapsed="false">
      <c r="A871" s="113" t="str">
        <f aca="false">IF(ISBLANK(B871),"",B871&amp;"|"&amp;C871)</f>
        <v/>
      </c>
      <c r="B871" s="113"/>
      <c r="C871" s="113"/>
      <c r="D871" s="113"/>
      <c r="E871" s="118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</row>
    <row r="872" customFormat="false" ht="15.75" hidden="false" customHeight="false" outlineLevel="0" collapsed="false">
      <c r="A872" s="113" t="str">
        <f aca="false">IF(ISBLANK(B872),"",B872&amp;"|"&amp;C872)</f>
        <v/>
      </c>
      <c r="B872" s="113"/>
      <c r="C872" s="113"/>
      <c r="D872" s="113"/>
      <c r="E872" s="118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</row>
    <row r="873" customFormat="false" ht="15.75" hidden="false" customHeight="false" outlineLevel="0" collapsed="false">
      <c r="A873" s="113" t="str">
        <f aca="false">IF(ISBLANK(B873),"",B873&amp;"|"&amp;C873)</f>
        <v/>
      </c>
      <c r="B873" s="113"/>
      <c r="C873" s="113"/>
      <c r="D873" s="113"/>
      <c r="E873" s="118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</row>
    <row r="874" customFormat="false" ht="15.75" hidden="false" customHeight="false" outlineLevel="0" collapsed="false">
      <c r="A874" s="113" t="str">
        <f aca="false">IF(ISBLANK(B874),"",B874&amp;"|"&amp;C874)</f>
        <v/>
      </c>
      <c r="B874" s="113"/>
      <c r="C874" s="113"/>
      <c r="D874" s="113"/>
      <c r="E874" s="118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</row>
    <row r="875" customFormat="false" ht="15.75" hidden="false" customHeight="false" outlineLevel="0" collapsed="false">
      <c r="A875" s="113" t="str">
        <f aca="false">IF(ISBLANK(B875),"",B875&amp;"|"&amp;C875)</f>
        <v/>
      </c>
      <c r="B875" s="113"/>
      <c r="C875" s="113"/>
      <c r="D875" s="113"/>
      <c r="E875" s="118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</row>
    <row r="876" customFormat="false" ht="15.75" hidden="false" customHeight="false" outlineLevel="0" collapsed="false">
      <c r="A876" s="113" t="str">
        <f aca="false">IF(ISBLANK(B876),"",B876&amp;"|"&amp;C876)</f>
        <v/>
      </c>
      <c r="B876" s="113"/>
      <c r="C876" s="113"/>
      <c r="D876" s="113"/>
      <c r="E876" s="118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</row>
    <row r="877" customFormat="false" ht="15.75" hidden="false" customHeight="false" outlineLevel="0" collapsed="false">
      <c r="A877" s="113" t="str">
        <f aca="false">IF(ISBLANK(B877),"",B877&amp;"|"&amp;C877)</f>
        <v/>
      </c>
      <c r="B877" s="113"/>
      <c r="C877" s="113"/>
      <c r="D877" s="113"/>
      <c r="E877" s="118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</row>
    <row r="878" customFormat="false" ht="15.75" hidden="false" customHeight="false" outlineLevel="0" collapsed="false">
      <c r="A878" s="113" t="str">
        <f aca="false">IF(ISBLANK(B878),"",B878&amp;"|"&amp;C878)</f>
        <v/>
      </c>
      <c r="B878" s="113"/>
      <c r="C878" s="113"/>
      <c r="D878" s="113"/>
      <c r="E878" s="118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</row>
    <row r="879" customFormat="false" ht="15.75" hidden="false" customHeight="false" outlineLevel="0" collapsed="false">
      <c r="A879" s="113" t="str">
        <f aca="false">IF(ISBLANK(B879),"",B879&amp;"|"&amp;C879)</f>
        <v/>
      </c>
      <c r="B879" s="113"/>
      <c r="C879" s="113"/>
      <c r="D879" s="113"/>
      <c r="E879" s="118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</row>
    <row r="880" customFormat="false" ht="15.75" hidden="false" customHeight="false" outlineLevel="0" collapsed="false">
      <c r="A880" s="113" t="str">
        <f aca="false">IF(ISBLANK(B880),"",B880&amp;"|"&amp;C880)</f>
        <v/>
      </c>
      <c r="B880" s="113"/>
      <c r="C880" s="113"/>
      <c r="D880" s="113"/>
      <c r="E880" s="118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</row>
    <row r="881" customFormat="false" ht="15.75" hidden="false" customHeight="false" outlineLevel="0" collapsed="false">
      <c r="A881" s="113" t="str">
        <f aca="false">IF(ISBLANK(B881),"",B881&amp;"|"&amp;C881)</f>
        <v/>
      </c>
      <c r="B881" s="113"/>
      <c r="C881" s="113"/>
      <c r="D881" s="113"/>
      <c r="E881" s="118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</row>
    <row r="882" customFormat="false" ht="15.75" hidden="false" customHeight="false" outlineLevel="0" collapsed="false">
      <c r="A882" s="113" t="str">
        <f aca="false">IF(ISBLANK(B882),"",B882&amp;"|"&amp;C882)</f>
        <v/>
      </c>
      <c r="B882" s="113"/>
      <c r="C882" s="113"/>
      <c r="D882" s="113"/>
      <c r="E882" s="118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</row>
    <row r="883" customFormat="false" ht="15.75" hidden="false" customHeight="false" outlineLevel="0" collapsed="false">
      <c r="A883" s="113" t="str">
        <f aca="false">IF(ISBLANK(B883),"",B883&amp;"|"&amp;C883)</f>
        <v/>
      </c>
      <c r="B883" s="113"/>
      <c r="C883" s="113"/>
      <c r="D883" s="113"/>
      <c r="E883" s="118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</row>
    <row r="884" customFormat="false" ht="15.75" hidden="false" customHeight="false" outlineLevel="0" collapsed="false">
      <c r="A884" s="113" t="str">
        <f aca="false">IF(ISBLANK(B884),"",B884&amp;"|"&amp;C884)</f>
        <v/>
      </c>
      <c r="B884" s="113"/>
      <c r="C884" s="113"/>
      <c r="D884" s="113"/>
      <c r="E884" s="118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</row>
    <row r="885" customFormat="false" ht="15.75" hidden="false" customHeight="false" outlineLevel="0" collapsed="false">
      <c r="A885" s="113" t="str">
        <f aca="false">IF(ISBLANK(B885),"",B885&amp;"|"&amp;C885)</f>
        <v/>
      </c>
      <c r="B885" s="113"/>
      <c r="C885" s="113"/>
      <c r="D885" s="113"/>
      <c r="E885" s="118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</row>
    <row r="886" customFormat="false" ht="15.75" hidden="false" customHeight="false" outlineLevel="0" collapsed="false">
      <c r="A886" s="113" t="str">
        <f aca="false">IF(ISBLANK(B886),"",B886&amp;"|"&amp;C886)</f>
        <v/>
      </c>
      <c r="B886" s="113"/>
      <c r="C886" s="113"/>
      <c r="D886" s="113"/>
      <c r="E886" s="118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</row>
    <row r="887" customFormat="false" ht="15.75" hidden="false" customHeight="false" outlineLevel="0" collapsed="false">
      <c r="A887" s="113" t="str">
        <f aca="false">IF(ISBLANK(B887),"",B887&amp;"|"&amp;C887)</f>
        <v/>
      </c>
      <c r="B887" s="113"/>
      <c r="C887" s="113"/>
      <c r="D887" s="113"/>
      <c r="E887" s="118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</row>
    <row r="888" customFormat="false" ht="15.75" hidden="false" customHeight="false" outlineLevel="0" collapsed="false">
      <c r="A888" s="113" t="str">
        <f aca="false">IF(ISBLANK(B888),"",B888&amp;"|"&amp;C888)</f>
        <v/>
      </c>
      <c r="B888" s="113"/>
      <c r="C888" s="113"/>
      <c r="D888" s="113"/>
      <c r="E888" s="118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</row>
    <row r="889" customFormat="false" ht="15.75" hidden="false" customHeight="false" outlineLevel="0" collapsed="false">
      <c r="A889" s="113" t="str">
        <f aca="false">IF(ISBLANK(B889),"",B889&amp;"|"&amp;C889)</f>
        <v/>
      </c>
      <c r="B889" s="113"/>
      <c r="C889" s="113"/>
      <c r="D889" s="113"/>
      <c r="E889" s="118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</row>
    <row r="890" customFormat="false" ht="15.75" hidden="false" customHeight="false" outlineLevel="0" collapsed="false">
      <c r="A890" s="113" t="str">
        <f aca="false">IF(ISBLANK(B890),"",B890&amp;"|"&amp;C890)</f>
        <v/>
      </c>
      <c r="B890" s="113"/>
      <c r="C890" s="113"/>
      <c r="D890" s="113"/>
      <c r="E890" s="118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</row>
    <row r="891" customFormat="false" ht="15.75" hidden="false" customHeight="false" outlineLevel="0" collapsed="false">
      <c r="A891" s="113" t="str">
        <f aca="false">IF(ISBLANK(B891),"",B891&amp;"|"&amp;C891)</f>
        <v/>
      </c>
      <c r="B891" s="113"/>
      <c r="C891" s="113"/>
      <c r="D891" s="113"/>
      <c r="E891" s="118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</row>
    <row r="892" customFormat="false" ht="15.75" hidden="false" customHeight="false" outlineLevel="0" collapsed="false">
      <c r="A892" s="113" t="str">
        <f aca="false">IF(ISBLANK(B892),"",B892&amp;"|"&amp;C892)</f>
        <v/>
      </c>
      <c r="B892" s="113"/>
      <c r="C892" s="113"/>
      <c r="D892" s="113"/>
      <c r="E892" s="118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</row>
    <row r="893" customFormat="false" ht="15.75" hidden="false" customHeight="false" outlineLevel="0" collapsed="false">
      <c r="A893" s="113" t="str">
        <f aca="false">IF(ISBLANK(B893),"",B893&amp;"|"&amp;C893)</f>
        <v/>
      </c>
      <c r="B893" s="113"/>
      <c r="C893" s="113"/>
      <c r="D893" s="113"/>
      <c r="E893" s="118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</row>
    <row r="894" customFormat="false" ht="15.75" hidden="false" customHeight="false" outlineLevel="0" collapsed="false">
      <c r="A894" s="113" t="str">
        <f aca="false">IF(ISBLANK(B894),"",B894&amp;"|"&amp;C894)</f>
        <v/>
      </c>
      <c r="B894" s="113"/>
      <c r="C894" s="113"/>
      <c r="D894" s="113"/>
      <c r="E894" s="118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</row>
    <row r="895" customFormat="false" ht="15.75" hidden="false" customHeight="false" outlineLevel="0" collapsed="false">
      <c r="A895" s="113" t="str">
        <f aca="false">IF(ISBLANK(B895),"",B895&amp;"|"&amp;C895)</f>
        <v/>
      </c>
      <c r="B895" s="113"/>
      <c r="C895" s="113"/>
      <c r="D895" s="113"/>
      <c r="E895" s="118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</row>
    <row r="896" customFormat="false" ht="15.75" hidden="false" customHeight="false" outlineLevel="0" collapsed="false">
      <c r="A896" s="113" t="str">
        <f aca="false">IF(ISBLANK(B896),"",B896&amp;"|"&amp;C896)</f>
        <v/>
      </c>
      <c r="B896" s="113"/>
      <c r="C896" s="113"/>
      <c r="D896" s="113"/>
      <c r="E896" s="118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</row>
    <row r="897" customFormat="false" ht="15.75" hidden="false" customHeight="false" outlineLevel="0" collapsed="false">
      <c r="A897" s="113" t="str">
        <f aca="false">IF(ISBLANK(B897),"",B897&amp;"|"&amp;C897)</f>
        <v/>
      </c>
      <c r="B897" s="113"/>
      <c r="C897" s="113"/>
      <c r="D897" s="113"/>
      <c r="E897" s="118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</row>
    <row r="898" customFormat="false" ht="15.75" hidden="false" customHeight="false" outlineLevel="0" collapsed="false">
      <c r="A898" s="113" t="str">
        <f aca="false">IF(ISBLANK(B898),"",B898&amp;"|"&amp;C898)</f>
        <v/>
      </c>
      <c r="B898" s="113"/>
      <c r="C898" s="113"/>
      <c r="D898" s="113"/>
      <c r="E898" s="118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</row>
    <row r="899" customFormat="false" ht="15.75" hidden="false" customHeight="false" outlineLevel="0" collapsed="false">
      <c r="A899" s="113" t="str">
        <f aca="false">IF(ISBLANK(B899),"",B899&amp;"|"&amp;C899)</f>
        <v/>
      </c>
      <c r="B899" s="113"/>
      <c r="C899" s="113"/>
      <c r="D899" s="113"/>
      <c r="E899" s="118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</row>
    <row r="900" customFormat="false" ht="15.75" hidden="false" customHeight="false" outlineLevel="0" collapsed="false">
      <c r="A900" s="113" t="str">
        <f aca="false">IF(ISBLANK(B900),"",B900&amp;"|"&amp;C900)</f>
        <v/>
      </c>
      <c r="B900" s="113"/>
      <c r="C900" s="113"/>
      <c r="D900" s="113"/>
      <c r="E900" s="118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</row>
    <row r="901" customFormat="false" ht="15.75" hidden="false" customHeight="false" outlineLevel="0" collapsed="false">
      <c r="A901" s="113" t="str">
        <f aca="false">IF(ISBLANK(B901),"",B901&amp;"|"&amp;C901)</f>
        <v/>
      </c>
      <c r="B901" s="113"/>
      <c r="C901" s="113"/>
      <c r="D901" s="113"/>
      <c r="E901" s="118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</row>
    <row r="902" customFormat="false" ht="15.75" hidden="false" customHeight="false" outlineLevel="0" collapsed="false">
      <c r="A902" s="113" t="str">
        <f aca="false">IF(ISBLANK(B902),"",B902&amp;"|"&amp;C902)</f>
        <v/>
      </c>
      <c r="B902" s="113"/>
      <c r="C902" s="113"/>
      <c r="D902" s="113"/>
      <c r="E902" s="118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</row>
    <row r="903" customFormat="false" ht="15.75" hidden="false" customHeight="false" outlineLevel="0" collapsed="false">
      <c r="A903" s="113" t="str">
        <f aca="false">IF(ISBLANK(B903),"",B903&amp;"|"&amp;C903)</f>
        <v/>
      </c>
      <c r="B903" s="113"/>
      <c r="C903" s="113"/>
      <c r="D903" s="113"/>
      <c r="E903" s="118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</row>
    <row r="904" customFormat="false" ht="15.75" hidden="false" customHeight="false" outlineLevel="0" collapsed="false">
      <c r="A904" s="113" t="str">
        <f aca="false">IF(ISBLANK(B904),"",B904&amp;"|"&amp;C904)</f>
        <v/>
      </c>
      <c r="B904" s="113"/>
      <c r="C904" s="113"/>
      <c r="D904" s="113"/>
      <c r="E904" s="118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</row>
    <row r="905" customFormat="false" ht="15.75" hidden="false" customHeight="false" outlineLevel="0" collapsed="false">
      <c r="A905" s="113" t="str">
        <f aca="false">IF(ISBLANK(B905),"",B905&amp;"|"&amp;C905)</f>
        <v/>
      </c>
      <c r="B905" s="113"/>
      <c r="C905" s="113"/>
      <c r="D905" s="113"/>
      <c r="E905" s="118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</row>
    <row r="906" customFormat="false" ht="15.75" hidden="false" customHeight="false" outlineLevel="0" collapsed="false">
      <c r="A906" s="113" t="str">
        <f aca="false">IF(ISBLANK(B906),"",B906&amp;"|"&amp;C906)</f>
        <v/>
      </c>
      <c r="B906" s="113"/>
      <c r="C906" s="113"/>
      <c r="D906" s="113"/>
      <c r="E906" s="118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</row>
    <row r="907" customFormat="false" ht="15.75" hidden="false" customHeight="false" outlineLevel="0" collapsed="false">
      <c r="A907" s="113" t="str">
        <f aca="false">IF(ISBLANK(B907),"",B907&amp;"|"&amp;C907)</f>
        <v/>
      </c>
      <c r="B907" s="113"/>
      <c r="C907" s="113"/>
      <c r="D907" s="113"/>
      <c r="E907" s="118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</row>
    <row r="908" customFormat="false" ht="15.75" hidden="false" customHeight="false" outlineLevel="0" collapsed="false">
      <c r="A908" s="113" t="str">
        <f aca="false">IF(ISBLANK(B908),"",B908&amp;"|"&amp;C908)</f>
        <v/>
      </c>
      <c r="B908" s="113"/>
      <c r="C908" s="113"/>
      <c r="D908" s="113"/>
      <c r="E908" s="118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</row>
    <row r="909" customFormat="false" ht="15.75" hidden="false" customHeight="false" outlineLevel="0" collapsed="false">
      <c r="A909" s="113" t="str">
        <f aca="false">IF(ISBLANK(B909),"",B909&amp;"|"&amp;C909)</f>
        <v/>
      </c>
      <c r="B909" s="113"/>
      <c r="C909" s="113"/>
      <c r="D909" s="113"/>
      <c r="E909" s="118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</row>
    <row r="910" customFormat="false" ht="15.75" hidden="false" customHeight="false" outlineLevel="0" collapsed="false">
      <c r="A910" s="113" t="str">
        <f aca="false">IF(ISBLANK(B910),"",B910&amp;"|"&amp;C910)</f>
        <v/>
      </c>
      <c r="B910" s="113"/>
      <c r="C910" s="113"/>
      <c r="D910" s="113"/>
      <c r="E910" s="118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</row>
    <row r="911" customFormat="false" ht="15.75" hidden="false" customHeight="false" outlineLevel="0" collapsed="false">
      <c r="A911" s="113" t="str">
        <f aca="false">IF(ISBLANK(B911),"",B911&amp;"|"&amp;C911)</f>
        <v/>
      </c>
      <c r="B911" s="113"/>
      <c r="C911" s="113"/>
      <c r="D911" s="113"/>
      <c r="E911" s="118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</row>
    <row r="912" customFormat="false" ht="15.75" hidden="false" customHeight="false" outlineLevel="0" collapsed="false">
      <c r="A912" s="113" t="str">
        <f aca="false">IF(ISBLANK(B912),"",B912&amp;"|"&amp;C912)</f>
        <v/>
      </c>
      <c r="B912" s="113"/>
      <c r="C912" s="113"/>
      <c r="D912" s="113"/>
      <c r="E912" s="118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</row>
    <row r="913" customFormat="false" ht="15.75" hidden="false" customHeight="false" outlineLevel="0" collapsed="false">
      <c r="A913" s="113" t="str">
        <f aca="false">IF(ISBLANK(B913),"",B913&amp;"|"&amp;C913)</f>
        <v/>
      </c>
      <c r="B913" s="113"/>
      <c r="C913" s="113"/>
      <c r="D913" s="113"/>
      <c r="E913" s="118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</row>
    <row r="914" customFormat="false" ht="15.75" hidden="false" customHeight="false" outlineLevel="0" collapsed="false">
      <c r="A914" s="113" t="str">
        <f aca="false">IF(ISBLANK(B914),"",B914&amp;"|"&amp;C914)</f>
        <v/>
      </c>
      <c r="B914" s="113"/>
      <c r="C914" s="113"/>
      <c r="D914" s="113"/>
      <c r="E914" s="118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</row>
    <row r="915" customFormat="false" ht="15.75" hidden="false" customHeight="false" outlineLevel="0" collapsed="false">
      <c r="A915" s="113" t="str">
        <f aca="false">IF(ISBLANK(B915),"",B915&amp;"|"&amp;C915)</f>
        <v/>
      </c>
      <c r="B915" s="113"/>
      <c r="C915" s="113"/>
      <c r="D915" s="113"/>
      <c r="E915" s="118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</row>
    <row r="916" customFormat="false" ht="15.75" hidden="false" customHeight="false" outlineLevel="0" collapsed="false">
      <c r="A916" s="113" t="str">
        <f aca="false">IF(ISBLANK(B916),"",B916&amp;"|"&amp;C916)</f>
        <v/>
      </c>
      <c r="B916" s="113"/>
      <c r="C916" s="113"/>
      <c r="D916" s="113"/>
      <c r="E916" s="118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</row>
    <row r="917" customFormat="false" ht="15.75" hidden="false" customHeight="false" outlineLevel="0" collapsed="false">
      <c r="A917" s="113" t="str">
        <f aca="false">IF(ISBLANK(B917),"",B917&amp;"|"&amp;C917)</f>
        <v/>
      </c>
      <c r="B917" s="113"/>
      <c r="C917" s="113"/>
      <c r="D917" s="113"/>
      <c r="E917" s="118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</row>
    <row r="918" customFormat="false" ht="15.75" hidden="false" customHeight="false" outlineLevel="0" collapsed="false">
      <c r="A918" s="113" t="str">
        <f aca="false">IF(ISBLANK(B918),"",B918&amp;"|"&amp;C918)</f>
        <v/>
      </c>
      <c r="B918" s="113"/>
      <c r="C918" s="113"/>
      <c r="D918" s="113"/>
      <c r="E918" s="118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</row>
    <row r="919" customFormat="false" ht="15.75" hidden="false" customHeight="false" outlineLevel="0" collapsed="false">
      <c r="A919" s="113" t="str">
        <f aca="false">IF(ISBLANK(B919),"",B919&amp;"|"&amp;C919)</f>
        <v/>
      </c>
      <c r="B919" s="113"/>
      <c r="C919" s="113"/>
      <c r="D919" s="113"/>
      <c r="E919" s="118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</row>
    <row r="920" customFormat="false" ht="15.75" hidden="false" customHeight="false" outlineLevel="0" collapsed="false">
      <c r="A920" s="113" t="str">
        <f aca="false">IF(ISBLANK(B920),"",B920&amp;"|"&amp;C920)</f>
        <v/>
      </c>
      <c r="B920" s="113"/>
      <c r="C920" s="113"/>
      <c r="D920" s="113"/>
      <c r="E920" s="118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</row>
    <row r="921" customFormat="false" ht="15.75" hidden="false" customHeight="false" outlineLevel="0" collapsed="false">
      <c r="A921" s="113" t="str">
        <f aca="false">IF(ISBLANK(B921),"",B921&amp;"|"&amp;C921)</f>
        <v/>
      </c>
      <c r="B921" s="113"/>
      <c r="C921" s="113"/>
      <c r="D921" s="113"/>
      <c r="E921" s="118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</row>
    <row r="922" customFormat="false" ht="15.75" hidden="false" customHeight="false" outlineLevel="0" collapsed="false">
      <c r="A922" s="113" t="str">
        <f aca="false">IF(ISBLANK(B922),"",B922&amp;"|"&amp;C922)</f>
        <v/>
      </c>
      <c r="B922" s="113"/>
      <c r="C922" s="113"/>
      <c r="D922" s="113"/>
      <c r="E922" s="118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</row>
    <row r="923" customFormat="false" ht="15.75" hidden="false" customHeight="false" outlineLevel="0" collapsed="false">
      <c r="A923" s="113" t="str">
        <f aca="false">IF(ISBLANK(B923),"",B923&amp;"|"&amp;C923)</f>
        <v/>
      </c>
      <c r="B923" s="113"/>
      <c r="C923" s="113"/>
      <c r="D923" s="113"/>
      <c r="E923" s="118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</row>
    <row r="924" customFormat="false" ht="15.75" hidden="false" customHeight="false" outlineLevel="0" collapsed="false">
      <c r="A924" s="113" t="str">
        <f aca="false">IF(ISBLANK(B924),"",B924&amp;"|"&amp;C924)</f>
        <v/>
      </c>
      <c r="B924" s="113"/>
      <c r="C924" s="113"/>
      <c r="D924" s="113"/>
      <c r="E924" s="118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</row>
    <row r="925" customFormat="false" ht="15.75" hidden="false" customHeight="false" outlineLevel="0" collapsed="false">
      <c r="A925" s="113" t="str">
        <f aca="false">IF(ISBLANK(B925),"",B925&amp;"|"&amp;C925)</f>
        <v/>
      </c>
      <c r="B925" s="113"/>
      <c r="C925" s="113"/>
      <c r="D925" s="113"/>
      <c r="E925" s="118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</row>
    <row r="926" customFormat="false" ht="15.75" hidden="false" customHeight="false" outlineLevel="0" collapsed="false">
      <c r="A926" s="113" t="str">
        <f aca="false">IF(ISBLANK(B926),"",B926&amp;"|"&amp;C926)</f>
        <v/>
      </c>
      <c r="B926" s="113"/>
      <c r="C926" s="113"/>
      <c r="D926" s="113"/>
      <c r="E926" s="118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</row>
    <row r="927" customFormat="false" ht="15.75" hidden="false" customHeight="false" outlineLevel="0" collapsed="false">
      <c r="A927" s="113" t="str">
        <f aca="false">IF(ISBLANK(B927),"",B927&amp;"|"&amp;C927)</f>
        <v/>
      </c>
      <c r="B927" s="113"/>
      <c r="C927" s="113"/>
      <c r="D927" s="113"/>
      <c r="E927" s="118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</row>
    <row r="928" customFormat="false" ht="15.75" hidden="false" customHeight="false" outlineLevel="0" collapsed="false">
      <c r="A928" s="113" t="str">
        <f aca="false">IF(ISBLANK(B928),"",B928&amp;"|"&amp;C928)</f>
        <v/>
      </c>
      <c r="B928" s="113"/>
      <c r="C928" s="113"/>
      <c r="D928" s="113"/>
      <c r="E928" s="118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</row>
    <row r="929" customFormat="false" ht="15.75" hidden="false" customHeight="false" outlineLevel="0" collapsed="false">
      <c r="A929" s="113" t="str">
        <f aca="false">IF(ISBLANK(B929),"",B929&amp;"|"&amp;C929)</f>
        <v/>
      </c>
      <c r="B929" s="113"/>
      <c r="C929" s="113"/>
      <c r="D929" s="113"/>
      <c r="E929" s="118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</row>
    <row r="930" customFormat="false" ht="15.75" hidden="false" customHeight="false" outlineLevel="0" collapsed="false">
      <c r="A930" s="113" t="str">
        <f aca="false">IF(ISBLANK(B930),"",B930&amp;"|"&amp;C930)</f>
        <v/>
      </c>
      <c r="B930" s="113"/>
      <c r="C930" s="113"/>
      <c r="D930" s="113"/>
      <c r="E930" s="118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</row>
    <row r="931" customFormat="false" ht="15.75" hidden="false" customHeight="false" outlineLevel="0" collapsed="false">
      <c r="A931" s="113" t="str">
        <f aca="false">IF(ISBLANK(B931),"",B931&amp;"|"&amp;C931)</f>
        <v/>
      </c>
      <c r="B931" s="113"/>
      <c r="C931" s="113"/>
      <c r="D931" s="113"/>
      <c r="E931" s="118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</row>
    <row r="932" customFormat="false" ht="15.75" hidden="false" customHeight="false" outlineLevel="0" collapsed="false">
      <c r="A932" s="113" t="str">
        <f aca="false">IF(ISBLANK(B932),"",B932&amp;"|"&amp;C932)</f>
        <v/>
      </c>
      <c r="B932" s="113"/>
      <c r="C932" s="113"/>
      <c r="D932" s="113"/>
      <c r="E932" s="118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</row>
    <row r="933" customFormat="false" ht="15.75" hidden="false" customHeight="false" outlineLevel="0" collapsed="false">
      <c r="A933" s="113" t="str">
        <f aca="false">IF(ISBLANK(B933),"",B933&amp;"|"&amp;C933)</f>
        <v/>
      </c>
      <c r="B933" s="113"/>
      <c r="C933" s="113"/>
      <c r="D933" s="113"/>
      <c r="E933" s="118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</row>
    <row r="934" customFormat="false" ht="15.75" hidden="false" customHeight="false" outlineLevel="0" collapsed="false">
      <c r="A934" s="113" t="str">
        <f aca="false">IF(ISBLANK(B934),"",B934&amp;"|"&amp;C934)</f>
        <v/>
      </c>
      <c r="B934" s="113"/>
      <c r="C934" s="113"/>
      <c r="D934" s="113"/>
      <c r="E934" s="118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</row>
    <row r="935" customFormat="false" ht="15.75" hidden="false" customHeight="false" outlineLevel="0" collapsed="false">
      <c r="A935" s="113" t="str">
        <f aca="false">IF(ISBLANK(B935),"",B935&amp;"|"&amp;C935)</f>
        <v/>
      </c>
      <c r="B935" s="113"/>
      <c r="C935" s="113"/>
      <c r="D935" s="113"/>
      <c r="E935" s="118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</row>
    <row r="936" customFormat="false" ht="15.75" hidden="false" customHeight="false" outlineLevel="0" collapsed="false">
      <c r="A936" s="113" t="str">
        <f aca="false">IF(ISBLANK(B936),"",B936&amp;"|"&amp;C936)</f>
        <v/>
      </c>
      <c r="B936" s="113"/>
      <c r="C936" s="113"/>
      <c r="D936" s="113"/>
      <c r="E936" s="118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</row>
    <row r="937" customFormat="false" ht="15.75" hidden="false" customHeight="false" outlineLevel="0" collapsed="false">
      <c r="A937" s="113" t="str">
        <f aca="false">IF(ISBLANK(B937),"",B937&amp;"|"&amp;C937)</f>
        <v/>
      </c>
      <c r="B937" s="113"/>
      <c r="C937" s="113"/>
      <c r="D937" s="113"/>
      <c r="E937" s="118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</row>
    <row r="938" customFormat="false" ht="15.75" hidden="false" customHeight="false" outlineLevel="0" collapsed="false">
      <c r="A938" s="113" t="str">
        <f aca="false">IF(ISBLANK(B938),"",B938&amp;"|"&amp;C938)</f>
        <v/>
      </c>
      <c r="B938" s="113"/>
      <c r="C938" s="113"/>
      <c r="D938" s="113"/>
      <c r="E938" s="118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</row>
    <row r="939" customFormat="false" ht="15.75" hidden="false" customHeight="false" outlineLevel="0" collapsed="false">
      <c r="A939" s="113" t="str">
        <f aca="false">IF(ISBLANK(B939),"",B939&amp;"|"&amp;C939)</f>
        <v/>
      </c>
      <c r="B939" s="113"/>
      <c r="C939" s="113"/>
      <c r="D939" s="113"/>
      <c r="E939" s="118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</row>
    <row r="940" customFormat="false" ht="15.75" hidden="false" customHeight="false" outlineLevel="0" collapsed="false">
      <c r="A940" s="113" t="str">
        <f aca="false">IF(ISBLANK(B940),"",B940&amp;"|"&amp;C940)</f>
        <v/>
      </c>
      <c r="B940" s="113"/>
      <c r="C940" s="113"/>
      <c r="D940" s="113"/>
      <c r="E940" s="118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</row>
    <row r="941" customFormat="false" ht="15.75" hidden="false" customHeight="false" outlineLevel="0" collapsed="false">
      <c r="A941" s="113" t="str">
        <f aca="false">IF(ISBLANK(B941),"",B941&amp;"|"&amp;C941)</f>
        <v/>
      </c>
      <c r="B941" s="113"/>
      <c r="C941" s="113"/>
      <c r="D941" s="113"/>
      <c r="E941" s="118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</row>
    <row r="942" customFormat="false" ht="15.75" hidden="false" customHeight="false" outlineLevel="0" collapsed="false">
      <c r="A942" s="113" t="str">
        <f aca="false">IF(ISBLANK(B942),"",B942&amp;"|"&amp;C942)</f>
        <v/>
      </c>
      <c r="B942" s="113"/>
      <c r="C942" s="113"/>
      <c r="D942" s="113"/>
      <c r="E942" s="118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</row>
    <row r="943" customFormat="false" ht="15.75" hidden="false" customHeight="false" outlineLevel="0" collapsed="false">
      <c r="A943" s="113" t="str">
        <f aca="false">IF(ISBLANK(B943),"",B943&amp;"|"&amp;C943)</f>
        <v/>
      </c>
      <c r="B943" s="113"/>
      <c r="C943" s="113"/>
      <c r="D943" s="113"/>
      <c r="E943" s="118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</row>
    <row r="944" customFormat="false" ht="15.75" hidden="false" customHeight="false" outlineLevel="0" collapsed="false">
      <c r="A944" s="113" t="str">
        <f aca="false">IF(ISBLANK(B944),"",B944&amp;"|"&amp;C944)</f>
        <v/>
      </c>
      <c r="B944" s="113"/>
      <c r="C944" s="113"/>
      <c r="D944" s="113"/>
      <c r="E944" s="118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</row>
    <row r="945" customFormat="false" ht="15.75" hidden="false" customHeight="false" outlineLevel="0" collapsed="false">
      <c r="A945" s="113" t="str">
        <f aca="false">IF(ISBLANK(B945),"",B945&amp;"|"&amp;C945)</f>
        <v/>
      </c>
      <c r="B945" s="113"/>
      <c r="C945" s="113"/>
      <c r="D945" s="113"/>
      <c r="E945" s="118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</row>
    <row r="946" customFormat="false" ht="15.75" hidden="false" customHeight="false" outlineLevel="0" collapsed="false">
      <c r="A946" s="113" t="str">
        <f aca="false">IF(ISBLANK(B946),"",B946&amp;"|"&amp;C946)</f>
        <v/>
      </c>
      <c r="B946" s="113"/>
      <c r="C946" s="113"/>
      <c r="D946" s="113"/>
      <c r="E946" s="118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</row>
    <row r="947" customFormat="false" ht="15.75" hidden="false" customHeight="false" outlineLevel="0" collapsed="false">
      <c r="A947" s="113" t="str">
        <f aca="false">IF(ISBLANK(B947),"",B947&amp;"|"&amp;C947)</f>
        <v/>
      </c>
      <c r="B947" s="113"/>
      <c r="C947" s="113"/>
      <c r="D947" s="113"/>
      <c r="E947" s="118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</row>
    <row r="948" customFormat="false" ht="15.75" hidden="false" customHeight="false" outlineLevel="0" collapsed="false">
      <c r="A948" s="113" t="str">
        <f aca="false">IF(ISBLANK(B948),"",B948&amp;"|"&amp;C948)</f>
        <v/>
      </c>
      <c r="B948" s="113"/>
      <c r="C948" s="113"/>
      <c r="D948" s="113"/>
      <c r="E948" s="118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</row>
    <row r="949" customFormat="false" ht="15.75" hidden="false" customHeight="false" outlineLevel="0" collapsed="false">
      <c r="A949" s="113" t="str">
        <f aca="false">IF(ISBLANK(B949),"",B949&amp;"|"&amp;C949)</f>
        <v/>
      </c>
      <c r="B949" s="113"/>
      <c r="C949" s="113"/>
      <c r="D949" s="113"/>
      <c r="E949" s="118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</row>
    <row r="950" customFormat="false" ht="15.75" hidden="false" customHeight="false" outlineLevel="0" collapsed="false">
      <c r="A950" s="113" t="str">
        <f aca="false">IF(ISBLANK(B950),"",B950&amp;"|"&amp;C950)</f>
        <v/>
      </c>
      <c r="B950" s="113"/>
      <c r="C950" s="113"/>
      <c r="D950" s="113"/>
      <c r="E950" s="118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</row>
    <row r="951" customFormat="false" ht="15.75" hidden="false" customHeight="false" outlineLevel="0" collapsed="false">
      <c r="A951" s="113" t="str">
        <f aca="false">IF(ISBLANK(B951),"",B951&amp;"|"&amp;C951)</f>
        <v/>
      </c>
      <c r="B951" s="113"/>
      <c r="C951" s="113"/>
      <c r="D951" s="113"/>
      <c r="E951" s="118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</row>
    <row r="952" customFormat="false" ht="15.75" hidden="false" customHeight="false" outlineLevel="0" collapsed="false">
      <c r="A952" s="113" t="str">
        <f aca="false">IF(ISBLANK(B952),"",B952&amp;"|"&amp;C952)</f>
        <v/>
      </c>
      <c r="B952" s="113"/>
      <c r="C952" s="113"/>
      <c r="D952" s="113"/>
      <c r="E952" s="118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</row>
    <row r="953" customFormat="false" ht="15.75" hidden="false" customHeight="false" outlineLevel="0" collapsed="false">
      <c r="A953" s="113" t="str">
        <f aca="false">IF(ISBLANK(B953),"",B953&amp;"|"&amp;C953)</f>
        <v/>
      </c>
      <c r="B953" s="113"/>
      <c r="C953" s="113"/>
      <c r="D953" s="113"/>
      <c r="E953" s="118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</row>
    <row r="954" customFormat="false" ht="15.75" hidden="false" customHeight="false" outlineLevel="0" collapsed="false">
      <c r="A954" s="113" t="str">
        <f aca="false">IF(ISBLANK(B954),"",B954&amp;"|"&amp;C954)</f>
        <v/>
      </c>
      <c r="B954" s="113"/>
      <c r="C954" s="113"/>
      <c r="D954" s="113"/>
      <c r="E954" s="118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</row>
    <row r="955" customFormat="false" ht="15.75" hidden="false" customHeight="false" outlineLevel="0" collapsed="false">
      <c r="A955" s="113" t="str">
        <f aca="false">IF(ISBLANK(B955),"",B955&amp;"|"&amp;C955)</f>
        <v/>
      </c>
      <c r="B955" s="113"/>
      <c r="C955" s="113"/>
      <c r="D955" s="113"/>
      <c r="E955" s="118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</row>
    <row r="956" customFormat="false" ht="15.75" hidden="false" customHeight="false" outlineLevel="0" collapsed="false">
      <c r="A956" s="113" t="str">
        <f aca="false">IF(ISBLANK(B956),"",B956&amp;"|"&amp;C956)</f>
        <v/>
      </c>
      <c r="B956" s="113"/>
      <c r="C956" s="113"/>
      <c r="D956" s="113"/>
      <c r="E956" s="118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</row>
    <row r="957" customFormat="false" ht="15.75" hidden="false" customHeight="false" outlineLevel="0" collapsed="false">
      <c r="A957" s="113" t="str">
        <f aca="false">IF(ISBLANK(B957),"",B957&amp;"|"&amp;C957)</f>
        <v/>
      </c>
      <c r="B957" s="113"/>
      <c r="C957" s="113"/>
      <c r="D957" s="113"/>
      <c r="E957" s="118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</row>
    <row r="958" customFormat="false" ht="15.75" hidden="false" customHeight="false" outlineLevel="0" collapsed="false">
      <c r="A958" s="113" t="str">
        <f aca="false">IF(ISBLANK(B958),"",B958&amp;"|"&amp;C958)</f>
        <v/>
      </c>
      <c r="B958" s="113"/>
      <c r="C958" s="113"/>
      <c r="D958" s="113"/>
      <c r="E958" s="118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</row>
    <row r="959" customFormat="false" ht="15.75" hidden="false" customHeight="false" outlineLevel="0" collapsed="false">
      <c r="A959" s="113" t="str">
        <f aca="false">IF(ISBLANK(B959),"",B959&amp;"|"&amp;C959)</f>
        <v/>
      </c>
      <c r="B959" s="113"/>
      <c r="C959" s="113"/>
      <c r="D959" s="113"/>
      <c r="E959" s="118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</row>
    <row r="960" customFormat="false" ht="15.75" hidden="false" customHeight="false" outlineLevel="0" collapsed="false">
      <c r="A960" s="113" t="str">
        <f aca="false">IF(ISBLANK(B960),"",B960&amp;"|"&amp;C960)</f>
        <v/>
      </c>
      <c r="B960" s="113"/>
      <c r="C960" s="113"/>
      <c r="D960" s="113"/>
      <c r="E960" s="118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</row>
    <row r="961" customFormat="false" ht="15.75" hidden="false" customHeight="false" outlineLevel="0" collapsed="false">
      <c r="A961" s="113" t="str">
        <f aca="false">IF(ISBLANK(B961),"",B961&amp;"|"&amp;C961)</f>
        <v/>
      </c>
      <c r="B961" s="113"/>
      <c r="C961" s="113"/>
      <c r="D961" s="113"/>
      <c r="E961" s="118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</row>
    <row r="962" customFormat="false" ht="15.75" hidden="false" customHeight="false" outlineLevel="0" collapsed="false">
      <c r="A962" s="113" t="str">
        <f aca="false">IF(ISBLANK(B962),"",B962&amp;"|"&amp;C962)</f>
        <v/>
      </c>
      <c r="B962" s="113"/>
      <c r="C962" s="113"/>
      <c r="D962" s="113"/>
      <c r="E962" s="118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</row>
    <row r="963" customFormat="false" ht="15.75" hidden="false" customHeight="false" outlineLevel="0" collapsed="false">
      <c r="A963" s="113" t="str">
        <f aca="false">IF(ISBLANK(B963),"",B963&amp;"|"&amp;C963)</f>
        <v/>
      </c>
      <c r="B963" s="113"/>
      <c r="C963" s="113"/>
      <c r="D963" s="113"/>
      <c r="E963" s="118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</row>
    <row r="964" customFormat="false" ht="15.75" hidden="false" customHeight="false" outlineLevel="0" collapsed="false">
      <c r="A964" s="113" t="str">
        <f aca="false">IF(ISBLANK(B964),"",B964&amp;"|"&amp;C964)</f>
        <v/>
      </c>
      <c r="B964" s="113"/>
      <c r="C964" s="113"/>
      <c r="D964" s="113"/>
      <c r="E964" s="118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</row>
    <row r="965" customFormat="false" ht="15.75" hidden="false" customHeight="false" outlineLevel="0" collapsed="false">
      <c r="A965" s="113" t="str">
        <f aca="false">IF(ISBLANK(B965),"",B965&amp;"|"&amp;C965)</f>
        <v/>
      </c>
      <c r="B965" s="113"/>
      <c r="C965" s="113"/>
      <c r="D965" s="113"/>
      <c r="E965" s="118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</row>
    <row r="966" customFormat="false" ht="15.75" hidden="false" customHeight="false" outlineLevel="0" collapsed="false">
      <c r="A966" s="113" t="str">
        <f aca="false">IF(ISBLANK(B966),"",B966&amp;"|"&amp;C966)</f>
        <v/>
      </c>
      <c r="B966" s="113"/>
      <c r="C966" s="113"/>
      <c r="D966" s="113"/>
      <c r="E966" s="118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</row>
    <row r="967" customFormat="false" ht="15.75" hidden="false" customHeight="false" outlineLevel="0" collapsed="false">
      <c r="A967" s="113" t="str">
        <f aca="false">IF(ISBLANK(B967),"",B967&amp;"|"&amp;C967)</f>
        <v/>
      </c>
      <c r="B967" s="113"/>
      <c r="C967" s="113"/>
      <c r="D967" s="113"/>
      <c r="E967" s="118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</row>
    <row r="968" customFormat="false" ht="15.75" hidden="false" customHeight="false" outlineLevel="0" collapsed="false">
      <c r="A968" s="113" t="str">
        <f aca="false">IF(ISBLANK(B968),"",B968&amp;"|"&amp;C968)</f>
        <v/>
      </c>
      <c r="B968" s="113"/>
      <c r="C968" s="113"/>
      <c r="D968" s="113"/>
      <c r="E968" s="118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</row>
    <row r="969" customFormat="false" ht="15.75" hidden="false" customHeight="false" outlineLevel="0" collapsed="false">
      <c r="A969" s="113" t="str">
        <f aca="false">IF(ISBLANK(B969),"",B969&amp;"|"&amp;C969)</f>
        <v/>
      </c>
      <c r="B969" s="113"/>
      <c r="C969" s="113"/>
      <c r="D969" s="113"/>
      <c r="E969" s="118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</row>
    <row r="970" customFormat="false" ht="15.75" hidden="false" customHeight="false" outlineLevel="0" collapsed="false">
      <c r="A970" s="113" t="str">
        <f aca="false">IF(ISBLANK(B970),"",B970&amp;"|"&amp;C970)</f>
        <v/>
      </c>
      <c r="B970" s="113"/>
      <c r="C970" s="113"/>
      <c r="D970" s="113"/>
      <c r="E970" s="118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</row>
    <row r="971" customFormat="false" ht="15.75" hidden="false" customHeight="false" outlineLevel="0" collapsed="false">
      <c r="A971" s="113" t="str">
        <f aca="false">IF(ISBLANK(B971),"",B971&amp;"|"&amp;C971)</f>
        <v/>
      </c>
      <c r="B971" s="113"/>
      <c r="C971" s="113"/>
      <c r="D971" s="113"/>
      <c r="E971" s="118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</row>
    <row r="972" customFormat="false" ht="15.75" hidden="false" customHeight="false" outlineLevel="0" collapsed="false">
      <c r="A972" s="113" t="str">
        <f aca="false">IF(ISBLANK(B972),"",B972&amp;"|"&amp;C972)</f>
        <v/>
      </c>
      <c r="B972" s="113"/>
      <c r="C972" s="113"/>
      <c r="D972" s="113"/>
      <c r="E972" s="118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</row>
    <row r="973" customFormat="false" ht="15.75" hidden="false" customHeight="false" outlineLevel="0" collapsed="false">
      <c r="A973" s="113" t="str">
        <f aca="false">IF(ISBLANK(B973),"",B973&amp;"|"&amp;C973)</f>
        <v/>
      </c>
      <c r="B973" s="113"/>
      <c r="C973" s="113"/>
      <c r="D973" s="113"/>
      <c r="E973" s="118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</row>
    <row r="974" customFormat="false" ht="15.75" hidden="false" customHeight="false" outlineLevel="0" collapsed="false">
      <c r="A974" s="113" t="str">
        <f aca="false">IF(ISBLANK(B974),"",B974&amp;"|"&amp;C974)</f>
        <v/>
      </c>
      <c r="B974" s="113"/>
      <c r="C974" s="113"/>
      <c r="D974" s="113"/>
      <c r="E974" s="118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</row>
    <row r="975" customFormat="false" ht="15.75" hidden="false" customHeight="false" outlineLevel="0" collapsed="false">
      <c r="A975" s="113" t="str">
        <f aca="false">IF(ISBLANK(B975),"",B975&amp;"|"&amp;C975)</f>
        <v/>
      </c>
      <c r="B975" s="113"/>
      <c r="C975" s="113"/>
      <c r="D975" s="113"/>
      <c r="E975" s="118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</row>
    <row r="976" customFormat="false" ht="15.75" hidden="false" customHeight="false" outlineLevel="0" collapsed="false">
      <c r="A976" s="113" t="str">
        <f aca="false">IF(ISBLANK(B976),"",B976&amp;"|"&amp;C976)</f>
        <v/>
      </c>
      <c r="B976" s="113"/>
      <c r="C976" s="113"/>
      <c r="D976" s="113"/>
      <c r="E976" s="118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</row>
    <row r="977" customFormat="false" ht="15.75" hidden="false" customHeight="false" outlineLevel="0" collapsed="false">
      <c r="A977" s="113" t="str">
        <f aca="false">IF(ISBLANK(B977),"",B977&amp;"|"&amp;C977)</f>
        <v/>
      </c>
      <c r="B977" s="113"/>
      <c r="C977" s="113"/>
      <c r="D977" s="113"/>
      <c r="E977" s="118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</row>
    <row r="978" customFormat="false" ht="15.75" hidden="false" customHeight="false" outlineLevel="0" collapsed="false">
      <c r="A978" s="113" t="str">
        <f aca="false">IF(ISBLANK(B978),"",B978&amp;"|"&amp;C978)</f>
        <v/>
      </c>
      <c r="B978" s="113"/>
      <c r="C978" s="113"/>
      <c r="D978" s="113"/>
      <c r="E978" s="118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</row>
    <row r="979" customFormat="false" ht="15.75" hidden="false" customHeight="false" outlineLevel="0" collapsed="false">
      <c r="A979" s="113" t="str">
        <f aca="false">IF(ISBLANK(B979),"",B979&amp;"|"&amp;C979)</f>
        <v/>
      </c>
      <c r="B979" s="113"/>
      <c r="C979" s="113"/>
      <c r="D979" s="113"/>
      <c r="E979" s="118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</row>
    <row r="980" customFormat="false" ht="15.75" hidden="false" customHeight="false" outlineLevel="0" collapsed="false">
      <c r="A980" s="113" t="str">
        <f aca="false">IF(ISBLANK(B980),"",B980&amp;"|"&amp;C980)</f>
        <v/>
      </c>
      <c r="B980" s="113"/>
      <c r="C980" s="113"/>
      <c r="D980" s="113"/>
      <c r="E980" s="118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</row>
    <row r="981" customFormat="false" ht="15.75" hidden="false" customHeight="false" outlineLevel="0" collapsed="false">
      <c r="A981" s="113" t="str">
        <f aca="false">IF(ISBLANK(B981),"",B981&amp;"|"&amp;C981)</f>
        <v/>
      </c>
      <c r="B981" s="113"/>
      <c r="C981" s="113"/>
      <c r="D981" s="113"/>
      <c r="E981" s="118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</row>
    <row r="982" customFormat="false" ht="15.75" hidden="false" customHeight="false" outlineLevel="0" collapsed="false">
      <c r="A982" s="113" t="str">
        <f aca="false">IF(ISBLANK(B982),"",B982&amp;"|"&amp;C982)</f>
        <v/>
      </c>
      <c r="B982" s="113"/>
      <c r="C982" s="113"/>
      <c r="D982" s="113"/>
      <c r="E982" s="118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</row>
    <row r="983" customFormat="false" ht="15.75" hidden="false" customHeight="false" outlineLevel="0" collapsed="false">
      <c r="A983" s="113" t="str">
        <f aca="false">IF(ISBLANK(B983),"",B983&amp;"|"&amp;C983)</f>
        <v/>
      </c>
      <c r="B983" s="113"/>
      <c r="C983" s="113"/>
      <c r="D983" s="113"/>
      <c r="E983" s="118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</row>
    <row r="984" customFormat="false" ht="15.75" hidden="false" customHeight="false" outlineLevel="0" collapsed="false">
      <c r="A984" s="113" t="str">
        <f aca="false">IF(ISBLANK(B984),"",B984&amp;"|"&amp;C984)</f>
        <v/>
      </c>
      <c r="B984" s="113"/>
      <c r="C984" s="113"/>
      <c r="D984" s="113"/>
      <c r="E984" s="118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</row>
    <row r="985" customFormat="false" ht="15.75" hidden="false" customHeight="false" outlineLevel="0" collapsed="false">
      <c r="A985" s="113" t="str">
        <f aca="false">IF(ISBLANK(B985),"",B985&amp;"|"&amp;C985)</f>
        <v/>
      </c>
      <c r="B985" s="113"/>
      <c r="C985" s="113"/>
      <c r="D985" s="113"/>
      <c r="E985" s="118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</row>
    <row r="986" customFormat="false" ht="15.75" hidden="false" customHeight="false" outlineLevel="0" collapsed="false">
      <c r="A986" s="113" t="str">
        <f aca="false">IF(ISBLANK(B986),"",B986&amp;"|"&amp;C986)</f>
        <v/>
      </c>
      <c r="B986" s="113"/>
      <c r="C986" s="113"/>
      <c r="D986" s="113"/>
      <c r="E986" s="118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</row>
    <row r="987" customFormat="false" ht="15.75" hidden="false" customHeight="false" outlineLevel="0" collapsed="false">
      <c r="A987" s="113" t="str">
        <f aca="false">IF(ISBLANK(B987),"",B987&amp;"|"&amp;C987)</f>
        <v/>
      </c>
      <c r="B987" s="113"/>
      <c r="C987" s="113"/>
      <c r="D987" s="113"/>
      <c r="E987" s="118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</row>
    <row r="988" customFormat="false" ht="15.75" hidden="false" customHeight="false" outlineLevel="0" collapsed="false">
      <c r="A988" s="113" t="str">
        <f aca="false">IF(ISBLANK(B988),"",B988&amp;"|"&amp;C988)</f>
        <v/>
      </c>
      <c r="B988" s="113"/>
      <c r="C988" s="113"/>
      <c r="D988" s="113"/>
      <c r="E988" s="118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</row>
    <row r="989" customFormat="false" ht="15.75" hidden="false" customHeight="false" outlineLevel="0" collapsed="false">
      <c r="A989" s="113" t="str">
        <f aca="false">IF(ISBLANK(B989),"",B989&amp;"|"&amp;C989)</f>
        <v/>
      </c>
      <c r="B989" s="113"/>
      <c r="C989" s="113"/>
      <c r="D989" s="113"/>
      <c r="E989" s="118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</row>
    <row r="990" customFormat="false" ht="15.75" hidden="false" customHeight="false" outlineLevel="0" collapsed="false">
      <c r="A990" s="113" t="str">
        <f aca="false">IF(ISBLANK(B990),"",B990&amp;"|"&amp;C990)</f>
        <v/>
      </c>
      <c r="B990" s="113"/>
      <c r="C990" s="113"/>
      <c r="D990" s="113"/>
      <c r="E990" s="118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</row>
    <row r="991" customFormat="false" ht="15.75" hidden="false" customHeight="false" outlineLevel="0" collapsed="false">
      <c r="A991" s="113" t="str">
        <f aca="false">IF(ISBLANK(B991),"",B991&amp;"|"&amp;C991)</f>
        <v/>
      </c>
      <c r="B991" s="113"/>
      <c r="C991" s="113"/>
      <c r="D991" s="113"/>
      <c r="E991" s="118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</row>
    <row r="992" customFormat="false" ht="15.75" hidden="false" customHeight="false" outlineLevel="0" collapsed="false">
      <c r="A992" s="113" t="str">
        <f aca="false">IF(ISBLANK(B992),"",B992&amp;"|"&amp;C992)</f>
        <v/>
      </c>
      <c r="B992" s="113"/>
      <c r="C992" s="113"/>
      <c r="D992" s="113"/>
      <c r="E992" s="118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</row>
    <row r="993" customFormat="false" ht="15.75" hidden="false" customHeight="false" outlineLevel="0" collapsed="false">
      <c r="A993" s="113" t="str">
        <f aca="false">IF(ISBLANK(B993),"",B993&amp;"|"&amp;C993)</f>
        <v/>
      </c>
      <c r="B993" s="113"/>
      <c r="C993" s="113"/>
      <c r="D993" s="113"/>
      <c r="E993" s="118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</row>
    <row r="994" customFormat="false" ht="15.75" hidden="false" customHeight="false" outlineLevel="0" collapsed="false">
      <c r="A994" s="113" t="str">
        <f aca="false">IF(ISBLANK(B994),"",B994&amp;"|"&amp;C994)</f>
        <v/>
      </c>
      <c r="B994" s="113"/>
      <c r="C994" s="113"/>
      <c r="D994" s="113"/>
      <c r="E994" s="118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</row>
    <row r="995" customFormat="false" ht="15.75" hidden="false" customHeight="false" outlineLevel="0" collapsed="false">
      <c r="A995" s="113" t="str">
        <f aca="false">IF(ISBLANK(B995),"",B995&amp;"|"&amp;C995)</f>
        <v/>
      </c>
      <c r="B995" s="113"/>
      <c r="C995" s="113"/>
      <c r="D995" s="113"/>
      <c r="E995" s="118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</row>
    <row r="996" customFormat="false" ht="15.75" hidden="false" customHeight="false" outlineLevel="0" collapsed="false">
      <c r="A996" s="113" t="str">
        <f aca="false">IF(ISBLANK(B996),"",B996&amp;"|"&amp;C996)</f>
        <v/>
      </c>
      <c r="B996" s="113"/>
      <c r="C996" s="113"/>
      <c r="D996" s="113"/>
      <c r="E996" s="118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</row>
    <row r="997" customFormat="false" ht="15.75" hidden="false" customHeight="false" outlineLevel="0" collapsed="false">
      <c r="A997" s="113" t="str">
        <f aca="false">IF(ISBLANK(B997),"",B997&amp;"|"&amp;C997)</f>
        <v/>
      </c>
      <c r="B997" s="113"/>
      <c r="C997" s="113"/>
      <c r="D997" s="113"/>
      <c r="E997" s="118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</row>
    <row r="998" customFormat="false" ht="15.75" hidden="false" customHeight="false" outlineLevel="0" collapsed="false">
      <c r="A998" s="113" t="str">
        <f aca="false">IF(ISBLANK(B998),"",B998&amp;"|"&amp;C998)</f>
        <v/>
      </c>
      <c r="B998" s="113"/>
      <c r="C998" s="113"/>
      <c r="D998" s="113"/>
      <c r="E998" s="118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</row>
    <row r="999" customFormat="false" ht="15.75" hidden="false" customHeight="false" outlineLevel="0" collapsed="false">
      <c r="A999" s="113" t="str">
        <f aca="false">IF(ISBLANK(B999),"",B999&amp;"|"&amp;C999)</f>
        <v/>
      </c>
      <c r="B999" s="113"/>
      <c r="C999" s="113"/>
      <c r="D999" s="113"/>
      <c r="E999" s="118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</row>
    <row r="1000" customFormat="false" ht="15.75" hidden="false" customHeight="false" outlineLevel="0" collapsed="false">
      <c r="A1000" s="113" t="str">
        <f aca="false">IF(ISBLANK(B1000),"",B1000&amp;"|"&amp;C1000)</f>
        <v/>
      </c>
      <c r="B1000" s="113"/>
      <c r="C1000" s="113"/>
      <c r="D1000" s="113"/>
      <c r="E1000" s="118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4.33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13" t="s">
        <v>74</v>
      </c>
      <c r="B1" s="113" t="s">
        <v>75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customFormat="false" ht="15.75" hidden="false" customHeight="false" outlineLevel="0" collapsed="false">
      <c r="A2" s="113" t="s">
        <v>76</v>
      </c>
      <c r="B2" s="119" t="n">
        <v>46285</v>
      </c>
      <c r="C2" s="113"/>
      <c r="D2" s="113" t="s">
        <v>77</v>
      </c>
      <c r="E2" s="113" t="s">
        <v>78</v>
      </c>
      <c r="F2" s="113" t="s">
        <v>79</v>
      </c>
      <c r="G2" s="113" t="s">
        <v>80</v>
      </c>
      <c r="H2" s="113" t="s">
        <v>81</v>
      </c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customFormat="false" ht="15.75" hidden="false" customHeight="false" outlineLevel="0" collapsed="false">
      <c r="A3" s="113" t="s">
        <v>82</v>
      </c>
      <c r="B3" s="113" t="s">
        <v>72</v>
      </c>
      <c r="C3" s="113"/>
      <c r="D3" s="117" t="n">
        <f aca="false">FIND(".",B3)</f>
        <v>2</v>
      </c>
      <c r="E3" s="117" t="n">
        <f aca="false">FIND(".",B3,D3+1)</f>
        <v>4</v>
      </c>
      <c r="F3" s="113" t="str">
        <f aca="false">LEFT(B3,D3-1)</f>
        <v>0</v>
      </c>
      <c r="G3" s="113" t="str">
        <f aca="false">MID(B3,D3+1,E3-D3-1)</f>
        <v>1</v>
      </c>
      <c r="H3" s="113" t="str">
        <f aca="false">RIGHT(B3,LEN(B3)-E3)</f>
        <v>0</v>
      </c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customFormat="false" ht="15.75" hidden="false" customHeight="false" outlineLevel="0" collapsed="false">
      <c r="A4" s="113" t="s">
        <v>83</v>
      </c>
      <c r="B4" s="113" t="s">
        <v>84</v>
      </c>
      <c r="C4" s="113"/>
      <c r="D4" s="120"/>
      <c r="E4" s="120"/>
      <c r="F4" s="120"/>
      <c r="G4" s="120"/>
      <c r="H4" s="120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customFormat="false" ht="15.75" hidden="false" customHeight="false" outlineLevel="0" collapsed="false">
      <c r="A5" s="113" t="s">
        <v>85</v>
      </c>
      <c r="B5" s="113" t="n">
        <v>2027</v>
      </c>
      <c r="C5" s="113"/>
      <c r="D5" s="120"/>
      <c r="E5" s="120"/>
      <c r="F5" s="120"/>
      <c r="G5" s="120"/>
      <c r="H5" s="120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customFormat="false" ht="15.75" hidden="false" customHeight="false" outlineLevel="0" collapsed="false">
      <c r="A6" s="113" t="s">
        <v>86</v>
      </c>
      <c r="B6" s="113" t="str">
        <f aca="false">B1&amp;"|"&amp;B4</f>
        <v>Boomilever|B</v>
      </c>
      <c r="C6" s="113"/>
      <c r="D6" s="120"/>
      <c r="E6" s="120"/>
      <c r="F6" s="120"/>
      <c r="G6" s="120"/>
      <c r="H6" s="120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customFormat="false" ht="15.75" hidden="false" customHeight="false" outlineLevel="0" collapsed="false">
      <c r="A7" s="113" t="s">
        <v>87</v>
      </c>
      <c r="B7" s="113" t="s">
        <v>72</v>
      </c>
      <c r="C7" s="113"/>
      <c r="D7" s="117" t="n">
        <f aca="false">FIND(".",B7)</f>
        <v>2</v>
      </c>
      <c r="E7" s="117" t="n">
        <f aca="false">FIND(".",B7,D7+1)</f>
        <v>4</v>
      </c>
      <c r="F7" s="113" t="str">
        <f aca="false">LEFT(B7,D7-1)</f>
        <v>0</v>
      </c>
      <c r="G7" s="113" t="str">
        <f aca="false">MID(B7,D7+1,E7-D7-1)</f>
        <v>1</v>
      </c>
      <c r="H7" s="113" t="str">
        <f aca="false">RIGHT(B7,LEN(B7)-E7)</f>
        <v>0</v>
      </c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customFormat="false" ht="15.75" hidden="false" customHeight="false" outlineLevel="0" collapsed="false">
      <c r="A8" s="113" t="s">
        <v>88</v>
      </c>
      <c r="B8" s="113" t="str">
        <f aca="false">IF(CONCATENATE(F7,".",G7)=CONCATENATE(F3,".",G3),"F","T")</f>
        <v>F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customFormat="false" ht="15.75" hidden="false" customHeight="false" outlineLevel="0" collapsed="false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customFormat="false" ht="15.75" hidden="false" customHeight="false" outlineLevel="0" collapsed="false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customFormat="false" ht="15.75" hidden="false" customHeight="false" outlineLevel="0" collapsed="false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customFormat="false" ht="15.75" hidden="false" customHeight="false" outlineLevel="0" collapsed="false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customFormat="false" ht="15.75" hidden="false" customHeight="false" outlineLevel="0" collapsed="false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customFormat="false" ht="15.75" hidden="false" customHeight="false" outlineLevel="0" collapsed="false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customFormat="false" ht="15.75" hidden="false" customHeight="false" outlineLevel="0" collapsed="false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customFormat="false" ht="15.75" hidden="false" customHeight="false" outlineLevel="0" collapsed="false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customFormat="false" ht="15.75" hidden="false" customHeight="false" outlineLevel="0" collapsed="false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customFormat="false" ht="15.75" hidden="false" customHeight="false" outlineLevel="0" collapsed="false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customFormat="false" ht="15.75" hidden="false" customHeight="false" outlineLevel="0" collapsed="false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customFormat="false" ht="15.75" hidden="false" customHeight="false" outlineLevel="0" collapsed="false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customFormat="false" ht="15.75" hidden="false" customHeight="false" outlineLevel="0" collapsed="false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customFormat="false" ht="15.75" hidden="false" customHeight="false" outlineLevel="0" collapsed="false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customFormat="false" ht="15.75" hidden="false" customHeight="false" outlineLevel="0" collapsed="false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customFormat="false" ht="15.75" hidden="false" customHeight="false" outlineLevel="0" collapsed="false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customFormat="false" ht="15.75" hidden="false" customHeight="false" outlineLevel="0" collapsed="false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customFormat="false" ht="15.75" hidden="false" customHeight="false" outlineLevel="0" collapsed="false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customFormat="false" ht="15.75" hidden="false" customHeight="false" outlineLevel="0" collapsed="false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customFormat="false" ht="15.75" hidden="false" customHeight="false" outlineLevel="0" collapsed="false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customFormat="false" ht="15.75" hidden="false" customHeight="false" outlineLevel="0" collapsed="false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customFormat="false" ht="15.75" hidden="false" customHeight="false" outlineLevel="0" collapsed="false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customFormat="false" ht="15.75" hidden="false" customHeight="false" outlineLevel="0" collapsed="false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customFormat="false" ht="15.75" hidden="false" customHeight="false" outlineLevel="0" collapsed="false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customFormat="false" ht="15.75" hidden="false" customHeight="false" outlineLevel="0" collapsed="false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customFormat="false" ht="15.75" hidden="false" customHeight="false" outlineLevel="0" collapsed="false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customFormat="false" ht="15.75" hidden="false" customHeight="false" outlineLevel="0" collapsed="false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customFormat="false" ht="15.75" hidden="false" customHeight="false" outlineLevel="0" collapsed="false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customFormat="false" ht="15.75" hidden="false" customHeight="false" outlineLevel="0" collapsed="false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customFormat="false" ht="15.75" hidden="false" customHeight="false" outlineLevel="0" collapsed="false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customFormat="false" ht="15.75" hidden="false" customHeight="false" outlineLevel="0" collapsed="false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customFormat="false" ht="15.75" hidden="false" customHeight="false" outlineLevel="0" collapsed="false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customFormat="false" ht="15.75" hidden="false" customHeight="false" outlineLevel="0" collapsed="false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customFormat="false" ht="15.75" hidden="false" customHeight="false" outlineLevel="0" collapsed="false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customFormat="false" ht="15.75" hidden="false" customHeight="false" outlineLevel="0" collapsed="false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customFormat="false" ht="15.75" hidden="false" customHeight="false" outlineLevel="0" collapsed="false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customFormat="false" ht="15.75" hidden="false" customHeight="false" outlineLevel="0" collapsed="false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customFormat="false" ht="15.75" hidden="false" customHeight="false" outlineLevel="0" collapsed="false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customFormat="false" ht="15.75" hidden="false" customHeight="false" outlineLevel="0" collapsed="false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customFormat="false" ht="15.75" hidden="false" customHeight="false" outlineLevel="0" collapsed="false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customFormat="false" ht="15.75" hidden="false" customHeight="false" outlineLevel="0" collapsed="false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customFormat="false" ht="15.75" hidden="false" customHeight="false" outlineLevel="0" collapsed="false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customFormat="false" ht="15.75" hidden="false" customHeight="false" outlineLevel="0" collapsed="false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customFormat="false" ht="15.75" hidden="false" customHeight="false" outlineLevel="0" collapsed="false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customFormat="false" ht="15.75" hidden="false" customHeight="false" outlineLevel="0" collapsed="false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customFormat="false" ht="15.75" hidden="false" customHeight="false" outlineLevel="0" collapsed="false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customFormat="false" ht="15.75" hidden="false" customHeight="false" outlineLevel="0" collapsed="false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customFormat="false" ht="15.75" hidden="false" customHeight="false" outlineLevel="0" collapsed="false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customFormat="false" ht="15.75" hidden="false" customHeight="false" outlineLevel="0" collapsed="false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customFormat="false" ht="15.75" hidden="false" customHeight="false" outlineLevel="0" collapsed="false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customFormat="false" ht="15.75" hidden="false" customHeight="false" outlineLevel="0" collapsed="false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customFormat="false" ht="15.75" hidden="false" customHeight="false" outlineLevel="0" collapsed="false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customFormat="false" ht="15.75" hidden="false" customHeight="false" outlineLevel="0" collapsed="false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customFormat="false" ht="15.75" hidden="false" customHeight="false" outlineLevel="0" collapsed="false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customFormat="false" ht="15.75" hidden="false" customHeight="false" outlineLevel="0" collapsed="false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customFormat="false" ht="15.75" hidden="false" customHeight="false" outlineLevel="0" collapsed="false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customFormat="false" ht="15.75" hidden="false" customHeight="false" outlineLevel="0" collapsed="false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customFormat="false" ht="15.75" hidden="false" customHeight="false" outlineLevel="0" collapsed="false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customFormat="false" ht="15.75" hidden="false" customHeight="false" outlineLevel="0" collapsed="false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customFormat="false" ht="15.75" hidden="false" customHeight="false" outlineLevel="0" collapsed="false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customFormat="false" ht="15.75" hidden="false" customHeight="false" outlineLevel="0" collapsed="false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customFormat="false" ht="15.75" hidden="false" customHeight="false" outlineLevel="0" collapsed="false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customFormat="false" ht="15.75" hidden="false" customHeight="false" outlineLevel="0" collapsed="false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customFormat="false" ht="15.75" hidden="false" customHeight="false" outlineLevel="0" collapsed="false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customFormat="false" ht="15.75" hidden="false" customHeight="false" outlineLevel="0" collapsed="false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customFormat="false" ht="15.75" hidden="false" customHeight="false" outlineLevel="0" collapsed="false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customFormat="false" ht="15.75" hidden="false" customHeight="false" outlineLevel="0" collapsed="false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customFormat="false" ht="15.75" hidden="false" customHeight="false" outlineLevel="0" collapsed="false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customFormat="false" ht="15.75" hidden="false" customHeight="false" outlineLevel="0" collapsed="false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customFormat="false" ht="15.75" hidden="false" customHeight="false" outlineLevel="0" collapsed="false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customFormat="false" ht="15.75" hidden="false" customHeight="false" outlineLevel="0" collapsed="false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customFormat="false" ht="15.75" hidden="false" customHeight="false" outlineLevel="0" collapsed="false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customFormat="false" ht="15.75" hidden="false" customHeight="false" outlineLevel="0" collapsed="false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customFormat="false" ht="15.75" hidden="false" customHeight="false" outlineLevel="0" collapsed="false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customFormat="false" ht="15.75" hidden="false" customHeight="false" outlineLevel="0" collapsed="false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customFormat="false" ht="15.75" hidden="false" customHeight="false" outlineLevel="0" collapsed="false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customFormat="false" ht="15.75" hidden="false" customHeight="false" outlineLevel="0" collapsed="false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customFormat="false" ht="15.75" hidden="false" customHeight="false" outlineLevel="0" collapsed="false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customFormat="false" ht="15.75" hidden="false" customHeight="false" outlineLevel="0" collapsed="false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customFormat="false" ht="15.75" hidden="false" customHeight="false" outlineLevel="0" collapsed="false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customFormat="false" ht="15.75" hidden="false" customHeight="false" outlineLevel="0" collapsed="false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customFormat="false" ht="15.75" hidden="false" customHeight="false" outlineLevel="0" collapsed="false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customFormat="false" ht="15.75" hidden="false" customHeight="false" outlineLevel="0" collapsed="false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customFormat="false" ht="15.75" hidden="false" customHeight="false" outlineLevel="0" collapsed="false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customFormat="false" ht="15.75" hidden="false" customHeight="false" outlineLevel="0" collapsed="false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customFormat="false" ht="15.75" hidden="false" customHeight="false" outlineLevel="0" collapsed="false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customFormat="false" ht="15.75" hidden="false" customHeight="false" outlineLevel="0" collapsed="false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customFormat="false" ht="15.75" hidden="false" customHeight="false" outlineLevel="0" collapsed="false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customFormat="false" ht="15.75" hidden="false" customHeight="false" outlineLevel="0" collapsed="false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customFormat="false" ht="15.75" hidden="false" customHeight="false" outlineLevel="0" collapsed="false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customFormat="false" ht="15.75" hidden="false" customHeight="false" outlineLevel="0" collapsed="false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customFormat="false" ht="15.75" hidden="false" customHeight="false" outlineLevel="0" collapsed="false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customFormat="false" ht="15.75" hidden="false" customHeight="false" outlineLevel="0" collapsed="false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customFormat="false" ht="15.75" hidden="false" customHeight="false" outlineLevel="0" collapsed="false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customFormat="false" ht="15.75" hidden="false" customHeight="false" outlineLevel="0" collapsed="false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customFormat="false" ht="15.75" hidden="false" customHeight="false" outlineLevel="0" collapsed="false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customFormat="false" ht="15.75" hidden="false" customHeight="false" outlineLevel="0" collapsed="false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customFormat="false" ht="15.75" hidden="false" customHeight="false" outlineLevel="0" collapsed="false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customFormat="false" ht="15.75" hidden="false" customHeight="false" outlineLevel="0" collapsed="false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customFormat="false" ht="15.75" hidden="false" customHeight="false" outlineLevel="0" collapsed="false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customFormat="false" ht="15.75" hidden="false" customHeight="false" outlineLevel="0" collapsed="false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customFormat="false" ht="15.75" hidden="false" customHeight="false" outlineLevel="0" collapsed="false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customFormat="false" ht="15.75" hidden="false" customHeight="false" outlineLevel="0" collapsed="false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customFormat="false" ht="15.75" hidden="false" customHeight="false" outlineLevel="0" collapsed="false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customFormat="false" ht="15.75" hidden="false" customHeight="false" outlineLevel="0" collapsed="false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customFormat="false" ht="15.75" hidden="false" customHeight="false" outlineLevel="0" collapsed="false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customFormat="false" ht="15.75" hidden="false" customHeight="false" outlineLevel="0" collapsed="false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customFormat="false" ht="15.75" hidden="false" customHeight="false" outlineLevel="0" collapsed="false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customFormat="false" ht="15.75" hidden="false" customHeight="false" outlineLevel="0" collapsed="false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customFormat="false" ht="15.75" hidden="false" customHeight="false" outlineLevel="0" collapsed="false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customFormat="false" ht="15.75" hidden="false" customHeight="false" outlineLevel="0" collapsed="false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customFormat="false" ht="15.75" hidden="false" customHeight="false" outlineLevel="0" collapsed="false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customFormat="false" ht="15.75" hidden="false" customHeight="false" outlineLevel="0" collapsed="false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customFormat="false" ht="15.75" hidden="false" customHeight="false" outlineLevel="0" collapsed="false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customFormat="false" ht="15.75" hidden="false" customHeight="false" outlineLevel="0" collapsed="false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customFormat="false" ht="15.75" hidden="false" customHeight="false" outlineLevel="0" collapsed="false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customFormat="false" ht="15.75" hidden="false" customHeight="false" outlineLevel="0" collapsed="false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customFormat="false" ht="15.75" hidden="false" customHeight="false" outlineLevel="0" collapsed="false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customFormat="false" ht="15.75" hidden="false" customHeight="false" outlineLevel="0" collapsed="false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customFormat="false" ht="15.75" hidden="false" customHeight="false" outlineLevel="0" collapsed="false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customFormat="false" ht="15.75" hidden="false" customHeight="false" outlineLevel="0" collapsed="false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customFormat="false" ht="15.75" hidden="false" customHeight="false" outlineLevel="0" collapsed="false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customFormat="false" ht="15.75" hidden="false" customHeight="false" outlineLevel="0" collapsed="false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customFormat="false" ht="15.75" hidden="false" customHeight="false" outlineLevel="0" collapsed="false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customFormat="false" ht="15.75" hidden="false" customHeight="false" outlineLevel="0" collapsed="false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customFormat="false" ht="15.75" hidden="false" customHeight="false" outlineLevel="0" collapsed="false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customFormat="false" ht="15.75" hidden="false" customHeight="false" outlineLevel="0" collapsed="false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customFormat="false" ht="15.75" hidden="false" customHeight="false" outlineLevel="0" collapsed="false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customFormat="false" ht="15.75" hidden="false" customHeight="false" outlineLevel="0" collapsed="false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customFormat="false" ht="15.75" hidden="false" customHeight="false" outlineLevel="0" collapsed="false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customFormat="false" ht="15.75" hidden="false" customHeight="false" outlineLevel="0" collapsed="false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customFormat="false" ht="15.75" hidden="false" customHeight="false" outlineLevel="0" collapsed="false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customFormat="false" ht="15.75" hidden="false" customHeight="false" outlineLevel="0" collapsed="false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customFormat="false" ht="15.75" hidden="false" customHeight="false" outlineLevel="0" collapsed="false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customFormat="false" ht="15.75" hidden="false" customHeight="false" outlineLevel="0" collapsed="false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customFormat="false" ht="15.75" hidden="false" customHeight="false" outlineLevel="0" collapsed="false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customFormat="false" ht="15.75" hidden="false" customHeight="false" outlineLevel="0" collapsed="false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customFormat="false" ht="15.75" hidden="false" customHeight="false" outlineLevel="0" collapsed="false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customFormat="false" ht="15.75" hidden="false" customHeight="false" outlineLevel="0" collapsed="false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customFormat="false" ht="15.75" hidden="false" customHeight="false" outlineLevel="0" collapsed="false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customFormat="false" ht="15.75" hidden="false" customHeight="false" outlineLevel="0" collapsed="false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customFormat="false" ht="15.75" hidden="false" customHeight="false" outlineLevel="0" collapsed="false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customFormat="false" ht="15.75" hidden="false" customHeight="false" outlineLevel="0" collapsed="false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customFormat="false" ht="15.75" hidden="false" customHeight="false" outlineLevel="0" collapsed="false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customFormat="false" ht="15.75" hidden="false" customHeight="false" outlineLevel="0" collapsed="false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customFormat="false" ht="15.75" hidden="false" customHeight="false" outlineLevel="0" collapsed="false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customFormat="false" ht="15.75" hidden="false" customHeight="false" outlineLevel="0" collapsed="false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customFormat="false" ht="15.75" hidden="false" customHeight="false" outlineLevel="0" collapsed="false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customFormat="false" ht="15.75" hidden="false" customHeight="false" outlineLevel="0" collapsed="false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customFormat="false" ht="15.75" hidden="false" customHeight="false" outlineLevel="0" collapsed="false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customFormat="false" ht="15.75" hidden="false" customHeight="false" outlineLevel="0" collapsed="false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customFormat="false" ht="15.75" hidden="false" customHeight="false" outlineLevel="0" collapsed="false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customFormat="false" ht="15.75" hidden="false" customHeight="false" outlineLevel="0" collapsed="false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customFormat="false" ht="15.75" hidden="false" customHeight="false" outlineLevel="0" collapsed="false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customFormat="false" ht="15.75" hidden="false" customHeight="false" outlineLevel="0" collapsed="false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customFormat="false" ht="15.75" hidden="false" customHeight="false" outlineLevel="0" collapsed="false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customFormat="false" ht="15.75" hidden="false" customHeight="false" outlineLevel="0" collapsed="false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customFormat="false" ht="15.75" hidden="false" customHeight="false" outlineLevel="0" collapsed="false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customFormat="false" ht="15.75" hidden="false" customHeight="false" outlineLevel="0" collapsed="false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customFormat="false" ht="15.75" hidden="false" customHeight="false" outlineLevel="0" collapsed="false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customFormat="false" ht="15.75" hidden="false" customHeight="false" outlineLevel="0" collapsed="false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customFormat="false" ht="15.75" hidden="false" customHeight="false" outlineLevel="0" collapsed="false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customFormat="false" ht="15.75" hidden="false" customHeight="false" outlineLevel="0" collapsed="false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customFormat="false" ht="15.75" hidden="false" customHeight="false" outlineLevel="0" collapsed="false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customFormat="false" ht="15.75" hidden="false" customHeight="false" outlineLevel="0" collapsed="false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customFormat="false" ht="15.75" hidden="false" customHeight="false" outlineLevel="0" collapsed="false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customFormat="false" ht="15.75" hidden="false" customHeight="false" outlineLevel="0" collapsed="false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customFormat="false" ht="15.75" hidden="false" customHeight="false" outlineLevel="0" collapsed="false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customFormat="false" ht="15.75" hidden="false" customHeight="false" outlineLevel="0" collapsed="false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customFormat="false" ht="15.75" hidden="false" customHeight="false" outlineLevel="0" collapsed="false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customFormat="false" ht="15.75" hidden="false" customHeight="false" outlineLevel="0" collapsed="false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customFormat="false" ht="15.75" hidden="false" customHeight="false" outlineLevel="0" collapsed="false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customFormat="false" ht="15.75" hidden="false" customHeight="false" outlineLevel="0" collapsed="false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customFormat="false" ht="15.75" hidden="false" customHeight="false" outlineLevel="0" collapsed="false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customFormat="false" ht="15.75" hidden="false" customHeight="false" outlineLevel="0" collapsed="false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customFormat="false" ht="15.75" hidden="false" customHeight="false" outlineLevel="0" collapsed="false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customFormat="false" ht="15.75" hidden="false" customHeight="false" outlineLevel="0" collapsed="false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customFormat="false" ht="15.75" hidden="false" customHeight="false" outlineLevel="0" collapsed="false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customFormat="false" ht="15.75" hidden="false" customHeight="false" outlineLevel="0" collapsed="false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customFormat="false" ht="15.75" hidden="false" customHeight="false" outlineLevel="0" collapsed="false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customFormat="false" ht="15.75" hidden="false" customHeight="false" outlineLevel="0" collapsed="false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customFormat="false" ht="15.75" hidden="false" customHeight="false" outlineLevel="0" collapsed="false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customFormat="false" ht="15.75" hidden="false" customHeight="false" outlineLevel="0" collapsed="false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customFormat="false" ht="15.75" hidden="false" customHeight="false" outlineLevel="0" collapsed="false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customFormat="false" ht="15.75" hidden="false" customHeight="false" outlineLevel="0" collapsed="false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customFormat="false" ht="15.75" hidden="false" customHeight="false" outlineLevel="0" collapsed="false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customFormat="false" ht="15.75" hidden="false" customHeight="false" outlineLevel="0" collapsed="false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customFormat="false" ht="15.75" hidden="false" customHeight="false" outlineLevel="0" collapsed="false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customFormat="false" ht="15.75" hidden="false" customHeight="false" outlineLevel="0" collapsed="false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customFormat="false" ht="15.75" hidden="false" customHeight="false" outlineLevel="0" collapsed="false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customFormat="false" ht="15.75" hidden="false" customHeight="false" outlineLevel="0" collapsed="false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customFormat="false" ht="15.75" hidden="false" customHeight="false" outlineLevel="0" collapsed="false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customFormat="false" ht="15.75" hidden="false" customHeight="false" outlineLevel="0" collapsed="false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customFormat="false" ht="15.75" hidden="false" customHeight="false" outlineLevel="0" collapsed="false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customFormat="false" ht="15.75" hidden="false" customHeight="false" outlineLevel="0" collapsed="false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customFormat="false" ht="15.75" hidden="false" customHeight="false" outlineLevel="0" collapsed="false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customFormat="false" ht="15.75" hidden="false" customHeight="false" outlineLevel="0" collapsed="false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customFormat="false" ht="15.75" hidden="false" customHeight="false" outlineLevel="0" collapsed="false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customFormat="false" ht="15.75" hidden="false" customHeight="false" outlineLevel="0" collapsed="false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customFormat="false" ht="15.75" hidden="false" customHeight="false" outlineLevel="0" collapsed="false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customFormat="false" ht="15.75" hidden="false" customHeight="false" outlineLevel="0" collapsed="false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customFormat="false" ht="15.75" hidden="false" customHeight="false" outlineLevel="0" collapsed="false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customFormat="false" ht="15.75" hidden="false" customHeight="false" outlineLevel="0" collapsed="false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customFormat="false" ht="15.75" hidden="false" customHeight="false" outlineLevel="0" collapsed="false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customFormat="false" ht="15.75" hidden="false" customHeight="false" outlineLevel="0" collapsed="false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customFormat="false" ht="15.75" hidden="false" customHeight="false" outlineLevel="0" collapsed="false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customFormat="false" ht="15.75" hidden="false" customHeight="false" outlineLevel="0" collapsed="false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customFormat="false" ht="15.75" hidden="false" customHeight="false" outlineLevel="0" collapsed="false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customFormat="false" ht="15.75" hidden="false" customHeight="false" outlineLevel="0" collapsed="false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customFormat="false" ht="15.75" hidden="false" customHeight="false" outlineLevel="0" collapsed="false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customFormat="false" ht="15.75" hidden="false" customHeight="false" outlineLevel="0" collapsed="false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customFormat="false" ht="15.75" hidden="false" customHeight="false" outlineLevel="0" collapsed="false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customFormat="false" ht="15.75" hidden="false" customHeight="false" outlineLevel="0" collapsed="false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customFormat="false" ht="15.75" hidden="false" customHeight="false" outlineLevel="0" collapsed="false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customFormat="false" ht="15.75" hidden="false" customHeight="false" outlineLevel="0" collapsed="false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customFormat="false" ht="15.75" hidden="false" customHeight="false" outlineLevel="0" collapsed="false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customFormat="false" ht="15.75" hidden="false" customHeight="false" outlineLevel="0" collapsed="false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customFormat="false" ht="15.75" hidden="false" customHeight="false" outlineLevel="0" collapsed="false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customFormat="false" ht="15.75" hidden="false" customHeight="false" outlineLevel="0" collapsed="false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customFormat="false" ht="15.75" hidden="false" customHeight="false" outlineLevel="0" collapsed="false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customFormat="false" ht="15.75" hidden="false" customHeight="false" outlineLevel="0" collapsed="false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customFormat="false" ht="15.75" hidden="false" customHeight="false" outlineLevel="0" collapsed="false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customFormat="false" ht="15.75" hidden="false" customHeight="false" outlineLevel="0" collapsed="false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customFormat="false" ht="15.75" hidden="false" customHeight="false" outlineLevel="0" collapsed="false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customFormat="false" ht="15.75" hidden="false" customHeight="false" outlineLevel="0" collapsed="false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customFormat="false" ht="15.75" hidden="false" customHeight="false" outlineLevel="0" collapsed="false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customFormat="false" ht="15.75" hidden="false" customHeight="false" outlineLevel="0" collapsed="false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customFormat="false" ht="15.75" hidden="false" customHeight="false" outlineLevel="0" collapsed="false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customFormat="false" ht="15.75" hidden="false" customHeight="false" outlineLevel="0" collapsed="false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customFormat="false" ht="15.75" hidden="false" customHeight="false" outlineLevel="0" collapsed="false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customFormat="false" ht="15.75" hidden="false" customHeight="false" outlineLevel="0" collapsed="false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customFormat="false" ht="15.75" hidden="false" customHeight="false" outlineLevel="0" collapsed="false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customFormat="false" ht="15.75" hidden="false" customHeight="false" outlineLevel="0" collapsed="false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customFormat="false" ht="15.75" hidden="false" customHeight="false" outlineLevel="0" collapsed="false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customFormat="false" ht="15.75" hidden="false" customHeight="false" outlineLevel="0" collapsed="false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customFormat="false" ht="15.75" hidden="false" customHeight="false" outlineLevel="0" collapsed="false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customFormat="false" ht="15.75" hidden="false" customHeight="false" outlineLevel="0" collapsed="false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customFormat="false" ht="15.75" hidden="false" customHeight="false" outlineLevel="0" collapsed="false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customFormat="false" ht="15.75" hidden="false" customHeight="false" outlineLevel="0" collapsed="false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customFormat="false" ht="15.75" hidden="false" customHeight="false" outlineLevel="0" collapsed="false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customFormat="false" ht="15.75" hidden="false" customHeight="false" outlineLevel="0" collapsed="false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customFormat="false" ht="15.75" hidden="false" customHeight="false" outlineLevel="0" collapsed="false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customFormat="false" ht="15.75" hidden="false" customHeight="false" outlineLevel="0" collapsed="false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customFormat="false" ht="15.75" hidden="false" customHeight="false" outlineLevel="0" collapsed="false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customFormat="false" ht="15.75" hidden="false" customHeight="false" outlineLevel="0" collapsed="false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customFormat="false" ht="15.75" hidden="false" customHeight="false" outlineLevel="0" collapsed="false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customFormat="false" ht="15.75" hidden="false" customHeight="false" outlineLevel="0" collapsed="false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customFormat="false" ht="15.75" hidden="false" customHeight="false" outlineLevel="0" collapsed="false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customFormat="false" ht="15.75" hidden="false" customHeight="false" outlineLevel="0" collapsed="false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customFormat="false" ht="15.75" hidden="false" customHeight="false" outlineLevel="0" collapsed="false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customFormat="false" ht="15.75" hidden="false" customHeight="false" outlineLevel="0" collapsed="false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customFormat="false" ht="15.75" hidden="false" customHeight="false" outlineLevel="0" collapsed="false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customFormat="false" ht="15.75" hidden="false" customHeight="false" outlineLevel="0" collapsed="false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customFormat="false" ht="15.75" hidden="false" customHeight="false" outlineLevel="0" collapsed="false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customFormat="false" ht="15.75" hidden="false" customHeight="false" outlineLevel="0" collapsed="false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customFormat="false" ht="15.75" hidden="false" customHeight="false" outlineLevel="0" collapsed="false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customFormat="false" ht="15.75" hidden="false" customHeight="false" outlineLevel="0" collapsed="false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customFormat="false" ht="15.75" hidden="false" customHeight="false" outlineLevel="0" collapsed="false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customFormat="false" ht="15.75" hidden="false" customHeight="false" outlineLevel="0" collapsed="false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customFormat="false" ht="15.75" hidden="false" customHeight="false" outlineLevel="0" collapsed="false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customFormat="false" ht="15.75" hidden="false" customHeight="false" outlineLevel="0" collapsed="false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customFormat="false" ht="15.75" hidden="false" customHeight="false" outlineLevel="0" collapsed="false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customFormat="false" ht="15.75" hidden="false" customHeight="false" outlineLevel="0" collapsed="false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customFormat="false" ht="15.75" hidden="false" customHeight="false" outlineLevel="0" collapsed="false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customFormat="false" ht="15.75" hidden="false" customHeight="false" outlineLevel="0" collapsed="false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customFormat="false" ht="15.75" hidden="false" customHeight="false" outlineLevel="0" collapsed="false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customFormat="false" ht="15.75" hidden="false" customHeight="false" outlineLevel="0" collapsed="false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customFormat="false" ht="15.75" hidden="false" customHeight="false" outlineLevel="0" collapsed="false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customFormat="false" ht="15.75" hidden="false" customHeight="false" outlineLevel="0" collapsed="false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customFormat="false" ht="15.75" hidden="false" customHeight="false" outlineLevel="0" collapsed="false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customFormat="false" ht="15.75" hidden="false" customHeight="false" outlineLevel="0" collapsed="false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customFormat="false" ht="15.75" hidden="false" customHeight="false" outlineLevel="0" collapsed="false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customFormat="false" ht="15.75" hidden="false" customHeight="false" outlineLevel="0" collapsed="false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customFormat="false" ht="15.75" hidden="false" customHeight="false" outlineLevel="0" collapsed="false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customFormat="false" ht="15.75" hidden="false" customHeight="false" outlineLevel="0" collapsed="false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customFormat="false" ht="15.75" hidden="false" customHeight="false" outlineLevel="0" collapsed="false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customFormat="false" ht="15.75" hidden="false" customHeight="false" outlineLevel="0" collapsed="false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customFormat="false" ht="15.75" hidden="false" customHeight="false" outlineLevel="0" collapsed="false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customFormat="false" ht="15.75" hidden="false" customHeight="false" outlineLevel="0" collapsed="false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customFormat="false" ht="15.75" hidden="false" customHeight="false" outlineLevel="0" collapsed="false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customFormat="false" ht="15.75" hidden="false" customHeight="false" outlineLevel="0" collapsed="false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customFormat="false" ht="15.75" hidden="false" customHeight="false" outlineLevel="0" collapsed="false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customFormat="false" ht="15.75" hidden="false" customHeight="false" outlineLevel="0" collapsed="false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customFormat="false" ht="15.75" hidden="false" customHeight="false" outlineLevel="0" collapsed="false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customFormat="false" ht="15.75" hidden="false" customHeight="false" outlineLevel="0" collapsed="false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customFormat="false" ht="15.75" hidden="false" customHeight="false" outlineLevel="0" collapsed="false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customFormat="false" ht="15.75" hidden="false" customHeight="false" outlineLevel="0" collapsed="false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customFormat="false" ht="15.75" hidden="false" customHeight="false" outlineLevel="0" collapsed="false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customFormat="false" ht="15.75" hidden="false" customHeight="false" outlineLevel="0" collapsed="false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customFormat="false" ht="15.75" hidden="false" customHeight="false" outlineLevel="0" collapsed="false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customFormat="false" ht="15.75" hidden="false" customHeight="false" outlineLevel="0" collapsed="false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customFormat="false" ht="15.75" hidden="false" customHeight="false" outlineLevel="0" collapsed="false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customFormat="false" ht="15.75" hidden="false" customHeight="false" outlineLevel="0" collapsed="false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customFormat="false" ht="15.75" hidden="false" customHeight="false" outlineLevel="0" collapsed="false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customFormat="false" ht="15.75" hidden="false" customHeight="false" outlineLevel="0" collapsed="false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customFormat="false" ht="15.75" hidden="false" customHeight="false" outlineLevel="0" collapsed="false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customFormat="false" ht="15.75" hidden="false" customHeight="false" outlineLevel="0" collapsed="false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customFormat="false" ht="15.75" hidden="false" customHeight="false" outlineLevel="0" collapsed="false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customFormat="false" ht="15.75" hidden="false" customHeight="false" outlineLevel="0" collapsed="false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customFormat="false" ht="15.75" hidden="false" customHeight="false" outlineLevel="0" collapsed="false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customFormat="false" ht="15.75" hidden="false" customHeight="false" outlineLevel="0" collapsed="false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customFormat="false" ht="15.75" hidden="false" customHeight="false" outlineLevel="0" collapsed="false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customFormat="false" ht="15.75" hidden="false" customHeight="false" outlineLevel="0" collapsed="false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customFormat="false" ht="15.75" hidden="false" customHeight="false" outlineLevel="0" collapsed="false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customFormat="false" ht="15.75" hidden="false" customHeight="false" outlineLevel="0" collapsed="false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customFormat="false" ht="15.75" hidden="false" customHeight="false" outlineLevel="0" collapsed="false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customFormat="false" ht="15.75" hidden="false" customHeight="false" outlineLevel="0" collapsed="false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customFormat="false" ht="15.75" hidden="false" customHeight="false" outlineLevel="0" collapsed="false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customFormat="false" ht="15.75" hidden="false" customHeight="false" outlineLevel="0" collapsed="false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customFormat="false" ht="15.75" hidden="false" customHeight="false" outlineLevel="0" collapsed="false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customFormat="false" ht="15.75" hidden="false" customHeight="false" outlineLevel="0" collapsed="false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customFormat="false" ht="15.75" hidden="false" customHeight="false" outlineLevel="0" collapsed="false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customFormat="false" ht="15.75" hidden="false" customHeight="false" outlineLevel="0" collapsed="false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customFormat="false" ht="15.75" hidden="false" customHeight="false" outlineLevel="0" collapsed="false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customFormat="false" ht="15.75" hidden="false" customHeight="false" outlineLevel="0" collapsed="false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customFormat="false" ht="15.75" hidden="false" customHeight="false" outlineLevel="0" collapsed="false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customFormat="false" ht="15.75" hidden="false" customHeight="false" outlineLevel="0" collapsed="false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customFormat="false" ht="15.75" hidden="false" customHeight="false" outlineLevel="0" collapsed="false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customFormat="false" ht="15.75" hidden="false" customHeight="false" outlineLevel="0" collapsed="false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customFormat="false" ht="15.75" hidden="false" customHeight="false" outlineLevel="0" collapsed="false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customFormat="false" ht="15.75" hidden="false" customHeight="false" outlineLevel="0" collapsed="false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customFormat="false" ht="15.75" hidden="false" customHeight="false" outlineLevel="0" collapsed="false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customFormat="false" ht="15.75" hidden="false" customHeight="false" outlineLevel="0" collapsed="false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customFormat="false" ht="15.75" hidden="false" customHeight="false" outlineLevel="0" collapsed="false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customFormat="false" ht="15.75" hidden="false" customHeight="false" outlineLevel="0" collapsed="false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customFormat="false" ht="15.75" hidden="false" customHeight="false" outlineLevel="0" collapsed="false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customFormat="false" ht="15.75" hidden="false" customHeight="false" outlineLevel="0" collapsed="false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customFormat="false" ht="15.75" hidden="false" customHeight="false" outlineLevel="0" collapsed="false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customFormat="false" ht="15.75" hidden="false" customHeight="false" outlineLevel="0" collapsed="false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customFormat="false" ht="15.75" hidden="false" customHeight="false" outlineLevel="0" collapsed="false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customFormat="false" ht="15.75" hidden="false" customHeight="false" outlineLevel="0" collapsed="false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customFormat="false" ht="15.75" hidden="false" customHeight="false" outlineLevel="0" collapsed="false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customFormat="false" ht="15.75" hidden="false" customHeight="false" outlineLevel="0" collapsed="false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customFormat="false" ht="15.75" hidden="false" customHeight="false" outlineLevel="0" collapsed="false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customFormat="false" ht="15.75" hidden="false" customHeight="false" outlineLevel="0" collapsed="false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customFormat="false" ht="15.75" hidden="false" customHeight="false" outlineLevel="0" collapsed="false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customFormat="false" ht="15.75" hidden="false" customHeight="false" outlineLevel="0" collapsed="false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customFormat="false" ht="15.75" hidden="false" customHeight="false" outlineLevel="0" collapsed="false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customFormat="false" ht="15.75" hidden="false" customHeight="false" outlineLevel="0" collapsed="false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customFormat="false" ht="15.75" hidden="false" customHeight="false" outlineLevel="0" collapsed="false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customFormat="false" ht="15.75" hidden="false" customHeight="false" outlineLevel="0" collapsed="false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customFormat="false" ht="15.75" hidden="false" customHeight="false" outlineLevel="0" collapsed="false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customFormat="false" ht="15.75" hidden="false" customHeight="false" outlineLevel="0" collapsed="false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customFormat="false" ht="15.75" hidden="false" customHeight="false" outlineLevel="0" collapsed="false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customFormat="false" ht="15.75" hidden="false" customHeight="false" outlineLevel="0" collapsed="false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customFormat="false" ht="15.75" hidden="false" customHeight="false" outlineLevel="0" collapsed="false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customFormat="false" ht="15.75" hidden="false" customHeight="false" outlineLevel="0" collapsed="false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customFormat="false" ht="15.75" hidden="false" customHeight="false" outlineLevel="0" collapsed="false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customFormat="false" ht="15.75" hidden="false" customHeight="false" outlineLevel="0" collapsed="false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customFormat="false" ht="15.75" hidden="false" customHeight="false" outlineLevel="0" collapsed="false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customFormat="false" ht="15.75" hidden="false" customHeight="false" outlineLevel="0" collapsed="false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customFormat="false" ht="15.75" hidden="false" customHeight="false" outlineLevel="0" collapsed="false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customFormat="false" ht="15.75" hidden="false" customHeight="false" outlineLevel="0" collapsed="false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customFormat="false" ht="15.75" hidden="false" customHeight="false" outlineLevel="0" collapsed="false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customFormat="false" ht="15.75" hidden="false" customHeight="false" outlineLevel="0" collapsed="false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customFormat="false" ht="15.75" hidden="false" customHeight="false" outlineLevel="0" collapsed="false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customFormat="false" ht="15.75" hidden="false" customHeight="false" outlineLevel="0" collapsed="false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customFormat="false" ht="15.75" hidden="false" customHeight="false" outlineLevel="0" collapsed="false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customFormat="false" ht="15.75" hidden="false" customHeight="false" outlineLevel="0" collapsed="false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customFormat="false" ht="15.75" hidden="false" customHeight="false" outlineLevel="0" collapsed="false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customFormat="false" ht="15.75" hidden="false" customHeight="false" outlineLevel="0" collapsed="false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customFormat="false" ht="15.75" hidden="false" customHeight="false" outlineLevel="0" collapsed="false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customFormat="false" ht="15.75" hidden="false" customHeight="false" outlineLevel="0" collapsed="false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customFormat="false" ht="15.75" hidden="false" customHeight="false" outlineLevel="0" collapsed="false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customFormat="false" ht="15.75" hidden="false" customHeight="false" outlineLevel="0" collapsed="false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customFormat="false" ht="15.75" hidden="false" customHeight="false" outlineLevel="0" collapsed="false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customFormat="false" ht="15.75" hidden="false" customHeight="false" outlineLevel="0" collapsed="false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customFormat="false" ht="15.75" hidden="false" customHeight="false" outlineLevel="0" collapsed="false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customFormat="false" ht="15.75" hidden="false" customHeight="false" outlineLevel="0" collapsed="false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customFormat="false" ht="15.75" hidden="false" customHeight="false" outlineLevel="0" collapsed="false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customFormat="false" ht="15.75" hidden="false" customHeight="false" outlineLevel="0" collapsed="false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customFormat="false" ht="15.75" hidden="false" customHeight="false" outlineLevel="0" collapsed="false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customFormat="false" ht="15.75" hidden="false" customHeight="false" outlineLevel="0" collapsed="false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customFormat="false" ht="15.75" hidden="false" customHeight="false" outlineLevel="0" collapsed="false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customFormat="false" ht="15.75" hidden="false" customHeight="false" outlineLevel="0" collapsed="false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customFormat="false" ht="15.75" hidden="false" customHeight="false" outlineLevel="0" collapsed="false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customFormat="false" ht="15.75" hidden="false" customHeight="false" outlineLevel="0" collapsed="false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customFormat="false" ht="15.75" hidden="false" customHeight="false" outlineLevel="0" collapsed="false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customFormat="false" ht="15.75" hidden="false" customHeight="false" outlineLevel="0" collapsed="false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customFormat="false" ht="15.75" hidden="false" customHeight="false" outlineLevel="0" collapsed="false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customFormat="false" ht="15.75" hidden="false" customHeight="false" outlineLevel="0" collapsed="false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customFormat="false" ht="15.75" hidden="false" customHeight="false" outlineLevel="0" collapsed="false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customFormat="false" ht="15.75" hidden="false" customHeight="false" outlineLevel="0" collapsed="false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customFormat="false" ht="15.75" hidden="false" customHeight="false" outlineLevel="0" collapsed="false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customFormat="false" ht="15.75" hidden="false" customHeight="false" outlineLevel="0" collapsed="false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customFormat="false" ht="15.75" hidden="false" customHeight="false" outlineLevel="0" collapsed="false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customFormat="false" ht="15.75" hidden="false" customHeight="false" outlineLevel="0" collapsed="false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customFormat="false" ht="15.75" hidden="false" customHeight="false" outlineLevel="0" collapsed="false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customFormat="false" ht="15.75" hidden="false" customHeight="false" outlineLevel="0" collapsed="false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customFormat="false" ht="15.75" hidden="false" customHeight="false" outlineLevel="0" collapsed="false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customFormat="false" ht="15.75" hidden="false" customHeight="false" outlineLevel="0" collapsed="false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customFormat="false" ht="15.75" hidden="false" customHeight="false" outlineLevel="0" collapsed="false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customFormat="false" ht="15.75" hidden="false" customHeight="false" outlineLevel="0" collapsed="false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customFormat="false" ht="15.75" hidden="false" customHeight="false" outlineLevel="0" collapsed="false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customFormat="false" ht="15.75" hidden="false" customHeight="false" outlineLevel="0" collapsed="false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customFormat="false" ht="15.75" hidden="false" customHeight="false" outlineLevel="0" collapsed="false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customFormat="false" ht="15.75" hidden="false" customHeight="false" outlineLevel="0" collapsed="false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customFormat="false" ht="15.75" hidden="false" customHeight="false" outlineLevel="0" collapsed="false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customFormat="false" ht="15.75" hidden="false" customHeight="false" outlineLevel="0" collapsed="false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customFormat="false" ht="15.75" hidden="false" customHeight="false" outlineLevel="0" collapsed="false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customFormat="false" ht="15.75" hidden="false" customHeight="false" outlineLevel="0" collapsed="false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customFormat="false" ht="15.75" hidden="false" customHeight="false" outlineLevel="0" collapsed="false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customFormat="false" ht="15.75" hidden="false" customHeight="false" outlineLevel="0" collapsed="false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customFormat="false" ht="15.75" hidden="false" customHeight="false" outlineLevel="0" collapsed="false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customFormat="false" ht="15.75" hidden="false" customHeight="false" outlineLevel="0" collapsed="false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customFormat="false" ht="15.75" hidden="false" customHeight="false" outlineLevel="0" collapsed="false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customFormat="false" ht="15.75" hidden="false" customHeight="false" outlineLevel="0" collapsed="false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customFormat="false" ht="15.75" hidden="false" customHeight="false" outlineLevel="0" collapsed="false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customFormat="false" ht="15.75" hidden="false" customHeight="false" outlineLevel="0" collapsed="false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customFormat="false" ht="15.75" hidden="false" customHeight="false" outlineLevel="0" collapsed="false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customFormat="false" ht="15.75" hidden="false" customHeight="false" outlineLevel="0" collapsed="false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customFormat="false" ht="15.75" hidden="false" customHeight="false" outlineLevel="0" collapsed="false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customFormat="false" ht="15.75" hidden="false" customHeight="false" outlineLevel="0" collapsed="false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customFormat="false" ht="15.75" hidden="false" customHeight="false" outlineLevel="0" collapsed="false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customFormat="false" ht="15.75" hidden="false" customHeight="false" outlineLevel="0" collapsed="false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customFormat="false" ht="15.75" hidden="false" customHeight="false" outlineLevel="0" collapsed="false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customFormat="false" ht="15.75" hidden="false" customHeight="false" outlineLevel="0" collapsed="false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customFormat="false" ht="15.75" hidden="false" customHeight="false" outlineLevel="0" collapsed="false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customFormat="false" ht="15.75" hidden="false" customHeight="false" outlineLevel="0" collapsed="false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customFormat="false" ht="15.75" hidden="false" customHeight="false" outlineLevel="0" collapsed="false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customFormat="false" ht="15.75" hidden="false" customHeight="false" outlineLevel="0" collapsed="false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customFormat="false" ht="15.75" hidden="false" customHeight="false" outlineLevel="0" collapsed="false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customFormat="false" ht="15.75" hidden="false" customHeight="false" outlineLevel="0" collapsed="false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customFormat="false" ht="15.75" hidden="false" customHeight="false" outlineLevel="0" collapsed="false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customFormat="false" ht="15.75" hidden="false" customHeight="false" outlineLevel="0" collapsed="false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customFormat="false" ht="15.75" hidden="false" customHeight="false" outlineLevel="0" collapsed="false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customFormat="false" ht="15.75" hidden="false" customHeight="false" outlineLevel="0" collapsed="false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customFormat="false" ht="15.75" hidden="false" customHeight="false" outlineLevel="0" collapsed="false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customFormat="false" ht="15.75" hidden="false" customHeight="false" outlineLevel="0" collapsed="false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customFormat="false" ht="15.75" hidden="false" customHeight="false" outlineLevel="0" collapsed="false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customFormat="false" ht="15.75" hidden="false" customHeight="false" outlineLevel="0" collapsed="false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customFormat="false" ht="15.75" hidden="false" customHeight="false" outlineLevel="0" collapsed="false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customFormat="false" ht="15.75" hidden="false" customHeight="false" outlineLevel="0" collapsed="false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customFormat="false" ht="15.75" hidden="false" customHeight="false" outlineLevel="0" collapsed="false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customFormat="false" ht="15.75" hidden="false" customHeight="false" outlineLevel="0" collapsed="false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customFormat="false" ht="15.75" hidden="false" customHeight="false" outlineLevel="0" collapsed="false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customFormat="false" ht="15.75" hidden="false" customHeight="false" outlineLevel="0" collapsed="false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customFormat="false" ht="15.75" hidden="false" customHeight="false" outlineLevel="0" collapsed="false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customFormat="false" ht="15.75" hidden="false" customHeight="false" outlineLevel="0" collapsed="false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customFormat="false" ht="15.75" hidden="false" customHeight="false" outlineLevel="0" collapsed="false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customFormat="false" ht="15.75" hidden="false" customHeight="false" outlineLevel="0" collapsed="false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customFormat="false" ht="15.75" hidden="false" customHeight="false" outlineLevel="0" collapsed="false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customFormat="false" ht="15.75" hidden="false" customHeight="false" outlineLevel="0" collapsed="false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customFormat="false" ht="15.75" hidden="false" customHeight="false" outlineLevel="0" collapsed="false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customFormat="false" ht="15.75" hidden="false" customHeight="false" outlineLevel="0" collapsed="false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customFormat="false" ht="15.75" hidden="false" customHeight="false" outlineLevel="0" collapsed="false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customFormat="false" ht="15.75" hidden="false" customHeight="false" outlineLevel="0" collapsed="false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customFormat="false" ht="15.75" hidden="false" customHeight="false" outlineLevel="0" collapsed="false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customFormat="false" ht="15.75" hidden="false" customHeight="false" outlineLevel="0" collapsed="false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customFormat="false" ht="15.75" hidden="false" customHeight="false" outlineLevel="0" collapsed="false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customFormat="false" ht="15.75" hidden="false" customHeight="false" outlineLevel="0" collapsed="false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customFormat="false" ht="15.75" hidden="false" customHeight="false" outlineLevel="0" collapsed="false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customFormat="false" ht="15.75" hidden="false" customHeight="false" outlineLevel="0" collapsed="false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customFormat="false" ht="15.75" hidden="false" customHeight="false" outlineLevel="0" collapsed="false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customFormat="false" ht="15.75" hidden="false" customHeight="false" outlineLevel="0" collapsed="false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customFormat="false" ht="15.75" hidden="false" customHeight="false" outlineLevel="0" collapsed="false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customFormat="false" ht="15.75" hidden="false" customHeight="false" outlineLevel="0" collapsed="false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customFormat="false" ht="15.75" hidden="false" customHeight="false" outlineLevel="0" collapsed="false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customFormat="false" ht="15.75" hidden="false" customHeight="false" outlineLevel="0" collapsed="false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customFormat="false" ht="15.75" hidden="false" customHeight="false" outlineLevel="0" collapsed="false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customFormat="false" ht="15.75" hidden="false" customHeight="false" outlineLevel="0" collapsed="false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customFormat="false" ht="15.75" hidden="false" customHeight="false" outlineLevel="0" collapsed="false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customFormat="false" ht="15.75" hidden="false" customHeight="false" outlineLevel="0" collapsed="false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customFormat="false" ht="15.75" hidden="false" customHeight="false" outlineLevel="0" collapsed="false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customFormat="false" ht="15.75" hidden="false" customHeight="false" outlineLevel="0" collapsed="false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customFormat="false" ht="15.75" hidden="false" customHeight="false" outlineLevel="0" collapsed="false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customFormat="false" ht="15.75" hidden="false" customHeight="false" outlineLevel="0" collapsed="false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customFormat="false" ht="15.75" hidden="false" customHeight="false" outlineLevel="0" collapsed="false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customFormat="false" ht="15.75" hidden="false" customHeight="false" outlineLevel="0" collapsed="false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customFormat="false" ht="15.75" hidden="false" customHeight="false" outlineLevel="0" collapsed="false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customFormat="false" ht="15.75" hidden="false" customHeight="false" outlineLevel="0" collapsed="false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customFormat="false" ht="15.75" hidden="false" customHeight="false" outlineLevel="0" collapsed="false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customFormat="false" ht="15.75" hidden="false" customHeight="false" outlineLevel="0" collapsed="false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customFormat="false" ht="15.75" hidden="false" customHeight="false" outlineLevel="0" collapsed="false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customFormat="false" ht="15.75" hidden="false" customHeight="false" outlineLevel="0" collapsed="false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customFormat="false" ht="15.75" hidden="false" customHeight="false" outlineLevel="0" collapsed="false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customFormat="false" ht="15.75" hidden="false" customHeight="false" outlineLevel="0" collapsed="false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customFormat="false" ht="15.75" hidden="false" customHeight="false" outlineLevel="0" collapsed="false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customFormat="false" ht="15.75" hidden="false" customHeight="false" outlineLevel="0" collapsed="false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customFormat="false" ht="15.75" hidden="false" customHeight="false" outlineLevel="0" collapsed="false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customFormat="false" ht="15.75" hidden="false" customHeight="false" outlineLevel="0" collapsed="false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customFormat="false" ht="15.75" hidden="false" customHeight="false" outlineLevel="0" collapsed="false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customFormat="false" ht="15.75" hidden="false" customHeight="false" outlineLevel="0" collapsed="false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customFormat="false" ht="15.75" hidden="false" customHeight="false" outlineLevel="0" collapsed="false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customFormat="false" ht="15.75" hidden="false" customHeight="false" outlineLevel="0" collapsed="false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customFormat="false" ht="15.75" hidden="false" customHeight="false" outlineLevel="0" collapsed="false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customFormat="false" ht="15.75" hidden="false" customHeight="false" outlineLevel="0" collapsed="false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customFormat="false" ht="15.75" hidden="false" customHeight="false" outlineLevel="0" collapsed="false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customFormat="false" ht="15.75" hidden="false" customHeight="false" outlineLevel="0" collapsed="false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customFormat="false" ht="15.75" hidden="false" customHeight="false" outlineLevel="0" collapsed="false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customFormat="false" ht="15.75" hidden="false" customHeight="false" outlineLevel="0" collapsed="false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customFormat="false" ht="15.75" hidden="false" customHeight="false" outlineLevel="0" collapsed="false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customFormat="false" ht="15.75" hidden="false" customHeight="false" outlineLevel="0" collapsed="false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customFormat="false" ht="15.75" hidden="false" customHeight="false" outlineLevel="0" collapsed="false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customFormat="false" ht="15.75" hidden="false" customHeight="false" outlineLevel="0" collapsed="false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customFormat="false" ht="15.75" hidden="false" customHeight="false" outlineLevel="0" collapsed="false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customFormat="false" ht="15.75" hidden="false" customHeight="false" outlineLevel="0" collapsed="false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customFormat="false" ht="15.75" hidden="false" customHeight="false" outlineLevel="0" collapsed="false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customFormat="false" ht="15.75" hidden="false" customHeight="false" outlineLevel="0" collapsed="false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customFormat="false" ht="15.75" hidden="false" customHeight="false" outlineLevel="0" collapsed="false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customFormat="false" ht="15.75" hidden="false" customHeight="false" outlineLevel="0" collapsed="false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customFormat="false" ht="15.75" hidden="false" customHeight="false" outlineLevel="0" collapsed="false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customFormat="false" ht="15.75" hidden="false" customHeight="false" outlineLevel="0" collapsed="false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customFormat="false" ht="15.75" hidden="false" customHeight="false" outlineLevel="0" collapsed="false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customFormat="false" ht="15.75" hidden="false" customHeight="false" outlineLevel="0" collapsed="false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customFormat="false" ht="15.75" hidden="false" customHeight="false" outlineLevel="0" collapsed="false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customFormat="false" ht="15.75" hidden="false" customHeight="false" outlineLevel="0" collapsed="false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customFormat="false" ht="15.75" hidden="false" customHeight="false" outlineLevel="0" collapsed="false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customFormat="false" ht="15.75" hidden="false" customHeight="false" outlineLevel="0" collapsed="false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customFormat="false" ht="15.75" hidden="false" customHeight="false" outlineLevel="0" collapsed="false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customFormat="false" ht="15.75" hidden="false" customHeight="false" outlineLevel="0" collapsed="false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customFormat="false" ht="15.75" hidden="false" customHeight="false" outlineLevel="0" collapsed="false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customFormat="false" ht="15.75" hidden="false" customHeight="false" outlineLevel="0" collapsed="false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customFormat="false" ht="15.75" hidden="false" customHeight="false" outlineLevel="0" collapsed="false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customFormat="false" ht="15.75" hidden="false" customHeight="false" outlineLevel="0" collapsed="false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customFormat="false" ht="15.75" hidden="false" customHeight="false" outlineLevel="0" collapsed="false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customFormat="false" ht="15.75" hidden="false" customHeight="false" outlineLevel="0" collapsed="false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customFormat="false" ht="15.75" hidden="false" customHeight="false" outlineLevel="0" collapsed="false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customFormat="false" ht="15.75" hidden="false" customHeight="false" outlineLevel="0" collapsed="false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customFormat="false" ht="15.75" hidden="false" customHeight="false" outlineLevel="0" collapsed="false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customFormat="false" ht="15.75" hidden="false" customHeight="false" outlineLevel="0" collapsed="false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customFormat="false" ht="15.75" hidden="false" customHeight="false" outlineLevel="0" collapsed="false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customFormat="false" ht="15.75" hidden="false" customHeight="false" outlineLevel="0" collapsed="false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customFormat="false" ht="15.75" hidden="false" customHeight="false" outlineLevel="0" collapsed="false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customFormat="false" ht="15.75" hidden="false" customHeight="false" outlineLevel="0" collapsed="false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customFormat="false" ht="15.75" hidden="false" customHeight="false" outlineLevel="0" collapsed="false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customFormat="false" ht="15.75" hidden="false" customHeight="false" outlineLevel="0" collapsed="false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customFormat="false" ht="15.75" hidden="false" customHeight="false" outlineLevel="0" collapsed="false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customFormat="false" ht="15.75" hidden="false" customHeight="false" outlineLevel="0" collapsed="false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customFormat="false" ht="15.75" hidden="false" customHeight="false" outlineLevel="0" collapsed="false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customFormat="false" ht="15.75" hidden="false" customHeight="false" outlineLevel="0" collapsed="false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customFormat="false" ht="15.75" hidden="false" customHeight="false" outlineLevel="0" collapsed="false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customFormat="false" ht="15.75" hidden="false" customHeight="false" outlineLevel="0" collapsed="false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customFormat="false" ht="15.75" hidden="false" customHeight="false" outlineLevel="0" collapsed="false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customFormat="false" ht="15.75" hidden="false" customHeight="false" outlineLevel="0" collapsed="false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customFormat="false" ht="15.75" hidden="false" customHeight="false" outlineLevel="0" collapsed="false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customFormat="false" ht="15.75" hidden="false" customHeight="false" outlineLevel="0" collapsed="false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customFormat="false" ht="15.75" hidden="false" customHeight="false" outlineLevel="0" collapsed="false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customFormat="false" ht="15.75" hidden="false" customHeight="false" outlineLevel="0" collapsed="false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customFormat="false" ht="15.75" hidden="false" customHeight="false" outlineLevel="0" collapsed="false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customFormat="false" ht="15.75" hidden="false" customHeight="false" outlineLevel="0" collapsed="false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customFormat="false" ht="15.75" hidden="false" customHeight="false" outlineLevel="0" collapsed="false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customFormat="false" ht="15.75" hidden="false" customHeight="false" outlineLevel="0" collapsed="false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customFormat="false" ht="15.75" hidden="false" customHeight="false" outlineLevel="0" collapsed="false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customFormat="false" ht="15.75" hidden="false" customHeight="false" outlineLevel="0" collapsed="false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customFormat="false" ht="15.75" hidden="false" customHeight="false" outlineLevel="0" collapsed="false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customFormat="false" ht="15.75" hidden="false" customHeight="false" outlineLevel="0" collapsed="false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customFormat="false" ht="15.75" hidden="false" customHeight="false" outlineLevel="0" collapsed="false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customFormat="false" ht="15.75" hidden="false" customHeight="false" outlineLevel="0" collapsed="false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customFormat="false" ht="15.75" hidden="false" customHeight="false" outlineLevel="0" collapsed="false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customFormat="false" ht="15.75" hidden="false" customHeight="false" outlineLevel="0" collapsed="false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customFormat="false" ht="15.75" hidden="false" customHeight="false" outlineLevel="0" collapsed="false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customFormat="false" ht="15.75" hidden="false" customHeight="false" outlineLevel="0" collapsed="false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customFormat="false" ht="15.75" hidden="false" customHeight="false" outlineLevel="0" collapsed="false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customFormat="false" ht="15.75" hidden="false" customHeight="false" outlineLevel="0" collapsed="false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customFormat="false" ht="15.75" hidden="false" customHeight="false" outlineLevel="0" collapsed="false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customFormat="false" ht="15.75" hidden="false" customHeight="false" outlineLevel="0" collapsed="false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customFormat="false" ht="15.75" hidden="false" customHeight="false" outlineLevel="0" collapsed="false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customFormat="false" ht="15.75" hidden="false" customHeight="false" outlineLevel="0" collapsed="false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customFormat="false" ht="15.75" hidden="false" customHeight="false" outlineLevel="0" collapsed="false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customFormat="false" ht="15.75" hidden="false" customHeight="false" outlineLevel="0" collapsed="false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customFormat="false" ht="15.75" hidden="false" customHeight="false" outlineLevel="0" collapsed="false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customFormat="false" ht="15.75" hidden="false" customHeight="false" outlineLevel="0" collapsed="false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customFormat="false" ht="15.75" hidden="false" customHeight="false" outlineLevel="0" collapsed="false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customFormat="false" ht="15.75" hidden="false" customHeight="false" outlineLevel="0" collapsed="false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customFormat="false" ht="15.75" hidden="false" customHeight="false" outlineLevel="0" collapsed="false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customFormat="false" ht="15.75" hidden="false" customHeight="false" outlineLevel="0" collapsed="false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customFormat="false" ht="15.75" hidden="false" customHeight="false" outlineLevel="0" collapsed="false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customFormat="false" ht="15.75" hidden="false" customHeight="false" outlineLevel="0" collapsed="false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customFormat="false" ht="15.75" hidden="false" customHeight="false" outlineLevel="0" collapsed="false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customFormat="false" ht="15.75" hidden="false" customHeight="false" outlineLevel="0" collapsed="false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customFormat="false" ht="15.75" hidden="false" customHeight="false" outlineLevel="0" collapsed="false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customFormat="false" ht="15.75" hidden="false" customHeight="false" outlineLevel="0" collapsed="false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customFormat="false" ht="15.75" hidden="false" customHeight="false" outlineLevel="0" collapsed="false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customFormat="false" ht="15.75" hidden="false" customHeight="false" outlineLevel="0" collapsed="false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customFormat="false" ht="15.75" hidden="false" customHeight="false" outlineLevel="0" collapsed="false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customFormat="false" ht="15.75" hidden="false" customHeight="false" outlineLevel="0" collapsed="false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customFormat="false" ht="15.75" hidden="false" customHeight="false" outlineLevel="0" collapsed="false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customFormat="false" ht="15.75" hidden="false" customHeight="false" outlineLevel="0" collapsed="false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customFormat="false" ht="15.75" hidden="false" customHeight="false" outlineLevel="0" collapsed="false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customFormat="false" ht="15.75" hidden="false" customHeight="false" outlineLevel="0" collapsed="false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customFormat="false" ht="15.75" hidden="false" customHeight="false" outlineLevel="0" collapsed="false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customFormat="false" ht="15.75" hidden="false" customHeight="false" outlineLevel="0" collapsed="false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customFormat="false" ht="15.75" hidden="false" customHeight="false" outlineLevel="0" collapsed="false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customFormat="false" ht="15.75" hidden="false" customHeight="false" outlineLevel="0" collapsed="false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customFormat="false" ht="15.75" hidden="false" customHeight="false" outlineLevel="0" collapsed="false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customFormat="false" ht="15.75" hidden="false" customHeight="false" outlineLevel="0" collapsed="false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customFormat="false" ht="15.75" hidden="false" customHeight="false" outlineLevel="0" collapsed="false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customFormat="false" ht="15.75" hidden="false" customHeight="false" outlineLevel="0" collapsed="false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customFormat="false" ht="15.75" hidden="false" customHeight="false" outlineLevel="0" collapsed="false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customFormat="false" ht="15.75" hidden="false" customHeight="false" outlineLevel="0" collapsed="false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customFormat="false" ht="15.75" hidden="false" customHeight="false" outlineLevel="0" collapsed="false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customFormat="false" ht="15.75" hidden="false" customHeight="false" outlineLevel="0" collapsed="false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customFormat="false" ht="15.75" hidden="false" customHeight="false" outlineLevel="0" collapsed="false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customFormat="false" ht="15.75" hidden="false" customHeight="false" outlineLevel="0" collapsed="false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customFormat="false" ht="15.75" hidden="false" customHeight="false" outlineLevel="0" collapsed="false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customFormat="false" ht="15.75" hidden="false" customHeight="false" outlineLevel="0" collapsed="false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customFormat="false" ht="15.75" hidden="false" customHeight="false" outlineLevel="0" collapsed="false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customFormat="false" ht="15.75" hidden="false" customHeight="false" outlineLevel="0" collapsed="false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customFormat="false" ht="15.75" hidden="false" customHeight="false" outlineLevel="0" collapsed="false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customFormat="false" ht="15.75" hidden="false" customHeight="false" outlineLevel="0" collapsed="false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customFormat="false" ht="15.75" hidden="false" customHeight="false" outlineLevel="0" collapsed="false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customFormat="false" ht="15.75" hidden="false" customHeight="false" outlineLevel="0" collapsed="false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customFormat="false" ht="15.75" hidden="false" customHeight="false" outlineLevel="0" collapsed="false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customFormat="false" ht="15.75" hidden="false" customHeight="false" outlineLevel="0" collapsed="false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customFormat="false" ht="15.75" hidden="false" customHeight="false" outlineLevel="0" collapsed="false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customFormat="false" ht="15.75" hidden="false" customHeight="false" outlineLevel="0" collapsed="false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customFormat="false" ht="15.75" hidden="false" customHeight="false" outlineLevel="0" collapsed="false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customFormat="false" ht="15.75" hidden="false" customHeight="false" outlineLevel="0" collapsed="false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customFormat="false" ht="15.75" hidden="false" customHeight="false" outlineLevel="0" collapsed="false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customFormat="false" ht="15.75" hidden="false" customHeight="false" outlineLevel="0" collapsed="false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customFormat="false" ht="15.75" hidden="false" customHeight="false" outlineLevel="0" collapsed="false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customFormat="false" ht="15.75" hidden="false" customHeight="false" outlineLevel="0" collapsed="false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customFormat="false" ht="15.75" hidden="false" customHeight="false" outlineLevel="0" collapsed="false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customFormat="false" ht="15.75" hidden="false" customHeight="false" outlineLevel="0" collapsed="false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customFormat="false" ht="15.75" hidden="false" customHeight="false" outlineLevel="0" collapsed="false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customFormat="false" ht="15.75" hidden="false" customHeight="false" outlineLevel="0" collapsed="false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customFormat="false" ht="15.75" hidden="false" customHeight="false" outlineLevel="0" collapsed="false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customFormat="false" ht="15.75" hidden="false" customHeight="false" outlineLevel="0" collapsed="false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customFormat="false" ht="15.75" hidden="false" customHeight="false" outlineLevel="0" collapsed="false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customFormat="false" ht="15.75" hidden="false" customHeight="false" outlineLevel="0" collapsed="false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customFormat="false" ht="15.75" hidden="false" customHeight="false" outlineLevel="0" collapsed="false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customFormat="false" ht="15.75" hidden="false" customHeight="false" outlineLevel="0" collapsed="false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customFormat="false" ht="15.75" hidden="false" customHeight="false" outlineLevel="0" collapsed="false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customFormat="false" ht="15.75" hidden="false" customHeight="false" outlineLevel="0" collapsed="false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customFormat="false" ht="15.75" hidden="false" customHeight="false" outlineLevel="0" collapsed="false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customFormat="false" ht="15.75" hidden="false" customHeight="false" outlineLevel="0" collapsed="false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customFormat="false" ht="15.75" hidden="false" customHeight="false" outlineLevel="0" collapsed="false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customFormat="false" ht="15.75" hidden="false" customHeight="false" outlineLevel="0" collapsed="false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customFormat="false" ht="15.75" hidden="false" customHeight="false" outlineLevel="0" collapsed="false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customFormat="false" ht="15.75" hidden="false" customHeight="false" outlineLevel="0" collapsed="false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customFormat="false" ht="15.75" hidden="false" customHeight="false" outlineLevel="0" collapsed="false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customFormat="false" ht="15.75" hidden="false" customHeight="false" outlineLevel="0" collapsed="false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customFormat="false" ht="15.75" hidden="false" customHeight="false" outlineLevel="0" collapsed="false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customFormat="false" ht="15.75" hidden="false" customHeight="false" outlineLevel="0" collapsed="false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customFormat="false" ht="15.75" hidden="false" customHeight="false" outlineLevel="0" collapsed="false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customFormat="false" ht="15.75" hidden="false" customHeight="false" outlineLevel="0" collapsed="false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customFormat="false" ht="15.75" hidden="false" customHeight="false" outlineLevel="0" collapsed="false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customFormat="false" ht="15.75" hidden="false" customHeight="false" outlineLevel="0" collapsed="false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customFormat="false" ht="15.75" hidden="false" customHeight="false" outlineLevel="0" collapsed="false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customFormat="false" ht="15.75" hidden="false" customHeight="false" outlineLevel="0" collapsed="false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customFormat="false" ht="15.75" hidden="false" customHeight="false" outlineLevel="0" collapsed="false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customFormat="false" ht="15.75" hidden="false" customHeight="false" outlineLevel="0" collapsed="false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customFormat="false" ht="15.75" hidden="false" customHeight="false" outlineLevel="0" collapsed="false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customFormat="false" ht="15.75" hidden="false" customHeight="false" outlineLevel="0" collapsed="false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customFormat="false" ht="15.75" hidden="false" customHeight="false" outlineLevel="0" collapsed="false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customFormat="false" ht="15.75" hidden="false" customHeight="false" outlineLevel="0" collapsed="false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customFormat="false" ht="15.75" hidden="false" customHeight="false" outlineLevel="0" collapsed="false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customFormat="false" ht="15.75" hidden="false" customHeight="false" outlineLevel="0" collapsed="false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customFormat="false" ht="15.75" hidden="false" customHeight="false" outlineLevel="0" collapsed="false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customFormat="false" ht="15.75" hidden="false" customHeight="false" outlineLevel="0" collapsed="false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customFormat="false" ht="15.75" hidden="false" customHeight="false" outlineLevel="0" collapsed="false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customFormat="false" ht="15.75" hidden="false" customHeight="false" outlineLevel="0" collapsed="false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customFormat="false" ht="15.75" hidden="false" customHeight="false" outlineLevel="0" collapsed="false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customFormat="false" ht="15.75" hidden="false" customHeight="false" outlineLevel="0" collapsed="false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customFormat="false" ht="15.75" hidden="false" customHeight="false" outlineLevel="0" collapsed="false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customFormat="false" ht="15.75" hidden="false" customHeight="false" outlineLevel="0" collapsed="false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customFormat="false" ht="15.75" hidden="false" customHeight="false" outlineLevel="0" collapsed="false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customFormat="false" ht="15.75" hidden="false" customHeight="false" outlineLevel="0" collapsed="false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customFormat="false" ht="15.75" hidden="false" customHeight="false" outlineLevel="0" collapsed="false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customFormat="false" ht="15.75" hidden="false" customHeight="false" outlineLevel="0" collapsed="false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customFormat="false" ht="15.75" hidden="false" customHeight="false" outlineLevel="0" collapsed="false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customFormat="false" ht="15.75" hidden="false" customHeight="false" outlineLevel="0" collapsed="false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customFormat="false" ht="15.75" hidden="false" customHeight="false" outlineLevel="0" collapsed="false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customFormat="false" ht="15.75" hidden="false" customHeight="false" outlineLevel="0" collapsed="false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customFormat="false" ht="15.75" hidden="false" customHeight="false" outlineLevel="0" collapsed="false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customFormat="false" ht="15.75" hidden="false" customHeight="false" outlineLevel="0" collapsed="false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customFormat="false" ht="15.75" hidden="false" customHeight="false" outlineLevel="0" collapsed="false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customFormat="false" ht="15.75" hidden="false" customHeight="false" outlineLevel="0" collapsed="false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customFormat="false" ht="15.75" hidden="false" customHeight="false" outlineLevel="0" collapsed="false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customFormat="false" ht="15.75" hidden="false" customHeight="false" outlineLevel="0" collapsed="false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customFormat="false" ht="15.75" hidden="false" customHeight="false" outlineLevel="0" collapsed="false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customFormat="false" ht="15.75" hidden="false" customHeight="false" outlineLevel="0" collapsed="false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customFormat="false" ht="15.75" hidden="false" customHeight="false" outlineLevel="0" collapsed="false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customFormat="false" ht="15.75" hidden="false" customHeight="false" outlineLevel="0" collapsed="false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customFormat="false" ht="15.75" hidden="false" customHeight="false" outlineLevel="0" collapsed="false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customFormat="false" ht="15.75" hidden="false" customHeight="false" outlineLevel="0" collapsed="false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customFormat="false" ht="15.75" hidden="false" customHeight="false" outlineLevel="0" collapsed="false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customFormat="false" ht="15.75" hidden="false" customHeight="false" outlineLevel="0" collapsed="false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customFormat="false" ht="15.75" hidden="false" customHeight="false" outlineLevel="0" collapsed="false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customFormat="false" ht="15.75" hidden="false" customHeight="false" outlineLevel="0" collapsed="false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customFormat="false" ht="15.75" hidden="false" customHeight="false" outlineLevel="0" collapsed="false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customFormat="false" ht="15.75" hidden="false" customHeight="false" outlineLevel="0" collapsed="false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customFormat="false" ht="15.75" hidden="false" customHeight="false" outlineLevel="0" collapsed="false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customFormat="false" ht="15.75" hidden="false" customHeight="false" outlineLevel="0" collapsed="false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customFormat="false" ht="15.75" hidden="false" customHeight="false" outlineLevel="0" collapsed="false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customFormat="false" ht="15.75" hidden="false" customHeight="false" outlineLevel="0" collapsed="false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customFormat="false" ht="15.75" hidden="false" customHeight="false" outlineLevel="0" collapsed="false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customFormat="false" ht="15.75" hidden="false" customHeight="false" outlineLevel="0" collapsed="false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customFormat="false" ht="15.75" hidden="false" customHeight="false" outlineLevel="0" collapsed="false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customFormat="false" ht="15.75" hidden="false" customHeight="false" outlineLevel="0" collapsed="false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customFormat="false" ht="15.75" hidden="false" customHeight="false" outlineLevel="0" collapsed="false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customFormat="false" ht="15.75" hidden="false" customHeight="false" outlineLevel="0" collapsed="false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customFormat="false" ht="15.75" hidden="false" customHeight="false" outlineLevel="0" collapsed="false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customFormat="false" ht="15.75" hidden="false" customHeight="false" outlineLevel="0" collapsed="false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customFormat="false" ht="15.75" hidden="false" customHeight="false" outlineLevel="0" collapsed="false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customFormat="false" ht="15.75" hidden="false" customHeight="false" outlineLevel="0" collapsed="false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customFormat="false" ht="15.75" hidden="false" customHeight="false" outlineLevel="0" collapsed="false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customFormat="false" ht="15.75" hidden="false" customHeight="false" outlineLevel="0" collapsed="false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customFormat="false" ht="15.75" hidden="false" customHeight="false" outlineLevel="0" collapsed="false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customFormat="false" ht="15.75" hidden="false" customHeight="false" outlineLevel="0" collapsed="false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customFormat="false" ht="15.75" hidden="false" customHeight="false" outlineLevel="0" collapsed="false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customFormat="false" ht="15.75" hidden="false" customHeight="false" outlineLevel="0" collapsed="false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customFormat="false" ht="15.75" hidden="false" customHeight="false" outlineLevel="0" collapsed="false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customFormat="false" ht="15.75" hidden="false" customHeight="false" outlineLevel="0" collapsed="false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customFormat="false" ht="15.75" hidden="false" customHeight="false" outlineLevel="0" collapsed="false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customFormat="false" ht="15.75" hidden="false" customHeight="false" outlineLevel="0" collapsed="false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customFormat="false" ht="15.75" hidden="false" customHeight="false" outlineLevel="0" collapsed="false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customFormat="false" ht="15.75" hidden="false" customHeight="false" outlineLevel="0" collapsed="false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customFormat="false" ht="15.75" hidden="false" customHeight="false" outlineLevel="0" collapsed="false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customFormat="false" ht="15.75" hidden="false" customHeight="false" outlineLevel="0" collapsed="false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customFormat="false" ht="15.75" hidden="false" customHeight="false" outlineLevel="0" collapsed="false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customFormat="false" ht="15.75" hidden="false" customHeight="false" outlineLevel="0" collapsed="false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customFormat="false" ht="15.75" hidden="false" customHeight="false" outlineLevel="0" collapsed="false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customFormat="false" ht="15.75" hidden="false" customHeight="false" outlineLevel="0" collapsed="false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customFormat="false" ht="15.75" hidden="false" customHeight="false" outlineLevel="0" collapsed="false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customFormat="false" ht="15.75" hidden="false" customHeight="false" outlineLevel="0" collapsed="false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customFormat="false" ht="15.75" hidden="false" customHeight="false" outlineLevel="0" collapsed="false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customFormat="false" ht="15.75" hidden="false" customHeight="false" outlineLevel="0" collapsed="false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customFormat="false" ht="15.75" hidden="false" customHeight="false" outlineLevel="0" collapsed="false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customFormat="false" ht="15.75" hidden="false" customHeight="false" outlineLevel="0" collapsed="false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customFormat="false" ht="15.75" hidden="false" customHeight="false" outlineLevel="0" collapsed="false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customFormat="false" ht="15.75" hidden="false" customHeight="false" outlineLevel="0" collapsed="false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customFormat="false" ht="15.75" hidden="false" customHeight="false" outlineLevel="0" collapsed="false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customFormat="false" ht="15.75" hidden="false" customHeight="false" outlineLevel="0" collapsed="false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customFormat="false" ht="15.75" hidden="false" customHeight="false" outlineLevel="0" collapsed="false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customFormat="false" ht="15.75" hidden="false" customHeight="false" outlineLevel="0" collapsed="false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customFormat="false" ht="15.75" hidden="false" customHeight="false" outlineLevel="0" collapsed="false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customFormat="false" ht="15.75" hidden="false" customHeight="false" outlineLevel="0" collapsed="false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customFormat="false" ht="15.75" hidden="false" customHeight="false" outlineLevel="0" collapsed="false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customFormat="false" ht="15.75" hidden="false" customHeight="false" outlineLevel="0" collapsed="false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customFormat="false" ht="15.75" hidden="false" customHeight="false" outlineLevel="0" collapsed="false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customFormat="false" ht="15.75" hidden="false" customHeight="false" outlineLevel="0" collapsed="false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customFormat="false" ht="15.75" hidden="false" customHeight="false" outlineLevel="0" collapsed="false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customFormat="false" ht="15.75" hidden="false" customHeight="false" outlineLevel="0" collapsed="false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customFormat="false" ht="15.75" hidden="false" customHeight="false" outlineLevel="0" collapsed="false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customFormat="false" ht="15.75" hidden="false" customHeight="false" outlineLevel="0" collapsed="false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customFormat="false" ht="15.75" hidden="false" customHeight="false" outlineLevel="0" collapsed="false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customFormat="false" ht="15.75" hidden="false" customHeight="false" outlineLevel="0" collapsed="false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customFormat="false" ht="15.75" hidden="false" customHeight="false" outlineLevel="0" collapsed="false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customFormat="false" ht="15.75" hidden="false" customHeight="false" outlineLevel="0" collapsed="false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customFormat="false" ht="15.75" hidden="false" customHeight="false" outlineLevel="0" collapsed="false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customFormat="false" ht="15.75" hidden="false" customHeight="false" outlineLevel="0" collapsed="false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customFormat="false" ht="15.75" hidden="false" customHeight="false" outlineLevel="0" collapsed="false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customFormat="false" ht="15.75" hidden="false" customHeight="false" outlineLevel="0" collapsed="false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customFormat="false" ht="15.75" hidden="false" customHeight="false" outlineLevel="0" collapsed="false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customFormat="false" ht="15.75" hidden="false" customHeight="false" outlineLevel="0" collapsed="false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customFormat="false" ht="15.75" hidden="false" customHeight="false" outlineLevel="0" collapsed="false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customFormat="false" ht="15.75" hidden="false" customHeight="false" outlineLevel="0" collapsed="false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customFormat="false" ht="15.75" hidden="false" customHeight="false" outlineLevel="0" collapsed="false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customFormat="false" ht="15.75" hidden="false" customHeight="false" outlineLevel="0" collapsed="false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customFormat="false" ht="15.75" hidden="false" customHeight="false" outlineLevel="0" collapsed="false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customFormat="false" ht="15.75" hidden="false" customHeight="false" outlineLevel="0" collapsed="false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customFormat="false" ht="15.75" hidden="false" customHeight="false" outlineLevel="0" collapsed="false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customFormat="false" ht="15.75" hidden="false" customHeight="false" outlineLevel="0" collapsed="false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customFormat="false" ht="15.75" hidden="false" customHeight="false" outlineLevel="0" collapsed="false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customFormat="false" ht="15.75" hidden="false" customHeight="false" outlineLevel="0" collapsed="false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customFormat="false" ht="15.75" hidden="false" customHeight="false" outlineLevel="0" collapsed="false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customFormat="false" ht="15.75" hidden="false" customHeight="false" outlineLevel="0" collapsed="false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customFormat="false" ht="15.75" hidden="false" customHeight="false" outlineLevel="0" collapsed="false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customFormat="false" ht="15.75" hidden="false" customHeight="false" outlineLevel="0" collapsed="false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customFormat="false" ht="15.75" hidden="false" customHeight="false" outlineLevel="0" collapsed="false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customFormat="false" ht="15.75" hidden="false" customHeight="false" outlineLevel="0" collapsed="false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customFormat="false" ht="15.75" hidden="false" customHeight="false" outlineLevel="0" collapsed="false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customFormat="false" ht="15.75" hidden="false" customHeight="false" outlineLevel="0" collapsed="false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customFormat="false" ht="15.75" hidden="false" customHeight="false" outlineLevel="0" collapsed="false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customFormat="false" ht="15.75" hidden="false" customHeight="false" outlineLevel="0" collapsed="false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customFormat="false" ht="15.75" hidden="false" customHeight="false" outlineLevel="0" collapsed="false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customFormat="false" ht="15.75" hidden="false" customHeight="false" outlineLevel="0" collapsed="false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customFormat="false" ht="15.75" hidden="false" customHeight="false" outlineLevel="0" collapsed="false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customFormat="false" ht="15.75" hidden="false" customHeight="false" outlineLevel="0" collapsed="false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customFormat="false" ht="15.75" hidden="false" customHeight="false" outlineLevel="0" collapsed="false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customFormat="false" ht="15.75" hidden="false" customHeight="false" outlineLevel="0" collapsed="false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customFormat="false" ht="15.75" hidden="false" customHeight="false" outlineLevel="0" collapsed="false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customFormat="false" ht="15.75" hidden="false" customHeight="false" outlineLevel="0" collapsed="false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customFormat="false" ht="15.75" hidden="false" customHeight="false" outlineLevel="0" collapsed="false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customFormat="false" ht="15.75" hidden="false" customHeight="false" outlineLevel="0" collapsed="false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customFormat="false" ht="15.75" hidden="false" customHeight="false" outlineLevel="0" collapsed="false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customFormat="false" ht="15.75" hidden="false" customHeight="false" outlineLevel="0" collapsed="false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customFormat="false" ht="15.75" hidden="false" customHeight="false" outlineLevel="0" collapsed="false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customFormat="false" ht="15.75" hidden="false" customHeight="false" outlineLevel="0" collapsed="false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customFormat="false" ht="15.75" hidden="false" customHeight="false" outlineLevel="0" collapsed="false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customFormat="false" ht="15.75" hidden="false" customHeight="false" outlineLevel="0" collapsed="false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customFormat="false" ht="15.75" hidden="false" customHeight="false" outlineLevel="0" collapsed="false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customFormat="false" ht="15.75" hidden="false" customHeight="false" outlineLevel="0" collapsed="false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customFormat="false" ht="15.75" hidden="false" customHeight="false" outlineLevel="0" collapsed="false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customFormat="false" ht="15.75" hidden="false" customHeight="false" outlineLevel="0" collapsed="false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customFormat="false" ht="15.75" hidden="false" customHeight="false" outlineLevel="0" collapsed="false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customFormat="false" ht="15.75" hidden="false" customHeight="false" outlineLevel="0" collapsed="false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customFormat="false" ht="15.75" hidden="false" customHeight="false" outlineLevel="0" collapsed="false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customFormat="false" ht="15.75" hidden="false" customHeight="false" outlineLevel="0" collapsed="false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customFormat="false" ht="15.75" hidden="false" customHeight="false" outlineLevel="0" collapsed="false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customFormat="false" ht="15.75" hidden="false" customHeight="false" outlineLevel="0" collapsed="false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customFormat="false" ht="15.75" hidden="false" customHeight="false" outlineLevel="0" collapsed="false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customFormat="false" ht="15.75" hidden="false" customHeight="false" outlineLevel="0" collapsed="false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customFormat="false" ht="15.75" hidden="false" customHeight="false" outlineLevel="0" collapsed="false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customFormat="false" ht="15.75" hidden="false" customHeight="false" outlineLevel="0" collapsed="false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customFormat="false" ht="15.75" hidden="false" customHeight="false" outlineLevel="0" collapsed="false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customFormat="false" ht="15.75" hidden="false" customHeight="false" outlineLevel="0" collapsed="false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customFormat="false" ht="15.75" hidden="false" customHeight="false" outlineLevel="0" collapsed="false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customFormat="false" ht="15.75" hidden="false" customHeight="false" outlineLevel="0" collapsed="false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customFormat="false" ht="15.75" hidden="false" customHeight="false" outlineLevel="0" collapsed="false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customFormat="false" ht="15.75" hidden="false" customHeight="false" outlineLevel="0" collapsed="false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customFormat="false" ht="15.75" hidden="false" customHeight="false" outlineLevel="0" collapsed="false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customFormat="false" ht="15.75" hidden="false" customHeight="false" outlineLevel="0" collapsed="false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customFormat="false" ht="15.75" hidden="false" customHeight="false" outlineLevel="0" collapsed="false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customFormat="false" ht="15.75" hidden="false" customHeight="false" outlineLevel="0" collapsed="false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customFormat="false" ht="15.75" hidden="false" customHeight="false" outlineLevel="0" collapsed="false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customFormat="false" ht="15.75" hidden="false" customHeight="false" outlineLevel="0" collapsed="false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customFormat="false" ht="15.75" hidden="false" customHeight="false" outlineLevel="0" collapsed="false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customFormat="false" ht="15.75" hidden="false" customHeight="false" outlineLevel="0" collapsed="false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customFormat="false" ht="15.75" hidden="false" customHeight="false" outlineLevel="0" collapsed="false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customFormat="false" ht="15.75" hidden="false" customHeight="false" outlineLevel="0" collapsed="false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customFormat="false" ht="15.75" hidden="false" customHeight="false" outlineLevel="0" collapsed="false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customFormat="false" ht="15.75" hidden="false" customHeight="false" outlineLevel="0" collapsed="false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customFormat="false" ht="15.75" hidden="false" customHeight="false" outlineLevel="0" collapsed="false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customFormat="false" ht="15.75" hidden="false" customHeight="false" outlineLevel="0" collapsed="false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customFormat="false" ht="15.75" hidden="false" customHeight="false" outlineLevel="0" collapsed="false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customFormat="false" ht="15.75" hidden="false" customHeight="false" outlineLevel="0" collapsed="false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customFormat="false" ht="15.75" hidden="false" customHeight="false" outlineLevel="0" collapsed="false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customFormat="false" ht="15.75" hidden="false" customHeight="false" outlineLevel="0" collapsed="false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customFormat="false" ht="15.75" hidden="false" customHeight="false" outlineLevel="0" collapsed="false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customFormat="false" ht="15.75" hidden="false" customHeight="false" outlineLevel="0" collapsed="false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customFormat="false" ht="15.75" hidden="false" customHeight="false" outlineLevel="0" collapsed="false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customFormat="false" ht="15.75" hidden="false" customHeight="false" outlineLevel="0" collapsed="false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customFormat="false" ht="15.75" hidden="false" customHeight="false" outlineLevel="0" collapsed="false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customFormat="false" ht="15.75" hidden="false" customHeight="false" outlineLevel="0" collapsed="false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customFormat="false" ht="15.75" hidden="false" customHeight="false" outlineLevel="0" collapsed="false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customFormat="false" ht="15.75" hidden="false" customHeight="false" outlineLevel="0" collapsed="false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customFormat="false" ht="15.75" hidden="false" customHeight="false" outlineLevel="0" collapsed="false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customFormat="false" ht="15.75" hidden="false" customHeight="false" outlineLevel="0" collapsed="false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customFormat="false" ht="15.75" hidden="false" customHeight="false" outlineLevel="0" collapsed="false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customFormat="false" ht="15.75" hidden="false" customHeight="false" outlineLevel="0" collapsed="false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customFormat="false" ht="15.75" hidden="false" customHeight="false" outlineLevel="0" collapsed="false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customFormat="false" ht="15.75" hidden="false" customHeight="false" outlineLevel="0" collapsed="false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customFormat="false" ht="15.75" hidden="false" customHeight="false" outlineLevel="0" collapsed="false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customFormat="false" ht="15.75" hidden="false" customHeight="false" outlineLevel="0" collapsed="false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customFormat="false" ht="15.75" hidden="false" customHeight="false" outlineLevel="0" collapsed="false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customFormat="false" ht="15.75" hidden="false" customHeight="false" outlineLevel="0" collapsed="false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customFormat="false" ht="15.75" hidden="false" customHeight="false" outlineLevel="0" collapsed="false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customFormat="false" ht="15.75" hidden="false" customHeight="false" outlineLevel="0" collapsed="false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customFormat="false" ht="15.75" hidden="false" customHeight="false" outlineLevel="0" collapsed="false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customFormat="false" ht="15.75" hidden="false" customHeight="false" outlineLevel="0" collapsed="false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customFormat="false" ht="15.75" hidden="false" customHeight="false" outlineLevel="0" collapsed="false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customFormat="false" ht="15.75" hidden="false" customHeight="false" outlineLevel="0" collapsed="false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customFormat="false" ht="15.75" hidden="false" customHeight="false" outlineLevel="0" collapsed="false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customFormat="false" ht="15.75" hidden="false" customHeight="false" outlineLevel="0" collapsed="false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customFormat="false" ht="15.75" hidden="false" customHeight="false" outlineLevel="0" collapsed="false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customFormat="false" ht="15.75" hidden="false" customHeight="false" outlineLevel="0" collapsed="false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customFormat="false" ht="15.75" hidden="false" customHeight="false" outlineLevel="0" collapsed="false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customFormat="false" ht="15.75" hidden="false" customHeight="false" outlineLevel="0" collapsed="false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customFormat="false" ht="15.75" hidden="false" customHeight="false" outlineLevel="0" collapsed="false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customFormat="false" ht="15.75" hidden="false" customHeight="false" outlineLevel="0" collapsed="false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customFormat="false" ht="15.75" hidden="false" customHeight="false" outlineLevel="0" collapsed="false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customFormat="false" ht="15.75" hidden="false" customHeight="false" outlineLevel="0" collapsed="false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customFormat="false" ht="15.75" hidden="false" customHeight="false" outlineLevel="0" collapsed="false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customFormat="false" ht="15.75" hidden="false" customHeight="false" outlineLevel="0" collapsed="false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customFormat="false" ht="15.75" hidden="false" customHeight="false" outlineLevel="0" collapsed="false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customFormat="false" ht="15.75" hidden="false" customHeight="false" outlineLevel="0" collapsed="false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customFormat="false" ht="15.75" hidden="false" customHeight="false" outlineLevel="0" collapsed="false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customFormat="false" ht="15.75" hidden="false" customHeight="false" outlineLevel="0" collapsed="false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customFormat="false" ht="15.75" hidden="false" customHeight="false" outlineLevel="0" collapsed="false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customFormat="false" ht="15.75" hidden="false" customHeight="false" outlineLevel="0" collapsed="false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customFormat="false" ht="15.75" hidden="false" customHeight="false" outlineLevel="0" collapsed="false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customFormat="false" ht="15.75" hidden="false" customHeight="false" outlineLevel="0" collapsed="false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customFormat="false" ht="15.75" hidden="false" customHeight="false" outlineLevel="0" collapsed="false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customFormat="false" ht="15.75" hidden="false" customHeight="false" outlineLevel="0" collapsed="false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customFormat="false" ht="15.75" hidden="false" customHeight="false" outlineLevel="0" collapsed="false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customFormat="false" ht="15.75" hidden="false" customHeight="false" outlineLevel="0" collapsed="false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customFormat="false" ht="15.75" hidden="false" customHeight="false" outlineLevel="0" collapsed="false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customFormat="false" ht="15.75" hidden="false" customHeight="false" outlineLevel="0" collapsed="false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customFormat="false" ht="15.75" hidden="false" customHeight="false" outlineLevel="0" collapsed="false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customFormat="false" ht="15.75" hidden="false" customHeight="false" outlineLevel="0" collapsed="false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customFormat="false" ht="15.75" hidden="false" customHeight="false" outlineLevel="0" collapsed="false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customFormat="false" ht="15.75" hidden="false" customHeight="false" outlineLevel="0" collapsed="false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customFormat="false" ht="15.75" hidden="false" customHeight="false" outlineLevel="0" collapsed="false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customFormat="false" ht="15.75" hidden="false" customHeight="false" outlineLevel="0" collapsed="false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customFormat="false" ht="15.75" hidden="false" customHeight="false" outlineLevel="0" collapsed="false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customFormat="false" ht="15.75" hidden="false" customHeight="false" outlineLevel="0" collapsed="false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customFormat="false" ht="15.75" hidden="false" customHeight="false" outlineLevel="0" collapsed="false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customFormat="false" ht="15.75" hidden="false" customHeight="false" outlineLevel="0" collapsed="false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customFormat="false" ht="15.75" hidden="false" customHeight="false" outlineLevel="0" collapsed="false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customFormat="false" ht="15.75" hidden="false" customHeight="false" outlineLevel="0" collapsed="false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customFormat="false" ht="15.75" hidden="false" customHeight="false" outlineLevel="0" collapsed="false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customFormat="false" ht="15.75" hidden="false" customHeight="false" outlineLevel="0" collapsed="false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customFormat="false" ht="15.75" hidden="false" customHeight="false" outlineLevel="0" collapsed="false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customFormat="false" ht="15.75" hidden="false" customHeight="false" outlineLevel="0" collapsed="false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customFormat="false" ht="15.75" hidden="false" customHeight="false" outlineLevel="0" collapsed="false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customFormat="false" ht="15.75" hidden="false" customHeight="false" outlineLevel="0" collapsed="false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customFormat="false" ht="15.75" hidden="false" customHeight="false" outlineLevel="0" collapsed="false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customFormat="false" ht="15.75" hidden="false" customHeight="false" outlineLevel="0" collapsed="false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customFormat="false" ht="15.75" hidden="false" customHeight="false" outlineLevel="0" collapsed="false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customFormat="false" ht="15.75" hidden="false" customHeight="false" outlineLevel="0" collapsed="false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customFormat="false" ht="15.75" hidden="false" customHeight="false" outlineLevel="0" collapsed="false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customFormat="false" ht="15.75" hidden="false" customHeight="false" outlineLevel="0" collapsed="false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customFormat="false" ht="15.75" hidden="false" customHeight="false" outlineLevel="0" collapsed="false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customFormat="false" ht="15.75" hidden="false" customHeight="false" outlineLevel="0" collapsed="false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customFormat="false" ht="15.75" hidden="false" customHeight="false" outlineLevel="0" collapsed="false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customFormat="false" ht="15.75" hidden="false" customHeight="false" outlineLevel="0" collapsed="false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customFormat="false" ht="15.75" hidden="false" customHeight="false" outlineLevel="0" collapsed="false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customFormat="false" ht="15.75" hidden="false" customHeight="false" outlineLevel="0" collapsed="false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customFormat="false" ht="15.75" hidden="false" customHeight="false" outlineLevel="0" collapsed="false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customFormat="false" ht="15.75" hidden="false" customHeight="false" outlineLevel="0" collapsed="false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customFormat="false" ht="15.75" hidden="false" customHeight="false" outlineLevel="0" collapsed="false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customFormat="false" ht="15.75" hidden="false" customHeight="false" outlineLevel="0" collapsed="false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customFormat="false" ht="15.75" hidden="false" customHeight="false" outlineLevel="0" collapsed="false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customFormat="false" ht="15.75" hidden="false" customHeight="false" outlineLevel="0" collapsed="false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customFormat="false" ht="15.75" hidden="false" customHeight="false" outlineLevel="0" collapsed="false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customFormat="false" ht="15.75" hidden="false" customHeight="false" outlineLevel="0" collapsed="false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customFormat="false" ht="15.75" hidden="false" customHeight="false" outlineLevel="0" collapsed="false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customFormat="false" ht="15.75" hidden="false" customHeight="false" outlineLevel="0" collapsed="false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customFormat="false" ht="15.75" hidden="false" customHeight="false" outlineLevel="0" collapsed="false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customFormat="false" ht="15.75" hidden="false" customHeight="false" outlineLevel="0" collapsed="false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customFormat="false" ht="15.75" hidden="false" customHeight="false" outlineLevel="0" collapsed="false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customFormat="false" ht="15.75" hidden="false" customHeight="false" outlineLevel="0" collapsed="false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customFormat="false" ht="15.75" hidden="false" customHeight="false" outlineLevel="0" collapsed="false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customFormat="false" ht="15.75" hidden="false" customHeight="false" outlineLevel="0" collapsed="false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customFormat="false" ht="15.75" hidden="false" customHeight="false" outlineLevel="0" collapsed="false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customFormat="false" ht="15.75" hidden="false" customHeight="false" outlineLevel="0" collapsed="false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customFormat="false" ht="15.75" hidden="false" customHeight="false" outlineLevel="0" collapsed="false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customFormat="false" ht="15.75" hidden="false" customHeight="false" outlineLevel="0" collapsed="false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customFormat="false" ht="15.75" hidden="false" customHeight="false" outlineLevel="0" collapsed="false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customFormat="false" ht="15.75" hidden="false" customHeight="false" outlineLevel="0" collapsed="false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customFormat="false" ht="15.75" hidden="false" customHeight="false" outlineLevel="0" collapsed="false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customFormat="false" ht="15.75" hidden="false" customHeight="false" outlineLevel="0" collapsed="false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customFormat="false" ht="15.75" hidden="false" customHeight="false" outlineLevel="0" collapsed="false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customFormat="false" ht="15.75" hidden="false" customHeight="false" outlineLevel="0" collapsed="false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customFormat="false" ht="15.75" hidden="false" customHeight="false" outlineLevel="0" collapsed="false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customFormat="false" ht="15.75" hidden="false" customHeight="false" outlineLevel="0" collapsed="false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customFormat="false" ht="15.75" hidden="false" customHeight="false" outlineLevel="0" collapsed="false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customFormat="false" ht="15.75" hidden="false" customHeight="false" outlineLevel="0" collapsed="false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customFormat="false" ht="15.75" hidden="false" customHeight="false" outlineLevel="0" collapsed="false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customFormat="false" ht="15.75" hidden="false" customHeight="false" outlineLevel="0" collapsed="false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customFormat="false" ht="15.75" hidden="false" customHeight="false" outlineLevel="0" collapsed="false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customFormat="false" ht="15.75" hidden="false" customHeight="false" outlineLevel="0" collapsed="false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customFormat="false" ht="15.75" hidden="false" customHeight="false" outlineLevel="0" collapsed="false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customFormat="false" ht="15.75" hidden="false" customHeight="false" outlineLevel="0" collapsed="false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customFormat="false" ht="15.75" hidden="false" customHeight="false" outlineLevel="0" collapsed="false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customFormat="false" ht="15.75" hidden="false" customHeight="false" outlineLevel="0" collapsed="false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customFormat="false" ht="15.75" hidden="false" customHeight="false" outlineLevel="0" collapsed="false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customFormat="false" ht="15.75" hidden="false" customHeight="false" outlineLevel="0" collapsed="false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customFormat="false" ht="15.75" hidden="false" customHeight="false" outlineLevel="0" collapsed="false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customFormat="false" ht="15.75" hidden="false" customHeight="false" outlineLevel="0" collapsed="false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customFormat="false" ht="15.75" hidden="false" customHeight="false" outlineLevel="0" collapsed="false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customFormat="false" ht="15.75" hidden="false" customHeight="false" outlineLevel="0" collapsed="false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customFormat="false" ht="15.75" hidden="false" customHeight="false" outlineLevel="0" collapsed="false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customFormat="false" ht="15.75" hidden="false" customHeight="false" outlineLevel="0" collapsed="false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customFormat="false" ht="15.75" hidden="false" customHeight="false" outlineLevel="0" collapsed="false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customFormat="false" ht="15.75" hidden="false" customHeight="false" outlineLevel="0" collapsed="false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customFormat="false" ht="15.75" hidden="false" customHeight="false" outlineLevel="0" collapsed="false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customFormat="false" ht="15.75" hidden="false" customHeight="false" outlineLevel="0" collapsed="false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customFormat="false" ht="15.75" hidden="false" customHeight="false" outlineLevel="0" collapsed="false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customFormat="false" ht="15.75" hidden="false" customHeight="false" outlineLevel="0" collapsed="false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customFormat="false" ht="15.75" hidden="false" customHeight="false" outlineLevel="0" collapsed="false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customFormat="false" ht="15.75" hidden="false" customHeight="false" outlineLevel="0" collapsed="false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customFormat="false" ht="15.75" hidden="false" customHeight="false" outlineLevel="0" collapsed="false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customFormat="false" ht="15.75" hidden="false" customHeight="false" outlineLevel="0" collapsed="false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customFormat="false" ht="15.75" hidden="false" customHeight="false" outlineLevel="0" collapsed="false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customFormat="false" ht="15.75" hidden="false" customHeight="false" outlineLevel="0" collapsed="false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customFormat="false" ht="15.75" hidden="false" customHeight="false" outlineLevel="0" collapsed="false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customFormat="false" ht="15.75" hidden="false" customHeight="false" outlineLevel="0" collapsed="false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customFormat="false" ht="15.75" hidden="false" customHeight="false" outlineLevel="0" collapsed="false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customFormat="false" ht="15.75" hidden="false" customHeight="false" outlineLevel="0" collapsed="false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customFormat="false" ht="15.75" hidden="false" customHeight="false" outlineLevel="0" collapsed="false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customFormat="false" ht="15.75" hidden="false" customHeight="false" outlineLevel="0" collapsed="false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customFormat="false" ht="15.75" hidden="false" customHeight="false" outlineLevel="0" collapsed="false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customFormat="false" ht="15.75" hidden="false" customHeight="false" outlineLevel="0" collapsed="false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customFormat="false" ht="15.75" hidden="false" customHeight="false" outlineLevel="0" collapsed="false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customFormat="false" ht="15.75" hidden="false" customHeight="false" outlineLevel="0" collapsed="false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customFormat="false" ht="15.75" hidden="false" customHeight="false" outlineLevel="0" collapsed="false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customFormat="false" ht="15.75" hidden="false" customHeight="false" outlineLevel="0" collapsed="false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customFormat="false" ht="15.75" hidden="false" customHeight="false" outlineLevel="0" collapsed="false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customFormat="false" ht="15.75" hidden="false" customHeight="false" outlineLevel="0" collapsed="false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customFormat="false" ht="15.75" hidden="false" customHeight="false" outlineLevel="0" collapsed="false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customFormat="false" ht="15.75" hidden="false" customHeight="false" outlineLevel="0" collapsed="false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customFormat="false" ht="15.75" hidden="false" customHeight="false" outlineLevel="0" collapsed="false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customFormat="false" ht="15.75" hidden="false" customHeight="false" outlineLevel="0" collapsed="false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customFormat="false" ht="15.75" hidden="false" customHeight="false" outlineLevel="0" collapsed="false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customFormat="false" ht="15.75" hidden="false" customHeight="false" outlineLevel="0" collapsed="false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customFormat="false" ht="15.75" hidden="false" customHeight="false" outlineLevel="0" collapsed="false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customFormat="false" ht="15.75" hidden="false" customHeight="false" outlineLevel="0" collapsed="false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customFormat="false" ht="15.75" hidden="false" customHeight="false" outlineLevel="0" collapsed="false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customFormat="false" ht="15.75" hidden="false" customHeight="false" outlineLevel="0" collapsed="false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customFormat="false" ht="15.75" hidden="false" customHeight="false" outlineLevel="0" collapsed="false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customFormat="false" ht="15.75" hidden="false" customHeight="false" outlineLevel="0" collapsed="false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customFormat="false" ht="15.75" hidden="false" customHeight="false" outlineLevel="0" collapsed="false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customFormat="false" ht="15.75" hidden="false" customHeight="false" outlineLevel="0" collapsed="false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customFormat="false" ht="15.75" hidden="false" customHeight="false" outlineLevel="0" collapsed="false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customFormat="false" ht="15.75" hidden="false" customHeight="false" outlineLevel="0" collapsed="false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customFormat="false" ht="15.75" hidden="false" customHeight="false" outlineLevel="0" collapsed="false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customFormat="false" ht="15.75" hidden="false" customHeight="false" outlineLevel="0" collapsed="false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customFormat="false" ht="15.75" hidden="false" customHeight="false" outlineLevel="0" collapsed="false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  <row r="1001" customFormat="false" ht="15.75" hidden="false" customHeight="false" outlineLevel="0" collapsed="false">
      <c r="A1001" s="113"/>
      <c r="B1001" s="113"/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  <c r="Z1001" s="1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13" t="s">
        <v>89</v>
      </c>
      <c r="B1" s="113" t="s">
        <v>90</v>
      </c>
      <c r="C1" s="113" t="s">
        <v>25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customFormat="false" ht="15.75" hidden="false" customHeight="false" outlineLevel="0" collapsed="false">
      <c r="A2" s="113" t="s">
        <v>91</v>
      </c>
      <c r="B2" s="113" t="s">
        <v>91</v>
      </c>
      <c r="C2" s="113" t="s">
        <v>24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customFormat="false" ht="15.75" hidden="false" customHeight="false" outlineLevel="0" collapsed="false">
      <c r="A3" s="113" t="s">
        <v>92</v>
      </c>
      <c r="B3" s="113" t="s">
        <v>93</v>
      </c>
      <c r="C3" s="113" t="s">
        <v>27</v>
      </c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customFormat="false" ht="15.75" hidden="false" customHeight="false" outlineLevel="0" collapsed="false">
      <c r="A4" s="113" t="s">
        <v>93</v>
      </c>
      <c r="B4" s="113"/>
      <c r="C4" s="113" t="s">
        <v>21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customFormat="false" ht="15.75" hidden="false" customHeight="false" outlineLevel="0" collapsed="false">
      <c r="A5" s="113"/>
      <c r="B5" s="113"/>
      <c r="C5" s="113" t="s">
        <v>33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customFormat="false" ht="15.75" hidden="false" customHeight="false" outlineLevel="0" collapsed="false">
      <c r="A6" s="113"/>
      <c r="B6" s="113"/>
      <c r="C6" s="113" t="s">
        <v>26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customFormat="false" ht="15.75" hidden="false" customHeight="false" outlineLevel="0" collapsed="false">
      <c r="A7" s="113"/>
      <c r="B7" s="113"/>
      <c r="C7" s="113" t="s">
        <v>28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customFormat="false" ht="15.75" hidden="false" customHeight="false" outlineLevel="0" collapsed="false">
      <c r="A8" s="113"/>
      <c r="B8" s="113"/>
      <c r="C8" s="113" t="s">
        <v>23</v>
      </c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customFormat="false" ht="15.75" hidden="false" customHeight="false" outlineLevel="0" collapsed="false">
      <c r="A9" s="113"/>
      <c r="B9" s="113"/>
      <c r="C9" s="113" t="s">
        <v>22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customFormat="false" ht="15.75" hidden="false" customHeight="false" outlineLevel="0" collapsed="false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customFormat="false" ht="15.75" hidden="false" customHeight="false" outlineLevel="0" collapsed="false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customFormat="false" ht="15.75" hidden="false" customHeight="false" outlineLevel="0" collapsed="false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customFormat="false" ht="15.75" hidden="false" customHeight="false" outlineLevel="0" collapsed="false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customFormat="false" ht="15.75" hidden="false" customHeight="false" outlineLevel="0" collapsed="false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customFormat="false" ht="15.75" hidden="false" customHeight="false" outlineLevel="0" collapsed="false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customFormat="false" ht="15.75" hidden="false" customHeight="false" outlineLevel="0" collapsed="false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customFormat="false" ht="15.75" hidden="false" customHeight="false" outlineLevel="0" collapsed="false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customFormat="false" ht="15.75" hidden="false" customHeight="false" outlineLevel="0" collapsed="false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customFormat="false" ht="15.75" hidden="false" customHeight="false" outlineLevel="0" collapsed="false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customFormat="false" ht="15.75" hidden="false" customHeight="false" outlineLevel="0" collapsed="false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customFormat="false" ht="15.75" hidden="false" customHeight="false" outlineLevel="0" collapsed="false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customFormat="false" ht="15.75" hidden="false" customHeight="false" outlineLevel="0" collapsed="false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customFormat="false" ht="15.75" hidden="false" customHeight="false" outlineLevel="0" collapsed="false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customFormat="false" ht="15.75" hidden="false" customHeight="false" outlineLevel="0" collapsed="false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customFormat="false" ht="15.75" hidden="false" customHeight="false" outlineLevel="0" collapsed="false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customFormat="false" ht="15.75" hidden="false" customHeight="false" outlineLevel="0" collapsed="false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customFormat="false" ht="15.75" hidden="false" customHeight="false" outlineLevel="0" collapsed="false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customFormat="false" ht="15.75" hidden="false" customHeight="false" outlineLevel="0" collapsed="false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customFormat="false" ht="15.75" hidden="false" customHeight="false" outlineLevel="0" collapsed="false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customFormat="false" ht="15.75" hidden="false" customHeight="false" outlineLevel="0" collapsed="false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customFormat="false" ht="15.75" hidden="false" customHeight="false" outlineLevel="0" collapsed="false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customFormat="false" ht="15.75" hidden="false" customHeight="false" outlineLevel="0" collapsed="false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customFormat="false" ht="15.75" hidden="false" customHeight="false" outlineLevel="0" collapsed="false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customFormat="false" ht="15.75" hidden="false" customHeight="false" outlineLevel="0" collapsed="false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customFormat="false" ht="15.75" hidden="false" customHeight="false" outlineLevel="0" collapsed="false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customFormat="false" ht="15.75" hidden="false" customHeight="false" outlineLevel="0" collapsed="false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customFormat="false" ht="15.75" hidden="false" customHeight="false" outlineLevel="0" collapsed="false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customFormat="false" ht="15.75" hidden="false" customHeight="false" outlineLevel="0" collapsed="false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customFormat="false" ht="15.75" hidden="false" customHeight="false" outlineLevel="0" collapsed="false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customFormat="false" ht="15.75" hidden="false" customHeight="false" outlineLevel="0" collapsed="false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customFormat="false" ht="15.75" hidden="false" customHeight="false" outlineLevel="0" collapsed="false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customFormat="false" ht="15.75" hidden="false" customHeight="false" outlineLevel="0" collapsed="false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customFormat="false" ht="15.75" hidden="false" customHeight="false" outlineLevel="0" collapsed="false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customFormat="false" ht="15.75" hidden="false" customHeight="false" outlineLevel="0" collapsed="false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customFormat="false" ht="15.75" hidden="false" customHeight="false" outlineLevel="0" collapsed="false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customFormat="false" ht="15.75" hidden="false" customHeight="false" outlineLevel="0" collapsed="false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customFormat="false" ht="15.75" hidden="false" customHeight="false" outlineLevel="0" collapsed="false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customFormat="false" ht="15.75" hidden="false" customHeight="false" outlineLevel="0" collapsed="false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customFormat="false" ht="15.75" hidden="false" customHeight="false" outlineLevel="0" collapsed="false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customFormat="false" ht="15.75" hidden="false" customHeight="false" outlineLevel="0" collapsed="false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customFormat="false" ht="15.75" hidden="false" customHeight="false" outlineLevel="0" collapsed="false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customFormat="false" ht="15.75" hidden="false" customHeight="false" outlineLevel="0" collapsed="false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customFormat="false" ht="15.75" hidden="false" customHeight="false" outlineLevel="0" collapsed="false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customFormat="false" ht="15.75" hidden="false" customHeight="false" outlineLevel="0" collapsed="false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customFormat="false" ht="15.75" hidden="false" customHeight="false" outlineLevel="0" collapsed="false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customFormat="false" ht="15.75" hidden="false" customHeight="false" outlineLevel="0" collapsed="false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customFormat="false" ht="15.75" hidden="false" customHeight="false" outlineLevel="0" collapsed="false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customFormat="false" ht="15.75" hidden="false" customHeight="false" outlineLevel="0" collapsed="false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customFormat="false" ht="15.75" hidden="false" customHeight="false" outlineLevel="0" collapsed="false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customFormat="false" ht="15.75" hidden="false" customHeight="false" outlineLevel="0" collapsed="false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customFormat="false" ht="15.75" hidden="false" customHeight="false" outlineLevel="0" collapsed="false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customFormat="false" ht="15.75" hidden="false" customHeight="false" outlineLevel="0" collapsed="false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customFormat="false" ht="15.75" hidden="false" customHeight="false" outlineLevel="0" collapsed="false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customFormat="false" ht="15.75" hidden="false" customHeight="false" outlineLevel="0" collapsed="false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customFormat="false" ht="15.75" hidden="false" customHeight="false" outlineLevel="0" collapsed="false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customFormat="false" ht="15.75" hidden="false" customHeight="false" outlineLevel="0" collapsed="false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customFormat="false" ht="15.75" hidden="false" customHeight="false" outlineLevel="0" collapsed="false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customFormat="false" ht="15.75" hidden="false" customHeight="false" outlineLevel="0" collapsed="false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customFormat="false" ht="15.75" hidden="false" customHeight="false" outlineLevel="0" collapsed="false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customFormat="false" ht="15.75" hidden="false" customHeight="false" outlineLevel="0" collapsed="false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customFormat="false" ht="15.75" hidden="false" customHeight="false" outlineLevel="0" collapsed="false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customFormat="false" ht="15.75" hidden="false" customHeight="false" outlineLevel="0" collapsed="false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customFormat="false" ht="15.75" hidden="false" customHeight="false" outlineLevel="0" collapsed="false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customFormat="false" ht="15.75" hidden="false" customHeight="false" outlineLevel="0" collapsed="false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customFormat="false" ht="15.75" hidden="false" customHeight="false" outlineLevel="0" collapsed="false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customFormat="false" ht="15.75" hidden="false" customHeight="false" outlineLevel="0" collapsed="false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customFormat="false" ht="15.75" hidden="false" customHeight="false" outlineLevel="0" collapsed="false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customFormat="false" ht="15.75" hidden="false" customHeight="false" outlineLevel="0" collapsed="false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customFormat="false" ht="15.75" hidden="false" customHeight="false" outlineLevel="0" collapsed="false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customFormat="false" ht="15.75" hidden="false" customHeight="false" outlineLevel="0" collapsed="false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customFormat="false" ht="15.75" hidden="false" customHeight="false" outlineLevel="0" collapsed="false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customFormat="false" ht="15.75" hidden="false" customHeight="false" outlineLevel="0" collapsed="false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customFormat="false" ht="15.75" hidden="false" customHeight="false" outlineLevel="0" collapsed="false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customFormat="false" ht="15.75" hidden="false" customHeight="false" outlineLevel="0" collapsed="false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customFormat="false" ht="15.75" hidden="false" customHeight="false" outlineLevel="0" collapsed="false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customFormat="false" ht="15.75" hidden="false" customHeight="false" outlineLevel="0" collapsed="false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customFormat="false" ht="15.75" hidden="false" customHeight="false" outlineLevel="0" collapsed="false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customFormat="false" ht="15.75" hidden="false" customHeight="false" outlineLevel="0" collapsed="false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customFormat="false" ht="15.75" hidden="false" customHeight="false" outlineLevel="0" collapsed="false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customFormat="false" ht="15.75" hidden="false" customHeight="false" outlineLevel="0" collapsed="false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customFormat="false" ht="15.75" hidden="false" customHeight="false" outlineLevel="0" collapsed="false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customFormat="false" ht="15.75" hidden="false" customHeight="false" outlineLevel="0" collapsed="false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customFormat="false" ht="15.75" hidden="false" customHeight="false" outlineLevel="0" collapsed="false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customFormat="false" ht="15.75" hidden="false" customHeight="false" outlineLevel="0" collapsed="false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customFormat="false" ht="15.75" hidden="false" customHeight="false" outlineLevel="0" collapsed="false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customFormat="false" ht="15.75" hidden="false" customHeight="false" outlineLevel="0" collapsed="false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customFormat="false" ht="15.75" hidden="false" customHeight="false" outlineLevel="0" collapsed="false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customFormat="false" ht="15.75" hidden="false" customHeight="false" outlineLevel="0" collapsed="false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customFormat="false" ht="15.75" hidden="false" customHeight="false" outlineLevel="0" collapsed="false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customFormat="false" ht="15.75" hidden="false" customHeight="false" outlineLevel="0" collapsed="false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customFormat="false" ht="15.75" hidden="false" customHeight="false" outlineLevel="0" collapsed="false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customFormat="false" ht="15.75" hidden="false" customHeight="false" outlineLevel="0" collapsed="false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customFormat="false" ht="15.75" hidden="false" customHeight="false" outlineLevel="0" collapsed="false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customFormat="false" ht="15.75" hidden="false" customHeight="false" outlineLevel="0" collapsed="false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customFormat="false" ht="15.75" hidden="false" customHeight="false" outlineLevel="0" collapsed="false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customFormat="false" ht="15.75" hidden="false" customHeight="false" outlineLevel="0" collapsed="false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customFormat="false" ht="15.75" hidden="false" customHeight="false" outlineLevel="0" collapsed="false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customFormat="false" ht="15.75" hidden="false" customHeight="false" outlineLevel="0" collapsed="false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customFormat="false" ht="15.75" hidden="false" customHeight="false" outlineLevel="0" collapsed="false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customFormat="false" ht="15.75" hidden="false" customHeight="false" outlineLevel="0" collapsed="false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customFormat="false" ht="15.75" hidden="false" customHeight="false" outlineLevel="0" collapsed="false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customFormat="false" ht="15.75" hidden="false" customHeight="false" outlineLevel="0" collapsed="false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customFormat="false" ht="15.75" hidden="false" customHeight="false" outlineLevel="0" collapsed="false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customFormat="false" ht="15.75" hidden="false" customHeight="false" outlineLevel="0" collapsed="false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customFormat="false" ht="15.75" hidden="false" customHeight="false" outlineLevel="0" collapsed="false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customFormat="false" ht="15.75" hidden="false" customHeight="false" outlineLevel="0" collapsed="false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customFormat="false" ht="15.75" hidden="false" customHeight="false" outlineLevel="0" collapsed="false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customFormat="false" ht="15.75" hidden="false" customHeight="false" outlineLevel="0" collapsed="false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customFormat="false" ht="15.75" hidden="false" customHeight="false" outlineLevel="0" collapsed="false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customFormat="false" ht="15.75" hidden="false" customHeight="false" outlineLevel="0" collapsed="false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customFormat="false" ht="15.75" hidden="false" customHeight="false" outlineLevel="0" collapsed="false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customFormat="false" ht="15.75" hidden="false" customHeight="false" outlineLevel="0" collapsed="false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customFormat="false" ht="15.75" hidden="false" customHeight="false" outlineLevel="0" collapsed="false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customFormat="false" ht="15.75" hidden="false" customHeight="false" outlineLevel="0" collapsed="false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customFormat="false" ht="15.75" hidden="false" customHeight="false" outlineLevel="0" collapsed="false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customFormat="false" ht="15.75" hidden="false" customHeight="false" outlineLevel="0" collapsed="false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customFormat="false" ht="15.75" hidden="false" customHeight="false" outlineLevel="0" collapsed="false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customFormat="false" ht="15.75" hidden="false" customHeight="false" outlineLevel="0" collapsed="false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customFormat="false" ht="15.75" hidden="false" customHeight="false" outlineLevel="0" collapsed="false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customFormat="false" ht="15.75" hidden="false" customHeight="false" outlineLevel="0" collapsed="false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customFormat="false" ht="15.75" hidden="false" customHeight="false" outlineLevel="0" collapsed="false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customFormat="false" ht="15.75" hidden="false" customHeight="false" outlineLevel="0" collapsed="false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customFormat="false" ht="15.75" hidden="false" customHeight="false" outlineLevel="0" collapsed="false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customFormat="false" ht="15.75" hidden="false" customHeight="false" outlineLevel="0" collapsed="false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customFormat="false" ht="15.75" hidden="false" customHeight="false" outlineLevel="0" collapsed="false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customFormat="false" ht="15.75" hidden="false" customHeight="false" outlineLevel="0" collapsed="false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customFormat="false" ht="15.75" hidden="false" customHeight="false" outlineLevel="0" collapsed="false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customFormat="false" ht="15.75" hidden="false" customHeight="false" outlineLevel="0" collapsed="false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customFormat="false" ht="15.75" hidden="false" customHeight="false" outlineLevel="0" collapsed="false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customFormat="false" ht="15.75" hidden="false" customHeight="false" outlineLevel="0" collapsed="false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customFormat="false" ht="15.75" hidden="false" customHeight="false" outlineLevel="0" collapsed="false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customFormat="false" ht="15.75" hidden="false" customHeight="false" outlineLevel="0" collapsed="false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customFormat="false" ht="15.75" hidden="false" customHeight="false" outlineLevel="0" collapsed="false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customFormat="false" ht="15.75" hidden="false" customHeight="false" outlineLevel="0" collapsed="false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customFormat="false" ht="15.75" hidden="false" customHeight="false" outlineLevel="0" collapsed="false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customFormat="false" ht="15.75" hidden="false" customHeight="false" outlineLevel="0" collapsed="false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customFormat="false" ht="15.75" hidden="false" customHeight="false" outlineLevel="0" collapsed="false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customFormat="false" ht="15.75" hidden="false" customHeight="false" outlineLevel="0" collapsed="false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customFormat="false" ht="15.75" hidden="false" customHeight="false" outlineLevel="0" collapsed="false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customFormat="false" ht="15.75" hidden="false" customHeight="false" outlineLevel="0" collapsed="false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customFormat="false" ht="15.75" hidden="false" customHeight="false" outlineLevel="0" collapsed="false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customFormat="false" ht="15.75" hidden="false" customHeight="false" outlineLevel="0" collapsed="false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customFormat="false" ht="15.75" hidden="false" customHeight="false" outlineLevel="0" collapsed="false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customFormat="false" ht="15.75" hidden="false" customHeight="false" outlineLevel="0" collapsed="false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customFormat="false" ht="15.75" hidden="false" customHeight="false" outlineLevel="0" collapsed="false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customFormat="false" ht="15.75" hidden="false" customHeight="false" outlineLevel="0" collapsed="false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customFormat="false" ht="15.75" hidden="false" customHeight="false" outlineLevel="0" collapsed="false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customFormat="false" ht="15.75" hidden="false" customHeight="false" outlineLevel="0" collapsed="false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customFormat="false" ht="15.75" hidden="false" customHeight="false" outlineLevel="0" collapsed="false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customFormat="false" ht="15.75" hidden="false" customHeight="false" outlineLevel="0" collapsed="false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customFormat="false" ht="15.75" hidden="false" customHeight="false" outlineLevel="0" collapsed="false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customFormat="false" ht="15.75" hidden="false" customHeight="false" outlineLevel="0" collapsed="false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customFormat="false" ht="15.75" hidden="false" customHeight="false" outlineLevel="0" collapsed="false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customFormat="false" ht="15.75" hidden="false" customHeight="false" outlineLevel="0" collapsed="false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customFormat="false" ht="15.75" hidden="false" customHeight="false" outlineLevel="0" collapsed="false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customFormat="false" ht="15.75" hidden="false" customHeight="false" outlineLevel="0" collapsed="false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customFormat="false" ht="15.75" hidden="false" customHeight="false" outlineLevel="0" collapsed="false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customFormat="false" ht="15.75" hidden="false" customHeight="false" outlineLevel="0" collapsed="false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customFormat="false" ht="15.75" hidden="false" customHeight="false" outlineLevel="0" collapsed="false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customFormat="false" ht="15.75" hidden="false" customHeight="false" outlineLevel="0" collapsed="false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customFormat="false" ht="15.75" hidden="false" customHeight="false" outlineLevel="0" collapsed="false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customFormat="false" ht="15.75" hidden="false" customHeight="false" outlineLevel="0" collapsed="false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customFormat="false" ht="15.75" hidden="false" customHeight="false" outlineLevel="0" collapsed="false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customFormat="false" ht="15.75" hidden="false" customHeight="false" outlineLevel="0" collapsed="false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customFormat="false" ht="15.75" hidden="false" customHeight="false" outlineLevel="0" collapsed="false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customFormat="false" ht="15.75" hidden="false" customHeight="false" outlineLevel="0" collapsed="false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customFormat="false" ht="15.75" hidden="false" customHeight="false" outlineLevel="0" collapsed="false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customFormat="false" ht="15.75" hidden="false" customHeight="false" outlineLevel="0" collapsed="false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customFormat="false" ht="15.75" hidden="false" customHeight="false" outlineLevel="0" collapsed="false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customFormat="false" ht="15.75" hidden="false" customHeight="false" outlineLevel="0" collapsed="false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customFormat="false" ht="15.75" hidden="false" customHeight="false" outlineLevel="0" collapsed="false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customFormat="false" ht="15.75" hidden="false" customHeight="false" outlineLevel="0" collapsed="false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customFormat="false" ht="15.75" hidden="false" customHeight="false" outlineLevel="0" collapsed="false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customFormat="false" ht="15.75" hidden="false" customHeight="false" outlineLevel="0" collapsed="false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customFormat="false" ht="15.75" hidden="false" customHeight="false" outlineLevel="0" collapsed="false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customFormat="false" ht="15.75" hidden="false" customHeight="false" outlineLevel="0" collapsed="false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customFormat="false" ht="15.75" hidden="false" customHeight="false" outlineLevel="0" collapsed="false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customFormat="false" ht="15.75" hidden="false" customHeight="false" outlineLevel="0" collapsed="false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customFormat="false" ht="15.75" hidden="false" customHeight="false" outlineLevel="0" collapsed="false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customFormat="false" ht="15.75" hidden="false" customHeight="false" outlineLevel="0" collapsed="false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customFormat="false" ht="15.75" hidden="false" customHeight="false" outlineLevel="0" collapsed="false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customFormat="false" ht="15.75" hidden="false" customHeight="false" outlineLevel="0" collapsed="false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customFormat="false" ht="15.75" hidden="false" customHeight="false" outlineLevel="0" collapsed="false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customFormat="false" ht="15.75" hidden="false" customHeight="false" outlineLevel="0" collapsed="false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customFormat="false" ht="15.75" hidden="false" customHeight="false" outlineLevel="0" collapsed="false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customFormat="false" ht="15.75" hidden="false" customHeight="false" outlineLevel="0" collapsed="false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customFormat="false" ht="15.75" hidden="false" customHeight="false" outlineLevel="0" collapsed="false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customFormat="false" ht="15.75" hidden="false" customHeight="false" outlineLevel="0" collapsed="false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customFormat="false" ht="15.75" hidden="false" customHeight="false" outlineLevel="0" collapsed="false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customFormat="false" ht="15.75" hidden="false" customHeight="false" outlineLevel="0" collapsed="false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customFormat="false" ht="15.75" hidden="false" customHeight="false" outlineLevel="0" collapsed="false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customFormat="false" ht="15.75" hidden="false" customHeight="false" outlineLevel="0" collapsed="false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customFormat="false" ht="15.75" hidden="false" customHeight="false" outlineLevel="0" collapsed="false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customFormat="false" ht="15.75" hidden="false" customHeight="false" outlineLevel="0" collapsed="false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customFormat="false" ht="15.75" hidden="false" customHeight="false" outlineLevel="0" collapsed="false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customFormat="false" ht="15.75" hidden="false" customHeight="false" outlineLevel="0" collapsed="false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customFormat="false" ht="15.75" hidden="false" customHeight="false" outlineLevel="0" collapsed="false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customFormat="false" ht="15.75" hidden="false" customHeight="false" outlineLevel="0" collapsed="false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customFormat="false" ht="15.75" hidden="false" customHeight="false" outlineLevel="0" collapsed="false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customFormat="false" ht="15.75" hidden="false" customHeight="false" outlineLevel="0" collapsed="false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customFormat="false" ht="15.75" hidden="false" customHeight="false" outlineLevel="0" collapsed="false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customFormat="false" ht="15.75" hidden="false" customHeight="false" outlineLevel="0" collapsed="false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customFormat="false" ht="15.75" hidden="false" customHeight="false" outlineLevel="0" collapsed="false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customFormat="false" ht="15.75" hidden="false" customHeight="false" outlineLevel="0" collapsed="false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customFormat="false" ht="15.75" hidden="false" customHeight="false" outlineLevel="0" collapsed="false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customFormat="false" ht="15.75" hidden="false" customHeight="false" outlineLevel="0" collapsed="false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customFormat="false" ht="15.75" hidden="false" customHeight="false" outlineLevel="0" collapsed="false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customFormat="false" ht="15.75" hidden="false" customHeight="false" outlineLevel="0" collapsed="false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customFormat="false" ht="15.75" hidden="false" customHeight="false" outlineLevel="0" collapsed="false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customFormat="false" ht="15.75" hidden="false" customHeight="false" outlineLevel="0" collapsed="false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customFormat="false" ht="15.75" hidden="false" customHeight="false" outlineLevel="0" collapsed="false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customFormat="false" ht="15.75" hidden="false" customHeight="false" outlineLevel="0" collapsed="false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customFormat="false" ht="15.75" hidden="false" customHeight="false" outlineLevel="0" collapsed="false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customFormat="false" ht="15.75" hidden="false" customHeight="false" outlineLevel="0" collapsed="false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customFormat="false" ht="15.75" hidden="false" customHeight="false" outlineLevel="0" collapsed="false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customFormat="false" ht="15.75" hidden="false" customHeight="false" outlineLevel="0" collapsed="false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customFormat="false" ht="15.75" hidden="false" customHeight="false" outlineLevel="0" collapsed="false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customFormat="false" ht="15.75" hidden="false" customHeight="false" outlineLevel="0" collapsed="false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customFormat="false" ht="15.75" hidden="false" customHeight="false" outlineLevel="0" collapsed="false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customFormat="false" ht="15.75" hidden="false" customHeight="false" outlineLevel="0" collapsed="false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customFormat="false" ht="15.75" hidden="false" customHeight="false" outlineLevel="0" collapsed="false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customFormat="false" ht="15.75" hidden="false" customHeight="false" outlineLevel="0" collapsed="false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customFormat="false" ht="15.75" hidden="false" customHeight="false" outlineLevel="0" collapsed="false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customFormat="false" ht="15.75" hidden="false" customHeight="false" outlineLevel="0" collapsed="false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customFormat="false" ht="15.75" hidden="false" customHeight="false" outlineLevel="0" collapsed="false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customFormat="false" ht="15.75" hidden="false" customHeight="false" outlineLevel="0" collapsed="false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customFormat="false" ht="15.75" hidden="false" customHeight="false" outlineLevel="0" collapsed="false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customFormat="false" ht="15.75" hidden="false" customHeight="false" outlineLevel="0" collapsed="false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customFormat="false" ht="15.75" hidden="false" customHeight="false" outlineLevel="0" collapsed="false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customFormat="false" ht="15.75" hidden="false" customHeight="false" outlineLevel="0" collapsed="false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customFormat="false" ht="15.75" hidden="false" customHeight="false" outlineLevel="0" collapsed="false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customFormat="false" ht="15.75" hidden="false" customHeight="false" outlineLevel="0" collapsed="false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customFormat="false" ht="15.75" hidden="false" customHeight="false" outlineLevel="0" collapsed="false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customFormat="false" ht="15.75" hidden="false" customHeight="false" outlineLevel="0" collapsed="false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customFormat="false" ht="15.75" hidden="false" customHeight="false" outlineLevel="0" collapsed="false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customFormat="false" ht="15.75" hidden="false" customHeight="false" outlineLevel="0" collapsed="false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customFormat="false" ht="15.75" hidden="false" customHeight="false" outlineLevel="0" collapsed="false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customFormat="false" ht="15.75" hidden="false" customHeight="false" outlineLevel="0" collapsed="false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customFormat="false" ht="15.75" hidden="false" customHeight="false" outlineLevel="0" collapsed="false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customFormat="false" ht="15.75" hidden="false" customHeight="false" outlineLevel="0" collapsed="false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customFormat="false" ht="15.75" hidden="false" customHeight="false" outlineLevel="0" collapsed="false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customFormat="false" ht="15.75" hidden="false" customHeight="false" outlineLevel="0" collapsed="false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customFormat="false" ht="15.75" hidden="false" customHeight="false" outlineLevel="0" collapsed="false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customFormat="false" ht="15.75" hidden="false" customHeight="false" outlineLevel="0" collapsed="false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customFormat="false" ht="15.75" hidden="false" customHeight="false" outlineLevel="0" collapsed="false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customFormat="false" ht="15.75" hidden="false" customHeight="false" outlineLevel="0" collapsed="false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customFormat="false" ht="15.75" hidden="false" customHeight="false" outlineLevel="0" collapsed="false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customFormat="false" ht="15.75" hidden="false" customHeight="false" outlineLevel="0" collapsed="false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customFormat="false" ht="15.75" hidden="false" customHeight="false" outlineLevel="0" collapsed="false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customFormat="false" ht="15.75" hidden="false" customHeight="false" outlineLevel="0" collapsed="false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customFormat="false" ht="15.75" hidden="false" customHeight="false" outlineLevel="0" collapsed="false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customFormat="false" ht="15.75" hidden="false" customHeight="false" outlineLevel="0" collapsed="false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customFormat="false" ht="15.75" hidden="false" customHeight="false" outlineLevel="0" collapsed="false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customFormat="false" ht="15.75" hidden="false" customHeight="false" outlineLevel="0" collapsed="false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customFormat="false" ht="15.75" hidden="false" customHeight="false" outlineLevel="0" collapsed="false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customFormat="false" ht="15.75" hidden="false" customHeight="false" outlineLevel="0" collapsed="false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customFormat="false" ht="15.75" hidden="false" customHeight="false" outlineLevel="0" collapsed="false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customFormat="false" ht="15.75" hidden="false" customHeight="false" outlineLevel="0" collapsed="false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customFormat="false" ht="15.75" hidden="false" customHeight="false" outlineLevel="0" collapsed="false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customFormat="false" ht="15.75" hidden="false" customHeight="false" outlineLevel="0" collapsed="false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customFormat="false" ht="15.75" hidden="false" customHeight="false" outlineLevel="0" collapsed="false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customFormat="false" ht="15.75" hidden="false" customHeight="false" outlineLevel="0" collapsed="false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customFormat="false" ht="15.75" hidden="false" customHeight="false" outlineLevel="0" collapsed="false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customFormat="false" ht="15.75" hidden="false" customHeight="false" outlineLevel="0" collapsed="false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customFormat="false" ht="15.75" hidden="false" customHeight="false" outlineLevel="0" collapsed="false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customFormat="false" ht="15.75" hidden="false" customHeight="false" outlineLevel="0" collapsed="false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customFormat="false" ht="15.75" hidden="false" customHeight="false" outlineLevel="0" collapsed="false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customFormat="false" ht="15.75" hidden="false" customHeight="false" outlineLevel="0" collapsed="false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customFormat="false" ht="15.75" hidden="false" customHeight="false" outlineLevel="0" collapsed="false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customFormat="false" ht="15.75" hidden="false" customHeight="false" outlineLevel="0" collapsed="false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customFormat="false" ht="15.75" hidden="false" customHeight="false" outlineLevel="0" collapsed="false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customFormat="false" ht="15.75" hidden="false" customHeight="false" outlineLevel="0" collapsed="false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customFormat="false" ht="15.75" hidden="false" customHeight="false" outlineLevel="0" collapsed="false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customFormat="false" ht="15.75" hidden="false" customHeight="false" outlineLevel="0" collapsed="false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customFormat="false" ht="15.75" hidden="false" customHeight="false" outlineLevel="0" collapsed="false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customFormat="false" ht="15.75" hidden="false" customHeight="false" outlineLevel="0" collapsed="false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customFormat="false" ht="15.75" hidden="false" customHeight="false" outlineLevel="0" collapsed="false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customFormat="false" ht="15.75" hidden="false" customHeight="false" outlineLevel="0" collapsed="false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customFormat="false" ht="15.75" hidden="false" customHeight="false" outlineLevel="0" collapsed="false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customFormat="false" ht="15.75" hidden="false" customHeight="false" outlineLevel="0" collapsed="false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customFormat="false" ht="15.75" hidden="false" customHeight="false" outlineLevel="0" collapsed="false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customFormat="false" ht="15.75" hidden="false" customHeight="false" outlineLevel="0" collapsed="false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customFormat="false" ht="15.75" hidden="false" customHeight="false" outlineLevel="0" collapsed="false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customFormat="false" ht="15.75" hidden="false" customHeight="false" outlineLevel="0" collapsed="false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customFormat="false" ht="15.75" hidden="false" customHeight="false" outlineLevel="0" collapsed="false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customFormat="false" ht="15.75" hidden="false" customHeight="false" outlineLevel="0" collapsed="false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customFormat="false" ht="15.75" hidden="false" customHeight="false" outlineLevel="0" collapsed="false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customFormat="false" ht="15.75" hidden="false" customHeight="false" outlineLevel="0" collapsed="false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customFormat="false" ht="15.75" hidden="false" customHeight="false" outlineLevel="0" collapsed="false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customFormat="false" ht="15.75" hidden="false" customHeight="false" outlineLevel="0" collapsed="false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customFormat="false" ht="15.75" hidden="false" customHeight="false" outlineLevel="0" collapsed="false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customFormat="false" ht="15.75" hidden="false" customHeight="false" outlineLevel="0" collapsed="false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customFormat="false" ht="15.75" hidden="false" customHeight="false" outlineLevel="0" collapsed="false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customFormat="false" ht="15.75" hidden="false" customHeight="false" outlineLevel="0" collapsed="false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customFormat="false" ht="15.75" hidden="false" customHeight="false" outlineLevel="0" collapsed="false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customFormat="false" ht="15.75" hidden="false" customHeight="false" outlineLevel="0" collapsed="false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customFormat="false" ht="15.75" hidden="false" customHeight="false" outlineLevel="0" collapsed="false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customFormat="false" ht="15.75" hidden="false" customHeight="false" outlineLevel="0" collapsed="false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customFormat="false" ht="15.75" hidden="false" customHeight="false" outlineLevel="0" collapsed="false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customFormat="false" ht="15.75" hidden="false" customHeight="false" outlineLevel="0" collapsed="false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customFormat="false" ht="15.75" hidden="false" customHeight="false" outlineLevel="0" collapsed="false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customFormat="false" ht="15.75" hidden="false" customHeight="false" outlineLevel="0" collapsed="false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customFormat="false" ht="15.75" hidden="false" customHeight="false" outlineLevel="0" collapsed="false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customFormat="false" ht="15.75" hidden="false" customHeight="false" outlineLevel="0" collapsed="false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customFormat="false" ht="15.75" hidden="false" customHeight="false" outlineLevel="0" collapsed="false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customFormat="false" ht="15.75" hidden="false" customHeight="false" outlineLevel="0" collapsed="false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customFormat="false" ht="15.75" hidden="false" customHeight="false" outlineLevel="0" collapsed="false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customFormat="false" ht="15.75" hidden="false" customHeight="false" outlineLevel="0" collapsed="false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customFormat="false" ht="15.75" hidden="false" customHeight="false" outlineLevel="0" collapsed="false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customFormat="false" ht="15.75" hidden="false" customHeight="false" outlineLevel="0" collapsed="false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customFormat="false" ht="15.75" hidden="false" customHeight="false" outlineLevel="0" collapsed="false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customFormat="false" ht="15.75" hidden="false" customHeight="false" outlineLevel="0" collapsed="false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customFormat="false" ht="15.75" hidden="false" customHeight="false" outlineLevel="0" collapsed="false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customFormat="false" ht="15.75" hidden="false" customHeight="false" outlineLevel="0" collapsed="false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customFormat="false" ht="15.75" hidden="false" customHeight="false" outlineLevel="0" collapsed="false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customFormat="false" ht="15.75" hidden="false" customHeight="false" outlineLevel="0" collapsed="false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customFormat="false" ht="15.75" hidden="false" customHeight="false" outlineLevel="0" collapsed="false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customFormat="false" ht="15.75" hidden="false" customHeight="false" outlineLevel="0" collapsed="false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customFormat="false" ht="15.75" hidden="false" customHeight="false" outlineLevel="0" collapsed="false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customFormat="false" ht="15.75" hidden="false" customHeight="false" outlineLevel="0" collapsed="false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customFormat="false" ht="15.75" hidden="false" customHeight="false" outlineLevel="0" collapsed="false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customFormat="false" ht="15.75" hidden="false" customHeight="false" outlineLevel="0" collapsed="false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customFormat="false" ht="15.75" hidden="false" customHeight="false" outlineLevel="0" collapsed="false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customFormat="false" ht="15.75" hidden="false" customHeight="false" outlineLevel="0" collapsed="false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customFormat="false" ht="15.75" hidden="false" customHeight="false" outlineLevel="0" collapsed="false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customFormat="false" ht="15.75" hidden="false" customHeight="false" outlineLevel="0" collapsed="false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customFormat="false" ht="15.75" hidden="false" customHeight="false" outlineLevel="0" collapsed="false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customFormat="false" ht="15.75" hidden="false" customHeight="false" outlineLevel="0" collapsed="false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customFormat="false" ht="15.75" hidden="false" customHeight="false" outlineLevel="0" collapsed="false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customFormat="false" ht="15.75" hidden="false" customHeight="false" outlineLevel="0" collapsed="false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customFormat="false" ht="15.75" hidden="false" customHeight="false" outlineLevel="0" collapsed="false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customFormat="false" ht="15.75" hidden="false" customHeight="false" outlineLevel="0" collapsed="false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customFormat="false" ht="15.75" hidden="false" customHeight="false" outlineLevel="0" collapsed="false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customFormat="false" ht="15.75" hidden="false" customHeight="false" outlineLevel="0" collapsed="false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customFormat="false" ht="15.75" hidden="false" customHeight="false" outlineLevel="0" collapsed="false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customFormat="false" ht="15.75" hidden="false" customHeight="false" outlineLevel="0" collapsed="false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customFormat="false" ht="15.75" hidden="false" customHeight="false" outlineLevel="0" collapsed="false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customFormat="false" ht="15.75" hidden="false" customHeight="false" outlineLevel="0" collapsed="false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customFormat="false" ht="15.75" hidden="false" customHeight="false" outlineLevel="0" collapsed="false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customFormat="false" ht="15.75" hidden="false" customHeight="false" outlineLevel="0" collapsed="false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customFormat="false" ht="15.75" hidden="false" customHeight="false" outlineLevel="0" collapsed="false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customFormat="false" ht="15.75" hidden="false" customHeight="false" outlineLevel="0" collapsed="false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customFormat="false" ht="15.75" hidden="false" customHeight="false" outlineLevel="0" collapsed="false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customFormat="false" ht="15.75" hidden="false" customHeight="false" outlineLevel="0" collapsed="false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customFormat="false" ht="15.75" hidden="false" customHeight="false" outlineLevel="0" collapsed="false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customFormat="false" ht="15.75" hidden="false" customHeight="false" outlineLevel="0" collapsed="false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customFormat="false" ht="15.75" hidden="false" customHeight="false" outlineLevel="0" collapsed="false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customFormat="false" ht="15.75" hidden="false" customHeight="false" outlineLevel="0" collapsed="false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customFormat="false" ht="15.75" hidden="false" customHeight="false" outlineLevel="0" collapsed="false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customFormat="false" ht="15.75" hidden="false" customHeight="false" outlineLevel="0" collapsed="false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customFormat="false" ht="15.75" hidden="false" customHeight="false" outlineLevel="0" collapsed="false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customFormat="false" ht="15.75" hidden="false" customHeight="false" outlineLevel="0" collapsed="false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customFormat="false" ht="15.75" hidden="false" customHeight="false" outlineLevel="0" collapsed="false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customFormat="false" ht="15.75" hidden="false" customHeight="false" outlineLevel="0" collapsed="false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customFormat="false" ht="15.75" hidden="false" customHeight="false" outlineLevel="0" collapsed="false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customFormat="false" ht="15.75" hidden="false" customHeight="false" outlineLevel="0" collapsed="false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customFormat="false" ht="15.75" hidden="false" customHeight="false" outlineLevel="0" collapsed="false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customFormat="false" ht="15.75" hidden="false" customHeight="false" outlineLevel="0" collapsed="false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customFormat="false" ht="15.75" hidden="false" customHeight="false" outlineLevel="0" collapsed="false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customFormat="false" ht="15.75" hidden="false" customHeight="false" outlineLevel="0" collapsed="false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customFormat="false" ht="15.75" hidden="false" customHeight="false" outlineLevel="0" collapsed="false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customFormat="false" ht="15.75" hidden="false" customHeight="false" outlineLevel="0" collapsed="false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customFormat="false" ht="15.75" hidden="false" customHeight="false" outlineLevel="0" collapsed="false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customFormat="false" ht="15.75" hidden="false" customHeight="false" outlineLevel="0" collapsed="false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customFormat="false" ht="15.75" hidden="false" customHeight="false" outlineLevel="0" collapsed="false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customFormat="false" ht="15.75" hidden="false" customHeight="false" outlineLevel="0" collapsed="false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customFormat="false" ht="15.75" hidden="false" customHeight="false" outlineLevel="0" collapsed="false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customFormat="false" ht="15.75" hidden="false" customHeight="false" outlineLevel="0" collapsed="false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customFormat="false" ht="15.75" hidden="false" customHeight="false" outlineLevel="0" collapsed="false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customFormat="false" ht="15.75" hidden="false" customHeight="false" outlineLevel="0" collapsed="false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customFormat="false" ht="15.75" hidden="false" customHeight="false" outlineLevel="0" collapsed="false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customFormat="false" ht="15.75" hidden="false" customHeight="false" outlineLevel="0" collapsed="false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customFormat="false" ht="15.75" hidden="false" customHeight="false" outlineLevel="0" collapsed="false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customFormat="false" ht="15.75" hidden="false" customHeight="false" outlineLevel="0" collapsed="false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customFormat="false" ht="15.75" hidden="false" customHeight="false" outlineLevel="0" collapsed="false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customFormat="false" ht="15.75" hidden="false" customHeight="false" outlineLevel="0" collapsed="false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customFormat="false" ht="15.75" hidden="false" customHeight="false" outlineLevel="0" collapsed="false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customFormat="false" ht="15.75" hidden="false" customHeight="false" outlineLevel="0" collapsed="false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customFormat="false" ht="15.75" hidden="false" customHeight="false" outlineLevel="0" collapsed="false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customFormat="false" ht="15.75" hidden="false" customHeight="false" outlineLevel="0" collapsed="false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customFormat="false" ht="15.75" hidden="false" customHeight="false" outlineLevel="0" collapsed="false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customFormat="false" ht="15.75" hidden="false" customHeight="false" outlineLevel="0" collapsed="false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customFormat="false" ht="15.75" hidden="false" customHeight="false" outlineLevel="0" collapsed="false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customFormat="false" ht="15.75" hidden="false" customHeight="false" outlineLevel="0" collapsed="false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customFormat="false" ht="15.75" hidden="false" customHeight="false" outlineLevel="0" collapsed="false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customFormat="false" ht="15.75" hidden="false" customHeight="false" outlineLevel="0" collapsed="false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customFormat="false" ht="15.75" hidden="false" customHeight="false" outlineLevel="0" collapsed="false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customFormat="false" ht="15.75" hidden="false" customHeight="false" outlineLevel="0" collapsed="false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customFormat="false" ht="15.75" hidden="false" customHeight="false" outlineLevel="0" collapsed="false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customFormat="false" ht="15.75" hidden="false" customHeight="false" outlineLevel="0" collapsed="false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customFormat="false" ht="15.75" hidden="false" customHeight="false" outlineLevel="0" collapsed="false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customFormat="false" ht="15.75" hidden="false" customHeight="false" outlineLevel="0" collapsed="false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customFormat="false" ht="15.75" hidden="false" customHeight="false" outlineLevel="0" collapsed="false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customFormat="false" ht="15.75" hidden="false" customHeight="false" outlineLevel="0" collapsed="false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customFormat="false" ht="15.75" hidden="false" customHeight="false" outlineLevel="0" collapsed="false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customFormat="false" ht="15.75" hidden="false" customHeight="false" outlineLevel="0" collapsed="false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customFormat="false" ht="15.75" hidden="false" customHeight="false" outlineLevel="0" collapsed="false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customFormat="false" ht="15.75" hidden="false" customHeight="false" outlineLevel="0" collapsed="false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customFormat="false" ht="15.75" hidden="false" customHeight="false" outlineLevel="0" collapsed="false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customFormat="false" ht="15.75" hidden="false" customHeight="false" outlineLevel="0" collapsed="false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customFormat="false" ht="15.75" hidden="false" customHeight="false" outlineLevel="0" collapsed="false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customFormat="false" ht="15.75" hidden="false" customHeight="false" outlineLevel="0" collapsed="false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customFormat="false" ht="15.75" hidden="false" customHeight="false" outlineLevel="0" collapsed="false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customFormat="false" ht="15.75" hidden="false" customHeight="false" outlineLevel="0" collapsed="false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customFormat="false" ht="15.75" hidden="false" customHeight="false" outlineLevel="0" collapsed="false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customFormat="false" ht="15.75" hidden="false" customHeight="false" outlineLevel="0" collapsed="false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customFormat="false" ht="15.75" hidden="false" customHeight="false" outlineLevel="0" collapsed="false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customFormat="false" ht="15.75" hidden="false" customHeight="false" outlineLevel="0" collapsed="false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customFormat="false" ht="15.75" hidden="false" customHeight="false" outlineLevel="0" collapsed="false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customFormat="false" ht="15.75" hidden="false" customHeight="false" outlineLevel="0" collapsed="false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customFormat="false" ht="15.75" hidden="false" customHeight="false" outlineLevel="0" collapsed="false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customFormat="false" ht="15.75" hidden="false" customHeight="false" outlineLevel="0" collapsed="false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customFormat="false" ht="15.75" hidden="false" customHeight="false" outlineLevel="0" collapsed="false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customFormat="false" ht="15.75" hidden="false" customHeight="false" outlineLevel="0" collapsed="false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customFormat="false" ht="15.75" hidden="false" customHeight="false" outlineLevel="0" collapsed="false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customFormat="false" ht="15.75" hidden="false" customHeight="false" outlineLevel="0" collapsed="false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customFormat="false" ht="15.75" hidden="false" customHeight="false" outlineLevel="0" collapsed="false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customFormat="false" ht="15.75" hidden="false" customHeight="false" outlineLevel="0" collapsed="false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customFormat="false" ht="15.75" hidden="false" customHeight="false" outlineLevel="0" collapsed="false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customFormat="false" ht="15.75" hidden="false" customHeight="false" outlineLevel="0" collapsed="false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customFormat="false" ht="15.75" hidden="false" customHeight="false" outlineLevel="0" collapsed="false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customFormat="false" ht="15.75" hidden="false" customHeight="false" outlineLevel="0" collapsed="false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customFormat="false" ht="15.75" hidden="false" customHeight="false" outlineLevel="0" collapsed="false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customFormat="false" ht="15.75" hidden="false" customHeight="false" outlineLevel="0" collapsed="false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customFormat="false" ht="15.75" hidden="false" customHeight="false" outlineLevel="0" collapsed="false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customFormat="false" ht="15.75" hidden="false" customHeight="false" outlineLevel="0" collapsed="false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customFormat="false" ht="15.75" hidden="false" customHeight="false" outlineLevel="0" collapsed="false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customFormat="false" ht="15.75" hidden="false" customHeight="false" outlineLevel="0" collapsed="false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customFormat="false" ht="15.75" hidden="false" customHeight="false" outlineLevel="0" collapsed="false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customFormat="false" ht="15.75" hidden="false" customHeight="false" outlineLevel="0" collapsed="false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customFormat="false" ht="15.75" hidden="false" customHeight="false" outlineLevel="0" collapsed="false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customFormat="false" ht="15.75" hidden="false" customHeight="false" outlineLevel="0" collapsed="false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customFormat="false" ht="15.75" hidden="false" customHeight="false" outlineLevel="0" collapsed="false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customFormat="false" ht="15.75" hidden="false" customHeight="false" outlineLevel="0" collapsed="false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customFormat="false" ht="15.75" hidden="false" customHeight="false" outlineLevel="0" collapsed="false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customFormat="false" ht="15.75" hidden="false" customHeight="false" outlineLevel="0" collapsed="false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customFormat="false" ht="15.75" hidden="false" customHeight="false" outlineLevel="0" collapsed="false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customFormat="false" ht="15.75" hidden="false" customHeight="false" outlineLevel="0" collapsed="false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customFormat="false" ht="15.75" hidden="false" customHeight="false" outlineLevel="0" collapsed="false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customFormat="false" ht="15.75" hidden="false" customHeight="false" outlineLevel="0" collapsed="false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customFormat="false" ht="15.75" hidden="false" customHeight="false" outlineLevel="0" collapsed="false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customFormat="false" ht="15.75" hidden="false" customHeight="false" outlineLevel="0" collapsed="false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customFormat="false" ht="15.75" hidden="false" customHeight="false" outlineLevel="0" collapsed="false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customFormat="false" ht="15.75" hidden="false" customHeight="false" outlineLevel="0" collapsed="false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customFormat="false" ht="15.75" hidden="false" customHeight="false" outlineLevel="0" collapsed="false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customFormat="false" ht="15.75" hidden="false" customHeight="false" outlineLevel="0" collapsed="false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customFormat="false" ht="15.75" hidden="false" customHeight="false" outlineLevel="0" collapsed="false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customFormat="false" ht="15.75" hidden="false" customHeight="false" outlineLevel="0" collapsed="false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customFormat="false" ht="15.75" hidden="false" customHeight="false" outlineLevel="0" collapsed="false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customFormat="false" ht="15.75" hidden="false" customHeight="false" outlineLevel="0" collapsed="false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customFormat="false" ht="15.75" hidden="false" customHeight="false" outlineLevel="0" collapsed="false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customFormat="false" ht="15.75" hidden="false" customHeight="false" outlineLevel="0" collapsed="false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customFormat="false" ht="15.75" hidden="false" customHeight="false" outlineLevel="0" collapsed="false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customFormat="false" ht="15.75" hidden="false" customHeight="false" outlineLevel="0" collapsed="false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customFormat="false" ht="15.75" hidden="false" customHeight="false" outlineLevel="0" collapsed="false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customFormat="false" ht="15.75" hidden="false" customHeight="false" outlineLevel="0" collapsed="false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customFormat="false" ht="15.75" hidden="false" customHeight="false" outlineLevel="0" collapsed="false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customFormat="false" ht="15.75" hidden="false" customHeight="false" outlineLevel="0" collapsed="false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customFormat="false" ht="15.75" hidden="false" customHeight="false" outlineLevel="0" collapsed="false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customFormat="false" ht="15.75" hidden="false" customHeight="false" outlineLevel="0" collapsed="false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customFormat="false" ht="15.75" hidden="false" customHeight="false" outlineLevel="0" collapsed="false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customFormat="false" ht="15.75" hidden="false" customHeight="false" outlineLevel="0" collapsed="false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customFormat="false" ht="15.75" hidden="false" customHeight="false" outlineLevel="0" collapsed="false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customFormat="false" ht="15.75" hidden="false" customHeight="false" outlineLevel="0" collapsed="false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customFormat="false" ht="15.75" hidden="false" customHeight="false" outlineLevel="0" collapsed="false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customFormat="false" ht="15.75" hidden="false" customHeight="false" outlineLevel="0" collapsed="false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customFormat="false" ht="15.75" hidden="false" customHeight="false" outlineLevel="0" collapsed="false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customFormat="false" ht="15.75" hidden="false" customHeight="false" outlineLevel="0" collapsed="false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customFormat="false" ht="15.75" hidden="false" customHeight="false" outlineLevel="0" collapsed="false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customFormat="false" ht="15.75" hidden="false" customHeight="false" outlineLevel="0" collapsed="false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customFormat="false" ht="15.75" hidden="false" customHeight="false" outlineLevel="0" collapsed="false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customFormat="false" ht="15.75" hidden="false" customHeight="false" outlineLevel="0" collapsed="false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customFormat="false" ht="15.75" hidden="false" customHeight="false" outlineLevel="0" collapsed="false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customFormat="false" ht="15.75" hidden="false" customHeight="false" outlineLevel="0" collapsed="false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customFormat="false" ht="15.75" hidden="false" customHeight="false" outlineLevel="0" collapsed="false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customFormat="false" ht="15.75" hidden="false" customHeight="false" outlineLevel="0" collapsed="false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customFormat="false" ht="15.75" hidden="false" customHeight="false" outlineLevel="0" collapsed="false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customFormat="false" ht="15.75" hidden="false" customHeight="false" outlineLevel="0" collapsed="false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customFormat="false" ht="15.75" hidden="false" customHeight="false" outlineLevel="0" collapsed="false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customFormat="false" ht="15.75" hidden="false" customHeight="false" outlineLevel="0" collapsed="false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customFormat="false" ht="15.75" hidden="false" customHeight="false" outlineLevel="0" collapsed="false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customFormat="false" ht="15.75" hidden="false" customHeight="false" outlineLevel="0" collapsed="false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customFormat="false" ht="15.75" hidden="false" customHeight="false" outlineLevel="0" collapsed="false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customFormat="false" ht="15.75" hidden="false" customHeight="false" outlineLevel="0" collapsed="false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customFormat="false" ht="15.75" hidden="false" customHeight="false" outlineLevel="0" collapsed="false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customFormat="false" ht="15.75" hidden="false" customHeight="false" outlineLevel="0" collapsed="false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customFormat="false" ht="15.75" hidden="false" customHeight="false" outlineLevel="0" collapsed="false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customFormat="false" ht="15.75" hidden="false" customHeight="false" outlineLevel="0" collapsed="false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customFormat="false" ht="15.75" hidden="false" customHeight="false" outlineLevel="0" collapsed="false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customFormat="false" ht="15.75" hidden="false" customHeight="false" outlineLevel="0" collapsed="false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customFormat="false" ht="15.75" hidden="false" customHeight="false" outlineLevel="0" collapsed="false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customFormat="false" ht="15.75" hidden="false" customHeight="false" outlineLevel="0" collapsed="false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customFormat="false" ht="15.75" hidden="false" customHeight="false" outlineLevel="0" collapsed="false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customFormat="false" ht="15.75" hidden="false" customHeight="false" outlineLevel="0" collapsed="false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customFormat="false" ht="15.75" hidden="false" customHeight="false" outlineLevel="0" collapsed="false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customFormat="false" ht="15.75" hidden="false" customHeight="false" outlineLevel="0" collapsed="false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customFormat="false" ht="15.75" hidden="false" customHeight="false" outlineLevel="0" collapsed="false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customFormat="false" ht="15.75" hidden="false" customHeight="false" outlineLevel="0" collapsed="false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customFormat="false" ht="15.75" hidden="false" customHeight="false" outlineLevel="0" collapsed="false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customFormat="false" ht="15.75" hidden="false" customHeight="false" outlineLevel="0" collapsed="false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customFormat="false" ht="15.75" hidden="false" customHeight="false" outlineLevel="0" collapsed="false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customFormat="false" ht="15.75" hidden="false" customHeight="false" outlineLevel="0" collapsed="false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customFormat="false" ht="15.75" hidden="false" customHeight="false" outlineLevel="0" collapsed="false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customFormat="false" ht="15.75" hidden="false" customHeight="false" outlineLevel="0" collapsed="false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customFormat="false" ht="15.75" hidden="false" customHeight="false" outlineLevel="0" collapsed="false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customFormat="false" ht="15.75" hidden="false" customHeight="false" outlineLevel="0" collapsed="false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customFormat="false" ht="15.75" hidden="false" customHeight="false" outlineLevel="0" collapsed="false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customFormat="false" ht="15.75" hidden="false" customHeight="false" outlineLevel="0" collapsed="false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customFormat="false" ht="15.75" hidden="false" customHeight="false" outlineLevel="0" collapsed="false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customFormat="false" ht="15.75" hidden="false" customHeight="false" outlineLevel="0" collapsed="false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customFormat="false" ht="15.75" hidden="false" customHeight="false" outlineLevel="0" collapsed="false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customFormat="false" ht="15.75" hidden="false" customHeight="false" outlineLevel="0" collapsed="false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customFormat="false" ht="15.75" hidden="false" customHeight="false" outlineLevel="0" collapsed="false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customFormat="false" ht="15.75" hidden="false" customHeight="false" outlineLevel="0" collapsed="false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customFormat="false" ht="15.75" hidden="false" customHeight="false" outlineLevel="0" collapsed="false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customFormat="false" ht="15.75" hidden="false" customHeight="false" outlineLevel="0" collapsed="false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customFormat="false" ht="15.75" hidden="false" customHeight="false" outlineLevel="0" collapsed="false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customFormat="false" ht="15.75" hidden="false" customHeight="false" outlineLevel="0" collapsed="false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customFormat="false" ht="15.75" hidden="false" customHeight="false" outlineLevel="0" collapsed="false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customFormat="false" ht="15.75" hidden="false" customHeight="false" outlineLevel="0" collapsed="false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customFormat="false" ht="15.75" hidden="false" customHeight="false" outlineLevel="0" collapsed="false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customFormat="false" ht="15.75" hidden="false" customHeight="false" outlineLevel="0" collapsed="false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customFormat="false" ht="15.75" hidden="false" customHeight="false" outlineLevel="0" collapsed="false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customFormat="false" ht="15.75" hidden="false" customHeight="false" outlineLevel="0" collapsed="false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customFormat="false" ht="15.75" hidden="false" customHeight="false" outlineLevel="0" collapsed="false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customFormat="false" ht="15.75" hidden="false" customHeight="false" outlineLevel="0" collapsed="false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customFormat="false" ht="15.75" hidden="false" customHeight="false" outlineLevel="0" collapsed="false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customFormat="false" ht="15.75" hidden="false" customHeight="false" outlineLevel="0" collapsed="false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customFormat="false" ht="15.75" hidden="false" customHeight="false" outlineLevel="0" collapsed="false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customFormat="false" ht="15.75" hidden="false" customHeight="false" outlineLevel="0" collapsed="false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customFormat="false" ht="15.75" hidden="false" customHeight="false" outlineLevel="0" collapsed="false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customFormat="false" ht="15.75" hidden="false" customHeight="false" outlineLevel="0" collapsed="false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customFormat="false" ht="15.75" hidden="false" customHeight="false" outlineLevel="0" collapsed="false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customFormat="false" ht="15.75" hidden="false" customHeight="false" outlineLevel="0" collapsed="false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customFormat="false" ht="15.75" hidden="false" customHeight="false" outlineLevel="0" collapsed="false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customFormat="false" ht="15.75" hidden="false" customHeight="false" outlineLevel="0" collapsed="false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customFormat="false" ht="15.75" hidden="false" customHeight="false" outlineLevel="0" collapsed="false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customFormat="false" ht="15.75" hidden="false" customHeight="false" outlineLevel="0" collapsed="false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customFormat="false" ht="15.75" hidden="false" customHeight="false" outlineLevel="0" collapsed="false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customFormat="false" ht="15.75" hidden="false" customHeight="false" outlineLevel="0" collapsed="false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customFormat="false" ht="15.75" hidden="false" customHeight="false" outlineLevel="0" collapsed="false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customFormat="false" ht="15.75" hidden="false" customHeight="false" outlineLevel="0" collapsed="false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customFormat="false" ht="15.75" hidden="false" customHeight="false" outlineLevel="0" collapsed="false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customFormat="false" ht="15.75" hidden="false" customHeight="false" outlineLevel="0" collapsed="false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customFormat="false" ht="15.75" hidden="false" customHeight="false" outlineLevel="0" collapsed="false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customFormat="false" ht="15.75" hidden="false" customHeight="false" outlineLevel="0" collapsed="false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customFormat="false" ht="15.75" hidden="false" customHeight="false" outlineLevel="0" collapsed="false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customFormat="false" ht="15.75" hidden="false" customHeight="false" outlineLevel="0" collapsed="false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customFormat="false" ht="15.75" hidden="false" customHeight="false" outlineLevel="0" collapsed="false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customFormat="false" ht="15.75" hidden="false" customHeight="false" outlineLevel="0" collapsed="false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customFormat="false" ht="15.75" hidden="false" customHeight="false" outlineLevel="0" collapsed="false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customFormat="false" ht="15.75" hidden="false" customHeight="false" outlineLevel="0" collapsed="false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customFormat="false" ht="15.75" hidden="false" customHeight="false" outlineLevel="0" collapsed="false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customFormat="false" ht="15.75" hidden="false" customHeight="false" outlineLevel="0" collapsed="false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customFormat="false" ht="15.75" hidden="false" customHeight="false" outlineLevel="0" collapsed="false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customFormat="false" ht="15.75" hidden="false" customHeight="false" outlineLevel="0" collapsed="false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customFormat="false" ht="15.75" hidden="false" customHeight="false" outlineLevel="0" collapsed="false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customFormat="false" ht="15.75" hidden="false" customHeight="false" outlineLevel="0" collapsed="false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customFormat="false" ht="15.75" hidden="false" customHeight="false" outlineLevel="0" collapsed="false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customFormat="false" ht="15.75" hidden="false" customHeight="false" outlineLevel="0" collapsed="false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customFormat="false" ht="15.75" hidden="false" customHeight="false" outlineLevel="0" collapsed="false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customFormat="false" ht="15.75" hidden="false" customHeight="false" outlineLevel="0" collapsed="false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customFormat="false" ht="15.75" hidden="false" customHeight="false" outlineLevel="0" collapsed="false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customFormat="false" ht="15.75" hidden="false" customHeight="false" outlineLevel="0" collapsed="false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customFormat="false" ht="15.75" hidden="false" customHeight="false" outlineLevel="0" collapsed="false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customFormat="false" ht="15.75" hidden="false" customHeight="false" outlineLevel="0" collapsed="false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customFormat="false" ht="15.75" hidden="false" customHeight="false" outlineLevel="0" collapsed="false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customFormat="false" ht="15.75" hidden="false" customHeight="false" outlineLevel="0" collapsed="false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customFormat="false" ht="15.75" hidden="false" customHeight="false" outlineLevel="0" collapsed="false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customFormat="false" ht="15.75" hidden="false" customHeight="false" outlineLevel="0" collapsed="false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customFormat="false" ht="15.75" hidden="false" customHeight="false" outlineLevel="0" collapsed="false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customFormat="false" ht="15.75" hidden="false" customHeight="false" outlineLevel="0" collapsed="false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customFormat="false" ht="15.75" hidden="false" customHeight="false" outlineLevel="0" collapsed="false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customFormat="false" ht="15.75" hidden="false" customHeight="false" outlineLevel="0" collapsed="false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customFormat="false" ht="15.75" hidden="false" customHeight="false" outlineLevel="0" collapsed="false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customFormat="false" ht="15.75" hidden="false" customHeight="false" outlineLevel="0" collapsed="false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customFormat="false" ht="15.75" hidden="false" customHeight="false" outlineLevel="0" collapsed="false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customFormat="false" ht="15.75" hidden="false" customHeight="false" outlineLevel="0" collapsed="false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customFormat="false" ht="15.75" hidden="false" customHeight="false" outlineLevel="0" collapsed="false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customFormat="false" ht="15.75" hidden="false" customHeight="false" outlineLevel="0" collapsed="false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customFormat="false" ht="15.75" hidden="false" customHeight="false" outlineLevel="0" collapsed="false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customFormat="false" ht="15.75" hidden="false" customHeight="false" outlineLevel="0" collapsed="false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customFormat="false" ht="15.75" hidden="false" customHeight="false" outlineLevel="0" collapsed="false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customFormat="false" ht="15.75" hidden="false" customHeight="false" outlineLevel="0" collapsed="false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customFormat="false" ht="15.75" hidden="false" customHeight="false" outlineLevel="0" collapsed="false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customFormat="false" ht="15.75" hidden="false" customHeight="false" outlineLevel="0" collapsed="false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customFormat="false" ht="15.75" hidden="false" customHeight="false" outlineLevel="0" collapsed="false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customFormat="false" ht="15.75" hidden="false" customHeight="false" outlineLevel="0" collapsed="false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customFormat="false" ht="15.75" hidden="false" customHeight="false" outlineLevel="0" collapsed="false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customFormat="false" ht="15.75" hidden="false" customHeight="false" outlineLevel="0" collapsed="false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customFormat="false" ht="15.75" hidden="false" customHeight="false" outlineLevel="0" collapsed="false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customFormat="false" ht="15.75" hidden="false" customHeight="false" outlineLevel="0" collapsed="false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customFormat="false" ht="15.75" hidden="false" customHeight="false" outlineLevel="0" collapsed="false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customFormat="false" ht="15.75" hidden="false" customHeight="false" outlineLevel="0" collapsed="false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customFormat="false" ht="15.75" hidden="false" customHeight="false" outlineLevel="0" collapsed="false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customFormat="false" ht="15.75" hidden="false" customHeight="false" outlineLevel="0" collapsed="false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customFormat="false" ht="15.75" hidden="false" customHeight="false" outlineLevel="0" collapsed="false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customFormat="false" ht="15.75" hidden="false" customHeight="false" outlineLevel="0" collapsed="false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customFormat="false" ht="15.75" hidden="false" customHeight="false" outlineLevel="0" collapsed="false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customFormat="false" ht="15.75" hidden="false" customHeight="false" outlineLevel="0" collapsed="false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customFormat="false" ht="15.75" hidden="false" customHeight="false" outlineLevel="0" collapsed="false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customFormat="false" ht="15.75" hidden="false" customHeight="false" outlineLevel="0" collapsed="false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customFormat="false" ht="15.75" hidden="false" customHeight="false" outlineLevel="0" collapsed="false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customFormat="false" ht="15.75" hidden="false" customHeight="false" outlineLevel="0" collapsed="false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customFormat="false" ht="15.75" hidden="false" customHeight="false" outlineLevel="0" collapsed="false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customFormat="false" ht="15.75" hidden="false" customHeight="false" outlineLevel="0" collapsed="false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customFormat="false" ht="15.75" hidden="false" customHeight="false" outlineLevel="0" collapsed="false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customFormat="false" ht="15.75" hidden="false" customHeight="false" outlineLevel="0" collapsed="false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customFormat="false" ht="15.75" hidden="false" customHeight="false" outlineLevel="0" collapsed="false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customFormat="false" ht="15.75" hidden="false" customHeight="false" outlineLevel="0" collapsed="false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customFormat="false" ht="15.75" hidden="false" customHeight="false" outlineLevel="0" collapsed="false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customFormat="false" ht="15.75" hidden="false" customHeight="false" outlineLevel="0" collapsed="false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customFormat="false" ht="15.75" hidden="false" customHeight="false" outlineLevel="0" collapsed="false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customFormat="false" ht="15.75" hidden="false" customHeight="false" outlineLevel="0" collapsed="false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customFormat="false" ht="15.75" hidden="false" customHeight="false" outlineLevel="0" collapsed="false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customFormat="false" ht="15.75" hidden="false" customHeight="false" outlineLevel="0" collapsed="false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customFormat="false" ht="15.75" hidden="false" customHeight="false" outlineLevel="0" collapsed="false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customFormat="false" ht="15.75" hidden="false" customHeight="false" outlineLevel="0" collapsed="false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customFormat="false" ht="15.75" hidden="false" customHeight="false" outlineLevel="0" collapsed="false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customFormat="false" ht="15.75" hidden="false" customHeight="false" outlineLevel="0" collapsed="false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customFormat="false" ht="15.75" hidden="false" customHeight="false" outlineLevel="0" collapsed="false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customFormat="false" ht="15.75" hidden="false" customHeight="false" outlineLevel="0" collapsed="false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customFormat="false" ht="15.75" hidden="false" customHeight="false" outlineLevel="0" collapsed="false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customFormat="false" ht="15.75" hidden="false" customHeight="false" outlineLevel="0" collapsed="false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customFormat="false" ht="15.75" hidden="false" customHeight="false" outlineLevel="0" collapsed="false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customFormat="false" ht="15.75" hidden="false" customHeight="false" outlineLevel="0" collapsed="false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customFormat="false" ht="15.75" hidden="false" customHeight="false" outlineLevel="0" collapsed="false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customFormat="false" ht="15.75" hidden="false" customHeight="false" outlineLevel="0" collapsed="false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customFormat="false" ht="15.75" hidden="false" customHeight="false" outlineLevel="0" collapsed="false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customFormat="false" ht="15.75" hidden="false" customHeight="false" outlineLevel="0" collapsed="false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customFormat="false" ht="15.75" hidden="false" customHeight="false" outlineLevel="0" collapsed="false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customFormat="false" ht="15.75" hidden="false" customHeight="false" outlineLevel="0" collapsed="false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customFormat="false" ht="15.75" hidden="false" customHeight="false" outlineLevel="0" collapsed="false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customFormat="false" ht="15.75" hidden="false" customHeight="false" outlineLevel="0" collapsed="false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customFormat="false" ht="15.75" hidden="false" customHeight="false" outlineLevel="0" collapsed="false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customFormat="false" ht="15.75" hidden="false" customHeight="false" outlineLevel="0" collapsed="false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customFormat="false" ht="15.75" hidden="false" customHeight="false" outlineLevel="0" collapsed="false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customFormat="false" ht="15.75" hidden="false" customHeight="false" outlineLevel="0" collapsed="false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customFormat="false" ht="15.75" hidden="false" customHeight="false" outlineLevel="0" collapsed="false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customFormat="false" ht="15.75" hidden="false" customHeight="false" outlineLevel="0" collapsed="false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customFormat="false" ht="15.75" hidden="false" customHeight="false" outlineLevel="0" collapsed="false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customFormat="false" ht="15.75" hidden="false" customHeight="false" outlineLevel="0" collapsed="false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customFormat="false" ht="15.75" hidden="false" customHeight="false" outlineLevel="0" collapsed="false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customFormat="false" ht="15.75" hidden="false" customHeight="false" outlineLevel="0" collapsed="false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customFormat="false" ht="15.75" hidden="false" customHeight="false" outlineLevel="0" collapsed="false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customFormat="false" ht="15.75" hidden="false" customHeight="false" outlineLevel="0" collapsed="false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customFormat="false" ht="15.75" hidden="false" customHeight="false" outlineLevel="0" collapsed="false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customFormat="false" ht="15.75" hidden="false" customHeight="false" outlineLevel="0" collapsed="false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customFormat="false" ht="15.75" hidden="false" customHeight="false" outlineLevel="0" collapsed="false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customFormat="false" ht="15.75" hidden="false" customHeight="false" outlineLevel="0" collapsed="false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customFormat="false" ht="15.75" hidden="false" customHeight="false" outlineLevel="0" collapsed="false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customFormat="false" ht="15.75" hidden="false" customHeight="false" outlineLevel="0" collapsed="false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customFormat="false" ht="15.75" hidden="false" customHeight="false" outlineLevel="0" collapsed="false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customFormat="false" ht="15.75" hidden="false" customHeight="false" outlineLevel="0" collapsed="false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customFormat="false" ht="15.75" hidden="false" customHeight="false" outlineLevel="0" collapsed="false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customFormat="false" ht="15.75" hidden="false" customHeight="false" outlineLevel="0" collapsed="false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customFormat="false" ht="15.75" hidden="false" customHeight="false" outlineLevel="0" collapsed="false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customFormat="false" ht="15.75" hidden="false" customHeight="false" outlineLevel="0" collapsed="false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customFormat="false" ht="15.75" hidden="false" customHeight="false" outlineLevel="0" collapsed="false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customFormat="false" ht="15.75" hidden="false" customHeight="false" outlineLevel="0" collapsed="false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customFormat="false" ht="15.75" hidden="false" customHeight="false" outlineLevel="0" collapsed="false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customFormat="false" ht="15.75" hidden="false" customHeight="false" outlineLevel="0" collapsed="false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customFormat="false" ht="15.75" hidden="false" customHeight="false" outlineLevel="0" collapsed="false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customFormat="false" ht="15.75" hidden="false" customHeight="false" outlineLevel="0" collapsed="false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customFormat="false" ht="15.75" hidden="false" customHeight="false" outlineLevel="0" collapsed="false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customFormat="false" ht="15.75" hidden="false" customHeight="false" outlineLevel="0" collapsed="false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customFormat="false" ht="15.75" hidden="false" customHeight="false" outlineLevel="0" collapsed="false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customFormat="false" ht="15.75" hidden="false" customHeight="false" outlineLevel="0" collapsed="false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customFormat="false" ht="15.75" hidden="false" customHeight="false" outlineLevel="0" collapsed="false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customFormat="false" ht="15.75" hidden="false" customHeight="false" outlineLevel="0" collapsed="false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customFormat="false" ht="15.75" hidden="false" customHeight="false" outlineLevel="0" collapsed="false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customFormat="false" ht="15.75" hidden="false" customHeight="false" outlineLevel="0" collapsed="false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customFormat="false" ht="15.75" hidden="false" customHeight="false" outlineLevel="0" collapsed="false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customFormat="false" ht="15.75" hidden="false" customHeight="false" outlineLevel="0" collapsed="false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customFormat="false" ht="15.75" hidden="false" customHeight="false" outlineLevel="0" collapsed="false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customFormat="false" ht="15.75" hidden="false" customHeight="false" outlineLevel="0" collapsed="false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customFormat="false" ht="15.75" hidden="false" customHeight="false" outlineLevel="0" collapsed="false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customFormat="false" ht="15.75" hidden="false" customHeight="false" outlineLevel="0" collapsed="false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customFormat="false" ht="15.75" hidden="false" customHeight="false" outlineLevel="0" collapsed="false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customFormat="false" ht="15.75" hidden="false" customHeight="false" outlineLevel="0" collapsed="false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customFormat="false" ht="15.75" hidden="false" customHeight="false" outlineLevel="0" collapsed="false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customFormat="false" ht="15.75" hidden="false" customHeight="false" outlineLevel="0" collapsed="false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customFormat="false" ht="15.75" hidden="false" customHeight="false" outlineLevel="0" collapsed="false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customFormat="false" ht="15.75" hidden="false" customHeight="false" outlineLevel="0" collapsed="false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customFormat="false" ht="15.75" hidden="false" customHeight="false" outlineLevel="0" collapsed="false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customFormat="false" ht="15.75" hidden="false" customHeight="false" outlineLevel="0" collapsed="false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customFormat="false" ht="15.75" hidden="false" customHeight="false" outlineLevel="0" collapsed="false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customFormat="false" ht="15.75" hidden="false" customHeight="false" outlineLevel="0" collapsed="false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customFormat="false" ht="15.75" hidden="false" customHeight="false" outlineLevel="0" collapsed="false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customFormat="false" ht="15.75" hidden="false" customHeight="false" outlineLevel="0" collapsed="false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customFormat="false" ht="15.75" hidden="false" customHeight="false" outlineLevel="0" collapsed="false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customFormat="false" ht="15.75" hidden="false" customHeight="false" outlineLevel="0" collapsed="false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customFormat="false" ht="15.75" hidden="false" customHeight="false" outlineLevel="0" collapsed="false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customFormat="false" ht="15.75" hidden="false" customHeight="false" outlineLevel="0" collapsed="false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customFormat="false" ht="15.75" hidden="false" customHeight="false" outlineLevel="0" collapsed="false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customFormat="false" ht="15.75" hidden="false" customHeight="false" outlineLevel="0" collapsed="false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customFormat="false" ht="15.75" hidden="false" customHeight="false" outlineLevel="0" collapsed="false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customFormat="false" ht="15.75" hidden="false" customHeight="false" outlineLevel="0" collapsed="false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customFormat="false" ht="15.75" hidden="false" customHeight="false" outlineLevel="0" collapsed="false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customFormat="false" ht="15.75" hidden="false" customHeight="false" outlineLevel="0" collapsed="false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customFormat="false" ht="15.75" hidden="false" customHeight="false" outlineLevel="0" collapsed="false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customFormat="false" ht="15.75" hidden="false" customHeight="false" outlineLevel="0" collapsed="false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customFormat="false" ht="15.75" hidden="false" customHeight="false" outlineLevel="0" collapsed="false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customFormat="false" ht="15.75" hidden="false" customHeight="false" outlineLevel="0" collapsed="false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customFormat="false" ht="15.75" hidden="false" customHeight="false" outlineLevel="0" collapsed="false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customFormat="false" ht="15.75" hidden="false" customHeight="false" outlineLevel="0" collapsed="false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customFormat="false" ht="15.75" hidden="false" customHeight="false" outlineLevel="0" collapsed="false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customFormat="false" ht="15.75" hidden="false" customHeight="false" outlineLevel="0" collapsed="false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customFormat="false" ht="15.75" hidden="false" customHeight="false" outlineLevel="0" collapsed="false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customFormat="false" ht="15.75" hidden="false" customHeight="false" outlineLevel="0" collapsed="false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customFormat="false" ht="15.75" hidden="false" customHeight="false" outlineLevel="0" collapsed="false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customFormat="false" ht="15.75" hidden="false" customHeight="false" outlineLevel="0" collapsed="false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customFormat="false" ht="15.75" hidden="false" customHeight="false" outlineLevel="0" collapsed="false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customFormat="false" ht="15.75" hidden="false" customHeight="false" outlineLevel="0" collapsed="false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customFormat="false" ht="15.75" hidden="false" customHeight="false" outlineLevel="0" collapsed="false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customFormat="false" ht="15.75" hidden="false" customHeight="false" outlineLevel="0" collapsed="false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customFormat="false" ht="15.75" hidden="false" customHeight="false" outlineLevel="0" collapsed="false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customFormat="false" ht="15.75" hidden="false" customHeight="false" outlineLevel="0" collapsed="false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customFormat="false" ht="15.75" hidden="false" customHeight="false" outlineLevel="0" collapsed="false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customFormat="false" ht="15.75" hidden="false" customHeight="false" outlineLevel="0" collapsed="false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customFormat="false" ht="15.75" hidden="false" customHeight="false" outlineLevel="0" collapsed="false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customFormat="false" ht="15.75" hidden="false" customHeight="false" outlineLevel="0" collapsed="false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customFormat="false" ht="15.75" hidden="false" customHeight="false" outlineLevel="0" collapsed="false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customFormat="false" ht="15.75" hidden="false" customHeight="false" outlineLevel="0" collapsed="false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customFormat="false" ht="15.75" hidden="false" customHeight="false" outlineLevel="0" collapsed="false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customFormat="false" ht="15.75" hidden="false" customHeight="false" outlineLevel="0" collapsed="false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customFormat="false" ht="15.75" hidden="false" customHeight="false" outlineLevel="0" collapsed="false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customFormat="false" ht="15.75" hidden="false" customHeight="false" outlineLevel="0" collapsed="false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customFormat="false" ht="15.75" hidden="false" customHeight="false" outlineLevel="0" collapsed="false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customFormat="false" ht="15.75" hidden="false" customHeight="false" outlineLevel="0" collapsed="false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customFormat="false" ht="15.75" hidden="false" customHeight="false" outlineLevel="0" collapsed="false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customFormat="false" ht="15.75" hidden="false" customHeight="false" outlineLevel="0" collapsed="false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customFormat="false" ht="15.75" hidden="false" customHeight="false" outlineLevel="0" collapsed="false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customFormat="false" ht="15.75" hidden="false" customHeight="false" outlineLevel="0" collapsed="false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customFormat="false" ht="15.75" hidden="false" customHeight="false" outlineLevel="0" collapsed="false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customFormat="false" ht="15.75" hidden="false" customHeight="false" outlineLevel="0" collapsed="false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customFormat="false" ht="15.75" hidden="false" customHeight="false" outlineLevel="0" collapsed="false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customFormat="false" ht="15.75" hidden="false" customHeight="false" outlineLevel="0" collapsed="false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customFormat="false" ht="15.75" hidden="false" customHeight="false" outlineLevel="0" collapsed="false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customFormat="false" ht="15.75" hidden="false" customHeight="false" outlineLevel="0" collapsed="false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customFormat="false" ht="15.75" hidden="false" customHeight="false" outlineLevel="0" collapsed="false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customFormat="false" ht="15.75" hidden="false" customHeight="false" outlineLevel="0" collapsed="false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customFormat="false" ht="15.75" hidden="false" customHeight="false" outlineLevel="0" collapsed="false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customFormat="false" ht="15.75" hidden="false" customHeight="false" outlineLevel="0" collapsed="false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customFormat="false" ht="15.75" hidden="false" customHeight="false" outlineLevel="0" collapsed="false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customFormat="false" ht="15.75" hidden="false" customHeight="false" outlineLevel="0" collapsed="false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customFormat="false" ht="15.75" hidden="false" customHeight="false" outlineLevel="0" collapsed="false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customFormat="false" ht="15.75" hidden="false" customHeight="false" outlineLevel="0" collapsed="false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customFormat="false" ht="15.75" hidden="false" customHeight="false" outlineLevel="0" collapsed="false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customFormat="false" ht="15.75" hidden="false" customHeight="false" outlineLevel="0" collapsed="false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customFormat="false" ht="15.75" hidden="false" customHeight="false" outlineLevel="0" collapsed="false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customFormat="false" ht="15.75" hidden="false" customHeight="false" outlineLevel="0" collapsed="false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customFormat="false" ht="15.75" hidden="false" customHeight="false" outlineLevel="0" collapsed="false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customFormat="false" ht="15.75" hidden="false" customHeight="false" outlineLevel="0" collapsed="false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customFormat="false" ht="15.75" hidden="false" customHeight="false" outlineLevel="0" collapsed="false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customFormat="false" ht="15.75" hidden="false" customHeight="false" outlineLevel="0" collapsed="false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customFormat="false" ht="15.75" hidden="false" customHeight="false" outlineLevel="0" collapsed="false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customFormat="false" ht="15.75" hidden="false" customHeight="false" outlineLevel="0" collapsed="false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customFormat="false" ht="15.75" hidden="false" customHeight="false" outlineLevel="0" collapsed="false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customFormat="false" ht="15.75" hidden="false" customHeight="false" outlineLevel="0" collapsed="false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customFormat="false" ht="15.75" hidden="false" customHeight="false" outlineLevel="0" collapsed="false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customFormat="false" ht="15.75" hidden="false" customHeight="false" outlineLevel="0" collapsed="false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customFormat="false" ht="15.75" hidden="false" customHeight="false" outlineLevel="0" collapsed="false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customFormat="false" ht="15.75" hidden="false" customHeight="false" outlineLevel="0" collapsed="false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customFormat="false" ht="15.75" hidden="false" customHeight="false" outlineLevel="0" collapsed="false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customFormat="false" ht="15.75" hidden="false" customHeight="false" outlineLevel="0" collapsed="false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customFormat="false" ht="15.75" hidden="false" customHeight="false" outlineLevel="0" collapsed="false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customFormat="false" ht="15.75" hidden="false" customHeight="false" outlineLevel="0" collapsed="false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customFormat="false" ht="15.75" hidden="false" customHeight="false" outlineLevel="0" collapsed="false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customFormat="false" ht="15.75" hidden="false" customHeight="false" outlineLevel="0" collapsed="false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customFormat="false" ht="15.75" hidden="false" customHeight="false" outlineLevel="0" collapsed="false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customFormat="false" ht="15.75" hidden="false" customHeight="false" outlineLevel="0" collapsed="false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customFormat="false" ht="15.75" hidden="false" customHeight="false" outlineLevel="0" collapsed="false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customFormat="false" ht="15.75" hidden="false" customHeight="false" outlineLevel="0" collapsed="false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customFormat="false" ht="15.75" hidden="false" customHeight="false" outlineLevel="0" collapsed="false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customFormat="false" ht="15.75" hidden="false" customHeight="false" outlineLevel="0" collapsed="false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customFormat="false" ht="15.75" hidden="false" customHeight="false" outlineLevel="0" collapsed="false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customFormat="false" ht="15.75" hidden="false" customHeight="false" outlineLevel="0" collapsed="false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customFormat="false" ht="15.75" hidden="false" customHeight="false" outlineLevel="0" collapsed="false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customFormat="false" ht="15.75" hidden="false" customHeight="false" outlineLevel="0" collapsed="false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customFormat="false" ht="15.75" hidden="false" customHeight="false" outlineLevel="0" collapsed="false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customFormat="false" ht="15.75" hidden="false" customHeight="false" outlineLevel="0" collapsed="false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customFormat="false" ht="15.75" hidden="false" customHeight="false" outlineLevel="0" collapsed="false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customFormat="false" ht="15.75" hidden="false" customHeight="false" outlineLevel="0" collapsed="false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customFormat="false" ht="15.75" hidden="false" customHeight="false" outlineLevel="0" collapsed="false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customFormat="false" ht="15.75" hidden="false" customHeight="false" outlineLevel="0" collapsed="false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customFormat="false" ht="15.75" hidden="false" customHeight="false" outlineLevel="0" collapsed="false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customFormat="false" ht="15.75" hidden="false" customHeight="false" outlineLevel="0" collapsed="false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customFormat="false" ht="15.75" hidden="false" customHeight="false" outlineLevel="0" collapsed="false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customFormat="false" ht="15.75" hidden="false" customHeight="false" outlineLevel="0" collapsed="false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customFormat="false" ht="15.75" hidden="false" customHeight="false" outlineLevel="0" collapsed="false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customFormat="false" ht="15.75" hidden="false" customHeight="false" outlineLevel="0" collapsed="false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customFormat="false" ht="15.75" hidden="false" customHeight="false" outlineLevel="0" collapsed="false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customFormat="false" ht="15.75" hidden="false" customHeight="false" outlineLevel="0" collapsed="false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customFormat="false" ht="15.75" hidden="false" customHeight="false" outlineLevel="0" collapsed="false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customFormat="false" ht="15.75" hidden="false" customHeight="false" outlineLevel="0" collapsed="false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customFormat="false" ht="15.75" hidden="false" customHeight="false" outlineLevel="0" collapsed="false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customFormat="false" ht="15.75" hidden="false" customHeight="false" outlineLevel="0" collapsed="false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customFormat="false" ht="15.75" hidden="false" customHeight="false" outlineLevel="0" collapsed="false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customFormat="false" ht="15.75" hidden="false" customHeight="false" outlineLevel="0" collapsed="false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customFormat="false" ht="15.75" hidden="false" customHeight="false" outlineLevel="0" collapsed="false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customFormat="false" ht="15.75" hidden="false" customHeight="false" outlineLevel="0" collapsed="false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customFormat="false" ht="15.75" hidden="false" customHeight="false" outlineLevel="0" collapsed="false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customFormat="false" ht="15.75" hidden="false" customHeight="false" outlineLevel="0" collapsed="false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customFormat="false" ht="15.75" hidden="false" customHeight="false" outlineLevel="0" collapsed="false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customFormat="false" ht="15.75" hidden="false" customHeight="false" outlineLevel="0" collapsed="false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customFormat="false" ht="15.75" hidden="false" customHeight="false" outlineLevel="0" collapsed="false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customFormat="false" ht="15.75" hidden="false" customHeight="false" outlineLevel="0" collapsed="false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customFormat="false" ht="15.75" hidden="false" customHeight="false" outlineLevel="0" collapsed="false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customFormat="false" ht="15.75" hidden="false" customHeight="false" outlineLevel="0" collapsed="false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customFormat="false" ht="15.75" hidden="false" customHeight="false" outlineLevel="0" collapsed="false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customFormat="false" ht="15.75" hidden="false" customHeight="false" outlineLevel="0" collapsed="false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customFormat="false" ht="15.75" hidden="false" customHeight="false" outlineLevel="0" collapsed="false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customFormat="false" ht="15.75" hidden="false" customHeight="false" outlineLevel="0" collapsed="false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customFormat="false" ht="15.75" hidden="false" customHeight="false" outlineLevel="0" collapsed="false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customFormat="false" ht="15.75" hidden="false" customHeight="false" outlineLevel="0" collapsed="false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customFormat="false" ht="15.75" hidden="false" customHeight="false" outlineLevel="0" collapsed="false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customFormat="false" ht="15.75" hidden="false" customHeight="false" outlineLevel="0" collapsed="false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customFormat="false" ht="15.75" hidden="false" customHeight="false" outlineLevel="0" collapsed="false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customFormat="false" ht="15.75" hidden="false" customHeight="false" outlineLevel="0" collapsed="false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customFormat="false" ht="15.75" hidden="false" customHeight="false" outlineLevel="0" collapsed="false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customFormat="false" ht="15.75" hidden="false" customHeight="false" outlineLevel="0" collapsed="false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customFormat="false" ht="15.75" hidden="false" customHeight="false" outlineLevel="0" collapsed="false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customFormat="false" ht="15.75" hidden="false" customHeight="false" outlineLevel="0" collapsed="false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customFormat="false" ht="15.75" hidden="false" customHeight="false" outlineLevel="0" collapsed="false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customFormat="false" ht="15.75" hidden="false" customHeight="false" outlineLevel="0" collapsed="false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customFormat="false" ht="15.75" hidden="false" customHeight="false" outlineLevel="0" collapsed="false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customFormat="false" ht="15.75" hidden="false" customHeight="false" outlineLevel="0" collapsed="false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customFormat="false" ht="15.75" hidden="false" customHeight="false" outlineLevel="0" collapsed="false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customFormat="false" ht="15.75" hidden="false" customHeight="false" outlineLevel="0" collapsed="false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customFormat="false" ht="15.75" hidden="false" customHeight="false" outlineLevel="0" collapsed="false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customFormat="false" ht="15.75" hidden="false" customHeight="false" outlineLevel="0" collapsed="false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customFormat="false" ht="15.75" hidden="false" customHeight="false" outlineLevel="0" collapsed="false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customFormat="false" ht="15.75" hidden="false" customHeight="false" outlineLevel="0" collapsed="false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customFormat="false" ht="15.75" hidden="false" customHeight="false" outlineLevel="0" collapsed="false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customFormat="false" ht="15.75" hidden="false" customHeight="false" outlineLevel="0" collapsed="false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customFormat="false" ht="15.75" hidden="false" customHeight="false" outlineLevel="0" collapsed="false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customFormat="false" ht="15.75" hidden="false" customHeight="false" outlineLevel="0" collapsed="false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customFormat="false" ht="15.75" hidden="false" customHeight="false" outlineLevel="0" collapsed="false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customFormat="false" ht="15.75" hidden="false" customHeight="false" outlineLevel="0" collapsed="false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customFormat="false" ht="15.75" hidden="false" customHeight="false" outlineLevel="0" collapsed="false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customFormat="false" ht="15.75" hidden="false" customHeight="false" outlineLevel="0" collapsed="false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customFormat="false" ht="15.75" hidden="false" customHeight="false" outlineLevel="0" collapsed="false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customFormat="false" ht="15.75" hidden="false" customHeight="false" outlineLevel="0" collapsed="false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customFormat="false" ht="15.75" hidden="false" customHeight="false" outlineLevel="0" collapsed="false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customFormat="false" ht="15.75" hidden="false" customHeight="false" outlineLevel="0" collapsed="false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customFormat="false" ht="15.75" hidden="false" customHeight="false" outlineLevel="0" collapsed="false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customFormat="false" ht="15.75" hidden="false" customHeight="false" outlineLevel="0" collapsed="false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customFormat="false" ht="15.75" hidden="false" customHeight="false" outlineLevel="0" collapsed="false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customFormat="false" ht="15.75" hidden="false" customHeight="false" outlineLevel="0" collapsed="false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customFormat="false" ht="15.75" hidden="false" customHeight="false" outlineLevel="0" collapsed="false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customFormat="false" ht="15.75" hidden="false" customHeight="false" outlineLevel="0" collapsed="false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customFormat="false" ht="15.75" hidden="false" customHeight="false" outlineLevel="0" collapsed="false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customFormat="false" ht="15.75" hidden="false" customHeight="false" outlineLevel="0" collapsed="false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customFormat="false" ht="15.75" hidden="false" customHeight="false" outlineLevel="0" collapsed="false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customFormat="false" ht="15.75" hidden="false" customHeight="false" outlineLevel="0" collapsed="false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customFormat="false" ht="15.75" hidden="false" customHeight="false" outlineLevel="0" collapsed="false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customFormat="false" ht="15.75" hidden="false" customHeight="false" outlineLevel="0" collapsed="false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customFormat="false" ht="15.75" hidden="false" customHeight="false" outlineLevel="0" collapsed="false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customFormat="false" ht="15.75" hidden="false" customHeight="false" outlineLevel="0" collapsed="false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customFormat="false" ht="15.75" hidden="false" customHeight="false" outlineLevel="0" collapsed="false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customFormat="false" ht="15.75" hidden="false" customHeight="false" outlineLevel="0" collapsed="false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customFormat="false" ht="15.75" hidden="false" customHeight="false" outlineLevel="0" collapsed="false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customFormat="false" ht="15.75" hidden="false" customHeight="false" outlineLevel="0" collapsed="false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customFormat="false" ht="15.75" hidden="false" customHeight="false" outlineLevel="0" collapsed="false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customFormat="false" ht="15.75" hidden="false" customHeight="false" outlineLevel="0" collapsed="false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customFormat="false" ht="15.75" hidden="false" customHeight="false" outlineLevel="0" collapsed="false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customFormat="false" ht="15.75" hidden="false" customHeight="false" outlineLevel="0" collapsed="false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customFormat="false" ht="15.75" hidden="false" customHeight="false" outlineLevel="0" collapsed="false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customFormat="false" ht="15.75" hidden="false" customHeight="false" outlineLevel="0" collapsed="false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customFormat="false" ht="15.75" hidden="false" customHeight="false" outlineLevel="0" collapsed="false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customFormat="false" ht="15.75" hidden="false" customHeight="false" outlineLevel="0" collapsed="false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customFormat="false" ht="15.75" hidden="false" customHeight="false" outlineLevel="0" collapsed="false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customFormat="false" ht="15.75" hidden="false" customHeight="false" outlineLevel="0" collapsed="false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customFormat="false" ht="15.75" hidden="false" customHeight="false" outlineLevel="0" collapsed="false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customFormat="false" ht="15.75" hidden="false" customHeight="false" outlineLevel="0" collapsed="false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customFormat="false" ht="15.75" hidden="false" customHeight="false" outlineLevel="0" collapsed="false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customFormat="false" ht="15.75" hidden="false" customHeight="false" outlineLevel="0" collapsed="false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customFormat="false" ht="15.75" hidden="false" customHeight="false" outlineLevel="0" collapsed="false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customFormat="false" ht="15.75" hidden="false" customHeight="false" outlineLevel="0" collapsed="false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customFormat="false" ht="15.75" hidden="false" customHeight="false" outlineLevel="0" collapsed="false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customFormat="false" ht="15.75" hidden="false" customHeight="false" outlineLevel="0" collapsed="false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customFormat="false" ht="15.75" hidden="false" customHeight="false" outlineLevel="0" collapsed="false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customFormat="false" ht="15.75" hidden="false" customHeight="false" outlineLevel="0" collapsed="false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customFormat="false" ht="15.75" hidden="false" customHeight="false" outlineLevel="0" collapsed="false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customFormat="false" ht="15.75" hidden="false" customHeight="false" outlineLevel="0" collapsed="false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customFormat="false" ht="15.75" hidden="false" customHeight="false" outlineLevel="0" collapsed="false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customFormat="false" ht="15.75" hidden="false" customHeight="false" outlineLevel="0" collapsed="false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customFormat="false" ht="15.75" hidden="false" customHeight="false" outlineLevel="0" collapsed="false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customFormat="false" ht="15.75" hidden="false" customHeight="false" outlineLevel="0" collapsed="false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customFormat="false" ht="15.75" hidden="false" customHeight="false" outlineLevel="0" collapsed="false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customFormat="false" ht="15.75" hidden="false" customHeight="false" outlineLevel="0" collapsed="false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customFormat="false" ht="15.75" hidden="false" customHeight="false" outlineLevel="0" collapsed="false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customFormat="false" ht="15.75" hidden="false" customHeight="false" outlineLevel="0" collapsed="false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customFormat="false" ht="15.75" hidden="false" customHeight="false" outlineLevel="0" collapsed="false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customFormat="false" ht="15.75" hidden="false" customHeight="false" outlineLevel="0" collapsed="false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customFormat="false" ht="15.75" hidden="false" customHeight="false" outlineLevel="0" collapsed="false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customFormat="false" ht="15.75" hidden="false" customHeight="false" outlineLevel="0" collapsed="false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customFormat="false" ht="15.75" hidden="false" customHeight="false" outlineLevel="0" collapsed="false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customFormat="false" ht="15.75" hidden="false" customHeight="false" outlineLevel="0" collapsed="false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customFormat="false" ht="15.75" hidden="false" customHeight="false" outlineLevel="0" collapsed="false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customFormat="false" ht="15.75" hidden="false" customHeight="false" outlineLevel="0" collapsed="false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customFormat="false" ht="15.75" hidden="false" customHeight="false" outlineLevel="0" collapsed="false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customFormat="false" ht="15.75" hidden="false" customHeight="false" outlineLevel="0" collapsed="false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customFormat="false" ht="15.75" hidden="false" customHeight="false" outlineLevel="0" collapsed="false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customFormat="false" ht="15.75" hidden="false" customHeight="false" outlineLevel="0" collapsed="false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customFormat="false" ht="15.75" hidden="false" customHeight="false" outlineLevel="0" collapsed="false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customFormat="false" ht="15.75" hidden="false" customHeight="false" outlineLevel="0" collapsed="false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customFormat="false" ht="15.75" hidden="false" customHeight="false" outlineLevel="0" collapsed="false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customFormat="false" ht="15.75" hidden="false" customHeight="false" outlineLevel="0" collapsed="false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customFormat="false" ht="15.75" hidden="false" customHeight="false" outlineLevel="0" collapsed="false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customFormat="false" ht="15.75" hidden="false" customHeight="false" outlineLevel="0" collapsed="false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customFormat="false" ht="15.75" hidden="false" customHeight="false" outlineLevel="0" collapsed="false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customFormat="false" ht="15.75" hidden="false" customHeight="false" outlineLevel="0" collapsed="false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customFormat="false" ht="15.75" hidden="false" customHeight="false" outlineLevel="0" collapsed="false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customFormat="false" ht="15.75" hidden="false" customHeight="false" outlineLevel="0" collapsed="false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customFormat="false" ht="15.75" hidden="false" customHeight="false" outlineLevel="0" collapsed="false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customFormat="false" ht="15.75" hidden="false" customHeight="false" outlineLevel="0" collapsed="false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customFormat="false" ht="15.75" hidden="false" customHeight="false" outlineLevel="0" collapsed="false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customFormat="false" ht="15.75" hidden="false" customHeight="false" outlineLevel="0" collapsed="false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customFormat="false" ht="15.75" hidden="false" customHeight="false" outlineLevel="0" collapsed="false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customFormat="false" ht="15.75" hidden="false" customHeight="false" outlineLevel="0" collapsed="false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customFormat="false" ht="15.75" hidden="false" customHeight="false" outlineLevel="0" collapsed="false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customFormat="false" ht="15.75" hidden="false" customHeight="false" outlineLevel="0" collapsed="false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customFormat="false" ht="15.75" hidden="false" customHeight="false" outlineLevel="0" collapsed="false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customFormat="false" ht="15.75" hidden="false" customHeight="false" outlineLevel="0" collapsed="false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customFormat="false" ht="15.75" hidden="false" customHeight="false" outlineLevel="0" collapsed="false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customFormat="false" ht="15.75" hidden="false" customHeight="false" outlineLevel="0" collapsed="false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customFormat="false" ht="15.75" hidden="false" customHeight="false" outlineLevel="0" collapsed="false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customFormat="false" ht="15.75" hidden="false" customHeight="false" outlineLevel="0" collapsed="false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customFormat="false" ht="15.75" hidden="false" customHeight="false" outlineLevel="0" collapsed="false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customFormat="false" ht="15.75" hidden="false" customHeight="false" outlineLevel="0" collapsed="false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customFormat="false" ht="15.75" hidden="false" customHeight="false" outlineLevel="0" collapsed="false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customFormat="false" ht="15.75" hidden="false" customHeight="false" outlineLevel="0" collapsed="false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customFormat="false" ht="15.75" hidden="false" customHeight="false" outlineLevel="0" collapsed="false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customFormat="false" ht="15.75" hidden="false" customHeight="false" outlineLevel="0" collapsed="false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customFormat="false" ht="15.75" hidden="false" customHeight="false" outlineLevel="0" collapsed="false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customFormat="false" ht="15.75" hidden="false" customHeight="false" outlineLevel="0" collapsed="false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customFormat="false" ht="15.75" hidden="false" customHeight="false" outlineLevel="0" collapsed="false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customFormat="false" ht="15.75" hidden="false" customHeight="false" outlineLevel="0" collapsed="false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customFormat="false" ht="15.75" hidden="false" customHeight="false" outlineLevel="0" collapsed="false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customFormat="false" ht="15.75" hidden="false" customHeight="false" outlineLevel="0" collapsed="false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customFormat="false" ht="15.75" hidden="false" customHeight="false" outlineLevel="0" collapsed="false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customFormat="false" ht="15.75" hidden="false" customHeight="false" outlineLevel="0" collapsed="false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customFormat="false" ht="15.75" hidden="false" customHeight="false" outlineLevel="0" collapsed="false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customFormat="false" ht="15.75" hidden="false" customHeight="false" outlineLevel="0" collapsed="false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customFormat="false" ht="15.75" hidden="false" customHeight="false" outlineLevel="0" collapsed="false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customFormat="false" ht="15.75" hidden="false" customHeight="false" outlineLevel="0" collapsed="false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customFormat="false" ht="15.75" hidden="false" customHeight="false" outlineLevel="0" collapsed="false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customFormat="false" ht="15.75" hidden="false" customHeight="false" outlineLevel="0" collapsed="false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customFormat="false" ht="15.75" hidden="false" customHeight="false" outlineLevel="0" collapsed="false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customFormat="false" ht="15.75" hidden="false" customHeight="false" outlineLevel="0" collapsed="false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customFormat="false" ht="15.75" hidden="false" customHeight="false" outlineLevel="0" collapsed="false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customFormat="false" ht="15.75" hidden="false" customHeight="false" outlineLevel="0" collapsed="false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customFormat="false" ht="15.75" hidden="false" customHeight="false" outlineLevel="0" collapsed="false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customFormat="false" ht="15.75" hidden="false" customHeight="false" outlineLevel="0" collapsed="false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customFormat="false" ht="15.75" hidden="false" customHeight="false" outlineLevel="0" collapsed="false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customFormat="false" ht="15.75" hidden="false" customHeight="false" outlineLevel="0" collapsed="false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customFormat="false" ht="15.75" hidden="false" customHeight="false" outlineLevel="0" collapsed="false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customFormat="false" ht="15.75" hidden="false" customHeight="false" outlineLevel="0" collapsed="false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customFormat="false" ht="15.75" hidden="false" customHeight="false" outlineLevel="0" collapsed="false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customFormat="false" ht="15.75" hidden="false" customHeight="false" outlineLevel="0" collapsed="false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customFormat="false" ht="15.75" hidden="false" customHeight="false" outlineLevel="0" collapsed="false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customFormat="false" ht="15.75" hidden="false" customHeight="false" outlineLevel="0" collapsed="false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customFormat="false" ht="15.75" hidden="false" customHeight="false" outlineLevel="0" collapsed="false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customFormat="false" ht="15.75" hidden="false" customHeight="false" outlineLevel="0" collapsed="false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customFormat="false" ht="15.75" hidden="false" customHeight="false" outlineLevel="0" collapsed="false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customFormat="false" ht="15.75" hidden="false" customHeight="false" outlineLevel="0" collapsed="false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customFormat="false" ht="15.75" hidden="false" customHeight="false" outlineLevel="0" collapsed="false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customFormat="false" ht="15.75" hidden="false" customHeight="false" outlineLevel="0" collapsed="false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customFormat="false" ht="15.75" hidden="false" customHeight="false" outlineLevel="0" collapsed="false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customFormat="false" ht="15.75" hidden="false" customHeight="false" outlineLevel="0" collapsed="false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customFormat="false" ht="15.75" hidden="false" customHeight="false" outlineLevel="0" collapsed="false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customFormat="false" ht="15.75" hidden="false" customHeight="false" outlineLevel="0" collapsed="false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customFormat="false" ht="15.75" hidden="false" customHeight="false" outlineLevel="0" collapsed="false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customFormat="false" ht="15.75" hidden="false" customHeight="false" outlineLevel="0" collapsed="false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customFormat="false" ht="15.75" hidden="false" customHeight="false" outlineLevel="0" collapsed="false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customFormat="false" ht="15.75" hidden="false" customHeight="false" outlineLevel="0" collapsed="false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customFormat="false" ht="15.75" hidden="false" customHeight="false" outlineLevel="0" collapsed="false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customFormat="false" ht="15.75" hidden="false" customHeight="false" outlineLevel="0" collapsed="false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customFormat="false" ht="15.75" hidden="false" customHeight="false" outlineLevel="0" collapsed="false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customFormat="false" ht="15.75" hidden="false" customHeight="false" outlineLevel="0" collapsed="false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customFormat="false" ht="15.75" hidden="false" customHeight="false" outlineLevel="0" collapsed="false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customFormat="false" ht="15.75" hidden="false" customHeight="false" outlineLevel="0" collapsed="false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customFormat="false" ht="15.75" hidden="false" customHeight="false" outlineLevel="0" collapsed="false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customFormat="false" ht="15.75" hidden="false" customHeight="false" outlineLevel="0" collapsed="false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customFormat="false" ht="15.75" hidden="false" customHeight="false" outlineLevel="0" collapsed="false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customFormat="false" ht="15.75" hidden="false" customHeight="false" outlineLevel="0" collapsed="false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customFormat="false" ht="15.75" hidden="false" customHeight="false" outlineLevel="0" collapsed="false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customFormat="false" ht="15.75" hidden="false" customHeight="false" outlineLevel="0" collapsed="false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20" t="s">
        <v>25</v>
      </c>
      <c r="B1" s="120" t="s">
        <v>24</v>
      </c>
      <c r="C1" s="120" t="s">
        <v>27</v>
      </c>
      <c r="D1" s="120" t="s">
        <v>21</v>
      </c>
      <c r="E1" s="120" t="s">
        <v>33</v>
      </c>
      <c r="F1" s="120" t="s">
        <v>26</v>
      </c>
      <c r="G1" s="120" t="s">
        <v>28</v>
      </c>
      <c r="H1" s="120" t="s">
        <v>23</v>
      </c>
      <c r="I1" s="120" t="s">
        <v>22</v>
      </c>
    </row>
    <row r="2" customFormat="false" ht="15.75" hidden="false" customHeight="false" outlineLevel="0" collapsed="false">
      <c r="A2" s="120" t="str">
        <f aca="false">Scoring!AR8</f>
        <v/>
      </c>
      <c r="B2" s="120" t="str">
        <f aca="false">Scoring!AQ8</f>
        <v/>
      </c>
      <c r="C2" s="120" t="n">
        <f aca="false">Scoring!C8</f>
        <v>0</v>
      </c>
      <c r="D2" s="121" t="str">
        <f aca="false">Scoring!AN8</f>
        <v/>
      </c>
      <c r="E2" s="120" t="str">
        <f aca="false">Scoring!V8</f>
        <v/>
      </c>
      <c r="F2" s="120" t="n">
        <f aca="false">Scoring!B8</f>
        <v>0</v>
      </c>
      <c r="G2" s="120" t="n">
        <f aca="false">Scoring!D8</f>
        <v>0</v>
      </c>
      <c r="H2" s="120" t="str">
        <f aca="false">Scoring!AP8</f>
        <v/>
      </c>
      <c r="I2" s="120" t="str">
        <f aca="false">Scoring!AO8</f>
        <v/>
      </c>
    </row>
    <row r="3" customFormat="false" ht="15.75" hidden="false" customHeight="false" outlineLevel="0" collapsed="false">
      <c r="A3" s="120" t="str">
        <f aca="false">Scoring!AR9</f>
        <v/>
      </c>
      <c r="B3" s="120" t="str">
        <f aca="false">Scoring!AQ9</f>
        <v/>
      </c>
      <c r="C3" s="120" t="n">
        <f aca="false">Scoring!C9</f>
        <v>0</v>
      </c>
      <c r="D3" s="121" t="str">
        <f aca="false">Scoring!AN9</f>
        <v/>
      </c>
      <c r="E3" s="120" t="str">
        <f aca="false">Scoring!V9</f>
        <v/>
      </c>
      <c r="F3" s="120" t="n">
        <f aca="false">Scoring!B9</f>
        <v>0</v>
      </c>
      <c r="G3" s="120" t="n">
        <f aca="false">Scoring!D9</f>
        <v>0</v>
      </c>
      <c r="H3" s="120" t="str">
        <f aca="false">Scoring!AP9</f>
        <v/>
      </c>
      <c r="I3" s="120" t="str">
        <f aca="false">Scoring!AO9</f>
        <v/>
      </c>
    </row>
    <row r="4" customFormat="false" ht="15.75" hidden="false" customHeight="false" outlineLevel="0" collapsed="false">
      <c r="A4" s="120" t="str">
        <f aca="false">Scoring!AR10</f>
        <v/>
      </c>
      <c r="B4" s="120" t="str">
        <f aca="false">Scoring!AQ10</f>
        <v/>
      </c>
      <c r="C4" s="120" t="n">
        <f aca="false">Scoring!C10</f>
        <v>0</v>
      </c>
      <c r="D4" s="121" t="str">
        <f aca="false">Scoring!AN10</f>
        <v/>
      </c>
      <c r="E4" s="120" t="str">
        <f aca="false">Scoring!V10</f>
        <v/>
      </c>
      <c r="F4" s="120" t="n">
        <f aca="false">Scoring!B10</f>
        <v>0</v>
      </c>
      <c r="G4" s="120" t="n">
        <f aca="false">Scoring!D10</f>
        <v>0</v>
      </c>
      <c r="H4" s="120" t="str">
        <f aca="false">Scoring!AP10</f>
        <v/>
      </c>
      <c r="I4" s="120" t="str">
        <f aca="false">Scoring!AO10</f>
        <v/>
      </c>
    </row>
    <row r="5" customFormat="false" ht="15.75" hidden="false" customHeight="false" outlineLevel="0" collapsed="false">
      <c r="A5" s="120" t="str">
        <f aca="false">Scoring!AR11</f>
        <v/>
      </c>
      <c r="B5" s="120" t="str">
        <f aca="false">Scoring!AQ11</f>
        <v/>
      </c>
      <c r="C5" s="120" t="n">
        <f aca="false">Scoring!C11</f>
        <v>0</v>
      </c>
      <c r="D5" s="121" t="str">
        <f aca="false">Scoring!AN11</f>
        <v/>
      </c>
      <c r="E5" s="120" t="str">
        <f aca="false">Scoring!V11</f>
        <v/>
      </c>
      <c r="F5" s="120" t="n">
        <f aca="false">Scoring!B11</f>
        <v>0</v>
      </c>
      <c r="G5" s="120" t="n">
        <f aca="false">Scoring!D11</f>
        <v>0</v>
      </c>
      <c r="H5" s="120" t="str">
        <f aca="false">Scoring!AP11</f>
        <v/>
      </c>
      <c r="I5" s="120" t="str">
        <f aca="false">Scoring!AO11</f>
        <v/>
      </c>
    </row>
    <row r="6" customFormat="false" ht="15.75" hidden="false" customHeight="false" outlineLevel="0" collapsed="false">
      <c r="A6" s="120" t="str">
        <f aca="false">Scoring!AR12</f>
        <v/>
      </c>
      <c r="B6" s="120" t="str">
        <f aca="false">Scoring!AQ12</f>
        <v/>
      </c>
      <c r="C6" s="120" t="n">
        <f aca="false">Scoring!C12</f>
        <v>0</v>
      </c>
      <c r="D6" s="121" t="str">
        <f aca="false">Scoring!AN12</f>
        <v/>
      </c>
      <c r="E6" s="120" t="str">
        <f aca="false">Scoring!V12</f>
        <v/>
      </c>
      <c r="F6" s="120" t="n">
        <f aca="false">Scoring!B12</f>
        <v>0</v>
      </c>
      <c r="G6" s="120" t="n">
        <f aca="false">Scoring!D12</f>
        <v>0</v>
      </c>
      <c r="H6" s="120" t="str">
        <f aca="false">Scoring!AP12</f>
        <v/>
      </c>
      <c r="I6" s="120" t="str">
        <f aca="false">Scoring!AO12</f>
        <v/>
      </c>
    </row>
    <row r="7" customFormat="false" ht="15.75" hidden="false" customHeight="false" outlineLevel="0" collapsed="false">
      <c r="A7" s="120" t="str">
        <f aca="false">Scoring!AR13</f>
        <v/>
      </c>
      <c r="B7" s="120" t="str">
        <f aca="false">Scoring!AQ13</f>
        <v/>
      </c>
      <c r="C7" s="120" t="n">
        <f aca="false">Scoring!C13</f>
        <v>0</v>
      </c>
      <c r="D7" s="121" t="str">
        <f aca="false">Scoring!AN13</f>
        <v/>
      </c>
      <c r="E7" s="120" t="str">
        <f aca="false">Scoring!V13</f>
        <v/>
      </c>
      <c r="F7" s="120" t="n">
        <f aca="false">Scoring!B13</f>
        <v>0</v>
      </c>
      <c r="G7" s="120" t="n">
        <f aca="false">Scoring!D13</f>
        <v>0</v>
      </c>
      <c r="H7" s="120" t="str">
        <f aca="false">Scoring!AP13</f>
        <v/>
      </c>
      <c r="I7" s="120" t="str">
        <f aca="false">Scoring!AO13</f>
        <v/>
      </c>
    </row>
    <row r="8" customFormat="false" ht="15.75" hidden="false" customHeight="false" outlineLevel="0" collapsed="false">
      <c r="A8" s="120" t="str">
        <f aca="false">Scoring!AR14</f>
        <v/>
      </c>
      <c r="B8" s="120" t="str">
        <f aca="false">Scoring!AQ14</f>
        <v/>
      </c>
      <c r="C8" s="120" t="n">
        <f aca="false">Scoring!C14</f>
        <v>0</v>
      </c>
      <c r="D8" s="121" t="str">
        <f aca="false">Scoring!AN14</f>
        <v/>
      </c>
      <c r="E8" s="120" t="str">
        <f aca="false">Scoring!V14</f>
        <v/>
      </c>
      <c r="F8" s="120" t="n">
        <f aca="false">Scoring!B14</f>
        <v>0</v>
      </c>
      <c r="G8" s="120" t="n">
        <f aca="false">Scoring!D14</f>
        <v>0</v>
      </c>
      <c r="H8" s="120" t="str">
        <f aca="false">Scoring!AP14</f>
        <v/>
      </c>
      <c r="I8" s="120" t="str">
        <f aca="false">Scoring!AO14</f>
        <v/>
      </c>
    </row>
    <row r="9" customFormat="false" ht="15.75" hidden="false" customHeight="false" outlineLevel="0" collapsed="false">
      <c r="A9" s="120" t="str">
        <f aca="false">Scoring!AR15</f>
        <v/>
      </c>
      <c r="B9" s="120" t="str">
        <f aca="false">Scoring!AQ15</f>
        <v/>
      </c>
      <c r="C9" s="120" t="n">
        <f aca="false">Scoring!C15</f>
        <v>0</v>
      </c>
      <c r="D9" s="121" t="str">
        <f aca="false">Scoring!AN15</f>
        <v/>
      </c>
      <c r="E9" s="120" t="str">
        <f aca="false">Scoring!V15</f>
        <v/>
      </c>
      <c r="F9" s="120" t="n">
        <f aca="false">Scoring!B15</f>
        <v>0</v>
      </c>
      <c r="G9" s="120" t="n">
        <f aca="false">Scoring!D15</f>
        <v>0</v>
      </c>
      <c r="H9" s="120" t="str">
        <f aca="false">Scoring!AP15</f>
        <v/>
      </c>
      <c r="I9" s="120" t="str">
        <f aca="false">Scoring!AO15</f>
        <v/>
      </c>
    </row>
    <row r="10" customFormat="false" ht="15.75" hidden="false" customHeight="false" outlineLevel="0" collapsed="false">
      <c r="A10" s="120" t="str">
        <f aca="false">Scoring!AR16</f>
        <v/>
      </c>
      <c r="B10" s="120" t="str">
        <f aca="false">Scoring!AQ16</f>
        <v/>
      </c>
      <c r="C10" s="120" t="n">
        <f aca="false">Scoring!C16</f>
        <v>0</v>
      </c>
      <c r="D10" s="121" t="str">
        <f aca="false">Scoring!AN16</f>
        <v/>
      </c>
      <c r="E10" s="120" t="str">
        <f aca="false">Scoring!V16</f>
        <v/>
      </c>
      <c r="F10" s="120" t="n">
        <f aca="false">Scoring!B16</f>
        <v>0</v>
      </c>
      <c r="G10" s="120" t="n">
        <f aca="false">Scoring!D16</f>
        <v>0</v>
      </c>
      <c r="H10" s="120" t="str">
        <f aca="false">Scoring!AP16</f>
        <v/>
      </c>
      <c r="I10" s="120" t="str">
        <f aca="false">Scoring!AO16</f>
        <v/>
      </c>
    </row>
    <row r="11" customFormat="false" ht="15.75" hidden="false" customHeight="false" outlineLevel="0" collapsed="false">
      <c r="A11" s="120" t="str">
        <f aca="false">Scoring!AR17</f>
        <v/>
      </c>
      <c r="B11" s="120" t="str">
        <f aca="false">Scoring!AQ17</f>
        <v/>
      </c>
      <c r="C11" s="120" t="n">
        <f aca="false">Scoring!C17</f>
        <v>0</v>
      </c>
      <c r="D11" s="121" t="str">
        <f aca="false">Scoring!AN17</f>
        <v/>
      </c>
      <c r="E11" s="120" t="str">
        <f aca="false">Scoring!V17</f>
        <v/>
      </c>
      <c r="F11" s="120" t="n">
        <f aca="false">Scoring!B17</f>
        <v>0</v>
      </c>
      <c r="G11" s="120" t="n">
        <f aca="false">Scoring!D17</f>
        <v>0</v>
      </c>
      <c r="H11" s="120" t="str">
        <f aca="false">Scoring!AP17</f>
        <v/>
      </c>
      <c r="I11" s="120" t="str">
        <f aca="false">Scoring!AO17</f>
        <v/>
      </c>
    </row>
    <row r="12" customFormat="false" ht="15.75" hidden="false" customHeight="false" outlineLevel="0" collapsed="false">
      <c r="A12" s="120" t="str">
        <f aca="false">Scoring!AR18</f>
        <v/>
      </c>
      <c r="B12" s="120" t="str">
        <f aca="false">Scoring!AQ18</f>
        <v/>
      </c>
      <c r="C12" s="120" t="n">
        <f aca="false">Scoring!C18</f>
        <v>0</v>
      </c>
      <c r="D12" s="121" t="str">
        <f aca="false">Scoring!AN18</f>
        <v/>
      </c>
      <c r="E12" s="120" t="str">
        <f aca="false">Scoring!V18</f>
        <v/>
      </c>
      <c r="F12" s="120" t="n">
        <f aca="false">Scoring!B18</f>
        <v>0</v>
      </c>
      <c r="G12" s="120" t="n">
        <f aca="false">Scoring!D18</f>
        <v>0</v>
      </c>
      <c r="H12" s="120" t="str">
        <f aca="false">Scoring!AP18</f>
        <v/>
      </c>
      <c r="I12" s="120" t="str">
        <f aca="false">Scoring!AO18</f>
        <v/>
      </c>
    </row>
    <row r="13" customFormat="false" ht="15.75" hidden="false" customHeight="false" outlineLevel="0" collapsed="false">
      <c r="A13" s="120" t="str">
        <f aca="false">Scoring!AR19</f>
        <v/>
      </c>
      <c r="B13" s="120" t="str">
        <f aca="false">Scoring!AQ19</f>
        <v/>
      </c>
      <c r="C13" s="120" t="n">
        <f aca="false">Scoring!C19</f>
        <v>0</v>
      </c>
      <c r="D13" s="121" t="str">
        <f aca="false">Scoring!AN19</f>
        <v/>
      </c>
      <c r="E13" s="120" t="str">
        <f aca="false">Scoring!V19</f>
        <v/>
      </c>
      <c r="F13" s="120" t="n">
        <f aca="false">Scoring!B19</f>
        <v>0</v>
      </c>
      <c r="G13" s="120" t="n">
        <f aca="false">Scoring!D19</f>
        <v>0</v>
      </c>
      <c r="H13" s="120" t="str">
        <f aca="false">Scoring!AP19</f>
        <v/>
      </c>
      <c r="I13" s="120" t="str">
        <f aca="false">Scoring!AO19</f>
        <v/>
      </c>
    </row>
    <row r="14" customFormat="false" ht="15.75" hidden="false" customHeight="false" outlineLevel="0" collapsed="false">
      <c r="A14" s="120" t="str">
        <f aca="false">Scoring!AR20</f>
        <v/>
      </c>
      <c r="B14" s="120" t="str">
        <f aca="false">Scoring!AQ20</f>
        <v/>
      </c>
      <c r="C14" s="120" t="n">
        <f aca="false">Scoring!C20</f>
        <v>0</v>
      </c>
      <c r="D14" s="121" t="str">
        <f aca="false">Scoring!AN20</f>
        <v/>
      </c>
      <c r="E14" s="120" t="str">
        <f aca="false">Scoring!V20</f>
        <v/>
      </c>
      <c r="F14" s="120" t="n">
        <f aca="false">Scoring!B20</f>
        <v>0</v>
      </c>
      <c r="G14" s="120" t="n">
        <f aca="false">Scoring!D20</f>
        <v>0</v>
      </c>
      <c r="H14" s="120" t="str">
        <f aca="false">Scoring!AP20</f>
        <v/>
      </c>
      <c r="I14" s="120" t="str">
        <f aca="false">Scoring!AO20</f>
        <v/>
      </c>
    </row>
    <row r="15" customFormat="false" ht="15.75" hidden="false" customHeight="false" outlineLevel="0" collapsed="false">
      <c r="A15" s="120" t="str">
        <f aca="false">Scoring!AR21</f>
        <v/>
      </c>
      <c r="B15" s="120" t="str">
        <f aca="false">Scoring!AQ21</f>
        <v/>
      </c>
      <c r="C15" s="120" t="n">
        <f aca="false">Scoring!C21</f>
        <v>0</v>
      </c>
      <c r="D15" s="121" t="str">
        <f aca="false">Scoring!AN21</f>
        <v/>
      </c>
      <c r="E15" s="120" t="str">
        <f aca="false">Scoring!V21</f>
        <v/>
      </c>
      <c r="F15" s="120" t="n">
        <f aca="false">Scoring!B21</f>
        <v>0</v>
      </c>
      <c r="G15" s="120" t="n">
        <f aca="false">Scoring!D21</f>
        <v>0</v>
      </c>
      <c r="H15" s="120" t="str">
        <f aca="false">Scoring!AP21</f>
        <v/>
      </c>
      <c r="I15" s="120" t="str">
        <f aca="false">Scoring!AO21</f>
        <v/>
      </c>
    </row>
    <row r="16" customFormat="false" ht="15.75" hidden="false" customHeight="false" outlineLevel="0" collapsed="false">
      <c r="A16" s="120" t="str">
        <f aca="false">Scoring!AR22</f>
        <v/>
      </c>
      <c r="B16" s="120" t="str">
        <f aca="false">Scoring!AQ22</f>
        <v/>
      </c>
      <c r="C16" s="120" t="n">
        <f aca="false">Scoring!C22</f>
        <v>0</v>
      </c>
      <c r="D16" s="121" t="str">
        <f aca="false">Scoring!AN22</f>
        <v/>
      </c>
      <c r="E16" s="120" t="str">
        <f aca="false">Scoring!V22</f>
        <v/>
      </c>
      <c r="F16" s="120" t="n">
        <f aca="false">Scoring!B22</f>
        <v>0</v>
      </c>
      <c r="G16" s="120" t="n">
        <f aca="false">Scoring!D22</f>
        <v>0</v>
      </c>
      <c r="H16" s="120" t="str">
        <f aca="false">Scoring!AP22</f>
        <v/>
      </c>
      <c r="I16" s="120" t="str">
        <f aca="false">Scoring!AO22</f>
        <v/>
      </c>
    </row>
    <row r="17" customFormat="false" ht="15.75" hidden="false" customHeight="false" outlineLevel="0" collapsed="false">
      <c r="A17" s="120" t="str">
        <f aca="false">Scoring!AR23</f>
        <v/>
      </c>
      <c r="B17" s="120" t="str">
        <f aca="false">Scoring!AQ23</f>
        <v/>
      </c>
      <c r="C17" s="120" t="n">
        <f aca="false">Scoring!C23</f>
        <v>0</v>
      </c>
      <c r="D17" s="121" t="str">
        <f aca="false">Scoring!AN23</f>
        <v/>
      </c>
      <c r="E17" s="120" t="str">
        <f aca="false">Scoring!V23</f>
        <v/>
      </c>
      <c r="F17" s="120" t="n">
        <f aca="false">Scoring!B23</f>
        <v>0</v>
      </c>
      <c r="G17" s="120" t="n">
        <f aca="false">Scoring!D23</f>
        <v>0</v>
      </c>
      <c r="H17" s="120" t="str">
        <f aca="false">Scoring!AP23</f>
        <v/>
      </c>
      <c r="I17" s="120" t="str">
        <f aca="false">Scoring!AO23</f>
        <v/>
      </c>
    </row>
    <row r="18" customFormat="false" ht="15.75" hidden="false" customHeight="false" outlineLevel="0" collapsed="false">
      <c r="A18" s="120" t="str">
        <f aca="false">Scoring!AR24</f>
        <v/>
      </c>
      <c r="B18" s="120" t="str">
        <f aca="false">Scoring!AQ24</f>
        <v/>
      </c>
      <c r="C18" s="120" t="n">
        <f aca="false">Scoring!C24</f>
        <v>0</v>
      </c>
      <c r="D18" s="121" t="str">
        <f aca="false">Scoring!AN24</f>
        <v/>
      </c>
      <c r="E18" s="120" t="str">
        <f aca="false">Scoring!V24</f>
        <v/>
      </c>
      <c r="F18" s="120" t="n">
        <f aca="false">Scoring!B24</f>
        <v>0</v>
      </c>
      <c r="G18" s="120" t="n">
        <f aca="false">Scoring!D24</f>
        <v>0</v>
      </c>
      <c r="H18" s="120" t="str">
        <f aca="false">Scoring!AP24</f>
        <v/>
      </c>
      <c r="I18" s="120" t="str">
        <f aca="false">Scoring!AO24</f>
        <v/>
      </c>
    </row>
    <row r="19" customFormat="false" ht="15.75" hidden="false" customHeight="false" outlineLevel="0" collapsed="false">
      <c r="A19" s="120" t="str">
        <f aca="false">Scoring!AR25</f>
        <v/>
      </c>
      <c r="B19" s="120" t="str">
        <f aca="false">Scoring!AQ25</f>
        <v/>
      </c>
      <c r="C19" s="120" t="n">
        <f aca="false">Scoring!C25</f>
        <v>0</v>
      </c>
      <c r="D19" s="121" t="str">
        <f aca="false">Scoring!AN25</f>
        <v/>
      </c>
      <c r="E19" s="120" t="str">
        <f aca="false">Scoring!V25</f>
        <v/>
      </c>
      <c r="F19" s="120" t="n">
        <f aca="false">Scoring!B25</f>
        <v>0</v>
      </c>
      <c r="G19" s="120" t="n">
        <f aca="false">Scoring!D25</f>
        <v>0</v>
      </c>
      <c r="H19" s="120" t="str">
        <f aca="false">Scoring!AP25</f>
        <v/>
      </c>
      <c r="I19" s="120" t="str">
        <f aca="false">Scoring!AO25</f>
        <v/>
      </c>
    </row>
    <row r="20" customFormat="false" ht="15.75" hidden="false" customHeight="false" outlineLevel="0" collapsed="false">
      <c r="A20" s="120" t="str">
        <f aca="false">Scoring!AR26</f>
        <v/>
      </c>
      <c r="B20" s="120" t="str">
        <f aca="false">Scoring!AQ26</f>
        <v/>
      </c>
      <c r="C20" s="120" t="n">
        <f aca="false">Scoring!C26</f>
        <v>0</v>
      </c>
      <c r="D20" s="121" t="str">
        <f aca="false">Scoring!AN26</f>
        <v/>
      </c>
      <c r="E20" s="120" t="str">
        <f aca="false">Scoring!V26</f>
        <v/>
      </c>
      <c r="F20" s="120" t="n">
        <f aca="false">Scoring!B26</f>
        <v>0</v>
      </c>
      <c r="G20" s="120" t="n">
        <f aca="false">Scoring!D26</f>
        <v>0</v>
      </c>
      <c r="H20" s="120" t="str">
        <f aca="false">Scoring!AP26</f>
        <v/>
      </c>
      <c r="I20" s="120" t="str">
        <f aca="false">Scoring!AO26</f>
        <v/>
      </c>
    </row>
    <row r="21" customFormat="false" ht="15.75" hidden="false" customHeight="false" outlineLevel="0" collapsed="false">
      <c r="A21" s="120" t="str">
        <f aca="false">Scoring!AR27</f>
        <v/>
      </c>
      <c r="B21" s="120" t="str">
        <f aca="false">Scoring!AQ27</f>
        <v/>
      </c>
      <c r="C21" s="120" t="n">
        <f aca="false">Scoring!C27</f>
        <v>0</v>
      </c>
      <c r="D21" s="121" t="str">
        <f aca="false">Scoring!AN27</f>
        <v/>
      </c>
      <c r="E21" s="120" t="str">
        <f aca="false">Scoring!V27</f>
        <v/>
      </c>
      <c r="F21" s="120" t="n">
        <f aca="false">Scoring!B27</f>
        <v>0</v>
      </c>
      <c r="G21" s="120" t="n">
        <f aca="false">Scoring!D27</f>
        <v>0</v>
      </c>
      <c r="H21" s="120" t="str">
        <f aca="false">Scoring!AP27</f>
        <v/>
      </c>
      <c r="I21" s="120" t="str">
        <f aca="false">Scoring!AO27</f>
        <v/>
      </c>
    </row>
    <row r="22" customFormat="false" ht="15.75" hidden="false" customHeight="false" outlineLevel="0" collapsed="false">
      <c r="A22" s="120" t="str">
        <f aca="false">Scoring!AR28</f>
        <v/>
      </c>
      <c r="B22" s="120" t="str">
        <f aca="false">Scoring!AQ28</f>
        <v/>
      </c>
      <c r="C22" s="120" t="n">
        <f aca="false">Scoring!C28</f>
        <v>0</v>
      </c>
      <c r="D22" s="121" t="str">
        <f aca="false">Scoring!AN28</f>
        <v/>
      </c>
      <c r="E22" s="120" t="str">
        <f aca="false">Scoring!V28</f>
        <v/>
      </c>
      <c r="F22" s="120" t="n">
        <f aca="false">Scoring!B28</f>
        <v>0</v>
      </c>
      <c r="G22" s="120" t="n">
        <f aca="false">Scoring!D28</f>
        <v>0</v>
      </c>
      <c r="H22" s="120" t="str">
        <f aca="false">Scoring!AP28</f>
        <v/>
      </c>
      <c r="I22" s="120" t="str">
        <f aca="false">Scoring!AO28</f>
        <v/>
      </c>
    </row>
    <row r="23" customFormat="false" ht="15.75" hidden="false" customHeight="false" outlineLevel="0" collapsed="false">
      <c r="A23" s="120" t="str">
        <f aca="false">Scoring!AR29</f>
        <v/>
      </c>
      <c r="B23" s="120" t="str">
        <f aca="false">Scoring!AQ29</f>
        <v/>
      </c>
      <c r="C23" s="120" t="n">
        <f aca="false">Scoring!C29</f>
        <v>0</v>
      </c>
      <c r="D23" s="121" t="str">
        <f aca="false">Scoring!AN29</f>
        <v/>
      </c>
      <c r="E23" s="120" t="str">
        <f aca="false">Scoring!V29</f>
        <v/>
      </c>
      <c r="F23" s="120" t="n">
        <f aca="false">Scoring!B29</f>
        <v>0</v>
      </c>
      <c r="G23" s="120" t="n">
        <f aca="false">Scoring!D29</f>
        <v>0</v>
      </c>
      <c r="H23" s="120" t="str">
        <f aca="false">Scoring!AP29</f>
        <v/>
      </c>
      <c r="I23" s="120" t="str">
        <f aca="false">Scoring!AO29</f>
        <v/>
      </c>
    </row>
    <row r="24" customFormat="false" ht="15.75" hidden="false" customHeight="false" outlineLevel="0" collapsed="false">
      <c r="A24" s="120" t="str">
        <f aca="false">Scoring!AR30</f>
        <v/>
      </c>
      <c r="B24" s="120" t="str">
        <f aca="false">Scoring!AQ30</f>
        <v/>
      </c>
      <c r="C24" s="120" t="n">
        <f aca="false">Scoring!C30</f>
        <v>0</v>
      </c>
      <c r="D24" s="121" t="str">
        <f aca="false">Scoring!AN30</f>
        <v/>
      </c>
      <c r="E24" s="120" t="str">
        <f aca="false">Scoring!V30</f>
        <v/>
      </c>
      <c r="F24" s="120" t="n">
        <f aca="false">Scoring!B30</f>
        <v>0</v>
      </c>
      <c r="G24" s="120" t="n">
        <f aca="false">Scoring!D30</f>
        <v>0</v>
      </c>
      <c r="H24" s="120" t="str">
        <f aca="false">Scoring!AP30</f>
        <v/>
      </c>
      <c r="I24" s="120" t="str">
        <f aca="false">Scoring!AO30</f>
        <v/>
      </c>
    </row>
    <row r="25" customFormat="false" ht="15.75" hidden="false" customHeight="false" outlineLevel="0" collapsed="false">
      <c r="A25" s="120" t="str">
        <f aca="false">Scoring!AR31</f>
        <v/>
      </c>
      <c r="B25" s="120" t="str">
        <f aca="false">Scoring!AQ31</f>
        <v/>
      </c>
      <c r="C25" s="120" t="n">
        <f aca="false">Scoring!C31</f>
        <v>0</v>
      </c>
      <c r="D25" s="121" t="str">
        <f aca="false">Scoring!AN31</f>
        <v/>
      </c>
      <c r="E25" s="120" t="str">
        <f aca="false">Scoring!V31</f>
        <v/>
      </c>
      <c r="F25" s="120" t="n">
        <f aca="false">Scoring!B31</f>
        <v>0</v>
      </c>
      <c r="G25" s="120" t="n">
        <f aca="false">Scoring!D31</f>
        <v>0</v>
      </c>
      <c r="H25" s="120" t="str">
        <f aca="false">Scoring!AP31</f>
        <v/>
      </c>
      <c r="I25" s="120" t="str">
        <f aca="false">Scoring!AO31</f>
        <v/>
      </c>
    </row>
    <row r="26" customFormat="false" ht="15.75" hidden="false" customHeight="false" outlineLevel="0" collapsed="false">
      <c r="A26" s="120" t="str">
        <f aca="false">Scoring!AR32</f>
        <v/>
      </c>
      <c r="B26" s="120" t="str">
        <f aca="false">Scoring!AQ32</f>
        <v/>
      </c>
      <c r="C26" s="120" t="n">
        <f aca="false">Scoring!C32</f>
        <v>0</v>
      </c>
      <c r="D26" s="121" t="str">
        <f aca="false">Scoring!AN32</f>
        <v/>
      </c>
      <c r="E26" s="120" t="str">
        <f aca="false">Scoring!V32</f>
        <v/>
      </c>
      <c r="F26" s="120" t="n">
        <f aca="false">Scoring!B32</f>
        <v>0</v>
      </c>
      <c r="G26" s="120" t="n">
        <f aca="false">Scoring!D32</f>
        <v>0</v>
      </c>
      <c r="H26" s="120" t="str">
        <f aca="false">Scoring!AP32</f>
        <v/>
      </c>
      <c r="I26" s="120" t="str">
        <f aca="false">Scoring!AO32</f>
        <v/>
      </c>
    </row>
    <row r="27" customFormat="false" ht="15.75" hidden="false" customHeight="false" outlineLevel="0" collapsed="false">
      <c r="A27" s="120" t="str">
        <f aca="false">Scoring!AR33</f>
        <v/>
      </c>
      <c r="B27" s="120" t="str">
        <f aca="false">Scoring!AQ33</f>
        <v/>
      </c>
      <c r="C27" s="120" t="n">
        <f aca="false">Scoring!C33</f>
        <v>0</v>
      </c>
      <c r="D27" s="121" t="str">
        <f aca="false">Scoring!AN33</f>
        <v/>
      </c>
      <c r="E27" s="120" t="str">
        <f aca="false">Scoring!V33</f>
        <v/>
      </c>
      <c r="F27" s="120" t="n">
        <f aca="false">Scoring!B33</f>
        <v>0</v>
      </c>
      <c r="G27" s="120" t="n">
        <f aca="false">Scoring!D33</f>
        <v>0</v>
      </c>
      <c r="H27" s="120" t="str">
        <f aca="false">Scoring!AP33</f>
        <v/>
      </c>
      <c r="I27" s="120" t="str">
        <f aca="false">Scoring!AO33</f>
        <v/>
      </c>
    </row>
    <row r="28" customFormat="false" ht="15.75" hidden="false" customHeight="false" outlineLevel="0" collapsed="false">
      <c r="A28" s="120" t="str">
        <f aca="false">Scoring!AR34</f>
        <v/>
      </c>
      <c r="B28" s="120" t="str">
        <f aca="false">Scoring!AQ34</f>
        <v/>
      </c>
      <c r="C28" s="120" t="n">
        <f aca="false">Scoring!C34</f>
        <v>0</v>
      </c>
      <c r="D28" s="121" t="str">
        <f aca="false">Scoring!AN34</f>
        <v/>
      </c>
      <c r="E28" s="120" t="str">
        <f aca="false">Scoring!V34</f>
        <v/>
      </c>
      <c r="F28" s="120" t="n">
        <f aca="false">Scoring!B34</f>
        <v>0</v>
      </c>
      <c r="G28" s="120" t="n">
        <f aca="false">Scoring!D34</f>
        <v>0</v>
      </c>
      <c r="H28" s="120" t="str">
        <f aca="false">Scoring!AP34</f>
        <v/>
      </c>
      <c r="I28" s="120" t="str">
        <f aca="false">Scoring!AO34</f>
        <v/>
      </c>
    </row>
    <row r="29" customFormat="false" ht="15.75" hidden="false" customHeight="false" outlineLevel="0" collapsed="false">
      <c r="A29" s="120" t="str">
        <f aca="false">Scoring!AR35</f>
        <v/>
      </c>
      <c r="B29" s="120" t="str">
        <f aca="false">Scoring!AQ35</f>
        <v/>
      </c>
      <c r="C29" s="120" t="n">
        <f aca="false">Scoring!C35</f>
        <v>0</v>
      </c>
      <c r="D29" s="121" t="str">
        <f aca="false">Scoring!AN35</f>
        <v/>
      </c>
      <c r="E29" s="120" t="str">
        <f aca="false">Scoring!V35</f>
        <v/>
      </c>
      <c r="F29" s="120" t="n">
        <f aca="false">Scoring!B35</f>
        <v>0</v>
      </c>
      <c r="G29" s="120" t="n">
        <f aca="false">Scoring!D35</f>
        <v>0</v>
      </c>
      <c r="H29" s="120" t="str">
        <f aca="false">Scoring!AP35</f>
        <v/>
      </c>
      <c r="I29" s="120" t="str">
        <f aca="false">Scoring!AO35</f>
        <v/>
      </c>
    </row>
    <row r="30" customFormat="false" ht="15.75" hidden="false" customHeight="false" outlineLevel="0" collapsed="false">
      <c r="A30" s="120" t="str">
        <f aca="false">Scoring!AR36</f>
        <v/>
      </c>
      <c r="B30" s="120" t="str">
        <f aca="false">Scoring!AQ36</f>
        <v/>
      </c>
      <c r="C30" s="120" t="n">
        <f aca="false">Scoring!C36</f>
        <v>0</v>
      </c>
      <c r="D30" s="121" t="str">
        <f aca="false">Scoring!AN36</f>
        <v/>
      </c>
      <c r="E30" s="120" t="str">
        <f aca="false">Scoring!V36</f>
        <v/>
      </c>
      <c r="F30" s="120" t="n">
        <f aca="false">Scoring!B36</f>
        <v>0</v>
      </c>
      <c r="G30" s="120" t="n">
        <f aca="false">Scoring!D36</f>
        <v>0</v>
      </c>
      <c r="H30" s="120" t="str">
        <f aca="false">Scoring!AP36</f>
        <v/>
      </c>
      <c r="I30" s="120" t="str">
        <f aca="false">Scoring!AO36</f>
        <v/>
      </c>
    </row>
    <row r="31" customFormat="false" ht="15.75" hidden="false" customHeight="false" outlineLevel="0" collapsed="false">
      <c r="A31" s="120" t="str">
        <f aca="false">Scoring!AR37</f>
        <v/>
      </c>
      <c r="B31" s="120" t="str">
        <f aca="false">Scoring!AQ37</f>
        <v/>
      </c>
      <c r="C31" s="120" t="n">
        <f aca="false">Scoring!C37</f>
        <v>0</v>
      </c>
      <c r="D31" s="121" t="str">
        <f aca="false">Scoring!AN37</f>
        <v/>
      </c>
      <c r="E31" s="120" t="str">
        <f aca="false">Scoring!V37</f>
        <v/>
      </c>
      <c r="F31" s="120" t="n">
        <f aca="false">Scoring!B37</f>
        <v>0</v>
      </c>
      <c r="G31" s="120" t="n">
        <f aca="false">Scoring!D37</f>
        <v>0</v>
      </c>
      <c r="H31" s="120" t="str">
        <f aca="false">Scoring!AP37</f>
        <v/>
      </c>
      <c r="I31" s="120" t="str">
        <f aca="false">Scoring!AO37</f>
        <v/>
      </c>
    </row>
    <row r="32" customFormat="false" ht="15.75" hidden="false" customHeight="false" outlineLevel="0" collapsed="false">
      <c r="A32" s="120" t="str">
        <f aca="false">Scoring!AR38</f>
        <v/>
      </c>
      <c r="B32" s="120" t="str">
        <f aca="false">Scoring!AQ38</f>
        <v/>
      </c>
      <c r="C32" s="120" t="n">
        <f aca="false">Scoring!C38</f>
        <v>0</v>
      </c>
      <c r="D32" s="121" t="str">
        <f aca="false">Scoring!AN38</f>
        <v/>
      </c>
      <c r="E32" s="120" t="str">
        <f aca="false">Scoring!V38</f>
        <v/>
      </c>
      <c r="F32" s="120" t="n">
        <f aca="false">Scoring!B38</f>
        <v>0</v>
      </c>
      <c r="G32" s="120" t="n">
        <f aca="false">Scoring!D38</f>
        <v>0</v>
      </c>
      <c r="H32" s="120" t="str">
        <f aca="false">Scoring!AP38</f>
        <v/>
      </c>
      <c r="I32" s="120" t="str">
        <f aca="false">Scoring!AO38</f>
        <v/>
      </c>
    </row>
    <row r="33" customFormat="false" ht="15.75" hidden="false" customHeight="false" outlineLevel="0" collapsed="false">
      <c r="A33" s="120" t="str">
        <f aca="false">Scoring!AR39</f>
        <v/>
      </c>
      <c r="B33" s="120" t="str">
        <f aca="false">Scoring!AQ39</f>
        <v/>
      </c>
      <c r="C33" s="120" t="n">
        <f aca="false">Scoring!C39</f>
        <v>0</v>
      </c>
      <c r="D33" s="121" t="str">
        <f aca="false">Scoring!AN39</f>
        <v/>
      </c>
      <c r="E33" s="120" t="str">
        <f aca="false">Scoring!V39</f>
        <v/>
      </c>
      <c r="F33" s="120" t="n">
        <f aca="false">Scoring!B39</f>
        <v>0</v>
      </c>
      <c r="G33" s="120" t="n">
        <f aca="false">Scoring!D39</f>
        <v>0</v>
      </c>
      <c r="H33" s="120" t="str">
        <f aca="false">Scoring!AP39</f>
        <v/>
      </c>
      <c r="I33" s="120" t="str">
        <f aca="false">Scoring!AO39</f>
        <v/>
      </c>
    </row>
    <row r="34" customFormat="false" ht="15.75" hidden="false" customHeight="false" outlineLevel="0" collapsed="false">
      <c r="A34" s="120" t="str">
        <f aca="false">Scoring!AR40</f>
        <v/>
      </c>
      <c r="B34" s="120" t="str">
        <f aca="false">Scoring!AQ40</f>
        <v/>
      </c>
      <c r="C34" s="120" t="n">
        <f aca="false">Scoring!C40</f>
        <v>0</v>
      </c>
      <c r="D34" s="121" t="str">
        <f aca="false">Scoring!AN40</f>
        <v/>
      </c>
      <c r="E34" s="120" t="str">
        <f aca="false">Scoring!V40</f>
        <v/>
      </c>
      <c r="F34" s="120" t="n">
        <f aca="false">Scoring!B40</f>
        <v>0</v>
      </c>
      <c r="G34" s="120" t="n">
        <f aca="false">Scoring!D40</f>
        <v>0</v>
      </c>
      <c r="H34" s="120" t="str">
        <f aca="false">Scoring!AP40</f>
        <v/>
      </c>
      <c r="I34" s="120" t="str">
        <f aca="false">Scoring!AO40</f>
        <v/>
      </c>
    </row>
    <row r="35" customFormat="false" ht="15.75" hidden="false" customHeight="false" outlineLevel="0" collapsed="false">
      <c r="A35" s="120" t="str">
        <f aca="false">Scoring!AR41</f>
        <v/>
      </c>
      <c r="B35" s="120" t="str">
        <f aca="false">Scoring!AQ41</f>
        <v/>
      </c>
      <c r="C35" s="120" t="n">
        <f aca="false">Scoring!C41</f>
        <v>0</v>
      </c>
      <c r="D35" s="121" t="str">
        <f aca="false">Scoring!AN41</f>
        <v/>
      </c>
      <c r="E35" s="120" t="str">
        <f aca="false">Scoring!V41</f>
        <v/>
      </c>
      <c r="F35" s="120" t="n">
        <f aca="false">Scoring!B41</f>
        <v>0</v>
      </c>
      <c r="G35" s="120" t="n">
        <f aca="false">Scoring!D41</f>
        <v>0</v>
      </c>
      <c r="H35" s="120" t="str">
        <f aca="false">Scoring!AP41</f>
        <v/>
      </c>
      <c r="I35" s="120" t="str">
        <f aca="false">Scoring!AO41</f>
        <v/>
      </c>
    </row>
    <row r="36" customFormat="false" ht="15.75" hidden="false" customHeight="false" outlineLevel="0" collapsed="false">
      <c r="A36" s="120" t="str">
        <f aca="false">Scoring!AR42</f>
        <v/>
      </c>
      <c r="B36" s="120" t="str">
        <f aca="false">Scoring!AQ42</f>
        <v/>
      </c>
      <c r="C36" s="120" t="n">
        <f aca="false">Scoring!C42</f>
        <v>0</v>
      </c>
      <c r="D36" s="121" t="str">
        <f aca="false">Scoring!AN42</f>
        <v/>
      </c>
      <c r="E36" s="120" t="str">
        <f aca="false">Scoring!V42</f>
        <v/>
      </c>
      <c r="F36" s="120" t="n">
        <f aca="false">Scoring!B42</f>
        <v>0</v>
      </c>
      <c r="G36" s="120" t="n">
        <f aca="false">Scoring!D42</f>
        <v>0</v>
      </c>
      <c r="H36" s="120" t="str">
        <f aca="false">Scoring!AP42</f>
        <v/>
      </c>
      <c r="I36" s="120" t="str">
        <f aca="false">Scoring!AO42</f>
        <v/>
      </c>
    </row>
    <row r="37" customFormat="false" ht="15.75" hidden="false" customHeight="false" outlineLevel="0" collapsed="false">
      <c r="A37" s="120" t="str">
        <f aca="false">Scoring!AR43</f>
        <v/>
      </c>
      <c r="B37" s="120" t="str">
        <f aca="false">Scoring!AQ43</f>
        <v/>
      </c>
      <c r="C37" s="120" t="n">
        <f aca="false">Scoring!C43</f>
        <v>0</v>
      </c>
      <c r="D37" s="121" t="str">
        <f aca="false">Scoring!AN43</f>
        <v/>
      </c>
      <c r="E37" s="120" t="str">
        <f aca="false">Scoring!V43</f>
        <v/>
      </c>
      <c r="F37" s="120" t="n">
        <f aca="false">Scoring!B43</f>
        <v>0</v>
      </c>
      <c r="G37" s="120" t="n">
        <f aca="false">Scoring!D43</f>
        <v>0</v>
      </c>
      <c r="H37" s="120" t="str">
        <f aca="false">Scoring!AP43</f>
        <v/>
      </c>
      <c r="I37" s="120" t="str">
        <f aca="false">Scoring!AO43</f>
        <v/>
      </c>
    </row>
    <row r="38" customFormat="false" ht="15.75" hidden="false" customHeight="false" outlineLevel="0" collapsed="false">
      <c r="A38" s="120" t="str">
        <f aca="false">Scoring!AR44</f>
        <v/>
      </c>
      <c r="B38" s="120" t="str">
        <f aca="false">Scoring!AQ44</f>
        <v/>
      </c>
      <c r="C38" s="120" t="n">
        <f aca="false">Scoring!C44</f>
        <v>0</v>
      </c>
      <c r="D38" s="121" t="str">
        <f aca="false">Scoring!AN44</f>
        <v/>
      </c>
      <c r="E38" s="120" t="str">
        <f aca="false">Scoring!V44</f>
        <v/>
      </c>
      <c r="F38" s="120" t="n">
        <f aca="false">Scoring!B44</f>
        <v>0</v>
      </c>
      <c r="G38" s="120" t="n">
        <f aca="false">Scoring!D44</f>
        <v>0</v>
      </c>
      <c r="H38" s="120" t="str">
        <f aca="false">Scoring!AP44</f>
        <v/>
      </c>
      <c r="I38" s="120" t="str">
        <f aca="false">Scoring!AO44</f>
        <v/>
      </c>
    </row>
    <row r="39" customFormat="false" ht="15.75" hidden="false" customHeight="false" outlineLevel="0" collapsed="false">
      <c r="A39" s="120" t="str">
        <f aca="false">Scoring!AR45</f>
        <v/>
      </c>
      <c r="B39" s="120" t="str">
        <f aca="false">Scoring!AQ45</f>
        <v/>
      </c>
      <c r="C39" s="120" t="n">
        <f aca="false">Scoring!C45</f>
        <v>0</v>
      </c>
      <c r="D39" s="121" t="str">
        <f aca="false">Scoring!AN45</f>
        <v/>
      </c>
      <c r="E39" s="120" t="str">
        <f aca="false">Scoring!V45</f>
        <v/>
      </c>
      <c r="F39" s="120" t="n">
        <f aca="false">Scoring!B45</f>
        <v>0</v>
      </c>
      <c r="G39" s="120" t="n">
        <f aca="false">Scoring!D45</f>
        <v>0</v>
      </c>
      <c r="H39" s="120" t="str">
        <f aca="false">Scoring!AP45</f>
        <v/>
      </c>
      <c r="I39" s="120" t="str">
        <f aca="false">Scoring!AO45</f>
        <v/>
      </c>
    </row>
    <row r="40" customFormat="false" ht="15.75" hidden="false" customHeight="false" outlineLevel="0" collapsed="false">
      <c r="A40" s="120" t="str">
        <f aca="false">Scoring!AR46</f>
        <v/>
      </c>
      <c r="B40" s="120" t="str">
        <f aca="false">Scoring!AQ46</f>
        <v/>
      </c>
      <c r="C40" s="120" t="n">
        <f aca="false">Scoring!C46</f>
        <v>0</v>
      </c>
      <c r="D40" s="121" t="str">
        <f aca="false">Scoring!AN46</f>
        <v/>
      </c>
      <c r="E40" s="120" t="str">
        <f aca="false">Scoring!V46</f>
        <v/>
      </c>
      <c r="F40" s="120" t="n">
        <f aca="false">Scoring!B46</f>
        <v>0</v>
      </c>
      <c r="G40" s="120" t="n">
        <f aca="false">Scoring!D46</f>
        <v>0</v>
      </c>
      <c r="H40" s="120" t="str">
        <f aca="false">Scoring!AP46</f>
        <v/>
      </c>
      <c r="I40" s="120" t="str">
        <f aca="false">Scoring!AO46</f>
        <v/>
      </c>
    </row>
    <row r="41" customFormat="false" ht="15.75" hidden="false" customHeight="false" outlineLevel="0" collapsed="false">
      <c r="A41" s="120" t="str">
        <f aca="false">Scoring!AR47</f>
        <v/>
      </c>
      <c r="B41" s="120" t="str">
        <f aca="false">Scoring!AQ47</f>
        <v/>
      </c>
      <c r="C41" s="120" t="n">
        <f aca="false">Scoring!C47</f>
        <v>0</v>
      </c>
      <c r="D41" s="121" t="str">
        <f aca="false">Scoring!AN47</f>
        <v/>
      </c>
      <c r="E41" s="120" t="str">
        <f aca="false">Scoring!V47</f>
        <v/>
      </c>
      <c r="F41" s="120" t="n">
        <f aca="false">Scoring!B47</f>
        <v>0</v>
      </c>
      <c r="G41" s="120" t="n">
        <f aca="false">Scoring!D47</f>
        <v>0</v>
      </c>
      <c r="H41" s="120" t="str">
        <f aca="false">Scoring!AP47</f>
        <v/>
      </c>
      <c r="I41" s="120" t="str">
        <f aca="false">Scoring!AO47</f>
        <v/>
      </c>
    </row>
    <row r="42" customFormat="false" ht="15.75" hidden="false" customHeight="false" outlineLevel="0" collapsed="false">
      <c r="A42" s="120" t="str">
        <f aca="false">Scoring!AR48</f>
        <v/>
      </c>
      <c r="B42" s="120" t="str">
        <f aca="false">Scoring!AQ48</f>
        <v/>
      </c>
      <c r="C42" s="120" t="n">
        <f aca="false">Scoring!C48</f>
        <v>0</v>
      </c>
      <c r="D42" s="121" t="str">
        <f aca="false">Scoring!AN48</f>
        <v/>
      </c>
      <c r="E42" s="120" t="str">
        <f aca="false">Scoring!V48</f>
        <v/>
      </c>
      <c r="F42" s="120" t="n">
        <f aca="false">Scoring!B48</f>
        <v>0</v>
      </c>
      <c r="G42" s="120" t="n">
        <f aca="false">Scoring!D48</f>
        <v>0</v>
      </c>
      <c r="H42" s="120" t="str">
        <f aca="false">Scoring!AP48</f>
        <v/>
      </c>
      <c r="I42" s="120" t="str">
        <f aca="false">Scoring!AO48</f>
        <v/>
      </c>
    </row>
    <row r="43" customFormat="false" ht="15.75" hidden="false" customHeight="false" outlineLevel="0" collapsed="false">
      <c r="A43" s="120" t="str">
        <f aca="false">Scoring!AR49</f>
        <v/>
      </c>
      <c r="B43" s="120" t="str">
        <f aca="false">Scoring!AQ49</f>
        <v/>
      </c>
      <c r="C43" s="120" t="n">
        <f aca="false">Scoring!C49</f>
        <v>0</v>
      </c>
      <c r="D43" s="121" t="str">
        <f aca="false">Scoring!AN49</f>
        <v/>
      </c>
      <c r="E43" s="120" t="str">
        <f aca="false">Scoring!V49</f>
        <v/>
      </c>
      <c r="F43" s="120" t="n">
        <f aca="false">Scoring!B49</f>
        <v>0</v>
      </c>
      <c r="G43" s="120" t="n">
        <f aca="false">Scoring!D49</f>
        <v>0</v>
      </c>
      <c r="H43" s="120" t="str">
        <f aca="false">Scoring!AP49</f>
        <v/>
      </c>
      <c r="I43" s="120" t="str">
        <f aca="false">Scoring!AO49</f>
        <v/>
      </c>
    </row>
    <row r="44" customFormat="false" ht="15.75" hidden="false" customHeight="false" outlineLevel="0" collapsed="false">
      <c r="A44" s="120" t="str">
        <f aca="false">Scoring!AR50</f>
        <v/>
      </c>
      <c r="B44" s="120" t="str">
        <f aca="false">Scoring!AQ50</f>
        <v/>
      </c>
      <c r="C44" s="120" t="n">
        <f aca="false">Scoring!C50</f>
        <v>0</v>
      </c>
      <c r="D44" s="121" t="str">
        <f aca="false">Scoring!AN50</f>
        <v/>
      </c>
      <c r="E44" s="120" t="str">
        <f aca="false">Scoring!V50</f>
        <v/>
      </c>
      <c r="F44" s="120" t="n">
        <f aca="false">Scoring!B50</f>
        <v>0</v>
      </c>
      <c r="G44" s="120" t="n">
        <f aca="false">Scoring!D50</f>
        <v>0</v>
      </c>
      <c r="H44" s="120" t="str">
        <f aca="false">Scoring!AP50</f>
        <v/>
      </c>
      <c r="I44" s="120" t="str">
        <f aca="false">Scoring!AO50</f>
        <v/>
      </c>
    </row>
    <row r="45" customFormat="false" ht="15.75" hidden="false" customHeight="false" outlineLevel="0" collapsed="false">
      <c r="A45" s="120" t="str">
        <f aca="false">Scoring!AR51</f>
        <v/>
      </c>
      <c r="B45" s="120" t="str">
        <f aca="false">Scoring!AQ51</f>
        <v/>
      </c>
      <c r="C45" s="120" t="n">
        <f aca="false">Scoring!C51</f>
        <v>0</v>
      </c>
      <c r="D45" s="121" t="str">
        <f aca="false">Scoring!AN51</f>
        <v/>
      </c>
      <c r="E45" s="120" t="str">
        <f aca="false">Scoring!V51</f>
        <v/>
      </c>
      <c r="F45" s="120" t="n">
        <f aca="false">Scoring!B51</f>
        <v>0</v>
      </c>
      <c r="G45" s="120" t="n">
        <f aca="false">Scoring!D51</f>
        <v>0</v>
      </c>
      <c r="H45" s="120" t="str">
        <f aca="false">Scoring!AP51</f>
        <v/>
      </c>
      <c r="I45" s="120" t="str">
        <f aca="false">Scoring!AO51</f>
        <v/>
      </c>
    </row>
    <row r="46" customFormat="false" ht="15.75" hidden="false" customHeight="false" outlineLevel="0" collapsed="false">
      <c r="A46" s="120" t="str">
        <f aca="false">Scoring!AR52</f>
        <v/>
      </c>
      <c r="B46" s="120" t="str">
        <f aca="false">Scoring!AQ52</f>
        <v/>
      </c>
      <c r="C46" s="120" t="n">
        <f aca="false">Scoring!C52</f>
        <v>0</v>
      </c>
      <c r="D46" s="121" t="str">
        <f aca="false">Scoring!AN52</f>
        <v/>
      </c>
      <c r="E46" s="120" t="str">
        <f aca="false">Scoring!V52</f>
        <v/>
      </c>
      <c r="F46" s="120" t="n">
        <f aca="false">Scoring!B52</f>
        <v>0</v>
      </c>
      <c r="G46" s="120" t="n">
        <f aca="false">Scoring!D52</f>
        <v>0</v>
      </c>
      <c r="H46" s="120" t="str">
        <f aca="false">Scoring!AP52</f>
        <v/>
      </c>
      <c r="I46" s="120" t="str">
        <f aca="false">Scoring!AO52</f>
        <v/>
      </c>
    </row>
    <row r="47" customFormat="false" ht="15.75" hidden="false" customHeight="false" outlineLevel="0" collapsed="false">
      <c r="A47" s="120" t="str">
        <f aca="false">Scoring!AR53</f>
        <v/>
      </c>
      <c r="B47" s="120" t="str">
        <f aca="false">Scoring!AQ53</f>
        <v/>
      </c>
      <c r="C47" s="120" t="n">
        <f aca="false">Scoring!C53</f>
        <v>0</v>
      </c>
      <c r="D47" s="121" t="str">
        <f aca="false">Scoring!AN53</f>
        <v/>
      </c>
      <c r="E47" s="120" t="str">
        <f aca="false">Scoring!V53</f>
        <v/>
      </c>
      <c r="F47" s="120" t="n">
        <f aca="false">Scoring!B53</f>
        <v>0</v>
      </c>
      <c r="G47" s="120" t="n">
        <f aca="false">Scoring!D53</f>
        <v>0</v>
      </c>
      <c r="H47" s="120" t="str">
        <f aca="false">Scoring!AP53</f>
        <v/>
      </c>
      <c r="I47" s="120" t="str">
        <f aca="false">Scoring!AO53</f>
        <v/>
      </c>
    </row>
    <row r="48" customFormat="false" ht="15.75" hidden="false" customHeight="false" outlineLevel="0" collapsed="false">
      <c r="A48" s="120" t="str">
        <f aca="false">Scoring!AR54</f>
        <v/>
      </c>
      <c r="B48" s="120" t="str">
        <f aca="false">Scoring!AQ54</f>
        <v/>
      </c>
      <c r="C48" s="120" t="n">
        <f aca="false">Scoring!C54</f>
        <v>0</v>
      </c>
      <c r="D48" s="121" t="str">
        <f aca="false">Scoring!AN54</f>
        <v/>
      </c>
      <c r="E48" s="120" t="str">
        <f aca="false">Scoring!V54</f>
        <v/>
      </c>
      <c r="F48" s="120" t="n">
        <f aca="false">Scoring!B54</f>
        <v>0</v>
      </c>
      <c r="G48" s="120" t="n">
        <f aca="false">Scoring!D54</f>
        <v>0</v>
      </c>
      <c r="H48" s="120" t="str">
        <f aca="false">Scoring!AP54</f>
        <v/>
      </c>
      <c r="I48" s="120" t="str">
        <f aca="false">Scoring!AO54</f>
        <v/>
      </c>
    </row>
    <row r="49" customFormat="false" ht="15.75" hidden="false" customHeight="false" outlineLevel="0" collapsed="false">
      <c r="A49" s="120" t="str">
        <f aca="false">Scoring!AR55</f>
        <v/>
      </c>
      <c r="B49" s="120" t="str">
        <f aca="false">Scoring!AQ55</f>
        <v/>
      </c>
      <c r="C49" s="120" t="n">
        <f aca="false">Scoring!C55</f>
        <v>0</v>
      </c>
      <c r="D49" s="121" t="str">
        <f aca="false">Scoring!AN55</f>
        <v/>
      </c>
      <c r="E49" s="120" t="str">
        <f aca="false">Scoring!V55</f>
        <v/>
      </c>
      <c r="F49" s="120" t="n">
        <f aca="false">Scoring!B55</f>
        <v>0</v>
      </c>
      <c r="G49" s="120" t="n">
        <f aca="false">Scoring!D55</f>
        <v>0</v>
      </c>
      <c r="H49" s="120" t="str">
        <f aca="false">Scoring!AP55</f>
        <v/>
      </c>
      <c r="I49" s="120" t="str">
        <f aca="false">Scoring!AO55</f>
        <v/>
      </c>
    </row>
    <row r="50" customFormat="false" ht="15.75" hidden="false" customHeight="false" outlineLevel="0" collapsed="false">
      <c r="A50" s="120" t="str">
        <f aca="false">Scoring!AR56</f>
        <v/>
      </c>
      <c r="B50" s="120" t="str">
        <f aca="false">Scoring!AQ56</f>
        <v/>
      </c>
      <c r="C50" s="120" t="n">
        <f aca="false">Scoring!C56</f>
        <v>0</v>
      </c>
      <c r="D50" s="121" t="str">
        <f aca="false">Scoring!AN56</f>
        <v/>
      </c>
      <c r="E50" s="120" t="str">
        <f aca="false">Scoring!V56</f>
        <v/>
      </c>
      <c r="F50" s="120" t="n">
        <f aca="false">Scoring!B56</f>
        <v>0</v>
      </c>
      <c r="G50" s="120" t="n">
        <f aca="false">Scoring!D56</f>
        <v>0</v>
      </c>
      <c r="H50" s="120" t="str">
        <f aca="false">Scoring!AP56</f>
        <v/>
      </c>
      <c r="I50" s="120" t="str">
        <f aca="false">Scoring!AO56</f>
        <v/>
      </c>
    </row>
    <row r="51" customFormat="false" ht="15.75" hidden="false" customHeight="false" outlineLevel="0" collapsed="false">
      <c r="A51" s="120" t="str">
        <f aca="false">Scoring!AR57</f>
        <v/>
      </c>
      <c r="B51" s="120" t="str">
        <f aca="false">Scoring!AQ57</f>
        <v/>
      </c>
      <c r="C51" s="120" t="n">
        <f aca="false">Scoring!C57</f>
        <v>0</v>
      </c>
      <c r="D51" s="121" t="str">
        <f aca="false">Scoring!AN57</f>
        <v/>
      </c>
      <c r="E51" s="120" t="str">
        <f aca="false">Scoring!V57</f>
        <v/>
      </c>
      <c r="F51" s="120" t="n">
        <f aca="false">Scoring!B57</f>
        <v>0</v>
      </c>
      <c r="G51" s="120" t="n">
        <f aca="false">Scoring!D57</f>
        <v>0</v>
      </c>
      <c r="H51" s="120" t="str">
        <f aca="false">Scoring!AP57</f>
        <v/>
      </c>
      <c r="I51" s="120" t="str">
        <f aca="false">Scoring!AO57</f>
        <v/>
      </c>
    </row>
    <row r="52" customFormat="false" ht="15.75" hidden="false" customHeight="false" outlineLevel="0" collapsed="false">
      <c r="A52" s="120" t="str">
        <f aca="false">Scoring!AR58</f>
        <v/>
      </c>
      <c r="B52" s="120" t="str">
        <f aca="false">Scoring!AQ58</f>
        <v/>
      </c>
      <c r="C52" s="120" t="n">
        <f aca="false">Scoring!C58</f>
        <v>0</v>
      </c>
      <c r="D52" s="121" t="str">
        <f aca="false">Scoring!AN58</f>
        <v/>
      </c>
      <c r="E52" s="120" t="str">
        <f aca="false">Scoring!V58</f>
        <v/>
      </c>
      <c r="F52" s="120" t="n">
        <f aca="false">Scoring!B58</f>
        <v>0</v>
      </c>
      <c r="G52" s="120" t="n">
        <f aca="false">Scoring!D58</f>
        <v>0</v>
      </c>
      <c r="H52" s="120" t="str">
        <f aca="false">Scoring!AP58</f>
        <v/>
      </c>
      <c r="I52" s="120" t="str">
        <f aca="false">Scoring!AO58</f>
        <v/>
      </c>
    </row>
    <row r="53" customFormat="false" ht="15.75" hidden="false" customHeight="false" outlineLevel="0" collapsed="false">
      <c r="A53" s="120" t="str">
        <f aca="false">Scoring!AR59</f>
        <v/>
      </c>
      <c r="B53" s="120" t="str">
        <f aca="false">Scoring!AQ59</f>
        <v/>
      </c>
      <c r="C53" s="120" t="n">
        <f aca="false">Scoring!C59</f>
        <v>0</v>
      </c>
      <c r="D53" s="121" t="str">
        <f aca="false">Scoring!AN59</f>
        <v/>
      </c>
      <c r="E53" s="120" t="str">
        <f aca="false">Scoring!V59</f>
        <v/>
      </c>
      <c r="F53" s="120" t="n">
        <f aca="false">Scoring!B59</f>
        <v>0</v>
      </c>
      <c r="G53" s="120" t="n">
        <f aca="false">Scoring!D59</f>
        <v>0</v>
      </c>
      <c r="H53" s="120" t="str">
        <f aca="false">Scoring!AP59</f>
        <v/>
      </c>
      <c r="I53" s="120" t="str">
        <f aca="false">Scoring!AO59</f>
        <v/>
      </c>
    </row>
    <row r="54" customFormat="false" ht="15.75" hidden="false" customHeight="false" outlineLevel="0" collapsed="false">
      <c r="A54" s="120" t="str">
        <f aca="false">Scoring!AR60</f>
        <v/>
      </c>
      <c r="B54" s="120" t="str">
        <f aca="false">Scoring!AQ60</f>
        <v/>
      </c>
      <c r="C54" s="120" t="n">
        <f aca="false">Scoring!C60</f>
        <v>0</v>
      </c>
      <c r="D54" s="121" t="str">
        <f aca="false">Scoring!AN60</f>
        <v/>
      </c>
      <c r="E54" s="120" t="str">
        <f aca="false">Scoring!V60</f>
        <v/>
      </c>
      <c r="F54" s="120" t="n">
        <f aca="false">Scoring!B60</f>
        <v>0</v>
      </c>
      <c r="G54" s="120" t="n">
        <f aca="false">Scoring!D60</f>
        <v>0</v>
      </c>
      <c r="H54" s="120" t="str">
        <f aca="false">Scoring!AP60</f>
        <v/>
      </c>
      <c r="I54" s="120" t="str">
        <f aca="false">Scoring!AO60</f>
        <v/>
      </c>
    </row>
    <row r="55" customFormat="false" ht="15.75" hidden="false" customHeight="false" outlineLevel="0" collapsed="false">
      <c r="A55" s="120" t="str">
        <f aca="false">Scoring!AR61</f>
        <v/>
      </c>
      <c r="B55" s="120" t="str">
        <f aca="false">Scoring!AQ61</f>
        <v/>
      </c>
      <c r="C55" s="120" t="n">
        <f aca="false">Scoring!C61</f>
        <v>0</v>
      </c>
      <c r="D55" s="121" t="str">
        <f aca="false">Scoring!AN61</f>
        <v/>
      </c>
      <c r="E55" s="120" t="str">
        <f aca="false">Scoring!V61</f>
        <v/>
      </c>
      <c r="F55" s="120" t="n">
        <f aca="false">Scoring!B61</f>
        <v>0</v>
      </c>
      <c r="G55" s="120" t="n">
        <f aca="false">Scoring!D61</f>
        <v>0</v>
      </c>
      <c r="H55" s="120" t="str">
        <f aca="false">Scoring!AP61</f>
        <v/>
      </c>
      <c r="I55" s="120" t="str">
        <f aca="false">Scoring!AO61</f>
        <v/>
      </c>
    </row>
    <row r="56" customFormat="false" ht="15.75" hidden="false" customHeight="false" outlineLevel="0" collapsed="false">
      <c r="A56" s="120" t="str">
        <f aca="false">Scoring!AR62</f>
        <v/>
      </c>
      <c r="B56" s="120" t="str">
        <f aca="false">Scoring!AQ62</f>
        <v/>
      </c>
      <c r="C56" s="120" t="n">
        <f aca="false">Scoring!C62</f>
        <v>0</v>
      </c>
      <c r="D56" s="121" t="str">
        <f aca="false">Scoring!AN62</f>
        <v/>
      </c>
      <c r="E56" s="120" t="str">
        <f aca="false">Scoring!V62</f>
        <v/>
      </c>
      <c r="F56" s="120" t="n">
        <f aca="false">Scoring!B62</f>
        <v>0</v>
      </c>
      <c r="G56" s="120" t="n">
        <f aca="false">Scoring!D62</f>
        <v>0</v>
      </c>
      <c r="H56" s="120" t="str">
        <f aca="false">Scoring!AP62</f>
        <v/>
      </c>
      <c r="I56" s="120" t="str">
        <f aca="false">Scoring!AO62</f>
        <v/>
      </c>
    </row>
    <row r="57" customFormat="false" ht="15.75" hidden="false" customHeight="false" outlineLevel="0" collapsed="false">
      <c r="A57" s="120" t="str">
        <f aca="false">Scoring!AR63</f>
        <v/>
      </c>
      <c r="B57" s="120" t="str">
        <f aca="false">Scoring!AQ63</f>
        <v/>
      </c>
      <c r="C57" s="120" t="n">
        <f aca="false">Scoring!C63</f>
        <v>0</v>
      </c>
      <c r="D57" s="121" t="str">
        <f aca="false">Scoring!AN63</f>
        <v/>
      </c>
      <c r="E57" s="120" t="str">
        <f aca="false">Scoring!V63</f>
        <v/>
      </c>
      <c r="F57" s="120" t="n">
        <f aca="false">Scoring!B63</f>
        <v>0</v>
      </c>
      <c r="G57" s="120" t="n">
        <f aca="false">Scoring!D63</f>
        <v>0</v>
      </c>
      <c r="H57" s="120" t="str">
        <f aca="false">Scoring!AP63</f>
        <v/>
      </c>
      <c r="I57" s="120" t="str">
        <f aca="false">Scoring!AO63</f>
        <v/>
      </c>
    </row>
    <row r="58" customFormat="false" ht="15.75" hidden="false" customHeight="false" outlineLevel="0" collapsed="false">
      <c r="A58" s="120" t="str">
        <f aca="false">Scoring!AR64</f>
        <v/>
      </c>
      <c r="B58" s="120" t="str">
        <f aca="false">Scoring!AQ64</f>
        <v/>
      </c>
      <c r="C58" s="120" t="n">
        <f aca="false">Scoring!C64</f>
        <v>0</v>
      </c>
      <c r="D58" s="121" t="str">
        <f aca="false">Scoring!AN64</f>
        <v/>
      </c>
      <c r="E58" s="120" t="str">
        <f aca="false">Scoring!V64</f>
        <v/>
      </c>
      <c r="F58" s="120" t="n">
        <f aca="false">Scoring!B64</f>
        <v>0</v>
      </c>
      <c r="G58" s="120" t="n">
        <f aca="false">Scoring!D64</f>
        <v>0</v>
      </c>
      <c r="H58" s="120" t="str">
        <f aca="false">Scoring!AP64</f>
        <v/>
      </c>
      <c r="I58" s="120" t="str">
        <f aca="false">Scoring!AO64</f>
        <v/>
      </c>
    </row>
    <row r="59" customFormat="false" ht="15.75" hidden="false" customHeight="false" outlineLevel="0" collapsed="false">
      <c r="A59" s="120" t="str">
        <f aca="false">Scoring!AR65</f>
        <v/>
      </c>
      <c r="B59" s="120" t="str">
        <f aca="false">Scoring!AQ65</f>
        <v/>
      </c>
      <c r="C59" s="120" t="n">
        <f aca="false">Scoring!C65</f>
        <v>0</v>
      </c>
      <c r="D59" s="121" t="str">
        <f aca="false">Scoring!AN65</f>
        <v/>
      </c>
      <c r="E59" s="120" t="str">
        <f aca="false">Scoring!V65</f>
        <v/>
      </c>
      <c r="F59" s="120" t="n">
        <f aca="false">Scoring!B65</f>
        <v>0</v>
      </c>
      <c r="G59" s="120" t="n">
        <f aca="false">Scoring!D65</f>
        <v>0</v>
      </c>
      <c r="H59" s="120" t="str">
        <f aca="false">Scoring!AP65</f>
        <v/>
      </c>
      <c r="I59" s="120" t="str">
        <f aca="false">Scoring!AO65</f>
        <v/>
      </c>
    </row>
    <row r="60" customFormat="false" ht="15.75" hidden="false" customHeight="false" outlineLevel="0" collapsed="false">
      <c r="A60" s="120" t="str">
        <f aca="false">Scoring!AR66</f>
        <v/>
      </c>
      <c r="B60" s="120" t="str">
        <f aca="false">Scoring!AQ66</f>
        <v/>
      </c>
      <c r="C60" s="120" t="n">
        <f aca="false">Scoring!C66</f>
        <v>0</v>
      </c>
      <c r="D60" s="121" t="str">
        <f aca="false">Scoring!AN66</f>
        <v/>
      </c>
      <c r="E60" s="120" t="str">
        <f aca="false">Scoring!V66</f>
        <v/>
      </c>
      <c r="F60" s="120" t="n">
        <f aca="false">Scoring!B66</f>
        <v>0</v>
      </c>
      <c r="G60" s="120" t="n">
        <f aca="false">Scoring!D66</f>
        <v>0</v>
      </c>
      <c r="H60" s="120" t="str">
        <f aca="false">Scoring!AP66</f>
        <v/>
      </c>
      <c r="I60" s="120" t="str">
        <f aca="false">Scoring!AO66</f>
        <v/>
      </c>
    </row>
    <row r="61" customFormat="false" ht="15.75" hidden="false" customHeight="false" outlineLevel="0" collapsed="false">
      <c r="A61" s="120" t="str">
        <f aca="false">Scoring!AR67</f>
        <v/>
      </c>
      <c r="B61" s="120" t="str">
        <f aca="false">Scoring!AQ67</f>
        <v/>
      </c>
      <c r="C61" s="120" t="n">
        <f aca="false">Scoring!C67</f>
        <v>0</v>
      </c>
      <c r="D61" s="121" t="str">
        <f aca="false">Scoring!AN67</f>
        <v/>
      </c>
      <c r="E61" s="120" t="str">
        <f aca="false">Scoring!V67</f>
        <v/>
      </c>
      <c r="F61" s="120" t="n">
        <f aca="false">Scoring!B67</f>
        <v>0</v>
      </c>
      <c r="G61" s="120" t="n">
        <f aca="false">Scoring!D67</f>
        <v>0</v>
      </c>
      <c r="H61" s="120" t="str">
        <f aca="false">Scoring!AP67</f>
        <v/>
      </c>
      <c r="I61" s="120" t="str">
        <f aca="false">Scoring!AO67</f>
        <v/>
      </c>
    </row>
    <row r="62" customFormat="false" ht="15.75" hidden="false" customHeight="false" outlineLevel="0" collapsed="false">
      <c r="A62" s="120" t="str">
        <f aca="false">Scoring!AR68</f>
        <v/>
      </c>
      <c r="B62" s="120" t="str">
        <f aca="false">Scoring!AQ68</f>
        <v/>
      </c>
      <c r="C62" s="120" t="n">
        <f aca="false">Scoring!C68</f>
        <v>0</v>
      </c>
      <c r="D62" s="121" t="str">
        <f aca="false">Scoring!AN68</f>
        <v/>
      </c>
      <c r="E62" s="120" t="str">
        <f aca="false">Scoring!V68</f>
        <v/>
      </c>
      <c r="F62" s="120" t="n">
        <f aca="false">Scoring!B68</f>
        <v>0</v>
      </c>
      <c r="G62" s="120" t="n">
        <f aca="false">Scoring!D68</f>
        <v>0</v>
      </c>
      <c r="H62" s="120" t="str">
        <f aca="false">Scoring!AP68</f>
        <v/>
      </c>
      <c r="I62" s="120" t="str">
        <f aca="false">Scoring!AO68</f>
        <v/>
      </c>
    </row>
    <row r="63" customFormat="false" ht="15.75" hidden="false" customHeight="false" outlineLevel="0" collapsed="false">
      <c r="A63" s="120" t="str">
        <f aca="false">Scoring!AR69</f>
        <v/>
      </c>
      <c r="B63" s="120" t="str">
        <f aca="false">Scoring!AQ69</f>
        <v/>
      </c>
      <c r="C63" s="120" t="n">
        <f aca="false">Scoring!C69</f>
        <v>0</v>
      </c>
      <c r="D63" s="121" t="str">
        <f aca="false">Scoring!AN69</f>
        <v/>
      </c>
      <c r="E63" s="120" t="str">
        <f aca="false">Scoring!V69</f>
        <v/>
      </c>
      <c r="F63" s="120" t="n">
        <f aca="false">Scoring!B69</f>
        <v>0</v>
      </c>
      <c r="G63" s="120" t="n">
        <f aca="false">Scoring!D69</f>
        <v>0</v>
      </c>
      <c r="H63" s="120" t="str">
        <f aca="false">Scoring!AP69</f>
        <v/>
      </c>
      <c r="I63" s="120" t="str">
        <f aca="false">Scoring!AO69</f>
        <v/>
      </c>
    </row>
    <row r="64" customFormat="false" ht="15.75" hidden="false" customHeight="false" outlineLevel="0" collapsed="false">
      <c r="A64" s="120" t="str">
        <f aca="false">Scoring!AR70</f>
        <v/>
      </c>
      <c r="B64" s="120" t="str">
        <f aca="false">Scoring!AQ70</f>
        <v/>
      </c>
      <c r="C64" s="120" t="n">
        <f aca="false">Scoring!C70</f>
        <v>0</v>
      </c>
      <c r="D64" s="121" t="str">
        <f aca="false">Scoring!AN70</f>
        <v/>
      </c>
      <c r="E64" s="120" t="str">
        <f aca="false">Scoring!V70</f>
        <v/>
      </c>
      <c r="F64" s="120" t="n">
        <f aca="false">Scoring!B70</f>
        <v>0</v>
      </c>
      <c r="G64" s="120" t="n">
        <f aca="false">Scoring!D70</f>
        <v>0</v>
      </c>
      <c r="H64" s="120" t="str">
        <f aca="false">Scoring!AP70</f>
        <v/>
      </c>
      <c r="I64" s="120" t="str">
        <f aca="false">Scoring!AO70</f>
        <v/>
      </c>
    </row>
    <row r="65" customFormat="false" ht="15.75" hidden="false" customHeight="false" outlineLevel="0" collapsed="false">
      <c r="A65" s="120" t="str">
        <f aca="false">Scoring!AR71</f>
        <v/>
      </c>
      <c r="B65" s="120" t="str">
        <f aca="false">Scoring!AQ71</f>
        <v/>
      </c>
      <c r="C65" s="120" t="n">
        <f aca="false">Scoring!C71</f>
        <v>0</v>
      </c>
      <c r="D65" s="121" t="str">
        <f aca="false">Scoring!AN71</f>
        <v/>
      </c>
      <c r="E65" s="120" t="str">
        <f aca="false">Scoring!V71</f>
        <v/>
      </c>
      <c r="F65" s="120" t="n">
        <f aca="false">Scoring!B71</f>
        <v>0</v>
      </c>
      <c r="G65" s="120" t="n">
        <f aca="false">Scoring!D71</f>
        <v>0</v>
      </c>
      <c r="H65" s="120" t="str">
        <f aca="false">Scoring!AP71</f>
        <v/>
      </c>
      <c r="I65" s="120" t="str">
        <f aca="false">Scoring!AO71</f>
        <v/>
      </c>
    </row>
    <row r="66" customFormat="false" ht="15.75" hidden="false" customHeight="false" outlineLevel="0" collapsed="false">
      <c r="A66" s="120" t="str">
        <f aca="false">Scoring!AR72</f>
        <v/>
      </c>
      <c r="B66" s="120" t="str">
        <f aca="false">Scoring!AQ72</f>
        <v/>
      </c>
      <c r="C66" s="120" t="n">
        <f aca="false">Scoring!C72</f>
        <v>0</v>
      </c>
      <c r="D66" s="121" t="str">
        <f aca="false">Scoring!AN72</f>
        <v/>
      </c>
      <c r="E66" s="120" t="str">
        <f aca="false">Scoring!V72</f>
        <v/>
      </c>
      <c r="F66" s="120" t="n">
        <f aca="false">Scoring!B72</f>
        <v>0</v>
      </c>
      <c r="G66" s="120" t="n">
        <f aca="false">Scoring!D72</f>
        <v>0</v>
      </c>
      <c r="H66" s="120" t="str">
        <f aca="false">Scoring!AP72</f>
        <v/>
      </c>
      <c r="I66" s="120" t="str">
        <f aca="false">Scoring!AO72</f>
        <v/>
      </c>
    </row>
    <row r="67" customFormat="false" ht="15.75" hidden="false" customHeight="false" outlineLevel="0" collapsed="false">
      <c r="A67" s="120" t="str">
        <f aca="false">Scoring!AR73</f>
        <v/>
      </c>
      <c r="B67" s="120" t="str">
        <f aca="false">Scoring!AQ73</f>
        <v/>
      </c>
      <c r="C67" s="120" t="n">
        <f aca="false">Scoring!C73</f>
        <v>0</v>
      </c>
      <c r="D67" s="121" t="str">
        <f aca="false">Scoring!AN73</f>
        <v/>
      </c>
      <c r="E67" s="120" t="str">
        <f aca="false">Scoring!V73</f>
        <v/>
      </c>
      <c r="F67" s="120" t="n">
        <f aca="false">Scoring!B73</f>
        <v>0</v>
      </c>
      <c r="G67" s="120" t="n">
        <f aca="false">Scoring!D73</f>
        <v>0</v>
      </c>
      <c r="H67" s="120" t="str">
        <f aca="false">Scoring!AP73</f>
        <v/>
      </c>
      <c r="I67" s="120" t="str">
        <f aca="false">Scoring!AO73</f>
        <v/>
      </c>
    </row>
    <row r="68" customFormat="false" ht="15.75" hidden="false" customHeight="false" outlineLevel="0" collapsed="false">
      <c r="A68" s="120" t="str">
        <f aca="false">Scoring!AR74</f>
        <v/>
      </c>
      <c r="B68" s="120" t="str">
        <f aca="false">Scoring!AQ74</f>
        <v/>
      </c>
      <c r="C68" s="120" t="n">
        <f aca="false">Scoring!C74</f>
        <v>0</v>
      </c>
      <c r="D68" s="121" t="str">
        <f aca="false">Scoring!AN74</f>
        <v/>
      </c>
      <c r="E68" s="120" t="str">
        <f aca="false">Scoring!V74</f>
        <v/>
      </c>
      <c r="F68" s="120" t="n">
        <f aca="false">Scoring!B74</f>
        <v>0</v>
      </c>
      <c r="G68" s="120" t="n">
        <f aca="false">Scoring!D74</f>
        <v>0</v>
      </c>
      <c r="H68" s="120" t="str">
        <f aca="false">Scoring!AP74</f>
        <v/>
      </c>
      <c r="I68" s="120" t="str">
        <f aca="false">Scoring!AO74</f>
        <v/>
      </c>
    </row>
    <row r="69" customFormat="false" ht="15.75" hidden="false" customHeight="false" outlineLevel="0" collapsed="false">
      <c r="A69" s="120" t="str">
        <f aca="false">Scoring!AR75</f>
        <v/>
      </c>
      <c r="B69" s="120" t="str">
        <f aca="false">Scoring!AQ75</f>
        <v/>
      </c>
      <c r="C69" s="120" t="n">
        <f aca="false">Scoring!C75</f>
        <v>0</v>
      </c>
      <c r="D69" s="121" t="str">
        <f aca="false">Scoring!AN75</f>
        <v/>
      </c>
      <c r="E69" s="120" t="str">
        <f aca="false">Scoring!V75</f>
        <v/>
      </c>
      <c r="F69" s="120" t="n">
        <f aca="false">Scoring!B75</f>
        <v>0</v>
      </c>
      <c r="G69" s="120" t="n">
        <f aca="false">Scoring!D75</f>
        <v>0</v>
      </c>
      <c r="H69" s="120" t="str">
        <f aca="false">Scoring!AP75</f>
        <v/>
      </c>
      <c r="I69" s="120" t="str">
        <f aca="false">Scoring!AO75</f>
        <v/>
      </c>
    </row>
    <row r="70" customFormat="false" ht="15.75" hidden="false" customHeight="false" outlineLevel="0" collapsed="false">
      <c r="A70" s="120" t="str">
        <f aca="false">Scoring!AR76</f>
        <v/>
      </c>
      <c r="B70" s="120" t="str">
        <f aca="false">Scoring!AQ76</f>
        <v/>
      </c>
      <c r="C70" s="120" t="n">
        <f aca="false">Scoring!C76</f>
        <v>0</v>
      </c>
      <c r="D70" s="121" t="str">
        <f aca="false">Scoring!AN76</f>
        <v/>
      </c>
      <c r="E70" s="120" t="str">
        <f aca="false">Scoring!V76</f>
        <v/>
      </c>
      <c r="F70" s="120" t="n">
        <f aca="false">Scoring!B76</f>
        <v>0</v>
      </c>
      <c r="G70" s="120" t="n">
        <f aca="false">Scoring!D76</f>
        <v>0</v>
      </c>
      <c r="H70" s="120" t="str">
        <f aca="false">Scoring!AP76</f>
        <v/>
      </c>
      <c r="I70" s="120" t="str">
        <f aca="false">Scoring!AO76</f>
        <v/>
      </c>
    </row>
    <row r="71" customFormat="false" ht="15.75" hidden="false" customHeight="false" outlineLevel="0" collapsed="false">
      <c r="A71" s="120" t="str">
        <f aca="false">Scoring!AR77</f>
        <v/>
      </c>
      <c r="B71" s="120" t="str">
        <f aca="false">Scoring!AQ77</f>
        <v/>
      </c>
      <c r="C71" s="120" t="n">
        <f aca="false">Scoring!C77</f>
        <v>0</v>
      </c>
      <c r="D71" s="121" t="str">
        <f aca="false">Scoring!AN77</f>
        <v/>
      </c>
      <c r="E71" s="120" t="str">
        <f aca="false">Scoring!V77</f>
        <v/>
      </c>
      <c r="F71" s="120" t="n">
        <f aca="false">Scoring!B77</f>
        <v>0</v>
      </c>
      <c r="G71" s="120" t="n">
        <f aca="false">Scoring!D77</f>
        <v>0</v>
      </c>
      <c r="H71" s="120" t="str">
        <f aca="false">Scoring!AP77</f>
        <v/>
      </c>
      <c r="I71" s="120" t="str">
        <f aca="false">Scoring!AO77</f>
        <v/>
      </c>
    </row>
    <row r="72" customFormat="false" ht="15.75" hidden="false" customHeight="false" outlineLevel="0" collapsed="false">
      <c r="A72" s="120" t="str">
        <f aca="false">Scoring!AR78</f>
        <v/>
      </c>
      <c r="B72" s="120" t="str">
        <f aca="false">Scoring!AQ78</f>
        <v/>
      </c>
      <c r="C72" s="120" t="n">
        <f aca="false">Scoring!C78</f>
        <v>0</v>
      </c>
      <c r="D72" s="121" t="str">
        <f aca="false">Scoring!AN78</f>
        <v/>
      </c>
      <c r="E72" s="120" t="str">
        <f aca="false">Scoring!V78</f>
        <v/>
      </c>
      <c r="F72" s="120" t="n">
        <f aca="false">Scoring!B78</f>
        <v>0</v>
      </c>
      <c r="G72" s="120" t="n">
        <f aca="false">Scoring!D78</f>
        <v>0</v>
      </c>
      <c r="H72" s="120" t="str">
        <f aca="false">Scoring!AP78</f>
        <v/>
      </c>
      <c r="I72" s="120" t="str">
        <f aca="false">Scoring!AO78</f>
        <v/>
      </c>
    </row>
    <row r="73" customFormat="false" ht="15.75" hidden="false" customHeight="false" outlineLevel="0" collapsed="false">
      <c r="A73" s="120" t="str">
        <f aca="false">Scoring!AR79</f>
        <v/>
      </c>
      <c r="B73" s="120" t="str">
        <f aca="false">Scoring!AQ79</f>
        <v/>
      </c>
      <c r="C73" s="120" t="n">
        <f aca="false">Scoring!C79</f>
        <v>0</v>
      </c>
      <c r="D73" s="121" t="str">
        <f aca="false">Scoring!AN79</f>
        <v/>
      </c>
      <c r="E73" s="120" t="str">
        <f aca="false">Scoring!V79</f>
        <v/>
      </c>
      <c r="F73" s="120" t="n">
        <f aca="false">Scoring!B79</f>
        <v>0</v>
      </c>
      <c r="G73" s="120" t="n">
        <f aca="false">Scoring!D79</f>
        <v>0</v>
      </c>
      <c r="H73" s="120" t="str">
        <f aca="false">Scoring!AP79</f>
        <v/>
      </c>
      <c r="I73" s="120" t="str">
        <f aca="false">Scoring!AO79</f>
        <v/>
      </c>
    </row>
    <row r="74" customFormat="false" ht="15.75" hidden="false" customHeight="false" outlineLevel="0" collapsed="false">
      <c r="A74" s="120" t="str">
        <f aca="false">Scoring!AR80</f>
        <v/>
      </c>
      <c r="B74" s="120" t="str">
        <f aca="false">Scoring!AQ80</f>
        <v/>
      </c>
      <c r="C74" s="120" t="n">
        <f aca="false">Scoring!C80</f>
        <v>0</v>
      </c>
      <c r="D74" s="121" t="str">
        <f aca="false">Scoring!AN80</f>
        <v/>
      </c>
      <c r="E74" s="120" t="str">
        <f aca="false">Scoring!V80</f>
        <v/>
      </c>
      <c r="F74" s="120" t="n">
        <f aca="false">Scoring!B80</f>
        <v>0</v>
      </c>
      <c r="G74" s="120" t="n">
        <f aca="false">Scoring!D80</f>
        <v>0</v>
      </c>
      <c r="H74" s="120" t="str">
        <f aca="false">Scoring!AP80</f>
        <v/>
      </c>
      <c r="I74" s="120" t="str">
        <f aca="false">Scoring!AO80</f>
        <v/>
      </c>
    </row>
    <row r="75" customFormat="false" ht="15.75" hidden="false" customHeight="false" outlineLevel="0" collapsed="false">
      <c r="A75" s="120" t="str">
        <f aca="false">Scoring!AR81</f>
        <v/>
      </c>
      <c r="B75" s="120" t="str">
        <f aca="false">Scoring!AQ81</f>
        <v/>
      </c>
      <c r="C75" s="120" t="n">
        <f aca="false">Scoring!C81</f>
        <v>0</v>
      </c>
      <c r="D75" s="121" t="str">
        <f aca="false">Scoring!AN81</f>
        <v/>
      </c>
      <c r="E75" s="120" t="str">
        <f aca="false">Scoring!V81</f>
        <v/>
      </c>
      <c r="F75" s="120" t="n">
        <f aca="false">Scoring!B81</f>
        <v>0</v>
      </c>
      <c r="G75" s="120" t="n">
        <f aca="false">Scoring!D81</f>
        <v>0</v>
      </c>
      <c r="H75" s="120" t="str">
        <f aca="false">Scoring!AP81</f>
        <v/>
      </c>
      <c r="I75" s="120" t="str">
        <f aca="false">Scoring!AO81</f>
        <v/>
      </c>
    </row>
    <row r="76" customFormat="false" ht="15.75" hidden="false" customHeight="false" outlineLevel="0" collapsed="false">
      <c r="A76" s="120" t="str">
        <f aca="false">Scoring!AR82</f>
        <v/>
      </c>
      <c r="B76" s="120" t="str">
        <f aca="false">Scoring!AQ82</f>
        <v/>
      </c>
      <c r="C76" s="120" t="n">
        <f aca="false">Scoring!C82</f>
        <v>0</v>
      </c>
      <c r="D76" s="121" t="str">
        <f aca="false">Scoring!AN82</f>
        <v/>
      </c>
      <c r="E76" s="120" t="str">
        <f aca="false">Scoring!V82</f>
        <v/>
      </c>
      <c r="F76" s="120" t="n">
        <f aca="false">Scoring!B82</f>
        <v>0</v>
      </c>
      <c r="G76" s="120" t="n">
        <f aca="false">Scoring!D82</f>
        <v>0</v>
      </c>
      <c r="H76" s="120" t="str">
        <f aca="false">Scoring!AP82</f>
        <v/>
      </c>
      <c r="I76" s="120" t="str">
        <f aca="false">Scoring!AO82</f>
        <v/>
      </c>
    </row>
    <row r="77" customFormat="false" ht="15.75" hidden="false" customHeight="false" outlineLevel="0" collapsed="false">
      <c r="A77" s="120" t="str">
        <f aca="false">Scoring!AR83</f>
        <v/>
      </c>
      <c r="B77" s="120" t="str">
        <f aca="false">Scoring!AQ83</f>
        <v/>
      </c>
      <c r="C77" s="120" t="n">
        <f aca="false">Scoring!C83</f>
        <v>0</v>
      </c>
      <c r="D77" s="121" t="str">
        <f aca="false">Scoring!AN83</f>
        <v/>
      </c>
      <c r="E77" s="120" t="str">
        <f aca="false">Scoring!V83</f>
        <v/>
      </c>
      <c r="F77" s="120" t="n">
        <f aca="false">Scoring!B83</f>
        <v>0</v>
      </c>
      <c r="G77" s="120" t="n">
        <f aca="false">Scoring!D83</f>
        <v>0</v>
      </c>
      <c r="H77" s="120" t="str">
        <f aca="false">Scoring!AP83</f>
        <v/>
      </c>
      <c r="I77" s="120" t="str">
        <f aca="false">Scoring!AO83</f>
        <v/>
      </c>
    </row>
    <row r="78" customFormat="false" ht="15.75" hidden="false" customHeight="false" outlineLevel="0" collapsed="false">
      <c r="A78" s="120" t="str">
        <f aca="false">Scoring!AR84</f>
        <v/>
      </c>
      <c r="B78" s="120" t="str">
        <f aca="false">Scoring!AQ84</f>
        <v/>
      </c>
      <c r="C78" s="120" t="n">
        <f aca="false">Scoring!C84</f>
        <v>0</v>
      </c>
      <c r="D78" s="121" t="str">
        <f aca="false">Scoring!AN84</f>
        <v/>
      </c>
      <c r="E78" s="120" t="str">
        <f aca="false">Scoring!V84</f>
        <v/>
      </c>
      <c r="F78" s="120" t="n">
        <f aca="false">Scoring!B84</f>
        <v>0</v>
      </c>
      <c r="G78" s="120" t="n">
        <f aca="false">Scoring!D84</f>
        <v>0</v>
      </c>
      <c r="H78" s="120" t="str">
        <f aca="false">Scoring!AP84</f>
        <v/>
      </c>
      <c r="I78" s="120" t="str">
        <f aca="false">Scoring!AO84</f>
        <v/>
      </c>
    </row>
    <row r="79" customFormat="false" ht="15.75" hidden="false" customHeight="false" outlineLevel="0" collapsed="false">
      <c r="A79" s="120" t="str">
        <f aca="false">Scoring!AR85</f>
        <v/>
      </c>
      <c r="B79" s="120" t="str">
        <f aca="false">Scoring!AQ85</f>
        <v/>
      </c>
      <c r="C79" s="120" t="n">
        <f aca="false">Scoring!C85</f>
        <v>0</v>
      </c>
      <c r="D79" s="121" t="str">
        <f aca="false">Scoring!AN85</f>
        <v/>
      </c>
      <c r="E79" s="120" t="str">
        <f aca="false">Scoring!V85</f>
        <v/>
      </c>
      <c r="F79" s="120" t="n">
        <f aca="false">Scoring!B85</f>
        <v>0</v>
      </c>
      <c r="G79" s="120" t="n">
        <f aca="false">Scoring!D85</f>
        <v>0</v>
      </c>
      <c r="H79" s="120" t="str">
        <f aca="false">Scoring!AP85</f>
        <v/>
      </c>
      <c r="I79" s="120" t="str">
        <f aca="false">Scoring!AO85</f>
        <v/>
      </c>
    </row>
    <row r="80" customFormat="false" ht="15.75" hidden="false" customHeight="false" outlineLevel="0" collapsed="false">
      <c r="A80" s="120" t="str">
        <f aca="false">Scoring!AR86</f>
        <v/>
      </c>
      <c r="B80" s="120" t="str">
        <f aca="false">Scoring!AQ86</f>
        <v/>
      </c>
      <c r="C80" s="120" t="n">
        <f aca="false">Scoring!C86</f>
        <v>0</v>
      </c>
      <c r="D80" s="121" t="str">
        <f aca="false">Scoring!AN86</f>
        <v/>
      </c>
      <c r="E80" s="120" t="str">
        <f aca="false">Scoring!V86</f>
        <v/>
      </c>
      <c r="F80" s="120" t="n">
        <f aca="false">Scoring!B86</f>
        <v>0</v>
      </c>
      <c r="G80" s="120" t="n">
        <f aca="false">Scoring!D86</f>
        <v>0</v>
      </c>
      <c r="H80" s="120" t="str">
        <f aca="false">Scoring!AP86</f>
        <v/>
      </c>
      <c r="I80" s="120" t="str">
        <f aca="false">Scoring!AO86</f>
        <v/>
      </c>
    </row>
    <row r="81" customFormat="false" ht="15.75" hidden="false" customHeight="false" outlineLevel="0" collapsed="false">
      <c r="A81" s="120" t="str">
        <f aca="false">Scoring!AR87</f>
        <v/>
      </c>
      <c r="B81" s="120" t="str">
        <f aca="false">Scoring!AQ87</f>
        <v/>
      </c>
      <c r="C81" s="120" t="n">
        <f aca="false">Scoring!C87</f>
        <v>0</v>
      </c>
      <c r="D81" s="121" t="str">
        <f aca="false">Scoring!AN87</f>
        <v/>
      </c>
      <c r="E81" s="120" t="str">
        <f aca="false">Scoring!V87</f>
        <v/>
      </c>
      <c r="F81" s="120" t="n">
        <f aca="false">Scoring!B87</f>
        <v>0</v>
      </c>
      <c r="G81" s="120" t="n">
        <f aca="false">Scoring!D87</f>
        <v>0</v>
      </c>
      <c r="H81" s="120" t="str">
        <f aca="false">Scoring!AP87</f>
        <v/>
      </c>
      <c r="I81" s="120" t="str">
        <f aca="false">Scoring!AO87</f>
        <v/>
      </c>
    </row>
    <row r="82" customFormat="false" ht="15.75" hidden="false" customHeight="false" outlineLevel="0" collapsed="false">
      <c r="A82" s="120" t="str">
        <f aca="false">Scoring!AR88</f>
        <v/>
      </c>
      <c r="B82" s="120" t="str">
        <f aca="false">Scoring!AQ88</f>
        <v/>
      </c>
      <c r="C82" s="120" t="n">
        <f aca="false">Scoring!C88</f>
        <v>0</v>
      </c>
      <c r="D82" s="121" t="str">
        <f aca="false">Scoring!AN88</f>
        <v/>
      </c>
      <c r="E82" s="120" t="str">
        <f aca="false">Scoring!V88</f>
        <v/>
      </c>
      <c r="F82" s="120" t="n">
        <f aca="false">Scoring!B88</f>
        <v>0</v>
      </c>
      <c r="G82" s="120" t="n">
        <f aca="false">Scoring!D88</f>
        <v>0</v>
      </c>
      <c r="H82" s="120" t="str">
        <f aca="false">Scoring!AP88</f>
        <v/>
      </c>
      <c r="I82" s="120" t="str">
        <f aca="false">Scoring!AO88</f>
        <v/>
      </c>
    </row>
    <row r="83" customFormat="false" ht="15.75" hidden="false" customHeight="false" outlineLevel="0" collapsed="false">
      <c r="A83" s="120" t="str">
        <f aca="false">Scoring!AR89</f>
        <v/>
      </c>
      <c r="B83" s="120" t="str">
        <f aca="false">Scoring!AQ89</f>
        <v/>
      </c>
      <c r="C83" s="120" t="n">
        <f aca="false">Scoring!C89</f>
        <v>0</v>
      </c>
      <c r="D83" s="121" t="str">
        <f aca="false">Scoring!AN89</f>
        <v/>
      </c>
      <c r="E83" s="120" t="str">
        <f aca="false">Scoring!V89</f>
        <v/>
      </c>
      <c r="F83" s="120" t="n">
        <f aca="false">Scoring!B89</f>
        <v>0</v>
      </c>
      <c r="G83" s="120" t="n">
        <f aca="false">Scoring!D89</f>
        <v>0</v>
      </c>
      <c r="H83" s="120" t="str">
        <f aca="false">Scoring!AP89</f>
        <v/>
      </c>
      <c r="I83" s="120" t="str">
        <f aca="false">Scoring!AO89</f>
        <v/>
      </c>
    </row>
    <row r="84" customFormat="false" ht="15.75" hidden="false" customHeight="false" outlineLevel="0" collapsed="false">
      <c r="A84" s="120" t="str">
        <f aca="false">Scoring!AR90</f>
        <v/>
      </c>
      <c r="B84" s="120" t="str">
        <f aca="false">Scoring!AQ90</f>
        <v/>
      </c>
      <c r="C84" s="120" t="n">
        <f aca="false">Scoring!C90</f>
        <v>0</v>
      </c>
      <c r="D84" s="121" t="str">
        <f aca="false">Scoring!AN90</f>
        <v/>
      </c>
      <c r="E84" s="120" t="str">
        <f aca="false">Scoring!V90</f>
        <v/>
      </c>
      <c r="F84" s="120" t="n">
        <f aca="false">Scoring!B90</f>
        <v>0</v>
      </c>
      <c r="G84" s="120" t="n">
        <f aca="false">Scoring!D90</f>
        <v>0</v>
      </c>
      <c r="H84" s="120" t="str">
        <f aca="false">Scoring!AP90</f>
        <v/>
      </c>
      <c r="I84" s="120" t="str">
        <f aca="false">Scoring!AO90</f>
        <v/>
      </c>
    </row>
    <row r="85" customFormat="false" ht="15.75" hidden="false" customHeight="false" outlineLevel="0" collapsed="false">
      <c r="A85" s="120" t="str">
        <f aca="false">Scoring!AR91</f>
        <v/>
      </c>
      <c r="B85" s="120" t="str">
        <f aca="false">Scoring!AQ91</f>
        <v/>
      </c>
      <c r="C85" s="120" t="n">
        <f aca="false">Scoring!C91</f>
        <v>0</v>
      </c>
      <c r="D85" s="121" t="str">
        <f aca="false">Scoring!AN91</f>
        <v/>
      </c>
      <c r="E85" s="120" t="str">
        <f aca="false">Scoring!V91</f>
        <v/>
      </c>
      <c r="F85" s="120" t="n">
        <f aca="false">Scoring!B91</f>
        <v>0</v>
      </c>
      <c r="G85" s="120" t="n">
        <f aca="false">Scoring!D91</f>
        <v>0</v>
      </c>
      <c r="H85" s="120" t="str">
        <f aca="false">Scoring!AP91</f>
        <v/>
      </c>
      <c r="I85" s="120" t="str">
        <f aca="false">Scoring!AO91</f>
        <v/>
      </c>
    </row>
    <row r="86" customFormat="false" ht="15.75" hidden="false" customHeight="false" outlineLevel="0" collapsed="false">
      <c r="A86" s="120" t="str">
        <f aca="false">Scoring!AR92</f>
        <v/>
      </c>
      <c r="B86" s="120" t="str">
        <f aca="false">Scoring!AQ92</f>
        <v/>
      </c>
      <c r="C86" s="120" t="n">
        <f aca="false">Scoring!C92</f>
        <v>0</v>
      </c>
      <c r="D86" s="121" t="str">
        <f aca="false">Scoring!AN92</f>
        <v/>
      </c>
      <c r="E86" s="120" t="str">
        <f aca="false">Scoring!V92</f>
        <v/>
      </c>
      <c r="F86" s="120" t="n">
        <f aca="false">Scoring!B92</f>
        <v>0</v>
      </c>
      <c r="G86" s="120" t="n">
        <f aca="false">Scoring!D92</f>
        <v>0</v>
      </c>
      <c r="H86" s="120" t="str">
        <f aca="false">Scoring!AP92</f>
        <v/>
      </c>
      <c r="I86" s="120" t="str">
        <f aca="false">Scoring!AO92</f>
        <v/>
      </c>
    </row>
    <row r="87" customFormat="false" ht="15.75" hidden="false" customHeight="false" outlineLevel="0" collapsed="false">
      <c r="A87" s="120" t="str">
        <f aca="false">Scoring!AR93</f>
        <v/>
      </c>
      <c r="B87" s="120" t="str">
        <f aca="false">Scoring!AQ93</f>
        <v/>
      </c>
      <c r="C87" s="120" t="n">
        <f aca="false">Scoring!C93</f>
        <v>0</v>
      </c>
      <c r="D87" s="121" t="str">
        <f aca="false">Scoring!AN93</f>
        <v/>
      </c>
      <c r="E87" s="120" t="str">
        <f aca="false">Scoring!V93</f>
        <v/>
      </c>
      <c r="F87" s="120" t="n">
        <f aca="false">Scoring!B93</f>
        <v>0</v>
      </c>
      <c r="G87" s="120" t="n">
        <f aca="false">Scoring!D93</f>
        <v>0</v>
      </c>
      <c r="H87" s="120" t="str">
        <f aca="false">Scoring!AP93</f>
        <v/>
      </c>
      <c r="I87" s="120" t="str">
        <f aca="false">Scoring!AO93</f>
        <v/>
      </c>
    </row>
    <row r="88" customFormat="false" ht="15.75" hidden="false" customHeight="false" outlineLevel="0" collapsed="false">
      <c r="A88" s="120" t="str">
        <f aca="false">Scoring!AR94</f>
        <v/>
      </c>
      <c r="B88" s="120" t="str">
        <f aca="false">Scoring!AQ94</f>
        <v/>
      </c>
      <c r="C88" s="120" t="n">
        <f aca="false">Scoring!C94</f>
        <v>0</v>
      </c>
      <c r="D88" s="121" t="str">
        <f aca="false">Scoring!AN94</f>
        <v/>
      </c>
      <c r="E88" s="120" t="str">
        <f aca="false">Scoring!V94</f>
        <v/>
      </c>
      <c r="F88" s="120" t="n">
        <f aca="false">Scoring!B94</f>
        <v>0</v>
      </c>
      <c r="G88" s="120" t="n">
        <f aca="false">Scoring!D94</f>
        <v>0</v>
      </c>
      <c r="H88" s="120" t="str">
        <f aca="false">Scoring!AP94</f>
        <v/>
      </c>
      <c r="I88" s="120" t="str">
        <f aca="false">Scoring!AO94</f>
        <v/>
      </c>
    </row>
    <row r="89" customFormat="false" ht="15.75" hidden="false" customHeight="false" outlineLevel="0" collapsed="false">
      <c r="A89" s="120" t="str">
        <f aca="false">Scoring!AR95</f>
        <v/>
      </c>
      <c r="B89" s="120" t="str">
        <f aca="false">Scoring!AQ95</f>
        <v/>
      </c>
      <c r="C89" s="120" t="n">
        <f aca="false">Scoring!C95</f>
        <v>0</v>
      </c>
      <c r="D89" s="121" t="str">
        <f aca="false">Scoring!AN95</f>
        <v/>
      </c>
      <c r="E89" s="120" t="str">
        <f aca="false">Scoring!V95</f>
        <v/>
      </c>
      <c r="F89" s="120" t="n">
        <f aca="false">Scoring!B95</f>
        <v>0</v>
      </c>
      <c r="G89" s="120" t="n">
        <f aca="false">Scoring!D95</f>
        <v>0</v>
      </c>
      <c r="H89" s="120" t="str">
        <f aca="false">Scoring!AP95</f>
        <v/>
      </c>
      <c r="I89" s="120" t="str">
        <f aca="false">Scoring!AO95</f>
        <v/>
      </c>
    </row>
    <row r="90" customFormat="false" ht="15.75" hidden="false" customHeight="false" outlineLevel="0" collapsed="false">
      <c r="A90" s="120" t="str">
        <f aca="false">Scoring!AR96</f>
        <v/>
      </c>
      <c r="B90" s="120" t="str">
        <f aca="false">Scoring!AQ96</f>
        <v/>
      </c>
      <c r="C90" s="120" t="n">
        <f aca="false">Scoring!C96</f>
        <v>0</v>
      </c>
      <c r="D90" s="121" t="str">
        <f aca="false">Scoring!AN96</f>
        <v/>
      </c>
      <c r="E90" s="120" t="str">
        <f aca="false">Scoring!V96</f>
        <v/>
      </c>
      <c r="F90" s="120" t="n">
        <f aca="false">Scoring!B96</f>
        <v>0</v>
      </c>
      <c r="G90" s="120" t="n">
        <f aca="false">Scoring!D96</f>
        <v>0</v>
      </c>
      <c r="H90" s="120" t="str">
        <f aca="false">Scoring!AP96</f>
        <v/>
      </c>
      <c r="I90" s="120" t="str">
        <f aca="false">Scoring!AO96</f>
        <v/>
      </c>
    </row>
    <row r="91" customFormat="false" ht="15.75" hidden="false" customHeight="false" outlineLevel="0" collapsed="false">
      <c r="A91" s="120" t="str">
        <f aca="false">Scoring!AR97</f>
        <v/>
      </c>
      <c r="B91" s="120" t="str">
        <f aca="false">Scoring!AQ97</f>
        <v/>
      </c>
      <c r="C91" s="120" t="n">
        <f aca="false">Scoring!C97</f>
        <v>0</v>
      </c>
      <c r="D91" s="121" t="str">
        <f aca="false">Scoring!AN97</f>
        <v/>
      </c>
      <c r="E91" s="120" t="str">
        <f aca="false">Scoring!V97</f>
        <v/>
      </c>
      <c r="F91" s="120" t="n">
        <f aca="false">Scoring!B97</f>
        <v>0</v>
      </c>
      <c r="G91" s="120" t="n">
        <f aca="false">Scoring!D97</f>
        <v>0</v>
      </c>
      <c r="H91" s="120" t="str">
        <f aca="false">Scoring!AP97</f>
        <v/>
      </c>
      <c r="I91" s="120" t="str">
        <f aca="false">Scoring!AO97</f>
        <v/>
      </c>
    </row>
    <row r="92" customFormat="false" ht="15.75" hidden="false" customHeight="false" outlineLevel="0" collapsed="false">
      <c r="A92" s="120" t="str">
        <f aca="false">Scoring!AR98</f>
        <v/>
      </c>
      <c r="B92" s="120" t="str">
        <f aca="false">Scoring!AQ98</f>
        <v/>
      </c>
      <c r="C92" s="120" t="n">
        <f aca="false">Scoring!C98</f>
        <v>0</v>
      </c>
      <c r="D92" s="121" t="str">
        <f aca="false">Scoring!AN98</f>
        <v/>
      </c>
      <c r="E92" s="120" t="str">
        <f aca="false">Scoring!V98</f>
        <v/>
      </c>
      <c r="F92" s="120" t="n">
        <f aca="false">Scoring!B98</f>
        <v>0</v>
      </c>
      <c r="G92" s="120" t="n">
        <f aca="false">Scoring!D98</f>
        <v>0</v>
      </c>
      <c r="H92" s="120" t="str">
        <f aca="false">Scoring!AP98</f>
        <v/>
      </c>
      <c r="I92" s="120" t="str">
        <f aca="false">Scoring!AO98</f>
        <v/>
      </c>
    </row>
    <row r="93" customFormat="false" ht="15.75" hidden="false" customHeight="false" outlineLevel="0" collapsed="false">
      <c r="A93" s="120" t="str">
        <f aca="false">Scoring!AR99</f>
        <v/>
      </c>
      <c r="B93" s="120" t="str">
        <f aca="false">Scoring!AQ99</f>
        <v/>
      </c>
      <c r="C93" s="120" t="n">
        <f aca="false">Scoring!C99</f>
        <v>0</v>
      </c>
      <c r="D93" s="121" t="str">
        <f aca="false">Scoring!AN99</f>
        <v/>
      </c>
      <c r="E93" s="120" t="str">
        <f aca="false">Scoring!V99</f>
        <v/>
      </c>
      <c r="F93" s="120" t="n">
        <f aca="false">Scoring!B99</f>
        <v>0</v>
      </c>
      <c r="G93" s="120" t="n">
        <f aca="false">Scoring!D99</f>
        <v>0</v>
      </c>
      <c r="H93" s="120" t="str">
        <f aca="false">Scoring!AP99</f>
        <v/>
      </c>
      <c r="I93" s="120" t="str">
        <f aca="false">Scoring!AO99</f>
        <v/>
      </c>
    </row>
    <row r="94" customFormat="false" ht="15.75" hidden="false" customHeight="false" outlineLevel="0" collapsed="false">
      <c r="A94" s="120" t="str">
        <f aca="false">Scoring!AR100</f>
        <v/>
      </c>
      <c r="B94" s="120" t="str">
        <f aca="false">Scoring!AQ100</f>
        <v/>
      </c>
      <c r="C94" s="120" t="n">
        <f aca="false">Scoring!C100</f>
        <v>0</v>
      </c>
      <c r="D94" s="121" t="str">
        <f aca="false">Scoring!AN100</f>
        <v/>
      </c>
      <c r="E94" s="120" t="str">
        <f aca="false">Scoring!V100</f>
        <v/>
      </c>
      <c r="F94" s="120" t="n">
        <f aca="false">Scoring!B100</f>
        <v>0</v>
      </c>
      <c r="G94" s="120" t="n">
        <f aca="false">Scoring!D100</f>
        <v>0</v>
      </c>
      <c r="H94" s="120" t="str">
        <f aca="false">Scoring!AP100</f>
        <v/>
      </c>
      <c r="I94" s="120" t="str">
        <f aca="false">Scoring!AO100</f>
        <v/>
      </c>
    </row>
    <row r="95" customFormat="false" ht="15.75" hidden="false" customHeight="false" outlineLevel="0" collapsed="false">
      <c r="A95" s="120" t="str">
        <f aca="false">Scoring!AR101</f>
        <v/>
      </c>
      <c r="B95" s="120" t="str">
        <f aca="false">Scoring!AQ101</f>
        <v/>
      </c>
      <c r="C95" s="120" t="n">
        <f aca="false">Scoring!C101</f>
        <v>0</v>
      </c>
      <c r="D95" s="121" t="str">
        <f aca="false">Scoring!AN101</f>
        <v/>
      </c>
      <c r="E95" s="120" t="str">
        <f aca="false">Scoring!V101</f>
        <v/>
      </c>
      <c r="F95" s="120" t="n">
        <f aca="false">Scoring!B101</f>
        <v>0</v>
      </c>
      <c r="G95" s="120" t="n">
        <f aca="false">Scoring!D101</f>
        <v>0</v>
      </c>
      <c r="H95" s="120" t="str">
        <f aca="false">Scoring!AP101</f>
        <v/>
      </c>
      <c r="I95" s="120" t="str">
        <f aca="false">Scoring!AO101</f>
        <v/>
      </c>
    </row>
    <row r="96" customFormat="false" ht="15.75" hidden="false" customHeight="false" outlineLevel="0" collapsed="false">
      <c r="A96" s="120" t="str">
        <f aca="false">Scoring!AR102</f>
        <v/>
      </c>
      <c r="B96" s="120" t="str">
        <f aca="false">Scoring!AQ102</f>
        <v/>
      </c>
      <c r="C96" s="120" t="n">
        <f aca="false">Scoring!C102</f>
        <v>0</v>
      </c>
      <c r="D96" s="121" t="str">
        <f aca="false">Scoring!AN102</f>
        <v/>
      </c>
      <c r="E96" s="120" t="str">
        <f aca="false">Scoring!V102</f>
        <v/>
      </c>
      <c r="F96" s="120" t="n">
        <f aca="false">Scoring!B102</f>
        <v>0</v>
      </c>
      <c r="G96" s="120" t="n">
        <f aca="false">Scoring!D102</f>
        <v>0</v>
      </c>
      <c r="H96" s="120" t="str">
        <f aca="false">Scoring!AP102</f>
        <v/>
      </c>
      <c r="I96" s="120" t="str">
        <f aca="false">Scoring!AO102</f>
        <v/>
      </c>
    </row>
    <row r="97" customFormat="false" ht="15.75" hidden="false" customHeight="false" outlineLevel="0" collapsed="false">
      <c r="A97" s="120" t="str">
        <f aca="false">Scoring!AR103</f>
        <v/>
      </c>
      <c r="B97" s="120" t="str">
        <f aca="false">Scoring!AQ103</f>
        <v/>
      </c>
      <c r="C97" s="120" t="n">
        <f aca="false">Scoring!C103</f>
        <v>0</v>
      </c>
      <c r="D97" s="121" t="str">
        <f aca="false">Scoring!AN103</f>
        <v/>
      </c>
      <c r="E97" s="120" t="str">
        <f aca="false">Scoring!V103</f>
        <v/>
      </c>
      <c r="F97" s="120" t="n">
        <f aca="false">Scoring!B103</f>
        <v>0</v>
      </c>
      <c r="G97" s="120" t="n">
        <f aca="false">Scoring!D103</f>
        <v>0</v>
      </c>
      <c r="H97" s="120" t="str">
        <f aca="false">Scoring!AP103</f>
        <v/>
      </c>
      <c r="I97" s="120" t="str">
        <f aca="false">Scoring!AO103</f>
        <v/>
      </c>
    </row>
    <row r="98" customFormat="false" ht="15.75" hidden="false" customHeight="false" outlineLevel="0" collapsed="false">
      <c r="A98" s="120" t="str">
        <f aca="false">Scoring!AR104</f>
        <v/>
      </c>
      <c r="B98" s="120" t="str">
        <f aca="false">Scoring!AQ104</f>
        <v/>
      </c>
      <c r="C98" s="120" t="n">
        <f aca="false">Scoring!C104</f>
        <v>0</v>
      </c>
      <c r="D98" s="121" t="str">
        <f aca="false">Scoring!AN104</f>
        <v/>
      </c>
      <c r="E98" s="120" t="str">
        <f aca="false">Scoring!V104</f>
        <v/>
      </c>
      <c r="F98" s="120" t="n">
        <f aca="false">Scoring!B104</f>
        <v>0</v>
      </c>
      <c r="G98" s="120" t="n">
        <f aca="false">Scoring!D104</f>
        <v>0</v>
      </c>
      <c r="H98" s="120" t="str">
        <f aca="false">Scoring!AP104</f>
        <v/>
      </c>
      <c r="I98" s="120" t="str">
        <f aca="false">Scoring!AO104</f>
        <v/>
      </c>
    </row>
    <row r="99" customFormat="false" ht="15.75" hidden="false" customHeight="false" outlineLevel="0" collapsed="false">
      <c r="A99" s="120" t="str">
        <f aca="false">Scoring!AR105</f>
        <v/>
      </c>
      <c r="B99" s="120" t="str">
        <f aca="false">Scoring!AQ105</f>
        <v/>
      </c>
      <c r="C99" s="120" t="n">
        <f aca="false">Scoring!C105</f>
        <v>0</v>
      </c>
      <c r="D99" s="121" t="str">
        <f aca="false">Scoring!AN105</f>
        <v/>
      </c>
      <c r="E99" s="120" t="str">
        <f aca="false">Scoring!V105</f>
        <v/>
      </c>
      <c r="F99" s="120" t="n">
        <f aca="false">Scoring!B105</f>
        <v>0</v>
      </c>
      <c r="G99" s="120" t="n">
        <f aca="false">Scoring!D105</f>
        <v>0</v>
      </c>
      <c r="H99" s="120" t="str">
        <f aca="false">Scoring!AP105</f>
        <v/>
      </c>
      <c r="I99" s="120" t="str">
        <f aca="false">Scoring!AO105</f>
        <v/>
      </c>
    </row>
    <row r="100" customFormat="false" ht="15.75" hidden="false" customHeight="false" outlineLevel="0" collapsed="false">
      <c r="A100" s="120" t="str">
        <f aca="false">Scoring!AR106</f>
        <v/>
      </c>
      <c r="B100" s="120" t="str">
        <f aca="false">Scoring!AQ106</f>
        <v/>
      </c>
      <c r="C100" s="120" t="n">
        <f aca="false">Scoring!C106</f>
        <v>0</v>
      </c>
      <c r="D100" s="121" t="str">
        <f aca="false">Scoring!AN106</f>
        <v/>
      </c>
      <c r="E100" s="120" t="str">
        <f aca="false">Scoring!V106</f>
        <v/>
      </c>
      <c r="F100" s="120" t="n">
        <f aca="false">Scoring!B106</f>
        <v>0</v>
      </c>
      <c r="G100" s="120" t="n">
        <f aca="false">Scoring!D106</f>
        <v>0</v>
      </c>
      <c r="H100" s="120" t="str">
        <f aca="false">Scoring!AP106</f>
        <v/>
      </c>
      <c r="I100" s="120" t="str">
        <f aca="false">Scoring!AO106</f>
        <v/>
      </c>
    </row>
    <row r="101" customFormat="false" ht="15.75" hidden="false" customHeight="false" outlineLevel="0" collapsed="false">
      <c r="A101" s="120" t="str">
        <f aca="false">Scoring!AR107</f>
        <v/>
      </c>
      <c r="B101" s="120" t="str">
        <f aca="false">Scoring!AQ107</f>
        <v/>
      </c>
      <c r="C101" s="120" t="n">
        <f aca="false">Scoring!C107</f>
        <v>0</v>
      </c>
      <c r="D101" s="121" t="str">
        <f aca="false">Scoring!AN107</f>
        <v/>
      </c>
      <c r="E101" s="120" t="str">
        <f aca="false">Scoring!V107</f>
        <v/>
      </c>
      <c r="F101" s="120" t="n">
        <f aca="false">Scoring!B107</f>
        <v>0</v>
      </c>
      <c r="G101" s="120" t="n">
        <f aca="false">Scoring!D107</f>
        <v>0</v>
      </c>
      <c r="H101" s="120" t="str">
        <f aca="false">Scoring!AP107</f>
        <v/>
      </c>
      <c r="I101" s="120" t="str">
        <f aca="false">Scoring!AO107</f>
        <v/>
      </c>
    </row>
    <row r="102" customFormat="false" ht="15.75" hidden="false" customHeight="false" outlineLevel="0" collapsed="false">
      <c r="A102" s="120" t="str">
        <f aca="false">Scoring!AR108</f>
        <v/>
      </c>
      <c r="B102" s="120" t="str">
        <f aca="false">Scoring!AQ108</f>
        <v/>
      </c>
      <c r="C102" s="120" t="n">
        <f aca="false">Scoring!C108</f>
        <v>0</v>
      </c>
      <c r="D102" s="121" t="str">
        <f aca="false">Scoring!AN108</f>
        <v/>
      </c>
      <c r="E102" s="120" t="str">
        <f aca="false">Scoring!V108</f>
        <v/>
      </c>
      <c r="F102" s="120" t="n">
        <f aca="false">Scoring!B108</f>
        <v>0</v>
      </c>
      <c r="G102" s="120" t="n">
        <f aca="false">Scoring!D108</f>
        <v>0</v>
      </c>
      <c r="H102" s="120" t="str">
        <f aca="false">Scoring!AP108</f>
        <v/>
      </c>
      <c r="I102" s="120" t="str">
        <f aca="false">Scoring!AO108</f>
        <v/>
      </c>
    </row>
    <row r="103" customFormat="false" ht="15.75" hidden="false" customHeight="false" outlineLevel="0" collapsed="false">
      <c r="A103" s="120" t="str">
        <f aca="false">Scoring!AR109</f>
        <v/>
      </c>
      <c r="B103" s="120" t="str">
        <f aca="false">Scoring!AQ109</f>
        <v/>
      </c>
      <c r="C103" s="120" t="n">
        <f aca="false">Scoring!C109</f>
        <v>0</v>
      </c>
      <c r="D103" s="121" t="str">
        <f aca="false">Scoring!AN109</f>
        <v/>
      </c>
      <c r="E103" s="120" t="str">
        <f aca="false">Scoring!V109</f>
        <v/>
      </c>
      <c r="F103" s="120" t="n">
        <f aca="false">Scoring!B109</f>
        <v>0</v>
      </c>
      <c r="G103" s="120" t="n">
        <f aca="false">Scoring!D109</f>
        <v>0</v>
      </c>
      <c r="H103" s="120" t="str">
        <f aca="false">Scoring!AP109</f>
        <v/>
      </c>
      <c r="I103" s="120" t="str">
        <f aca="false">Scoring!AO109</f>
        <v/>
      </c>
    </row>
    <row r="104" customFormat="false" ht="15.75" hidden="false" customHeight="false" outlineLevel="0" collapsed="false">
      <c r="A104" s="120" t="str">
        <f aca="false">Scoring!AR110</f>
        <v/>
      </c>
      <c r="B104" s="120" t="str">
        <f aca="false">Scoring!AQ110</f>
        <v/>
      </c>
      <c r="C104" s="120" t="n">
        <f aca="false">Scoring!C110</f>
        <v>0</v>
      </c>
      <c r="D104" s="121" t="str">
        <f aca="false">Scoring!AN110</f>
        <v/>
      </c>
      <c r="E104" s="120" t="str">
        <f aca="false">Scoring!V110</f>
        <v/>
      </c>
      <c r="F104" s="120" t="n">
        <f aca="false">Scoring!B110</f>
        <v>0</v>
      </c>
      <c r="G104" s="120" t="n">
        <f aca="false">Scoring!D110</f>
        <v>0</v>
      </c>
      <c r="H104" s="120" t="str">
        <f aca="false">Scoring!AP110</f>
        <v/>
      </c>
      <c r="I104" s="120" t="str">
        <f aca="false">Scoring!AO110</f>
        <v/>
      </c>
    </row>
    <row r="105" customFormat="false" ht="15.75" hidden="false" customHeight="false" outlineLevel="0" collapsed="false">
      <c r="A105" s="120" t="str">
        <f aca="false">Scoring!AR111</f>
        <v/>
      </c>
      <c r="B105" s="120" t="str">
        <f aca="false">Scoring!AQ111</f>
        <v/>
      </c>
      <c r="C105" s="120" t="n">
        <f aca="false">Scoring!C111</f>
        <v>0</v>
      </c>
      <c r="D105" s="121" t="str">
        <f aca="false">Scoring!AN111</f>
        <v/>
      </c>
      <c r="E105" s="120" t="str">
        <f aca="false">Scoring!V111</f>
        <v/>
      </c>
      <c r="F105" s="120" t="n">
        <f aca="false">Scoring!B111</f>
        <v>0</v>
      </c>
      <c r="G105" s="120" t="n">
        <f aca="false">Scoring!D111</f>
        <v>0</v>
      </c>
      <c r="H105" s="120" t="str">
        <f aca="false">Scoring!AP111</f>
        <v/>
      </c>
      <c r="I105" s="120" t="str">
        <f aca="false">Scoring!AO111</f>
        <v/>
      </c>
    </row>
    <row r="106" customFormat="false" ht="15.75" hidden="false" customHeight="false" outlineLevel="0" collapsed="false">
      <c r="A106" s="120" t="str">
        <f aca="false">Scoring!AR112</f>
        <v/>
      </c>
      <c r="B106" s="120" t="str">
        <f aca="false">Scoring!AQ112</f>
        <v/>
      </c>
      <c r="C106" s="120" t="n">
        <f aca="false">Scoring!C112</f>
        <v>0</v>
      </c>
      <c r="D106" s="121" t="str">
        <f aca="false">Scoring!AN112</f>
        <v/>
      </c>
      <c r="E106" s="120" t="str">
        <f aca="false">Scoring!V112</f>
        <v/>
      </c>
      <c r="F106" s="120" t="n">
        <f aca="false">Scoring!B112</f>
        <v>0</v>
      </c>
      <c r="G106" s="120" t="n">
        <f aca="false">Scoring!D112</f>
        <v>0</v>
      </c>
      <c r="H106" s="120" t="str">
        <f aca="false">Scoring!AP112</f>
        <v/>
      </c>
      <c r="I106" s="120" t="str">
        <f aca="false">Scoring!AO112</f>
        <v/>
      </c>
    </row>
    <row r="107" customFormat="false" ht="15.75" hidden="false" customHeight="false" outlineLevel="0" collapsed="false">
      <c r="A107" s="120" t="str">
        <f aca="false">Scoring!AR113</f>
        <v/>
      </c>
      <c r="B107" s="120" t="str">
        <f aca="false">Scoring!AQ113</f>
        <v/>
      </c>
      <c r="C107" s="120" t="n">
        <f aca="false">Scoring!C113</f>
        <v>0</v>
      </c>
      <c r="D107" s="121" t="str">
        <f aca="false">Scoring!AN113</f>
        <v/>
      </c>
      <c r="E107" s="120" t="str">
        <f aca="false">Scoring!V113</f>
        <v/>
      </c>
      <c r="F107" s="120" t="n">
        <f aca="false">Scoring!B113</f>
        <v>0</v>
      </c>
      <c r="G107" s="120" t="n">
        <f aca="false">Scoring!D113</f>
        <v>0</v>
      </c>
      <c r="H107" s="120" t="str">
        <f aca="false">Scoring!AP113</f>
        <v/>
      </c>
      <c r="I107" s="120" t="str">
        <f aca="false">Scoring!AO113</f>
        <v/>
      </c>
    </row>
    <row r="108" customFormat="false" ht="15.75" hidden="false" customHeight="false" outlineLevel="0" collapsed="false">
      <c r="A108" s="120" t="str">
        <f aca="false">Scoring!AR114</f>
        <v/>
      </c>
      <c r="B108" s="120" t="str">
        <f aca="false">Scoring!AQ114</f>
        <v/>
      </c>
      <c r="C108" s="120" t="n">
        <f aca="false">Scoring!C114</f>
        <v>0</v>
      </c>
      <c r="D108" s="121" t="str">
        <f aca="false">Scoring!AN114</f>
        <v/>
      </c>
      <c r="E108" s="120" t="str">
        <f aca="false">Scoring!V114</f>
        <v/>
      </c>
      <c r="F108" s="120" t="n">
        <f aca="false">Scoring!B114</f>
        <v>0</v>
      </c>
      <c r="G108" s="120" t="n">
        <f aca="false">Scoring!D114</f>
        <v>0</v>
      </c>
      <c r="H108" s="120" t="str">
        <f aca="false">Scoring!AP114</f>
        <v/>
      </c>
      <c r="I108" s="120" t="str">
        <f aca="false">Scoring!AO114</f>
        <v/>
      </c>
    </row>
    <row r="109" customFormat="false" ht="15.75" hidden="false" customHeight="false" outlineLevel="0" collapsed="false">
      <c r="A109" s="120" t="str">
        <f aca="false">Scoring!AR115</f>
        <v/>
      </c>
      <c r="B109" s="120" t="str">
        <f aca="false">Scoring!AQ115</f>
        <v/>
      </c>
      <c r="C109" s="120" t="n">
        <f aca="false">Scoring!C115</f>
        <v>0</v>
      </c>
      <c r="D109" s="121" t="str">
        <f aca="false">Scoring!AN115</f>
        <v/>
      </c>
      <c r="E109" s="120" t="str">
        <f aca="false">Scoring!V115</f>
        <v/>
      </c>
      <c r="F109" s="120" t="n">
        <f aca="false">Scoring!B115</f>
        <v>0</v>
      </c>
      <c r="G109" s="120" t="n">
        <f aca="false">Scoring!D115</f>
        <v>0</v>
      </c>
      <c r="H109" s="120" t="str">
        <f aca="false">Scoring!AP115</f>
        <v/>
      </c>
      <c r="I109" s="120" t="str">
        <f aca="false">Scoring!AO115</f>
        <v/>
      </c>
    </row>
    <row r="110" customFormat="false" ht="15.75" hidden="false" customHeight="false" outlineLevel="0" collapsed="false">
      <c r="A110" s="120" t="str">
        <f aca="false">Scoring!AR116</f>
        <v/>
      </c>
      <c r="B110" s="120" t="str">
        <f aca="false">Scoring!AQ116</f>
        <v/>
      </c>
      <c r="C110" s="120" t="n">
        <f aca="false">Scoring!C116</f>
        <v>0</v>
      </c>
      <c r="D110" s="121" t="str">
        <f aca="false">Scoring!AN116</f>
        <v/>
      </c>
      <c r="E110" s="120" t="str">
        <f aca="false">Scoring!V116</f>
        <v/>
      </c>
      <c r="F110" s="120" t="n">
        <f aca="false">Scoring!B116</f>
        <v>0</v>
      </c>
      <c r="G110" s="120" t="n">
        <f aca="false">Scoring!D116</f>
        <v>0</v>
      </c>
      <c r="H110" s="120" t="str">
        <f aca="false">Scoring!AP116</f>
        <v/>
      </c>
      <c r="I110" s="120" t="str">
        <f aca="false">Scoring!AO116</f>
        <v/>
      </c>
    </row>
    <row r="111" customFormat="false" ht="15.75" hidden="false" customHeight="false" outlineLevel="0" collapsed="false">
      <c r="A111" s="120" t="str">
        <f aca="false">Scoring!AR117</f>
        <v/>
      </c>
      <c r="B111" s="120" t="str">
        <f aca="false">Scoring!AQ117</f>
        <v/>
      </c>
      <c r="C111" s="120" t="n">
        <f aca="false">Scoring!C117</f>
        <v>0</v>
      </c>
      <c r="D111" s="121" t="str">
        <f aca="false">Scoring!AN117</f>
        <v/>
      </c>
      <c r="E111" s="120" t="str">
        <f aca="false">Scoring!V117</f>
        <v/>
      </c>
      <c r="F111" s="120" t="n">
        <f aca="false">Scoring!B117</f>
        <v>0</v>
      </c>
      <c r="G111" s="120" t="n">
        <f aca="false">Scoring!D117</f>
        <v>0</v>
      </c>
      <c r="H111" s="120" t="str">
        <f aca="false">Scoring!AP117</f>
        <v/>
      </c>
      <c r="I111" s="120" t="str">
        <f aca="false">Scoring!AO117</f>
        <v/>
      </c>
    </row>
    <row r="112" customFormat="false" ht="15.75" hidden="false" customHeight="false" outlineLevel="0" collapsed="false">
      <c r="A112" s="120" t="str">
        <f aca="false">Scoring!AR118</f>
        <v/>
      </c>
      <c r="B112" s="120" t="str">
        <f aca="false">Scoring!AQ118</f>
        <v/>
      </c>
      <c r="C112" s="120" t="n">
        <f aca="false">Scoring!C118</f>
        <v>0</v>
      </c>
      <c r="D112" s="121" t="str">
        <f aca="false">Scoring!AN118</f>
        <v/>
      </c>
      <c r="E112" s="120" t="str">
        <f aca="false">Scoring!V118</f>
        <v/>
      </c>
      <c r="F112" s="120" t="n">
        <f aca="false">Scoring!B118</f>
        <v>0</v>
      </c>
      <c r="G112" s="120" t="n">
        <f aca="false">Scoring!D118</f>
        <v>0</v>
      </c>
      <c r="H112" s="120" t="str">
        <f aca="false">Scoring!AP118</f>
        <v/>
      </c>
      <c r="I112" s="120" t="str">
        <f aca="false">Scoring!AO118</f>
        <v/>
      </c>
    </row>
    <row r="113" customFormat="false" ht="15.75" hidden="false" customHeight="false" outlineLevel="0" collapsed="false">
      <c r="A113" s="120" t="str">
        <f aca="false">Scoring!AR119</f>
        <v/>
      </c>
      <c r="B113" s="120" t="str">
        <f aca="false">Scoring!AQ119</f>
        <v/>
      </c>
      <c r="C113" s="120" t="n">
        <f aca="false">Scoring!C119</f>
        <v>0</v>
      </c>
      <c r="D113" s="121" t="str">
        <f aca="false">Scoring!AN119</f>
        <v/>
      </c>
      <c r="E113" s="120" t="str">
        <f aca="false">Scoring!V119</f>
        <v/>
      </c>
      <c r="F113" s="120" t="n">
        <f aca="false">Scoring!B119</f>
        <v>0</v>
      </c>
      <c r="G113" s="120" t="n">
        <f aca="false">Scoring!D119</f>
        <v>0</v>
      </c>
      <c r="H113" s="120" t="str">
        <f aca="false">Scoring!AP119</f>
        <v/>
      </c>
      <c r="I113" s="120" t="str">
        <f aca="false">Scoring!AO119</f>
        <v/>
      </c>
    </row>
    <row r="114" customFormat="false" ht="15.75" hidden="false" customHeight="false" outlineLevel="0" collapsed="false">
      <c r="A114" s="120" t="str">
        <f aca="false">Scoring!AR120</f>
        <v/>
      </c>
      <c r="B114" s="120" t="str">
        <f aca="false">Scoring!AQ120</f>
        <v/>
      </c>
      <c r="C114" s="120" t="n">
        <f aca="false">Scoring!C120</f>
        <v>0</v>
      </c>
      <c r="D114" s="121" t="str">
        <f aca="false">Scoring!AN120</f>
        <v/>
      </c>
      <c r="E114" s="120" t="str">
        <f aca="false">Scoring!V120</f>
        <v/>
      </c>
      <c r="F114" s="120" t="n">
        <f aca="false">Scoring!B120</f>
        <v>0</v>
      </c>
      <c r="G114" s="120" t="n">
        <f aca="false">Scoring!D120</f>
        <v>0</v>
      </c>
      <c r="H114" s="120" t="str">
        <f aca="false">Scoring!AP120</f>
        <v/>
      </c>
      <c r="I114" s="120" t="str">
        <f aca="false">Scoring!AO120</f>
        <v/>
      </c>
    </row>
    <row r="115" customFormat="false" ht="15.75" hidden="false" customHeight="false" outlineLevel="0" collapsed="false">
      <c r="A115" s="120" t="str">
        <f aca="false">Scoring!AR121</f>
        <v/>
      </c>
      <c r="B115" s="120" t="str">
        <f aca="false">Scoring!AQ121</f>
        <v/>
      </c>
      <c r="C115" s="120" t="n">
        <f aca="false">Scoring!C121</f>
        <v>0</v>
      </c>
      <c r="D115" s="121" t="str">
        <f aca="false">Scoring!AN121</f>
        <v/>
      </c>
      <c r="E115" s="120" t="str">
        <f aca="false">Scoring!V121</f>
        <v/>
      </c>
      <c r="F115" s="120" t="n">
        <f aca="false">Scoring!B121</f>
        <v>0</v>
      </c>
      <c r="G115" s="120" t="n">
        <f aca="false">Scoring!D121</f>
        <v>0</v>
      </c>
      <c r="H115" s="120" t="str">
        <f aca="false">Scoring!AP121</f>
        <v/>
      </c>
      <c r="I115" s="120" t="str">
        <f aca="false">Scoring!AO121</f>
        <v/>
      </c>
    </row>
    <row r="116" customFormat="false" ht="15.75" hidden="false" customHeight="false" outlineLevel="0" collapsed="false">
      <c r="A116" s="120" t="str">
        <f aca="false">Scoring!AR122</f>
        <v/>
      </c>
      <c r="B116" s="120" t="str">
        <f aca="false">Scoring!AQ122</f>
        <v/>
      </c>
      <c r="C116" s="120" t="n">
        <f aca="false">Scoring!C122</f>
        <v>0</v>
      </c>
      <c r="D116" s="121" t="str">
        <f aca="false">Scoring!AN122</f>
        <v/>
      </c>
      <c r="E116" s="120" t="str">
        <f aca="false">Scoring!V122</f>
        <v/>
      </c>
      <c r="F116" s="120" t="n">
        <f aca="false">Scoring!B122</f>
        <v>0</v>
      </c>
      <c r="G116" s="120" t="n">
        <f aca="false">Scoring!D122</f>
        <v>0</v>
      </c>
      <c r="H116" s="120" t="str">
        <f aca="false">Scoring!AP122</f>
        <v/>
      </c>
      <c r="I116" s="120" t="str">
        <f aca="false">Scoring!AO122</f>
        <v/>
      </c>
    </row>
    <row r="117" customFormat="false" ht="15.75" hidden="false" customHeight="false" outlineLevel="0" collapsed="false">
      <c r="A117" s="120" t="str">
        <f aca="false">Scoring!AR123</f>
        <v/>
      </c>
      <c r="B117" s="120" t="str">
        <f aca="false">Scoring!AQ123</f>
        <v/>
      </c>
      <c r="C117" s="120" t="n">
        <f aca="false">Scoring!C123</f>
        <v>0</v>
      </c>
      <c r="D117" s="121" t="str">
        <f aca="false">Scoring!AN123</f>
        <v/>
      </c>
      <c r="E117" s="120" t="str">
        <f aca="false">Scoring!V123</f>
        <v/>
      </c>
      <c r="F117" s="120" t="n">
        <f aca="false">Scoring!B123</f>
        <v>0</v>
      </c>
      <c r="G117" s="120" t="n">
        <f aca="false">Scoring!D123</f>
        <v>0</v>
      </c>
      <c r="H117" s="120" t="str">
        <f aca="false">Scoring!AP123</f>
        <v/>
      </c>
      <c r="I117" s="120" t="str">
        <f aca="false">Scoring!AO123</f>
        <v/>
      </c>
    </row>
    <row r="118" customFormat="false" ht="15.75" hidden="false" customHeight="false" outlineLevel="0" collapsed="false">
      <c r="A118" s="120" t="str">
        <f aca="false">Scoring!AR124</f>
        <v/>
      </c>
      <c r="B118" s="120" t="str">
        <f aca="false">Scoring!AQ124</f>
        <v/>
      </c>
      <c r="C118" s="120" t="n">
        <f aca="false">Scoring!C124</f>
        <v>0</v>
      </c>
      <c r="D118" s="121" t="str">
        <f aca="false">Scoring!AN124</f>
        <v/>
      </c>
      <c r="E118" s="120" t="str">
        <f aca="false">Scoring!V124</f>
        <v/>
      </c>
      <c r="F118" s="120" t="n">
        <f aca="false">Scoring!B124</f>
        <v>0</v>
      </c>
      <c r="G118" s="120" t="n">
        <f aca="false">Scoring!D124</f>
        <v>0</v>
      </c>
      <c r="H118" s="120" t="str">
        <f aca="false">Scoring!AP124</f>
        <v/>
      </c>
      <c r="I118" s="120" t="str">
        <f aca="false">Scoring!AO124</f>
        <v/>
      </c>
    </row>
    <row r="119" customFormat="false" ht="15.75" hidden="false" customHeight="false" outlineLevel="0" collapsed="false">
      <c r="A119" s="120" t="str">
        <f aca="false">Scoring!AR125</f>
        <v/>
      </c>
      <c r="B119" s="120" t="str">
        <f aca="false">Scoring!AQ125</f>
        <v/>
      </c>
      <c r="C119" s="120" t="n">
        <f aca="false">Scoring!C125</f>
        <v>0</v>
      </c>
      <c r="D119" s="121" t="str">
        <f aca="false">Scoring!AN125</f>
        <v/>
      </c>
      <c r="E119" s="120" t="str">
        <f aca="false">Scoring!V125</f>
        <v/>
      </c>
      <c r="F119" s="120" t="n">
        <f aca="false">Scoring!B125</f>
        <v>0</v>
      </c>
      <c r="G119" s="120" t="n">
        <f aca="false">Scoring!D125</f>
        <v>0</v>
      </c>
      <c r="H119" s="120" t="str">
        <f aca="false">Scoring!AP125</f>
        <v/>
      </c>
      <c r="I119" s="120" t="str">
        <f aca="false">Scoring!AO125</f>
        <v/>
      </c>
    </row>
    <row r="120" customFormat="false" ht="15.75" hidden="false" customHeight="false" outlineLevel="0" collapsed="false">
      <c r="A120" s="120" t="str">
        <f aca="false">Scoring!AR126</f>
        <v/>
      </c>
      <c r="B120" s="120" t="str">
        <f aca="false">Scoring!AQ126</f>
        <v/>
      </c>
      <c r="C120" s="120" t="n">
        <f aca="false">Scoring!C126</f>
        <v>0</v>
      </c>
      <c r="D120" s="121" t="str">
        <f aca="false">Scoring!AN126</f>
        <v/>
      </c>
      <c r="E120" s="120" t="str">
        <f aca="false">Scoring!V126</f>
        <v/>
      </c>
      <c r="F120" s="120" t="n">
        <f aca="false">Scoring!B126</f>
        <v>0</v>
      </c>
      <c r="G120" s="120" t="n">
        <f aca="false">Scoring!D126</f>
        <v>0</v>
      </c>
      <c r="H120" s="120" t="str">
        <f aca="false">Scoring!AP126</f>
        <v/>
      </c>
      <c r="I120" s="120" t="str">
        <f aca="false">Scoring!AO126</f>
        <v/>
      </c>
    </row>
    <row r="121" customFormat="false" ht="15.75" hidden="false" customHeight="false" outlineLevel="0" collapsed="false">
      <c r="A121" s="120" t="str">
        <f aca="false">Scoring!AR127</f>
        <v/>
      </c>
      <c r="B121" s="120" t="str">
        <f aca="false">Scoring!AQ127</f>
        <v/>
      </c>
      <c r="C121" s="120" t="n">
        <f aca="false">Scoring!C127</f>
        <v>0</v>
      </c>
      <c r="D121" s="121" t="str">
        <f aca="false">Scoring!AN127</f>
        <v/>
      </c>
      <c r="E121" s="120" t="str">
        <f aca="false">Scoring!V127</f>
        <v/>
      </c>
      <c r="F121" s="120" t="n">
        <f aca="false">Scoring!B127</f>
        <v>0</v>
      </c>
      <c r="G121" s="120" t="n">
        <f aca="false">Scoring!D127</f>
        <v>0</v>
      </c>
      <c r="H121" s="120" t="str">
        <f aca="false">Scoring!AP127</f>
        <v/>
      </c>
      <c r="I121" s="120" t="str">
        <f aca="false">Scoring!AO127</f>
        <v/>
      </c>
    </row>
    <row r="122" customFormat="false" ht="15.75" hidden="false" customHeight="false" outlineLevel="0" collapsed="false">
      <c r="A122" s="120" t="str">
        <f aca="false">Scoring!AR128</f>
        <v/>
      </c>
      <c r="B122" s="120" t="str">
        <f aca="false">Scoring!AQ128</f>
        <v/>
      </c>
      <c r="C122" s="120" t="n">
        <f aca="false">Scoring!C128</f>
        <v>0</v>
      </c>
      <c r="D122" s="121" t="str">
        <f aca="false">Scoring!AN128</f>
        <v/>
      </c>
      <c r="E122" s="120" t="str">
        <f aca="false">Scoring!V128</f>
        <v/>
      </c>
      <c r="F122" s="120" t="n">
        <f aca="false">Scoring!B128</f>
        <v>0</v>
      </c>
      <c r="G122" s="120" t="n">
        <f aca="false">Scoring!D128</f>
        <v>0</v>
      </c>
      <c r="H122" s="120" t="str">
        <f aca="false">Scoring!AP128</f>
        <v/>
      </c>
      <c r="I122" s="120" t="str">
        <f aca="false">Scoring!AO128</f>
        <v/>
      </c>
    </row>
    <row r="123" customFormat="false" ht="15.75" hidden="false" customHeight="false" outlineLevel="0" collapsed="false">
      <c r="A123" s="120" t="str">
        <f aca="false">Scoring!AR129</f>
        <v/>
      </c>
      <c r="B123" s="120" t="str">
        <f aca="false">Scoring!AQ129</f>
        <v/>
      </c>
      <c r="C123" s="120" t="n">
        <f aca="false">Scoring!C129</f>
        <v>0</v>
      </c>
      <c r="D123" s="121" t="str">
        <f aca="false">Scoring!AN129</f>
        <v/>
      </c>
      <c r="E123" s="120" t="str">
        <f aca="false">Scoring!V129</f>
        <v/>
      </c>
      <c r="F123" s="120" t="n">
        <f aca="false">Scoring!B129</f>
        <v>0</v>
      </c>
      <c r="G123" s="120" t="n">
        <f aca="false">Scoring!D129</f>
        <v>0</v>
      </c>
      <c r="H123" s="120" t="str">
        <f aca="false">Scoring!AP129</f>
        <v/>
      </c>
      <c r="I123" s="120" t="str">
        <f aca="false">Scoring!AO129</f>
        <v/>
      </c>
    </row>
    <row r="124" customFormat="false" ht="15.75" hidden="false" customHeight="false" outlineLevel="0" collapsed="false">
      <c r="A124" s="120" t="str">
        <f aca="false">Scoring!AR130</f>
        <v/>
      </c>
      <c r="B124" s="120" t="str">
        <f aca="false">Scoring!AQ130</f>
        <v/>
      </c>
      <c r="C124" s="120" t="n">
        <f aca="false">Scoring!C130</f>
        <v>0</v>
      </c>
      <c r="D124" s="121" t="str">
        <f aca="false">Scoring!AN130</f>
        <v/>
      </c>
      <c r="E124" s="120" t="str">
        <f aca="false">Scoring!V130</f>
        <v/>
      </c>
      <c r="F124" s="120" t="n">
        <f aca="false">Scoring!B130</f>
        <v>0</v>
      </c>
      <c r="G124" s="120" t="n">
        <f aca="false">Scoring!D130</f>
        <v>0</v>
      </c>
      <c r="H124" s="120" t="str">
        <f aca="false">Scoring!AP130</f>
        <v/>
      </c>
      <c r="I124" s="120" t="str">
        <f aca="false">Scoring!AO130</f>
        <v/>
      </c>
    </row>
    <row r="125" customFormat="false" ht="15.75" hidden="false" customHeight="false" outlineLevel="0" collapsed="false">
      <c r="A125" s="120" t="str">
        <f aca="false">Scoring!AR131</f>
        <v/>
      </c>
      <c r="B125" s="120" t="str">
        <f aca="false">Scoring!AQ131</f>
        <v/>
      </c>
      <c r="C125" s="120" t="n">
        <f aca="false">Scoring!C131</f>
        <v>0</v>
      </c>
      <c r="D125" s="121" t="str">
        <f aca="false">Scoring!AN131</f>
        <v/>
      </c>
      <c r="E125" s="120" t="str">
        <f aca="false">Scoring!V131</f>
        <v/>
      </c>
      <c r="F125" s="120" t="n">
        <f aca="false">Scoring!B131</f>
        <v>0</v>
      </c>
      <c r="G125" s="120" t="n">
        <f aca="false">Scoring!D131</f>
        <v>0</v>
      </c>
      <c r="H125" s="120" t="str">
        <f aca="false">Scoring!AP131</f>
        <v/>
      </c>
      <c r="I125" s="120" t="str">
        <f aca="false">Scoring!AO131</f>
        <v/>
      </c>
    </row>
    <row r="126" customFormat="false" ht="15.75" hidden="false" customHeight="false" outlineLevel="0" collapsed="false">
      <c r="A126" s="120" t="str">
        <f aca="false">Scoring!AR132</f>
        <v/>
      </c>
      <c r="B126" s="120" t="str">
        <f aca="false">Scoring!AQ132</f>
        <v/>
      </c>
      <c r="C126" s="120" t="n">
        <f aca="false">Scoring!C132</f>
        <v>0</v>
      </c>
      <c r="D126" s="121" t="str">
        <f aca="false">Scoring!AN132</f>
        <v/>
      </c>
      <c r="E126" s="120" t="str">
        <f aca="false">Scoring!V132</f>
        <v/>
      </c>
      <c r="F126" s="120" t="n">
        <f aca="false">Scoring!B132</f>
        <v>0</v>
      </c>
      <c r="G126" s="120" t="n">
        <f aca="false">Scoring!D132</f>
        <v>0</v>
      </c>
      <c r="H126" s="120" t="str">
        <f aca="false">Scoring!AP132</f>
        <v/>
      </c>
      <c r="I126" s="120" t="str">
        <f aca="false">Scoring!AO132</f>
        <v/>
      </c>
    </row>
    <row r="127" customFormat="false" ht="15.75" hidden="false" customHeight="false" outlineLevel="0" collapsed="false">
      <c r="A127" s="120" t="str">
        <f aca="false">Scoring!AR133</f>
        <v/>
      </c>
      <c r="B127" s="120" t="str">
        <f aca="false">Scoring!AQ133</f>
        <v/>
      </c>
      <c r="C127" s="120" t="n">
        <f aca="false">Scoring!C133</f>
        <v>0</v>
      </c>
      <c r="D127" s="121" t="str">
        <f aca="false">Scoring!AN133</f>
        <v/>
      </c>
      <c r="E127" s="120" t="str">
        <f aca="false">Scoring!V133</f>
        <v/>
      </c>
      <c r="F127" s="120" t="n">
        <f aca="false">Scoring!B133</f>
        <v>0</v>
      </c>
      <c r="G127" s="120" t="n">
        <f aca="false">Scoring!D133</f>
        <v>0</v>
      </c>
      <c r="H127" s="120" t="str">
        <f aca="false">Scoring!AP133</f>
        <v/>
      </c>
      <c r="I127" s="120" t="str">
        <f aca="false">Scoring!AO133</f>
        <v/>
      </c>
    </row>
    <row r="128" customFormat="false" ht="15.75" hidden="false" customHeight="false" outlineLevel="0" collapsed="false">
      <c r="A128" s="120" t="str">
        <f aca="false">Scoring!AR134</f>
        <v/>
      </c>
      <c r="B128" s="120" t="str">
        <f aca="false">Scoring!AQ134</f>
        <v/>
      </c>
      <c r="C128" s="120" t="n">
        <f aca="false">Scoring!C134</f>
        <v>0</v>
      </c>
      <c r="D128" s="121" t="str">
        <f aca="false">Scoring!AN134</f>
        <v/>
      </c>
      <c r="E128" s="120" t="str">
        <f aca="false">Scoring!V134</f>
        <v/>
      </c>
      <c r="F128" s="120" t="n">
        <f aca="false">Scoring!B134</f>
        <v>0</v>
      </c>
      <c r="G128" s="120" t="n">
        <f aca="false">Scoring!D134</f>
        <v>0</v>
      </c>
      <c r="H128" s="120" t="str">
        <f aca="false">Scoring!AP134</f>
        <v/>
      </c>
      <c r="I128" s="120" t="str">
        <f aca="false">Scoring!AO134</f>
        <v/>
      </c>
    </row>
    <row r="129" customFormat="false" ht="15.75" hidden="false" customHeight="false" outlineLevel="0" collapsed="false">
      <c r="A129" s="120" t="str">
        <f aca="false">Scoring!AR135</f>
        <v/>
      </c>
      <c r="B129" s="120" t="str">
        <f aca="false">Scoring!AQ135</f>
        <v/>
      </c>
      <c r="C129" s="120" t="n">
        <f aca="false">Scoring!C135</f>
        <v>0</v>
      </c>
      <c r="D129" s="121" t="str">
        <f aca="false">Scoring!AN135</f>
        <v/>
      </c>
      <c r="E129" s="120" t="str">
        <f aca="false">Scoring!V135</f>
        <v/>
      </c>
      <c r="F129" s="120" t="n">
        <f aca="false">Scoring!B135</f>
        <v>0</v>
      </c>
      <c r="G129" s="120" t="n">
        <f aca="false">Scoring!D135</f>
        <v>0</v>
      </c>
      <c r="H129" s="120" t="str">
        <f aca="false">Scoring!AP135</f>
        <v/>
      </c>
      <c r="I129" s="120" t="str">
        <f aca="false">Scoring!AO135</f>
        <v/>
      </c>
    </row>
    <row r="130" customFormat="false" ht="15.75" hidden="false" customHeight="false" outlineLevel="0" collapsed="false">
      <c r="A130" s="120" t="str">
        <f aca="false">Scoring!AR136</f>
        <v/>
      </c>
      <c r="B130" s="120" t="str">
        <f aca="false">Scoring!AQ136</f>
        <v/>
      </c>
      <c r="C130" s="120" t="n">
        <f aca="false">Scoring!C136</f>
        <v>0</v>
      </c>
      <c r="D130" s="121" t="str">
        <f aca="false">Scoring!AN136</f>
        <v/>
      </c>
      <c r="E130" s="120" t="str">
        <f aca="false">Scoring!V136</f>
        <v/>
      </c>
      <c r="F130" s="120" t="n">
        <f aca="false">Scoring!B136</f>
        <v>0</v>
      </c>
      <c r="G130" s="120" t="n">
        <f aca="false">Scoring!D136</f>
        <v>0</v>
      </c>
      <c r="H130" s="120" t="str">
        <f aca="false">Scoring!AP136</f>
        <v/>
      </c>
      <c r="I130" s="120" t="str">
        <f aca="false">Scoring!AO136</f>
        <v/>
      </c>
    </row>
    <row r="131" customFormat="false" ht="15.75" hidden="false" customHeight="false" outlineLevel="0" collapsed="false">
      <c r="A131" s="120" t="str">
        <f aca="false">Scoring!AR137</f>
        <v/>
      </c>
      <c r="B131" s="120" t="str">
        <f aca="false">Scoring!AQ137</f>
        <v/>
      </c>
      <c r="C131" s="120" t="n">
        <f aca="false">Scoring!C137</f>
        <v>0</v>
      </c>
      <c r="D131" s="121" t="str">
        <f aca="false">Scoring!AN137</f>
        <v/>
      </c>
      <c r="E131" s="120" t="str">
        <f aca="false">Scoring!V137</f>
        <v/>
      </c>
      <c r="F131" s="120" t="n">
        <f aca="false">Scoring!B137</f>
        <v>0</v>
      </c>
      <c r="G131" s="120" t="n">
        <f aca="false">Scoring!D137</f>
        <v>0</v>
      </c>
      <c r="H131" s="120" t="str">
        <f aca="false">Scoring!AP137</f>
        <v/>
      </c>
      <c r="I131" s="120" t="str">
        <f aca="false">Scoring!AO137</f>
        <v/>
      </c>
    </row>
    <row r="132" customFormat="false" ht="15.75" hidden="false" customHeight="false" outlineLevel="0" collapsed="false">
      <c r="A132" s="120" t="str">
        <f aca="false">Scoring!AR138</f>
        <v/>
      </c>
      <c r="B132" s="120" t="str">
        <f aca="false">Scoring!AQ138</f>
        <v/>
      </c>
      <c r="C132" s="120" t="n">
        <f aca="false">Scoring!C138</f>
        <v>0</v>
      </c>
      <c r="D132" s="121" t="str">
        <f aca="false">Scoring!AN138</f>
        <v/>
      </c>
      <c r="E132" s="120" t="str">
        <f aca="false">Scoring!V138</f>
        <v/>
      </c>
      <c r="F132" s="120" t="n">
        <f aca="false">Scoring!B138</f>
        <v>0</v>
      </c>
      <c r="G132" s="120" t="n">
        <f aca="false">Scoring!D138</f>
        <v>0</v>
      </c>
      <c r="H132" s="120" t="str">
        <f aca="false">Scoring!AP138</f>
        <v/>
      </c>
      <c r="I132" s="120" t="str">
        <f aca="false">Scoring!AO138</f>
        <v/>
      </c>
    </row>
    <row r="133" customFormat="false" ht="15.75" hidden="false" customHeight="false" outlineLevel="0" collapsed="false">
      <c r="A133" s="120" t="str">
        <f aca="false">Scoring!AR139</f>
        <v/>
      </c>
      <c r="B133" s="120" t="str">
        <f aca="false">Scoring!AQ139</f>
        <v/>
      </c>
      <c r="C133" s="120" t="n">
        <f aca="false">Scoring!C139</f>
        <v>0</v>
      </c>
      <c r="D133" s="121" t="str">
        <f aca="false">Scoring!AN139</f>
        <v/>
      </c>
      <c r="E133" s="120" t="str">
        <f aca="false">Scoring!V139</f>
        <v/>
      </c>
      <c r="F133" s="120" t="n">
        <f aca="false">Scoring!B139</f>
        <v>0</v>
      </c>
      <c r="G133" s="120" t="n">
        <f aca="false">Scoring!D139</f>
        <v>0</v>
      </c>
      <c r="H133" s="120" t="str">
        <f aca="false">Scoring!AP139</f>
        <v/>
      </c>
      <c r="I133" s="120" t="str">
        <f aca="false">Scoring!AO139</f>
        <v/>
      </c>
    </row>
    <row r="134" customFormat="false" ht="15.75" hidden="false" customHeight="false" outlineLevel="0" collapsed="false">
      <c r="A134" s="120" t="str">
        <f aca="false">Scoring!AR140</f>
        <v/>
      </c>
      <c r="B134" s="120" t="str">
        <f aca="false">Scoring!AQ140</f>
        <v/>
      </c>
      <c r="C134" s="120" t="n">
        <f aca="false">Scoring!C140</f>
        <v>0</v>
      </c>
      <c r="D134" s="121" t="str">
        <f aca="false">Scoring!AN140</f>
        <v/>
      </c>
      <c r="E134" s="120" t="str">
        <f aca="false">Scoring!V140</f>
        <v/>
      </c>
      <c r="F134" s="120" t="n">
        <f aca="false">Scoring!B140</f>
        <v>0</v>
      </c>
      <c r="G134" s="120" t="n">
        <f aca="false">Scoring!D140</f>
        <v>0</v>
      </c>
      <c r="H134" s="120" t="str">
        <f aca="false">Scoring!AP140</f>
        <v/>
      </c>
      <c r="I134" s="120" t="str">
        <f aca="false">Scoring!AO140</f>
        <v/>
      </c>
    </row>
    <row r="135" customFormat="false" ht="15.75" hidden="false" customHeight="false" outlineLevel="0" collapsed="false">
      <c r="A135" s="120" t="str">
        <f aca="false">Scoring!AR141</f>
        <v/>
      </c>
      <c r="B135" s="120" t="str">
        <f aca="false">Scoring!AQ141</f>
        <v/>
      </c>
      <c r="C135" s="120" t="n">
        <f aca="false">Scoring!C141</f>
        <v>0</v>
      </c>
      <c r="D135" s="121" t="str">
        <f aca="false">Scoring!AN141</f>
        <v/>
      </c>
      <c r="E135" s="120" t="str">
        <f aca="false">Scoring!V141</f>
        <v/>
      </c>
      <c r="F135" s="120" t="n">
        <f aca="false">Scoring!B141</f>
        <v>0</v>
      </c>
      <c r="G135" s="120" t="n">
        <f aca="false">Scoring!D141</f>
        <v>0</v>
      </c>
      <c r="H135" s="120" t="str">
        <f aca="false">Scoring!AP141</f>
        <v/>
      </c>
      <c r="I135" s="120" t="str">
        <f aca="false">Scoring!AO141</f>
        <v/>
      </c>
    </row>
    <row r="136" customFormat="false" ht="15.75" hidden="false" customHeight="false" outlineLevel="0" collapsed="false">
      <c r="A136" s="120" t="str">
        <f aca="false">Scoring!AR142</f>
        <v/>
      </c>
      <c r="B136" s="120" t="str">
        <f aca="false">Scoring!AQ142</f>
        <v/>
      </c>
      <c r="C136" s="120" t="n">
        <f aca="false">Scoring!C142</f>
        <v>0</v>
      </c>
      <c r="D136" s="121" t="str">
        <f aca="false">Scoring!AN142</f>
        <v/>
      </c>
      <c r="E136" s="120" t="str">
        <f aca="false">Scoring!V142</f>
        <v/>
      </c>
      <c r="F136" s="120" t="n">
        <f aca="false">Scoring!B142</f>
        <v>0</v>
      </c>
      <c r="G136" s="120" t="n">
        <f aca="false">Scoring!D142</f>
        <v>0</v>
      </c>
      <c r="H136" s="120" t="str">
        <f aca="false">Scoring!AP142</f>
        <v/>
      </c>
      <c r="I136" s="120" t="str">
        <f aca="false">Scoring!AO142</f>
        <v/>
      </c>
    </row>
    <row r="137" customFormat="false" ht="15.75" hidden="false" customHeight="false" outlineLevel="0" collapsed="false">
      <c r="A137" s="120" t="str">
        <f aca="false">Scoring!AR143</f>
        <v/>
      </c>
      <c r="B137" s="120" t="str">
        <f aca="false">Scoring!AQ143</f>
        <v/>
      </c>
      <c r="C137" s="120" t="n">
        <f aca="false">Scoring!C143</f>
        <v>0</v>
      </c>
      <c r="D137" s="121" t="str">
        <f aca="false">Scoring!AN143</f>
        <v/>
      </c>
      <c r="E137" s="120" t="str">
        <f aca="false">Scoring!V143</f>
        <v/>
      </c>
      <c r="F137" s="120" t="n">
        <f aca="false">Scoring!B143</f>
        <v>0</v>
      </c>
      <c r="G137" s="120" t="n">
        <f aca="false">Scoring!D143</f>
        <v>0</v>
      </c>
      <c r="H137" s="120" t="str">
        <f aca="false">Scoring!AP143</f>
        <v/>
      </c>
      <c r="I137" s="120" t="str">
        <f aca="false">Scoring!AO143</f>
        <v/>
      </c>
    </row>
    <row r="138" customFormat="false" ht="15.75" hidden="false" customHeight="false" outlineLevel="0" collapsed="false">
      <c r="A138" s="120" t="str">
        <f aca="false">Scoring!AR144</f>
        <v/>
      </c>
      <c r="B138" s="120" t="str">
        <f aca="false">Scoring!AQ144</f>
        <v/>
      </c>
      <c r="C138" s="120" t="n">
        <f aca="false">Scoring!C144</f>
        <v>0</v>
      </c>
      <c r="D138" s="121" t="str">
        <f aca="false">Scoring!AN144</f>
        <v/>
      </c>
      <c r="E138" s="120" t="str">
        <f aca="false">Scoring!V144</f>
        <v/>
      </c>
      <c r="F138" s="120" t="n">
        <f aca="false">Scoring!B144</f>
        <v>0</v>
      </c>
      <c r="G138" s="120" t="n">
        <f aca="false">Scoring!D144</f>
        <v>0</v>
      </c>
      <c r="H138" s="120" t="str">
        <f aca="false">Scoring!AP144</f>
        <v/>
      </c>
      <c r="I138" s="120" t="str">
        <f aca="false">Scoring!AO144</f>
        <v/>
      </c>
    </row>
    <row r="139" customFormat="false" ht="15.75" hidden="false" customHeight="false" outlineLevel="0" collapsed="false">
      <c r="A139" s="120" t="str">
        <f aca="false">Scoring!AR145</f>
        <v/>
      </c>
      <c r="B139" s="120" t="str">
        <f aca="false">Scoring!AQ145</f>
        <v/>
      </c>
      <c r="C139" s="120" t="n">
        <f aca="false">Scoring!C145</f>
        <v>0</v>
      </c>
      <c r="D139" s="121" t="str">
        <f aca="false">Scoring!AN145</f>
        <v/>
      </c>
      <c r="E139" s="120" t="str">
        <f aca="false">Scoring!V145</f>
        <v/>
      </c>
      <c r="F139" s="120" t="n">
        <f aca="false">Scoring!B145</f>
        <v>0</v>
      </c>
      <c r="G139" s="120" t="n">
        <f aca="false">Scoring!D145</f>
        <v>0</v>
      </c>
      <c r="H139" s="120" t="str">
        <f aca="false">Scoring!AP145</f>
        <v/>
      </c>
      <c r="I139" s="120" t="str">
        <f aca="false">Scoring!AO145</f>
        <v/>
      </c>
    </row>
    <row r="140" customFormat="false" ht="15.75" hidden="false" customHeight="false" outlineLevel="0" collapsed="false">
      <c r="A140" s="120" t="str">
        <f aca="false">Scoring!AR146</f>
        <v/>
      </c>
      <c r="B140" s="120" t="str">
        <f aca="false">Scoring!AQ146</f>
        <v/>
      </c>
      <c r="C140" s="120" t="n">
        <f aca="false">Scoring!C146</f>
        <v>0</v>
      </c>
      <c r="D140" s="121" t="str">
        <f aca="false">Scoring!AN146</f>
        <v/>
      </c>
      <c r="E140" s="120" t="str">
        <f aca="false">Scoring!V146</f>
        <v/>
      </c>
      <c r="F140" s="120" t="n">
        <f aca="false">Scoring!B146</f>
        <v>0</v>
      </c>
      <c r="G140" s="120" t="n">
        <f aca="false">Scoring!D146</f>
        <v>0</v>
      </c>
      <c r="H140" s="120" t="str">
        <f aca="false">Scoring!AP146</f>
        <v/>
      </c>
      <c r="I140" s="120" t="str">
        <f aca="false">Scoring!AO146</f>
        <v/>
      </c>
    </row>
    <row r="141" customFormat="false" ht="15.75" hidden="false" customHeight="false" outlineLevel="0" collapsed="false">
      <c r="A141" s="120" t="str">
        <f aca="false">Scoring!AR147</f>
        <v/>
      </c>
      <c r="B141" s="120" t="str">
        <f aca="false">Scoring!AQ147</f>
        <v/>
      </c>
      <c r="C141" s="120" t="n">
        <f aca="false">Scoring!C147</f>
        <v>0</v>
      </c>
      <c r="D141" s="121" t="str">
        <f aca="false">Scoring!AN147</f>
        <v/>
      </c>
      <c r="E141" s="120" t="str">
        <f aca="false">Scoring!V147</f>
        <v/>
      </c>
      <c r="F141" s="120" t="n">
        <f aca="false">Scoring!B147</f>
        <v>0</v>
      </c>
      <c r="G141" s="120" t="n">
        <f aca="false">Scoring!D147</f>
        <v>0</v>
      </c>
      <c r="H141" s="120" t="str">
        <f aca="false">Scoring!AP147</f>
        <v/>
      </c>
      <c r="I141" s="120" t="str">
        <f aca="false">Scoring!AO147</f>
        <v/>
      </c>
    </row>
    <row r="142" customFormat="false" ht="15.75" hidden="false" customHeight="false" outlineLevel="0" collapsed="false">
      <c r="A142" s="120" t="str">
        <f aca="false">Scoring!AR148</f>
        <v/>
      </c>
      <c r="B142" s="120" t="str">
        <f aca="false">Scoring!AQ148</f>
        <v/>
      </c>
      <c r="C142" s="120" t="n">
        <f aca="false">Scoring!C148</f>
        <v>0</v>
      </c>
      <c r="D142" s="121" t="str">
        <f aca="false">Scoring!AN148</f>
        <v/>
      </c>
      <c r="E142" s="120" t="str">
        <f aca="false">Scoring!V148</f>
        <v/>
      </c>
      <c r="F142" s="120" t="n">
        <f aca="false">Scoring!B148</f>
        <v>0</v>
      </c>
      <c r="G142" s="120" t="n">
        <f aca="false">Scoring!D148</f>
        <v>0</v>
      </c>
      <c r="H142" s="120" t="str">
        <f aca="false">Scoring!AP148</f>
        <v/>
      </c>
      <c r="I142" s="120" t="str">
        <f aca="false">Scoring!AO148</f>
        <v/>
      </c>
    </row>
    <row r="143" customFormat="false" ht="15.75" hidden="false" customHeight="false" outlineLevel="0" collapsed="false">
      <c r="A143" s="120" t="str">
        <f aca="false">Scoring!AR149</f>
        <v/>
      </c>
      <c r="B143" s="120" t="str">
        <f aca="false">Scoring!AQ149</f>
        <v/>
      </c>
      <c r="C143" s="120" t="n">
        <f aca="false">Scoring!C149</f>
        <v>0</v>
      </c>
      <c r="D143" s="121" t="str">
        <f aca="false">Scoring!AN149</f>
        <v/>
      </c>
      <c r="E143" s="120" t="str">
        <f aca="false">Scoring!V149</f>
        <v/>
      </c>
      <c r="F143" s="120" t="n">
        <f aca="false">Scoring!B149</f>
        <v>0</v>
      </c>
      <c r="G143" s="120" t="n">
        <f aca="false">Scoring!D149</f>
        <v>0</v>
      </c>
      <c r="H143" s="120" t="str">
        <f aca="false">Scoring!AP149</f>
        <v/>
      </c>
      <c r="I143" s="120" t="str">
        <f aca="false">Scoring!AO149</f>
        <v/>
      </c>
    </row>
    <row r="144" customFormat="false" ht="15.75" hidden="false" customHeight="false" outlineLevel="0" collapsed="false">
      <c r="A144" s="120" t="str">
        <f aca="false">Scoring!AR150</f>
        <v/>
      </c>
      <c r="B144" s="120" t="str">
        <f aca="false">Scoring!AQ150</f>
        <v/>
      </c>
      <c r="C144" s="120" t="n">
        <f aca="false">Scoring!C150</f>
        <v>0</v>
      </c>
      <c r="D144" s="121" t="str">
        <f aca="false">Scoring!AN150</f>
        <v/>
      </c>
      <c r="E144" s="120" t="str">
        <f aca="false">Scoring!V150</f>
        <v/>
      </c>
      <c r="F144" s="120" t="n">
        <f aca="false">Scoring!B150</f>
        <v>0</v>
      </c>
      <c r="G144" s="120" t="n">
        <f aca="false">Scoring!D150</f>
        <v>0</v>
      </c>
      <c r="H144" s="120" t="str">
        <f aca="false">Scoring!AP150</f>
        <v/>
      </c>
      <c r="I144" s="120" t="str">
        <f aca="false">Scoring!AO150</f>
        <v/>
      </c>
    </row>
    <row r="145" customFormat="false" ht="15.75" hidden="false" customHeight="false" outlineLevel="0" collapsed="false">
      <c r="A145" s="120" t="str">
        <f aca="false">Scoring!AR151</f>
        <v/>
      </c>
      <c r="B145" s="120" t="str">
        <f aca="false">Scoring!AQ151</f>
        <v/>
      </c>
      <c r="C145" s="120" t="n">
        <f aca="false">Scoring!C151</f>
        <v>0</v>
      </c>
      <c r="D145" s="121" t="str">
        <f aca="false">Scoring!AN151</f>
        <v/>
      </c>
      <c r="E145" s="120" t="str">
        <f aca="false">Scoring!V151</f>
        <v/>
      </c>
      <c r="F145" s="120" t="n">
        <f aca="false">Scoring!B151</f>
        <v>0</v>
      </c>
      <c r="G145" s="120" t="n">
        <f aca="false">Scoring!D151</f>
        <v>0</v>
      </c>
      <c r="H145" s="120" t="str">
        <f aca="false">Scoring!AP151</f>
        <v/>
      </c>
      <c r="I145" s="120" t="str">
        <f aca="false">Scoring!AO151</f>
        <v/>
      </c>
    </row>
    <row r="146" customFormat="false" ht="15.75" hidden="false" customHeight="false" outlineLevel="0" collapsed="false">
      <c r="A146" s="120" t="str">
        <f aca="false">Scoring!AR152</f>
        <v/>
      </c>
      <c r="B146" s="120" t="str">
        <f aca="false">Scoring!AQ152</f>
        <v/>
      </c>
      <c r="C146" s="120" t="n">
        <f aca="false">Scoring!C152</f>
        <v>0</v>
      </c>
      <c r="D146" s="121" t="str">
        <f aca="false">Scoring!AN152</f>
        <v/>
      </c>
      <c r="E146" s="120" t="str">
        <f aca="false">Scoring!V152</f>
        <v/>
      </c>
      <c r="F146" s="120" t="n">
        <f aca="false">Scoring!B152</f>
        <v>0</v>
      </c>
      <c r="G146" s="120" t="n">
        <f aca="false">Scoring!D152</f>
        <v>0</v>
      </c>
      <c r="H146" s="120" t="str">
        <f aca="false">Scoring!AP152</f>
        <v/>
      </c>
      <c r="I146" s="120" t="str">
        <f aca="false">Scoring!AO152</f>
        <v/>
      </c>
    </row>
    <row r="147" customFormat="false" ht="15.75" hidden="false" customHeight="false" outlineLevel="0" collapsed="false">
      <c r="A147" s="120" t="str">
        <f aca="false">Scoring!AR153</f>
        <v/>
      </c>
      <c r="B147" s="120" t="str">
        <f aca="false">Scoring!AQ153</f>
        <v/>
      </c>
      <c r="C147" s="120" t="n">
        <f aca="false">Scoring!C153</f>
        <v>0</v>
      </c>
      <c r="D147" s="121" t="str">
        <f aca="false">Scoring!AN153</f>
        <v/>
      </c>
      <c r="E147" s="120" t="str">
        <f aca="false">Scoring!V153</f>
        <v/>
      </c>
      <c r="F147" s="120" t="n">
        <f aca="false">Scoring!B153</f>
        <v>0</v>
      </c>
      <c r="G147" s="120" t="n">
        <f aca="false">Scoring!D153</f>
        <v>0</v>
      </c>
      <c r="H147" s="120" t="str">
        <f aca="false">Scoring!AP153</f>
        <v/>
      </c>
      <c r="I147" s="120" t="str">
        <f aca="false">Scoring!AO153</f>
        <v/>
      </c>
    </row>
    <row r="148" customFormat="false" ht="15.75" hidden="false" customHeight="false" outlineLevel="0" collapsed="false">
      <c r="A148" s="120" t="str">
        <f aca="false">Scoring!AR154</f>
        <v/>
      </c>
      <c r="B148" s="120" t="str">
        <f aca="false">Scoring!AQ154</f>
        <v/>
      </c>
      <c r="C148" s="120" t="n">
        <f aca="false">Scoring!C154</f>
        <v>0</v>
      </c>
      <c r="D148" s="121" t="str">
        <f aca="false">Scoring!AN154</f>
        <v/>
      </c>
      <c r="E148" s="120" t="str">
        <f aca="false">Scoring!V154</f>
        <v/>
      </c>
      <c r="F148" s="120" t="n">
        <f aca="false">Scoring!B154</f>
        <v>0</v>
      </c>
      <c r="G148" s="120" t="n">
        <f aca="false">Scoring!D154</f>
        <v>0</v>
      </c>
      <c r="H148" s="120" t="str">
        <f aca="false">Scoring!AP154</f>
        <v/>
      </c>
      <c r="I148" s="120" t="str">
        <f aca="false">Scoring!AO154</f>
        <v/>
      </c>
    </row>
    <row r="149" customFormat="false" ht="15.75" hidden="false" customHeight="false" outlineLevel="0" collapsed="false">
      <c r="A149" s="120" t="str">
        <f aca="false">Scoring!AR155</f>
        <v/>
      </c>
      <c r="B149" s="120" t="str">
        <f aca="false">Scoring!AQ155</f>
        <v/>
      </c>
      <c r="C149" s="120" t="n">
        <f aca="false">Scoring!C155</f>
        <v>0</v>
      </c>
      <c r="D149" s="121" t="str">
        <f aca="false">Scoring!AN155</f>
        <v/>
      </c>
      <c r="E149" s="120" t="str">
        <f aca="false">Scoring!V155</f>
        <v/>
      </c>
      <c r="F149" s="120" t="n">
        <f aca="false">Scoring!B155</f>
        <v>0</v>
      </c>
      <c r="G149" s="120" t="n">
        <f aca="false">Scoring!D155</f>
        <v>0</v>
      </c>
      <c r="H149" s="120" t="str">
        <f aca="false">Scoring!AP155</f>
        <v/>
      </c>
      <c r="I149" s="120" t="str">
        <f aca="false">Scoring!AO155</f>
        <v/>
      </c>
    </row>
    <row r="150" customFormat="false" ht="15.75" hidden="false" customHeight="false" outlineLevel="0" collapsed="false">
      <c r="A150" s="120" t="str">
        <f aca="false">Scoring!AR156</f>
        <v/>
      </c>
      <c r="B150" s="120" t="str">
        <f aca="false">Scoring!AQ156</f>
        <v/>
      </c>
      <c r="C150" s="120" t="n">
        <f aca="false">Scoring!C156</f>
        <v>0</v>
      </c>
      <c r="D150" s="121" t="str">
        <f aca="false">Scoring!AN156</f>
        <v/>
      </c>
      <c r="E150" s="120" t="str">
        <f aca="false">Scoring!V156</f>
        <v/>
      </c>
      <c r="F150" s="120" t="n">
        <f aca="false">Scoring!B156</f>
        <v>0</v>
      </c>
      <c r="G150" s="120" t="n">
        <f aca="false">Scoring!D156</f>
        <v>0</v>
      </c>
      <c r="H150" s="120" t="str">
        <f aca="false">Scoring!AP156</f>
        <v/>
      </c>
      <c r="I150" s="120" t="str">
        <f aca="false">Scoring!AO156</f>
        <v/>
      </c>
    </row>
    <row r="151" customFormat="false" ht="15.75" hidden="false" customHeight="false" outlineLevel="0" collapsed="false">
      <c r="A151" s="120" t="str">
        <f aca="false">Scoring!AR157</f>
        <v/>
      </c>
      <c r="B151" s="120" t="str">
        <f aca="false">Scoring!AQ157</f>
        <v/>
      </c>
      <c r="C151" s="120" t="n">
        <f aca="false">Scoring!C157</f>
        <v>0</v>
      </c>
      <c r="D151" s="121" t="str">
        <f aca="false">Scoring!AN157</f>
        <v/>
      </c>
      <c r="E151" s="120" t="str">
        <f aca="false">Scoring!V157</f>
        <v/>
      </c>
      <c r="F151" s="120" t="n">
        <f aca="false">Scoring!B157</f>
        <v>0</v>
      </c>
      <c r="G151" s="120" t="n">
        <f aca="false">Scoring!D157</f>
        <v>0</v>
      </c>
      <c r="H151" s="120" t="str">
        <f aca="false">Scoring!AP157</f>
        <v/>
      </c>
      <c r="I151" s="120" t="str">
        <f aca="false">Scoring!AO157</f>
        <v/>
      </c>
    </row>
    <row r="152" customFormat="false" ht="15.75" hidden="false" customHeight="false" outlineLevel="0" collapsed="false">
      <c r="A152" s="120" t="str">
        <f aca="false">Scoring!AR158</f>
        <v/>
      </c>
      <c r="B152" s="120" t="str">
        <f aca="false">Scoring!AQ158</f>
        <v/>
      </c>
      <c r="C152" s="120" t="n">
        <f aca="false">Scoring!C158</f>
        <v>0</v>
      </c>
      <c r="D152" s="121" t="str">
        <f aca="false">Scoring!AN158</f>
        <v/>
      </c>
      <c r="E152" s="120" t="str">
        <f aca="false">Scoring!V158</f>
        <v/>
      </c>
      <c r="F152" s="120" t="n">
        <f aca="false">Scoring!B158</f>
        <v>0</v>
      </c>
      <c r="G152" s="120" t="n">
        <f aca="false">Scoring!D158</f>
        <v>0</v>
      </c>
      <c r="H152" s="120" t="str">
        <f aca="false">Scoring!AP158</f>
        <v/>
      </c>
      <c r="I152" s="120" t="str">
        <f aca="false">Scoring!AO158</f>
        <v/>
      </c>
    </row>
    <row r="153" customFormat="false" ht="15.75" hidden="false" customHeight="false" outlineLevel="0" collapsed="false">
      <c r="A153" s="120" t="str">
        <f aca="false">Scoring!AR159</f>
        <v/>
      </c>
      <c r="B153" s="120" t="str">
        <f aca="false">Scoring!AQ159</f>
        <v/>
      </c>
      <c r="C153" s="120" t="n">
        <f aca="false">Scoring!C159</f>
        <v>0</v>
      </c>
      <c r="D153" s="121" t="str">
        <f aca="false">Scoring!AN159</f>
        <v/>
      </c>
      <c r="E153" s="120" t="str">
        <f aca="false">Scoring!V159</f>
        <v/>
      </c>
      <c r="F153" s="120" t="n">
        <f aca="false">Scoring!B159</f>
        <v>0</v>
      </c>
      <c r="G153" s="120" t="n">
        <f aca="false">Scoring!D159</f>
        <v>0</v>
      </c>
      <c r="H153" s="120" t="str">
        <f aca="false">Scoring!AP159</f>
        <v/>
      </c>
      <c r="I153" s="120" t="str">
        <f aca="false">Scoring!AO159</f>
        <v/>
      </c>
    </row>
    <row r="154" customFormat="false" ht="15.75" hidden="false" customHeight="false" outlineLevel="0" collapsed="false">
      <c r="A154" s="120" t="str">
        <f aca="false">Scoring!AR160</f>
        <v/>
      </c>
      <c r="B154" s="120" t="str">
        <f aca="false">Scoring!AQ160</f>
        <v/>
      </c>
      <c r="C154" s="120" t="n">
        <f aca="false">Scoring!C160</f>
        <v>0</v>
      </c>
      <c r="D154" s="121" t="str">
        <f aca="false">Scoring!AN160</f>
        <v/>
      </c>
      <c r="E154" s="120" t="str">
        <f aca="false">Scoring!V160</f>
        <v/>
      </c>
      <c r="F154" s="120" t="n">
        <f aca="false">Scoring!B160</f>
        <v>0</v>
      </c>
      <c r="G154" s="120" t="n">
        <f aca="false">Scoring!D160</f>
        <v>0</v>
      </c>
      <c r="H154" s="120" t="str">
        <f aca="false">Scoring!AP160</f>
        <v/>
      </c>
      <c r="I154" s="120" t="str">
        <f aca="false">Scoring!AO160</f>
        <v/>
      </c>
    </row>
    <row r="155" customFormat="false" ht="15.75" hidden="false" customHeight="false" outlineLevel="0" collapsed="false">
      <c r="A155" s="120" t="str">
        <f aca="false">Scoring!AR161</f>
        <v/>
      </c>
      <c r="B155" s="120" t="str">
        <f aca="false">Scoring!AQ161</f>
        <v/>
      </c>
      <c r="C155" s="120" t="n">
        <f aca="false">Scoring!C161</f>
        <v>0</v>
      </c>
      <c r="D155" s="121" t="str">
        <f aca="false">Scoring!AN161</f>
        <v/>
      </c>
      <c r="E155" s="120" t="str">
        <f aca="false">Scoring!V161</f>
        <v/>
      </c>
      <c r="F155" s="120" t="n">
        <f aca="false">Scoring!B161</f>
        <v>0</v>
      </c>
      <c r="G155" s="120" t="n">
        <f aca="false">Scoring!D161</f>
        <v>0</v>
      </c>
      <c r="H155" s="120" t="str">
        <f aca="false">Scoring!AP161</f>
        <v/>
      </c>
      <c r="I155" s="120" t="str">
        <f aca="false">Scoring!AO161</f>
        <v/>
      </c>
    </row>
    <row r="156" customFormat="false" ht="15.75" hidden="false" customHeight="false" outlineLevel="0" collapsed="false">
      <c r="A156" s="120" t="str">
        <f aca="false">Scoring!AR162</f>
        <v/>
      </c>
      <c r="B156" s="120" t="str">
        <f aca="false">Scoring!AQ162</f>
        <v/>
      </c>
      <c r="C156" s="120" t="n">
        <f aca="false">Scoring!C162</f>
        <v>0</v>
      </c>
      <c r="D156" s="121" t="str">
        <f aca="false">Scoring!AN162</f>
        <v/>
      </c>
      <c r="E156" s="120" t="str">
        <f aca="false">Scoring!V162</f>
        <v/>
      </c>
      <c r="F156" s="120" t="n">
        <f aca="false">Scoring!B162</f>
        <v>0</v>
      </c>
      <c r="G156" s="120" t="n">
        <f aca="false">Scoring!D162</f>
        <v>0</v>
      </c>
      <c r="H156" s="120" t="str">
        <f aca="false">Scoring!AP162</f>
        <v/>
      </c>
      <c r="I156" s="120" t="str">
        <f aca="false">Scoring!AO162</f>
        <v/>
      </c>
    </row>
    <row r="157" customFormat="false" ht="15.75" hidden="false" customHeight="false" outlineLevel="0" collapsed="false">
      <c r="A157" s="120" t="str">
        <f aca="false">Scoring!AR163</f>
        <v/>
      </c>
      <c r="B157" s="120" t="str">
        <f aca="false">Scoring!AQ163</f>
        <v/>
      </c>
      <c r="C157" s="120" t="n">
        <f aca="false">Scoring!C163</f>
        <v>0</v>
      </c>
      <c r="D157" s="121" t="str">
        <f aca="false">Scoring!AN163</f>
        <v/>
      </c>
      <c r="E157" s="120" t="str">
        <f aca="false">Scoring!V163</f>
        <v/>
      </c>
      <c r="F157" s="120" t="n">
        <f aca="false">Scoring!B163</f>
        <v>0</v>
      </c>
      <c r="G157" s="120" t="n">
        <f aca="false">Scoring!D163</f>
        <v>0</v>
      </c>
      <c r="H157" s="120" t="str">
        <f aca="false">Scoring!AP163</f>
        <v/>
      </c>
      <c r="I157" s="120" t="str">
        <f aca="false">Scoring!AO163</f>
        <v/>
      </c>
    </row>
    <row r="158" customFormat="false" ht="15.75" hidden="false" customHeight="false" outlineLevel="0" collapsed="false">
      <c r="A158" s="120" t="str">
        <f aca="false">Scoring!AR164</f>
        <v/>
      </c>
      <c r="B158" s="120" t="str">
        <f aca="false">Scoring!AQ164</f>
        <v/>
      </c>
      <c r="C158" s="120" t="n">
        <f aca="false">Scoring!C164</f>
        <v>0</v>
      </c>
      <c r="D158" s="121" t="str">
        <f aca="false">Scoring!AN164</f>
        <v/>
      </c>
      <c r="E158" s="120" t="str">
        <f aca="false">Scoring!V164</f>
        <v/>
      </c>
      <c r="F158" s="120" t="n">
        <f aca="false">Scoring!B164</f>
        <v>0</v>
      </c>
      <c r="G158" s="120" t="n">
        <f aca="false">Scoring!D164</f>
        <v>0</v>
      </c>
      <c r="H158" s="120" t="str">
        <f aca="false">Scoring!AP164</f>
        <v/>
      </c>
      <c r="I158" s="120" t="str">
        <f aca="false">Scoring!AO164</f>
        <v/>
      </c>
    </row>
    <row r="159" customFormat="false" ht="15.75" hidden="false" customHeight="false" outlineLevel="0" collapsed="false">
      <c r="A159" s="120" t="str">
        <f aca="false">Scoring!AR165</f>
        <v/>
      </c>
      <c r="B159" s="120" t="str">
        <f aca="false">Scoring!AQ165</f>
        <v/>
      </c>
      <c r="C159" s="120" t="n">
        <f aca="false">Scoring!C165</f>
        <v>0</v>
      </c>
      <c r="D159" s="121" t="str">
        <f aca="false">Scoring!AN165</f>
        <v/>
      </c>
      <c r="E159" s="120" t="str">
        <f aca="false">Scoring!V165</f>
        <v/>
      </c>
      <c r="F159" s="120" t="n">
        <f aca="false">Scoring!B165</f>
        <v>0</v>
      </c>
      <c r="G159" s="120" t="n">
        <f aca="false">Scoring!D165</f>
        <v>0</v>
      </c>
      <c r="H159" s="120" t="str">
        <f aca="false">Scoring!AP165</f>
        <v/>
      </c>
      <c r="I159" s="120" t="str">
        <f aca="false">Scoring!AO165</f>
        <v/>
      </c>
    </row>
    <row r="160" customFormat="false" ht="15.75" hidden="false" customHeight="false" outlineLevel="0" collapsed="false">
      <c r="A160" s="120" t="str">
        <f aca="false">Scoring!AR166</f>
        <v/>
      </c>
      <c r="B160" s="120" t="str">
        <f aca="false">Scoring!AQ166</f>
        <v/>
      </c>
      <c r="C160" s="120" t="n">
        <f aca="false">Scoring!C166</f>
        <v>0</v>
      </c>
      <c r="D160" s="121" t="str">
        <f aca="false">Scoring!AN166</f>
        <v/>
      </c>
      <c r="E160" s="120" t="str">
        <f aca="false">Scoring!V166</f>
        <v/>
      </c>
      <c r="F160" s="120" t="n">
        <f aca="false">Scoring!B166</f>
        <v>0</v>
      </c>
      <c r="G160" s="120" t="n">
        <f aca="false">Scoring!D166</f>
        <v>0</v>
      </c>
      <c r="H160" s="120" t="str">
        <f aca="false">Scoring!AP166</f>
        <v/>
      </c>
      <c r="I160" s="120" t="str">
        <f aca="false">Scoring!AO166</f>
        <v/>
      </c>
    </row>
    <row r="161" customFormat="false" ht="15.75" hidden="false" customHeight="false" outlineLevel="0" collapsed="false">
      <c r="A161" s="120" t="str">
        <f aca="false">Scoring!AR167</f>
        <v/>
      </c>
      <c r="B161" s="120" t="str">
        <f aca="false">Scoring!AQ167</f>
        <v/>
      </c>
      <c r="C161" s="120" t="n">
        <f aca="false">Scoring!C167</f>
        <v>0</v>
      </c>
      <c r="D161" s="121" t="str">
        <f aca="false">Scoring!AN167</f>
        <v/>
      </c>
      <c r="E161" s="120" t="str">
        <f aca="false">Scoring!V167</f>
        <v/>
      </c>
      <c r="F161" s="120" t="n">
        <f aca="false">Scoring!B167</f>
        <v>0</v>
      </c>
      <c r="G161" s="120" t="n">
        <f aca="false">Scoring!D167</f>
        <v>0</v>
      </c>
      <c r="H161" s="120" t="str">
        <f aca="false">Scoring!AP167</f>
        <v/>
      </c>
      <c r="I161" s="120" t="str">
        <f aca="false">Scoring!AO167</f>
        <v/>
      </c>
    </row>
    <row r="162" customFormat="false" ht="15.75" hidden="false" customHeight="false" outlineLevel="0" collapsed="false">
      <c r="A162" s="120" t="str">
        <f aca="false">Scoring!AR168</f>
        <v/>
      </c>
      <c r="B162" s="120" t="str">
        <f aca="false">Scoring!AQ168</f>
        <v/>
      </c>
      <c r="C162" s="120" t="n">
        <f aca="false">Scoring!C168</f>
        <v>0</v>
      </c>
      <c r="D162" s="121" t="str">
        <f aca="false">Scoring!AN168</f>
        <v/>
      </c>
      <c r="E162" s="120" t="str">
        <f aca="false">Scoring!V168</f>
        <v/>
      </c>
      <c r="F162" s="120" t="n">
        <f aca="false">Scoring!B168</f>
        <v>0</v>
      </c>
      <c r="G162" s="120" t="n">
        <f aca="false">Scoring!D168</f>
        <v>0</v>
      </c>
      <c r="H162" s="120" t="str">
        <f aca="false">Scoring!AP168</f>
        <v/>
      </c>
      <c r="I162" s="120" t="str">
        <f aca="false">Scoring!AO168</f>
        <v/>
      </c>
    </row>
    <row r="163" customFormat="false" ht="15.75" hidden="false" customHeight="false" outlineLevel="0" collapsed="false">
      <c r="A163" s="120" t="str">
        <f aca="false">Scoring!AR169</f>
        <v/>
      </c>
      <c r="B163" s="120" t="str">
        <f aca="false">Scoring!AQ169</f>
        <v/>
      </c>
      <c r="C163" s="120" t="n">
        <f aca="false">Scoring!C169</f>
        <v>0</v>
      </c>
      <c r="D163" s="121" t="str">
        <f aca="false">Scoring!AN169</f>
        <v/>
      </c>
      <c r="E163" s="120" t="str">
        <f aca="false">Scoring!V169</f>
        <v/>
      </c>
      <c r="F163" s="120" t="n">
        <f aca="false">Scoring!B169</f>
        <v>0</v>
      </c>
      <c r="G163" s="120" t="n">
        <f aca="false">Scoring!D169</f>
        <v>0</v>
      </c>
      <c r="H163" s="120" t="str">
        <f aca="false">Scoring!AP169</f>
        <v/>
      </c>
      <c r="I163" s="120" t="str">
        <f aca="false">Scoring!AO169</f>
        <v/>
      </c>
    </row>
    <row r="164" customFormat="false" ht="15.75" hidden="false" customHeight="false" outlineLevel="0" collapsed="false">
      <c r="A164" s="120" t="str">
        <f aca="false">Scoring!AR170</f>
        <v/>
      </c>
      <c r="B164" s="120" t="str">
        <f aca="false">Scoring!AQ170</f>
        <v/>
      </c>
      <c r="C164" s="120" t="n">
        <f aca="false">Scoring!C170</f>
        <v>0</v>
      </c>
      <c r="D164" s="121" t="str">
        <f aca="false">Scoring!AN170</f>
        <v/>
      </c>
      <c r="E164" s="120" t="str">
        <f aca="false">Scoring!V170</f>
        <v/>
      </c>
      <c r="F164" s="120" t="n">
        <f aca="false">Scoring!B170</f>
        <v>0</v>
      </c>
      <c r="G164" s="120" t="n">
        <f aca="false">Scoring!D170</f>
        <v>0</v>
      </c>
      <c r="H164" s="120" t="str">
        <f aca="false">Scoring!AP170</f>
        <v/>
      </c>
      <c r="I164" s="120" t="str">
        <f aca="false">Scoring!AO170</f>
        <v/>
      </c>
    </row>
    <row r="165" customFormat="false" ht="15.75" hidden="false" customHeight="false" outlineLevel="0" collapsed="false">
      <c r="A165" s="120" t="str">
        <f aca="false">Scoring!AR171</f>
        <v/>
      </c>
      <c r="B165" s="120" t="str">
        <f aca="false">Scoring!AQ171</f>
        <v/>
      </c>
      <c r="C165" s="120" t="n">
        <f aca="false">Scoring!C171</f>
        <v>0</v>
      </c>
      <c r="D165" s="121" t="str">
        <f aca="false">Scoring!AN171</f>
        <v/>
      </c>
      <c r="E165" s="120" t="str">
        <f aca="false">Scoring!V171</f>
        <v/>
      </c>
      <c r="F165" s="120" t="n">
        <f aca="false">Scoring!B171</f>
        <v>0</v>
      </c>
      <c r="G165" s="120" t="n">
        <f aca="false">Scoring!D171</f>
        <v>0</v>
      </c>
      <c r="H165" s="120" t="str">
        <f aca="false">Scoring!AP171</f>
        <v/>
      </c>
      <c r="I165" s="120" t="str">
        <f aca="false">Scoring!AO171</f>
        <v/>
      </c>
    </row>
    <row r="166" customFormat="false" ht="15.75" hidden="false" customHeight="false" outlineLevel="0" collapsed="false">
      <c r="A166" s="120" t="str">
        <f aca="false">Scoring!AR172</f>
        <v/>
      </c>
      <c r="B166" s="120" t="str">
        <f aca="false">Scoring!AQ172</f>
        <v/>
      </c>
      <c r="C166" s="120" t="n">
        <f aca="false">Scoring!C172</f>
        <v>0</v>
      </c>
      <c r="D166" s="121" t="str">
        <f aca="false">Scoring!AN172</f>
        <v/>
      </c>
      <c r="E166" s="120" t="str">
        <f aca="false">Scoring!V172</f>
        <v/>
      </c>
      <c r="F166" s="120" t="n">
        <f aca="false">Scoring!B172</f>
        <v>0</v>
      </c>
      <c r="G166" s="120" t="n">
        <f aca="false">Scoring!D172</f>
        <v>0</v>
      </c>
      <c r="H166" s="120" t="str">
        <f aca="false">Scoring!AP172</f>
        <v/>
      </c>
      <c r="I166" s="120" t="str">
        <f aca="false">Scoring!AO172</f>
        <v/>
      </c>
    </row>
    <row r="167" customFormat="false" ht="15.75" hidden="false" customHeight="false" outlineLevel="0" collapsed="false">
      <c r="A167" s="120" t="str">
        <f aca="false">Scoring!AR173</f>
        <v/>
      </c>
      <c r="B167" s="120" t="str">
        <f aca="false">Scoring!AQ173</f>
        <v/>
      </c>
      <c r="C167" s="120" t="n">
        <f aca="false">Scoring!C173</f>
        <v>0</v>
      </c>
      <c r="D167" s="121" t="str">
        <f aca="false">Scoring!AN173</f>
        <v/>
      </c>
      <c r="E167" s="120" t="str">
        <f aca="false">Scoring!V173</f>
        <v/>
      </c>
      <c r="F167" s="120" t="n">
        <f aca="false">Scoring!B173</f>
        <v>0</v>
      </c>
      <c r="G167" s="120" t="n">
        <f aca="false">Scoring!D173</f>
        <v>0</v>
      </c>
      <c r="H167" s="120" t="str">
        <f aca="false">Scoring!AP173</f>
        <v/>
      </c>
      <c r="I167" s="120" t="str">
        <f aca="false">Scoring!AO173</f>
        <v/>
      </c>
    </row>
    <row r="168" customFormat="false" ht="15.75" hidden="false" customHeight="false" outlineLevel="0" collapsed="false">
      <c r="A168" s="120" t="str">
        <f aca="false">Scoring!AR174</f>
        <v/>
      </c>
      <c r="B168" s="120" t="str">
        <f aca="false">Scoring!AQ174</f>
        <v/>
      </c>
      <c r="C168" s="120" t="n">
        <f aca="false">Scoring!C174</f>
        <v>0</v>
      </c>
      <c r="D168" s="121" t="str">
        <f aca="false">Scoring!AN174</f>
        <v/>
      </c>
      <c r="E168" s="120" t="str">
        <f aca="false">Scoring!V174</f>
        <v/>
      </c>
      <c r="F168" s="120" t="n">
        <f aca="false">Scoring!B174</f>
        <v>0</v>
      </c>
      <c r="G168" s="120" t="n">
        <f aca="false">Scoring!D174</f>
        <v>0</v>
      </c>
      <c r="H168" s="120" t="str">
        <f aca="false">Scoring!AP174</f>
        <v/>
      </c>
      <c r="I168" s="120" t="str">
        <f aca="false">Scoring!AO174</f>
        <v/>
      </c>
    </row>
    <row r="169" customFormat="false" ht="15.75" hidden="false" customHeight="false" outlineLevel="0" collapsed="false">
      <c r="A169" s="120" t="str">
        <f aca="false">Scoring!AR175</f>
        <v/>
      </c>
      <c r="B169" s="120" t="str">
        <f aca="false">Scoring!AQ175</f>
        <v/>
      </c>
      <c r="C169" s="120" t="n">
        <f aca="false">Scoring!C175</f>
        <v>0</v>
      </c>
      <c r="D169" s="121" t="str">
        <f aca="false">Scoring!AN175</f>
        <v/>
      </c>
      <c r="E169" s="120" t="str">
        <f aca="false">Scoring!V175</f>
        <v/>
      </c>
      <c r="F169" s="120" t="n">
        <f aca="false">Scoring!B175</f>
        <v>0</v>
      </c>
      <c r="G169" s="120" t="n">
        <f aca="false">Scoring!D175</f>
        <v>0</v>
      </c>
      <c r="H169" s="120" t="str">
        <f aca="false">Scoring!AP175</f>
        <v/>
      </c>
      <c r="I169" s="120" t="str">
        <f aca="false">Scoring!AO175</f>
        <v/>
      </c>
    </row>
    <row r="170" customFormat="false" ht="15.75" hidden="false" customHeight="false" outlineLevel="0" collapsed="false">
      <c r="A170" s="120" t="str">
        <f aca="false">Scoring!AR176</f>
        <v/>
      </c>
      <c r="B170" s="120" t="str">
        <f aca="false">Scoring!AQ176</f>
        <v/>
      </c>
      <c r="C170" s="120" t="n">
        <f aca="false">Scoring!C176</f>
        <v>0</v>
      </c>
      <c r="D170" s="121" t="str">
        <f aca="false">Scoring!AN176</f>
        <v/>
      </c>
      <c r="E170" s="120" t="str">
        <f aca="false">Scoring!V176</f>
        <v/>
      </c>
      <c r="F170" s="120" t="n">
        <f aca="false">Scoring!B176</f>
        <v>0</v>
      </c>
      <c r="G170" s="120" t="n">
        <f aca="false">Scoring!D176</f>
        <v>0</v>
      </c>
      <c r="H170" s="120" t="str">
        <f aca="false">Scoring!AP176</f>
        <v/>
      </c>
      <c r="I170" s="120" t="str">
        <f aca="false">Scoring!AO176</f>
        <v/>
      </c>
    </row>
    <row r="171" customFormat="false" ht="15.75" hidden="false" customHeight="false" outlineLevel="0" collapsed="false">
      <c r="A171" s="120" t="str">
        <f aca="false">Scoring!AR177</f>
        <v/>
      </c>
      <c r="B171" s="120" t="str">
        <f aca="false">Scoring!AQ177</f>
        <v/>
      </c>
      <c r="C171" s="120" t="n">
        <f aca="false">Scoring!C177</f>
        <v>0</v>
      </c>
      <c r="D171" s="121" t="str">
        <f aca="false">Scoring!AN177</f>
        <v/>
      </c>
      <c r="E171" s="120" t="str">
        <f aca="false">Scoring!V177</f>
        <v/>
      </c>
      <c r="F171" s="120" t="n">
        <f aca="false">Scoring!B177</f>
        <v>0</v>
      </c>
      <c r="G171" s="120" t="n">
        <f aca="false">Scoring!D177</f>
        <v>0</v>
      </c>
      <c r="H171" s="120" t="str">
        <f aca="false">Scoring!AP177</f>
        <v/>
      </c>
      <c r="I171" s="120" t="str">
        <f aca="false">Scoring!AO177</f>
        <v/>
      </c>
    </row>
    <row r="172" customFormat="false" ht="15.75" hidden="false" customHeight="false" outlineLevel="0" collapsed="false">
      <c r="A172" s="120" t="str">
        <f aca="false">Scoring!AR178</f>
        <v/>
      </c>
      <c r="B172" s="120" t="str">
        <f aca="false">Scoring!AQ178</f>
        <v/>
      </c>
      <c r="C172" s="120" t="n">
        <f aca="false">Scoring!C178</f>
        <v>0</v>
      </c>
      <c r="D172" s="121" t="str">
        <f aca="false">Scoring!AN178</f>
        <v/>
      </c>
      <c r="E172" s="120" t="str">
        <f aca="false">Scoring!V178</f>
        <v/>
      </c>
      <c r="F172" s="120" t="n">
        <f aca="false">Scoring!B178</f>
        <v>0</v>
      </c>
      <c r="G172" s="120" t="n">
        <f aca="false">Scoring!D178</f>
        <v>0</v>
      </c>
      <c r="H172" s="120" t="str">
        <f aca="false">Scoring!AP178</f>
        <v/>
      </c>
      <c r="I172" s="120" t="str">
        <f aca="false">Scoring!AO178</f>
        <v/>
      </c>
    </row>
    <row r="173" customFormat="false" ht="15.75" hidden="false" customHeight="false" outlineLevel="0" collapsed="false">
      <c r="A173" s="120" t="str">
        <f aca="false">Scoring!AR179</f>
        <v/>
      </c>
      <c r="B173" s="120" t="str">
        <f aca="false">Scoring!AQ179</f>
        <v/>
      </c>
      <c r="C173" s="120" t="n">
        <f aca="false">Scoring!C179</f>
        <v>0</v>
      </c>
      <c r="D173" s="121" t="str">
        <f aca="false">Scoring!AN179</f>
        <v/>
      </c>
      <c r="E173" s="120" t="str">
        <f aca="false">Scoring!V179</f>
        <v/>
      </c>
      <c r="F173" s="120" t="n">
        <f aca="false">Scoring!B179</f>
        <v>0</v>
      </c>
      <c r="G173" s="120" t="n">
        <f aca="false">Scoring!D179</f>
        <v>0</v>
      </c>
      <c r="H173" s="120" t="str">
        <f aca="false">Scoring!AP179</f>
        <v/>
      </c>
      <c r="I173" s="120" t="str">
        <f aca="false">Scoring!AO179</f>
        <v/>
      </c>
    </row>
    <row r="174" customFormat="false" ht="15.75" hidden="false" customHeight="false" outlineLevel="0" collapsed="false">
      <c r="A174" s="120" t="str">
        <f aca="false">Scoring!AR180</f>
        <v/>
      </c>
      <c r="B174" s="120" t="str">
        <f aca="false">Scoring!AQ180</f>
        <v/>
      </c>
      <c r="C174" s="120" t="n">
        <f aca="false">Scoring!C180</f>
        <v>0</v>
      </c>
      <c r="D174" s="121" t="str">
        <f aca="false">Scoring!AN180</f>
        <v/>
      </c>
      <c r="E174" s="120" t="str">
        <f aca="false">Scoring!V180</f>
        <v/>
      </c>
      <c r="F174" s="120" t="n">
        <f aca="false">Scoring!B180</f>
        <v>0</v>
      </c>
      <c r="G174" s="120" t="n">
        <f aca="false">Scoring!D180</f>
        <v>0</v>
      </c>
      <c r="H174" s="120" t="str">
        <f aca="false">Scoring!AP180</f>
        <v/>
      </c>
      <c r="I174" s="120" t="str">
        <f aca="false">Scoring!AO180</f>
        <v/>
      </c>
    </row>
    <row r="175" customFormat="false" ht="15.75" hidden="false" customHeight="false" outlineLevel="0" collapsed="false">
      <c r="A175" s="120" t="str">
        <f aca="false">Scoring!AR181</f>
        <v/>
      </c>
      <c r="B175" s="120" t="str">
        <f aca="false">Scoring!AQ181</f>
        <v/>
      </c>
      <c r="C175" s="120" t="n">
        <f aca="false">Scoring!C181</f>
        <v>0</v>
      </c>
      <c r="D175" s="121" t="str">
        <f aca="false">Scoring!AN181</f>
        <v/>
      </c>
      <c r="E175" s="120" t="str">
        <f aca="false">Scoring!V181</f>
        <v/>
      </c>
      <c r="F175" s="120" t="n">
        <f aca="false">Scoring!B181</f>
        <v>0</v>
      </c>
      <c r="G175" s="120" t="n">
        <f aca="false">Scoring!D181</f>
        <v>0</v>
      </c>
      <c r="H175" s="120" t="str">
        <f aca="false">Scoring!AP181</f>
        <v/>
      </c>
      <c r="I175" s="120" t="str">
        <f aca="false">Scoring!AO181</f>
        <v/>
      </c>
    </row>
    <row r="176" customFormat="false" ht="15.75" hidden="false" customHeight="false" outlineLevel="0" collapsed="false">
      <c r="A176" s="120" t="str">
        <f aca="false">Scoring!AR182</f>
        <v/>
      </c>
      <c r="B176" s="120" t="str">
        <f aca="false">Scoring!AQ182</f>
        <v/>
      </c>
      <c r="C176" s="120" t="n">
        <f aca="false">Scoring!C182</f>
        <v>0</v>
      </c>
      <c r="D176" s="121" t="str">
        <f aca="false">Scoring!AN182</f>
        <v/>
      </c>
      <c r="E176" s="120" t="str">
        <f aca="false">Scoring!V182</f>
        <v/>
      </c>
      <c r="F176" s="120" t="n">
        <f aca="false">Scoring!B182</f>
        <v>0</v>
      </c>
      <c r="G176" s="120" t="n">
        <f aca="false">Scoring!D182</f>
        <v>0</v>
      </c>
      <c r="H176" s="120" t="str">
        <f aca="false">Scoring!AP182</f>
        <v/>
      </c>
      <c r="I176" s="120" t="str">
        <f aca="false">Scoring!AO182</f>
        <v/>
      </c>
    </row>
    <row r="177" customFormat="false" ht="15.75" hidden="false" customHeight="false" outlineLevel="0" collapsed="false">
      <c r="A177" s="120" t="str">
        <f aca="false">Scoring!AR183</f>
        <v/>
      </c>
      <c r="B177" s="120" t="str">
        <f aca="false">Scoring!AQ183</f>
        <v/>
      </c>
      <c r="C177" s="120" t="n">
        <f aca="false">Scoring!C183</f>
        <v>0</v>
      </c>
      <c r="D177" s="121" t="str">
        <f aca="false">Scoring!AN183</f>
        <v/>
      </c>
      <c r="E177" s="120" t="str">
        <f aca="false">Scoring!V183</f>
        <v/>
      </c>
      <c r="F177" s="120" t="n">
        <f aca="false">Scoring!B183</f>
        <v>0</v>
      </c>
      <c r="G177" s="120" t="n">
        <f aca="false">Scoring!D183</f>
        <v>0</v>
      </c>
      <c r="H177" s="120" t="str">
        <f aca="false">Scoring!AP183</f>
        <v/>
      </c>
      <c r="I177" s="120" t="str">
        <f aca="false">Scoring!AO183</f>
        <v/>
      </c>
    </row>
    <row r="178" customFormat="false" ht="15.75" hidden="false" customHeight="false" outlineLevel="0" collapsed="false">
      <c r="A178" s="120" t="str">
        <f aca="false">Scoring!AR184</f>
        <v/>
      </c>
      <c r="B178" s="120" t="str">
        <f aca="false">Scoring!AQ184</f>
        <v/>
      </c>
      <c r="C178" s="120" t="n">
        <f aca="false">Scoring!C184</f>
        <v>0</v>
      </c>
      <c r="D178" s="121" t="str">
        <f aca="false">Scoring!AN184</f>
        <v/>
      </c>
      <c r="E178" s="120" t="str">
        <f aca="false">Scoring!V184</f>
        <v/>
      </c>
      <c r="F178" s="120" t="n">
        <f aca="false">Scoring!B184</f>
        <v>0</v>
      </c>
      <c r="G178" s="120" t="n">
        <f aca="false">Scoring!D184</f>
        <v>0</v>
      </c>
      <c r="H178" s="120" t="str">
        <f aca="false">Scoring!AP184</f>
        <v/>
      </c>
      <c r="I178" s="120" t="str">
        <f aca="false">Scoring!AO184</f>
        <v/>
      </c>
    </row>
    <row r="179" customFormat="false" ht="15.75" hidden="false" customHeight="false" outlineLevel="0" collapsed="false">
      <c r="A179" s="120" t="str">
        <f aca="false">Scoring!AR185</f>
        <v/>
      </c>
      <c r="B179" s="120" t="str">
        <f aca="false">Scoring!AQ185</f>
        <v/>
      </c>
      <c r="C179" s="120" t="n">
        <f aca="false">Scoring!C185</f>
        <v>0</v>
      </c>
      <c r="D179" s="121" t="str">
        <f aca="false">Scoring!AN185</f>
        <v/>
      </c>
      <c r="E179" s="120" t="str">
        <f aca="false">Scoring!V185</f>
        <v/>
      </c>
      <c r="F179" s="120" t="n">
        <f aca="false">Scoring!B185</f>
        <v>0</v>
      </c>
      <c r="G179" s="120" t="n">
        <f aca="false">Scoring!D185</f>
        <v>0</v>
      </c>
      <c r="H179" s="120" t="str">
        <f aca="false">Scoring!AP185</f>
        <v/>
      </c>
      <c r="I179" s="120" t="str">
        <f aca="false">Scoring!AO185</f>
        <v/>
      </c>
    </row>
    <row r="180" customFormat="false" ht="15.75" hidden="false" customHeight="false" outlineLevel="0" collapsed="false">
      <c r="A180" s="120" t="str">
        <f aca="false">Scoring!AR186</f>
        <v/>
      </c>
      <c r="B180" s="120" t="str">
        <f aca="false">Scoring!AQ186</f>
        <v/>
      </c>
      <c r="C180" s="120" t="n">
        <f aca="false">Scoring!C186</f>
        <v>0</v>
      </c>
      <c r="D180" s="121" t="str">
        <f aca="false">Scoring!AN186</f>
        <v/>
      </c>
      <c r="E180" s="120" t="str">
        <f aca="false">Scoring!V186</f>
        <v/>
      </c>
      <c r="F180" s="120" t="n">
        <f aca="false">Scoring!B186</f>
        <v>0</v>
      </c>
      <c r="G180" s="120" t="n">
        <f aca="false">Scoring!D186</f>
        <v>0</v>
      </c>
      <c r="H180" s="120" t="str">
        <f aca="false">Scoring!AP186</f>
        <v/>
      </c>
      <c r="I180" s="120" t="str">
        <f aca="false">Scoring!AO186</f>
        <v/>
      </c>
    </row>
    <row r="181" customFormat="false" ht="15.75" hidden="false" customHeight="false" outlineLevel="0" collapsed="false">
      <c r="A181" s="120" t="str">
        <f aca="false">Scoring!AR187</f>
        <v/>
      </c>
      <c r="B181" s="120" t="str">
        <f aca="false">Scoring!AQ187</f>
        <v/>
      </c>
      <c r="C181" s="120" t="n">
        <f aca="false">Scoring!C187</f>
        <v>0</v>
      </c>
      <c r="D181" s="121" t="str">
        <f aca="false">Scoring!AN187</f>
        <v/>
      </c>
      <c r="E181" s="120" t="str">
        <f aca="false">Scoring!V187</f>
        <v/>
      </c>
      <c r="F181" s="120" t="n">
        <f aca="false">Scoring!B187</f>
        <v>0</v>
      </c>
      <c r="G181" s="120" t="n">
        <f aca="false">Scoring!D187</f>
        <v>0</v>
      </c>
      <c r="H181" s="120" t="str">
        <f aca="false">Scoring!AP187</f>
        <v/>
      </c>
      <c r="I181" s="120" t="str">
        <f aca="false">Scoring!AO187</f>
        <v/>
      </c>
    </row>
    <row r="182" customFormat="false" ht="15.75" hidden="false" customHeight="false" outlineLevel="0" collapsed="false">
      <c r="A182" s="120" t="str">
        <f aca="false">Scoring!AR188</f>
        <v/>
      </c>
      <c r="B182" s="120" t="str">
        <f aca="false">Scoring!AQ188</f>
        <v/>
      </c>
      <c r="C182" s="120" t="n">
        <f aca="false">Scoring!C188</f>
        <v>0</v>
      </c>
      <c r="D182" s="121" t="str">
        <f aca="false">Scoring!AN188</f>
        <v/>
      </c>
      <c r="E182" s="120" t="str">
        <f aca="false">Scoring!V188</f>
        <v/>
      </c>
      <c r="F182" s="120" t="n">
        <f aca="false">Scoring!B188</f>
        <v>0</v>
      </c>
      <c r="G182" s="120" t="n">
        <f aca="false">Scoring!D188</f>
        <v>0</v>
      </c>
      <c r="H182" s="120" t="str">
        <f aca="false">Scoring!AP188</f>
        <v/>
      </c>
      <c r="I182" s="120" t="str">
        <f aca="false">Scoring!AO188</f>
        <v/>
      </c>
    </row>
    <row r="183" customFormat="false" ht="15.75" hidden="false" customHeight="false" outlineLevel="0" collapsed="false">
      <c r="A183" s="120" t="str">
        <f aca="false">Scoring!AR189</f>
        <v/>
      </c>
      <c r="B183" s="120" t="str">
        <f aca="false">Scoring!AQ189</f>
        <v/>
      </c>
      <c r="C183" s="120" t="n">
        <f aca="false">Scoring!C189</f>
        <v>0</v>
      </c>
      <c r="D183" s="121" t="str">
        <f aca="false">Scoring!AN189</f>
        <v/>
      </c>
      <c r="E183" s="120" t="str">
        <f aca="false">Scoring!V189</f>
        <v/>
      </c>
      <c r="F183" s="120" t="n">
        <f aca="false">Scoring!B189</f>
        <v>0</v>
      </c>
      <c r="G183" s="120" t="n">
        <f aca="false">Scoring!D189</f>
        <v>0</v>
      </c>
      <c r="H183" s="120" t="str">
        <f aca="false">Scoring!AP189</f>
        <v/>
      </c>
      <c r="I183" s="120" t="str">
        <f aca="false">Scoring!AO189</f>
        <v/>
      </c>
    </row>
    <row r="184" customFormat="false" ht="15.75" hidden="false" customHeight="false" outlineLevel="0" collapsed="false">
      <c r="A184" s="120" t="str">
        <f aca="false">Scoring!AR190</f>
        <v/>
      </c>
      <c r="B184" s="120" t="str">
        <f aca="false">Scoring!AQ190</f>
        <v/>
      </c>
      <c r="C184" s="120" t="n">
        <f aca="false">Scoring!C190</f>
        <v>0</v>
      </c>
      <c r="D184" s="121" t="str">
        <f aca="false">Scoring!AN190</f>
        <v/>
      </c>
      <c r="E184" s="120" t="str">
        <f aca="false">Scoring!V190</f>
        <v/>
      </c>
      <c r="F184" s="120" t="n">
        <f aca="false">Scoring!B190</f>
        <v>0</v>
      </c>
      <c r="G184" s="120" t="n">
        <f aca="false">Scoring!D190</f>
        <v>0</v>
      </c>
      <c r="H184" s="120" t="str">
        <f aca="false">Scoring!AP190</f>
        <v/>
      </c>
      <c r="I184" s="120" t="str">
        <f aca="false">Scoring!AO190</f>
        <v/>
      </c>
    </row>
    <row r="185" customFormat="false" ht="15.75" hidden="false" customHeight="false" outlineLevel="0" collapsed="false">
      <c r="A185" s="120" t="str">
        <f aca="false">Scoring!AR191</f>
        <v/>
      </c>
      <c r="B185" s="120" t="str">
        <f aca="false">Scoring!AQ191</f>
        <v/>
      </c>
      <c r="C185" s="120" t="n">
        <f aca="false">Scoring!C191</f>
        <v>0</v>
      </c>
      <c r="D185" s="121" t="str">
        <f aca="false">Scoring!AN191</f>
        <v/>
      </c>
      <c r="E185" s="120" t="str">
        <f aca="false">Scoring!V191</f>
        <v/>
      </c>
      <c r="F185" s="120" t="n">
        <f aca="false">Scoring!B191</f>
        <v>0</v>
      </c>
      <c r="G185" s="120" t="n">
        <f aca="false">Scoring!D191</f>
        <v>0</v>
      </c>
      <c r="H185" s="120" t="str">
        <f aca="false">Scoring!AP191</f>
        <v/>
      </c>
      <c r="I185" s="120" t="str">
        <f aca="false">Scoring!AO191</f>
        <v/>
      </c>
    </row>
    <row r="186" customFormat="false" ht="15.75" hidden="false" customHeight="false" outlineLevel="0" collapsed="false">
      <c r="A186" s="120" t="str">
        <f aca="false">Scoring!AR192</f>
        <v/>
      </c>
      <c r="B186" s="120" t="str">
        <f aca="false">Scoring!AQ192</f>
        <v/>
      </c>
      <c r="C186" s="120" t="n">
        <f aca="false">Scoring!C192</f>
        <v>0</v>
      </c>
      <c r="D186" s="121" t="str">
        <f aca="false">Scoring!AN192</f>
        <v/>
      </c>
      <c r="E186" s="120" t="str">
        <f aca="false">Scoring!V192</f>
        <v/>
      </c>
      <c r="F186" s="120" t="n">
        <f aca="false">Scoring!B192</f>
        <v>0</v>
      </c>
      <c r="G186" s="120" t="n">
        <f aca="false">Scoring!D192</f>
        <v>0</v>
      </c>
      <c r="H186" s="120" t="str">
        <f aca="false">Scoring!AP192</f>
        <v/>
      </c>
      <c r="I186" s="120" t="str">
        <f aca="false">Scoring!AO192</f>
        <v/>
      </c>
    </row>
    <row r="187" customFormat="false" ht="15.75" hidden="false" customHeight="false" outlineLevel="0" collapsed="false">
      <c r="A187" s="120" t="str">
        <f aca="false">Scoring!AR193</f>
        <v/>
      </c>
      <c r="B187" s="120" t="str">
        <f aca="false">Scoring!AQ193</f>
        <v/>
      </c>
      <c r="C187" s="120" t="n">
        <f aca="false">Scoring!C193</f>
        <v>0</v>
      </c>
      <c r="D187" s="121" t="str">
        <f aca="false">Scoring!AN193</f>
        <v/>
      </c>
      <c r="E187" s="120" t="str">
        <f aca="false">Scoring!V193</f>
        <v/>
      </c>
      <c r="F187" s="120" t="n">
        <f aca="false">Scoring!B193</f>
        <v>0</v>
      </c>
      <c r="G187" s="120" t="n">
        <f aca="false">Scoring!D193</f>
        <v>0</v>
      </c>
      <c r="H187" s="120" t="str">
        <f aca="false">Scoring!AP193</f>
        <v/>
      </c>
      <c r="I187" s="120" t="str">
        <f aca="false">Scoring!AO193</f>
        <v/>
      </c>
    </row>
    <row r="188" customFormat="false" ht="15.75" hidden="false" customHeight="false" outlineLevel="0" collapsed="false">
      <c r="A188" s="120" t="str">
        <f aca="false">Scoring!AR194</f>
        <v/>
      </c>
      <c r="B188" s="120" t="str">
        <f aca="false">Scoring!AQ194</f>
        <v/>
      </c>
      <c r="C188" s="120" t="n">
        <f aca="false">Scoring!C194</f>
        <v>0</v>
      </c>
      <c r="D188" s="121" t="str">
        <f aca="false">Scoring!AN194</f>
        <v/>
      </c>
      <c r="E188" s="120" t="str">
        <f aca="false">Scoring!V194</f>
        <v/>
      </c>
      <c r="F188" s="120" t="n">
        <f aca="false">Scoring!B194</f>
        <v>0</v>
      </c>
      <c r="G188" s="120" t="n">
        <f aca="false">Scoring!D194</f>
        <v>0</v>
      </c>
      <c r="H188" s="120" t="str">
        <f aca="false">Scoring!AP194</f>
        <v/>
      </c>
      <c r="I188" s="120" t="str">
        <f aca="false">Scoring!AO194</f>
        <v/>
      </c>
    </row>
    <row r="189" customFormat="false" ht="15.75" hidden="false" customHeight="false" outlineLevel="0" collapsed="false">
      <c r="A189" s="120" t="str">
        <f aca="false">Scoring!AR195</f>
        <v/>
      </c>
      <c r="B189" s="120" t="str">
        <f aca="false">Scoring!AQ195</f>
        <v/>
      </c>
      <c r="C189" s="120" t="n">
        <f aca="false">Scoring!C195</f>
        <v>0</v>
      </c>
      <c r="D189" s="121" t="str">
        <f aca="false">Scoring!AN195</f>
        <v/>
      </c>
      <c r="E189" s="120" t="str">
        <f aca="false">Scoring!V195</f>
        <v/>
      </c>
      <c r="F189" s="120" t="n">
        <f aca="false">Scoring!B195</f>
        <v>0</v>
      </c>
      <c r="G189" s="120" t="n">
        <f aca="false">Scoring!D195</f>
        <v>0</v>
      </c>
      <c r="H189" s="120" t="str">
        <f aca="false">Scoring!AP195</f>
        <v/>
      </c>
      <c r="I189" s="120" t="str">
        <f aca="false">Scoring!AO195</f>
        <v/>
      </c>
    </row>
    <row r="190" customFormat="false" ht="15.75" hidden="false" customHeight="false" outlineLevel="0" collapsed="false">
      <c r="A190" s="120" t="str">
        <f aca="false">Scoring!AR196</f>
        <v/>
      </c>
      <c r="B190" s="120" t="str">
        <f aca="false">Scoring!AQ196</f>
        <v/>
      </c>
      <c r="C190" s="120" t="n">
        <f aca="false">Scoring!C196</f>
        <v>0</v>
      </c>
      <c r="D190" s="121" t="str">
        <f aca="false">Scoring!AN196</f>
        <v/>
      </c>
      <c r="E190" s="120" t="str">
        <f aca="false">Scoring!V196</f>
        <v/>
      </c>
      <c r="F190" s="120" t="n">
        <f aca="false">Scoring!B196</f>
        <v>0</v>
      </c>
      <c r="G190" s="120" t="n">
        <f aca="false">Scoring!D196</f>
        <v>0</v>
      </c>
      <c r="H190" s="120" t="str">
        <f aca="false">Scoring!AP196</f>
        <v/>
      </c>
      <c r="I190" s="120" t="str">
        <f aca="false">Scoring!AO196</f>
        <v/>
      </c>
    </row>
    <row r="191" customFormat="false" ht="15.75" hidden="false" customHeight="false" outlineLevel="0" collapsed="false">
      <c r="A191" s="120" t="str">
        <f aca="false">Scoring!AR197</f>
        <v/>
      </c>
      <c r="B191" s="120" t="str">
        <f aca="false">Scoring!AQ197</f>
        <v/>
      </c>
      <c r="C191" s="120" t="n">
        <f aca="false">Scoring!C197</f>
        <v>0</v>
      </c>
      <c r="D191" s="121" t="str">
        <f aca="false">Scoring!AN197</f>
        <v/>
      </c>
      <c r="E191" s="120" t="str">
        <f aca="false">Scoring!V197</f>
        <v/>
      </c>
      <c r="F191" s="120" t="n">
        <f aca="false">Scoring!B197</f>
        <v>0</v>
      </c>
      <c r="G191" s="120" t="n">
        <f aca="false">Scoring!D197</f>
        <v>0</v>
      </c>
      <c r="H191" s="120" t="str">
        <f aca="false">Scoring!AP197</f>
        <v/>
      </c>
      <c r="I191" s="120" t="str">
        <f aca="false">Scoring!AO197</f>
        <v/>
      </c>
    </row>
    <row r="192" customFormat="false" ht="15.75" hidden="false" customHeight="false" outlineLevel="0" collapsed="false">
      <c r="A192" s="120" t="str">
        <f aca="false">Scoring!AR198</f>
        <v/>
      </c>
      <c r="B192" s="120" t="str">
        <f aca="false">Scoring!AQ198</f>
        <v/>
      </c>
      <c r="C192" s="120" t="n">
        <f aca="false">Scoring!C198</f>
        <v>0</v>
      </c>
      <c r="D192" s="121" t="str">
        <f aca="false">Scoring!AN198</f>
        <v/>
      </c>
      <c r="E192" s="120" t="str">
        <f aca="false">Scoring!V198</f>
        <v/>
      </c>
      <c r="F192" s="120" t="n">
        <f aca="false">Scoring!B198</f>
        <v>0</v>
      </c>
      <c r="G192" s="120" t="n">
        <f aca="false">Scoring!D198</f>
        <v>0</v>
      </c>
      <c r="H192" s="120" t="str">
        <f aca="false">Scoring!AP198</f>
        <v/>
      </c>
      <c r="I192" s="120" t="str">
        <f aca="false">Scoring!AO198</f>
        <v/>
      </c>
    </row>
    <row r="193" customFormat="false" ht="15.75" hidden="false" customHeight="false" outlineLevel="0" collapsed="false">
      <c r="A193" s="120" t="str">
        <f aca="false">Scoring!AR199</f>
        <v/>
      </c>
      <c r="B193" s="120" t="str">
        <f aca="false">Scoring!AQ199</f>
        <v/>
      </c>
      <c r="C193" s="120" t="n">
        <f aca="false">Scoring!C199</f>
        <v>0</v>
      </c>
      <c r="D193" s="121" t="str">
        <f aca="false">Scoring!AN199</f>
        <v/>
      </c>
      <c r="E193" s="120" t="str">
        <f aca="false">Scoring!V199</f>
        <v/>
      </c>
      <c r="F193" s="120" t="n">
        <f aca="false">Scoring!B199</f>
        <v>0</v>
      </c>
      <c r="G193" s="120" t="n">
        <f aca="false">Scoring!D199</f>
        <v>0</v>
      </c>
      <c r="H193" s="120" t="str">
        <f aca="false">Scoring!AP199</f>
        <v/>
      </c>
      <c r="I193" s="120" t="str">
        <f aca="false">Scoring!AO199</f>
        <v/>
      </c>
    </row>
    <row r="194" customFormat="false" ht="15.75" hidden="false" customHeight="false" outlineLevel="0" collapsed="false">
      <c r="A194" s="120" t="str">
        <f aca="false">Scoring!AR200</f>
        <v/>
      </c>
      <c r="B194" s="120" t="str">
        <f aca="false">Scoring!AQ200</f>
        <v/>
      </c>
      <c r="C194" s="120" t="n">
        <f aca="false">Scoring!C200</f>
        <v>0</v>
      </c>
      <c r="D194" s="121" t="str">
        <f aca="false">Scoring!AN200</f>
        <v/>
      </c>
      <c r="E194" s="120" t="str">
        <f aca="false">Scoring!V200</f>
        <v/>
      </c>
      <c r="F194" s="120" t="n">
        <f aca="false">Scoring!B200</f>
        <v>0</v>
      </c>
      <c r="G194" s="120" t="n">
        <f aca="false">Scoring!D200</f>
        <v>0</v>
      </c>
      <c r="H194" s="120" t="str">
        <f aca="false">Scoring!AP200</f>
        <v/>
      </c>
      <c r="I194" s="120" t="str">
        <f aca="false">Scoring!AO200</f>
        <v/>
      </c>
    </row>
    <row r="195" customFormat="false" ht="15.75" hidden="false" customHeight="false" outlineLevel="0" collapsed="false">
      <c r="A195" s="120" t="str">
        <f aca="false">Scoring!AR201</f>
        <v/>
      </c>
      <c r="B195" s="120" t="str">
        <f aca="false">Scoring!AQ201</f>
        <v/>
      </c>
      <c r="C195" s="120" t="n">
        <f aca="false">Scoring!C201</f>
        <v>0</v>
      </c>
      <c r="D195" s="121" t="str">
        <f aca="false">Scoring!AN201</f>
        <v/>
      </c>
      <c r="E195" s="120" t="str">
        <f aca="false">Scoring!V201</f>
        <v/>
      </c>
      <c r="F195" s="120" t="n">
        <f aca="false">Scoring!B201</f>
        <v>0</v>
      </c>
      <c r="G195" s="120" t="n">
        <f aca="false">Scoring!D201</f>
        <v>0</v>
      </c>
      <c r="H195" s="120" t="str">
        <f aca="false">Scoring!AP201</f>
        <v/>
      </c>
      <c r="I195" s="120" t="str">
        <f aca="false">Scoring!AO201</f>
        <v/>
      </c>
    </row>
    <row r="196" customFormat="false" ht="15.75" hidden="false" customHeight="false" outlineLevel="0" collapsed="false">
      <c r="A196" s="120" t="str">
        <f aca="false">Scoring!AR202</f>
        <v/>
      </c>
      <c r="B196" s="120" t="str">
        <f aca="false">Scoring!AQ202</f>
        <v/>
      </c>
      <c r="C196" s="120" t="n">
        <f aca="false">Scoring!C202</f>
        <v>0</v>
      </c>
      <c r="D196" s="121" t="str">
        <f aca="false">Scoring!AN202</f>
        <v/>
      </c>
      <c r="E196" s="120" t="str">
        <f aca="false">Scoring!V202</f>
        <v/>
      </c>
      <c r="F196" s="120" t="n">
        <f aca="false">Scoring!B202</f>
        <v>0</v>
      </c>
      <c r="G196" s="120" t="n">
        <f aca="false">Scoring!D202</f>
        <v>0</v>
      </c>
      <c r="H196" s="120" t="str">
        <f aca="false">Scoring!AP202</f>
        <v/>
      </c>
      <c r="I196" s="120" t="str">
        <f aca="false">Scoring!AO202</f>
        <v/>
      </c>
    </row>
    <row r="197" customFormat="false" ht="15.75" hidden="false" customHeight="false" outlineLevel="0" collapsed="false">
      <c r="A197" s="120" t="str">
        <f aca="false">Scoring!AR203</f>
        <v/>
      </c>
      <c r="B197" s="120" t="str">
        <f aca="false">Scoring!AQ203</f>
        <v/>
      </c>
      <c r="C197" s="120" t="n">
        <f aca="false">Scoring!C203</f>
        <v>0</v>
      </c>
      <c r="D197" s="121" t="str">
        <f aca="false">Scoring!AN203</f>
        <v/>
      </c>
      <c r="E197" s="120" t="str">
        <f aca="false">Scoring!V203</f>
        <v/>
      </c>
      <c r="F197" s="120" t="n">
        <f aca="false">Scoring!B203</f>
        <v>0</v>
      </c>
      <c r="G197" s="120" t="n">
        <f aca="false">Scoring!D203</f>
        <v>0</v>
      </c>
      <c r="H197" s="120" t="str">
        <f aca="false">Scoring!AP203</f>
        <v/>
      </c>
      <c r="I197" s="120" t="str">
        <f aca="false">Scoring!AO203</f>
        <v/>
      </c>
    </row>
    <row r="198" customFormat="false" ht="15.75" hidden="false" customHeight="false" outlineLevel="0" collapsed="false">
      <c r="A198" s="120" t="str">
        <f aca="false">Scoring!AR204</f>
        <v/>
      </c>
      <c r="B198" s="120" t="str">
        <f aca="false">Scoring!AQ204</f>
        <v/>
      </c>
      <c r="C198" s="120" t="n">
        <f aca="false">Scoring!C204</f>
        <v>0</v>
      </c>
      <c r="D198" s="121" t="str">
        <f aca="false">Scoring!AN204</f>
        <v/>
      </c>
      <c r="E198" s="120" t="str">
        <f aca="false">Scoring!V204</f>
        <v/>
      </c>
      <c r="F198" s="120" t="n">
        <f aca="false">Scoring!B204</f>
        <v>0</v>
      </c>
      <c r="G198" s="120" t="n">
        <f aca="false">Scoring!D204</f>
        <v>0</v>
      </c>
      <c r="H198" s="120" t="str">
        <f aca="false">Scoring!AP204</f>
        <v/>
      </c>
      <c r="I198" s="120" t="str">
        <f aca="false">Scoring!AO204</f>
        <v/>
      </c>
    </row>
    <row r="199" customFormat="false" ht="15.75" hidden="false" customHeight="false" outlineLevel="0" collapsed="false">
      <c r="A199" s="120" t="str">
        <f aca="false">Scoring!AR205</f>
        <v/>
      </c>
      <c r="B199" s="120" t="str">
        <f aca="false">Scoring!AQ205</f>
        <v/>
      </c>
      <c r="C199" s="120" t="n">
        <f aca="false">Scoring!C205</f>
        <v>0</v>
      </c>
      <c r="D199" s="121" t="str">
        <f aca="false">Scoring!AN205</f>
        <v/>
      </c>
      <c r="E199" s="120" t="str">
        <f aca="false">Scoring!V205</f>
        <v/>
      </c>
      <c r="F199" s="120" t="n">
        <f aca="false">Scoring!B205</f>
        <v>0</v>
      </c>
      <c r="G199" s="120" t="n">
        <f aca="false">Scoring!D205</f>
        <v>0</v>
      </c>
      <c r="H199" s="120" t="str">
        <f aca="false">Scoring!AP205</f>
        <v/>
      </c>
      <c r="I199" s="120" t="str">
        <f aca="false">Scoring!AO205</f>
        <v/>
      </c>
    </row>
    <row r="200" customFormat="false" ht="15.75" hidden="false" customHeight="false" outlineLevel="0" collapsed="false">
      <c r="A200" s="120" t="str">
        <f aca="false">Scoring!AR206</f>
        <v/>
      </c>
      <c r="B200" s="120" t="str">
        <f aca="false">Scoring!AQ206</f>
        <v/>
      </c>
      <c r="C200" s="120" t="n">
        <f aca="false">Scoring!C206</f>
        <v>0</v>
      </c>
      <c r="D200" s="121" t="str">
        <f aca="false">Scoring!AN206</f>
        <v/>
      </c>
      <c r="E200" s="120" t="str">
        <f aca="false">Scoring!V206</f>
        <v/>
      </c>
      <c r="F200" s="120" t="n">
        <f aca="false">Scoring!B206</f>
        <v>0</v>
      </c>
      <c r="G200" s="120" t="n">
        <f aca="false">Scoring!D206</f>
        <v>0</v>
      </c>
      <c r="H200" s="120" t="str">
        <f aca="false">Scoring!AP206</f>
        <v/>
      </c>
      <c r="I200" s="120" t="str">
        <f aca="false">Scoring!AO206</f>
        <v/>
      </c>
    </row>
    <row r="201" customFormat="false" ht="15.75" hidden="false" customHeight="false" outlineLevel="0" collapsed="false">
      <c r="A201" s="120" t="str">
        <f aca="false">Scoring!AR207</f>
        <v/>
      </c>
      <c r="B201" s="120" t="str">
        <f aca="false">Scoring!AQ207</f>
        <v/>
      </c>
      <c r="C201" s="120" t="n">
        <f aca="false">Scoring!C207</f>
        <v>0</v>
      </c>
      <c r="D201" s="121" t="str">
        <f aca="false">Scoring!AN207</f>
        <v/>
      </c>
      <c r="E201" s="120" t="str">
        <f aca="false">Scoring!V207</f>
        <v/>
      </c>
      <c r="F201" s="120" t="n">
        <f aca="false">Scoring!B207</f>
        <v>0</v>
      </c>
      <c r="G201" s="120" t="n">
        <f aca="false">Scoring!D207</f>
        <v>0</v>
      </c>
      <c r="H201" s="120" t="str">
        <f aca="false">Scoring!AP207</f>
        <v/>
      </c>
      <c r="I201" s="120" t="str">
        <f aca="false">Scoring!AO207</f>
        <v/>
      </c>
    </row>
    <row r="202" customFormat="false" ht="15.75" hidden="false" customHeight="false" outlineLevel="0" collapsed="false">
      <c r="A202" s="120" t="str">
        <f aca="false">Scoring!AR208</f>
        <v/>
      </c>
      <c r="B202" s="120" t="str">
        <f aca="false">Scoring!AQ208</f>
        <v/>
      </c>
      <c r="C202" s="120" t="n">
        <f aca="false">Scoring!C208</f>
        <v>0</v>
      </c>
      <c r="D202" s="121" t="str">
        <f aca="false">Scoring!AN208</f>
        <v/>
      </c>
      <c r="E202" s="120" t="str">
        <f aca="false">Scoring!V208</f>
        <v/>
      </c>
      <c r="F202" s="120" t="n">
        <f aca="false">Scoring!B208</f>
        <v>0</v>
      </c>
      <c r="G202" s="120" t="n">
        <f aca="false">Scoring!D208</f>
        <v>0</v>
      </c>
      <c r="H202" s="120" t="str">
        <f aca="false">Scoring!AP208</f>
        <v/>
      </c>
      <c r="I202" s="120" t="str">
        <f aca="false">Scoring!AO208</f>
        <v/>
      </c>
    </row>
    <row r="203" customFormat="false" ht="15.75" hidden="false" customHeight="false" outlineLevel="0" collapsed="false">
      <c r="A203" s="120" t="str">
        <f aca="false">Scoring!AR209</f>
        <v/>
      </c>
      <c r="B203" s="120" t="str">
        <f aca="false">Scoring!AQ209</f>
        <v/>
      </c>
      <c r="C203" s="120" t="n">
        <f aca="false">Scoring!C209</f>
        <v>0</v>
      </c>
      <c r="D203" s="121" t="str">
        <f aca="false">Scoring!AN209</f>
        <v/>
      </c>
      <c r="E203" s="120" t="str">
        <f aca="false">Scoring!V209</f>
        <v/>
      </c>
      <c r="F203" s="120" t="n">
        <f aca="false">Scoring!B209</f>
        <v>0</v>
      </c>
      <c r="G203" s="120" t="n">
        <f aca="false">Scoring!D209</f>
        <v>0</v>
      </c>
      <c r="H203" s="120" t="str">
        <f aca="false">Scoring!AP209</f>
        <v/>
      </c>
      <c r="I203" s="120" t="str">
        <f aca="false">Scoring!AO209</f>
        <v/>
      </c>
    </row>
    <row r="204" customFormat="false" ht="15.75" hidden="false" customHeight="false" outlineLevel="0" collapsed="false">
      <c r="A204" s="120" t="str">
        <f aca="false">Scoring!AR210</f>
        <v/>
      </c>
      <c r="B204" s="120" t="str">
        <f aca="false">Scoring!AQ210</f>
        <v/>
      </c>
      <c r="C204" s="120" t="n">
        <f aca="false">Scoring!C210</f>
        <v>0</v>
      </c>
      <c r="D204" s="121" t="str">
        <f aca="false">Scoring!AN210</f>
        <v/>
      </c>
      <c r="E204" s="120" t="str">
        <f aca="false">Scoring!V210</f>
        <v/>
      </c>
      <c r="F204" s="120" t="n">
        <f aca="false">Scoring!B210</f>
        <v>0</v>
      </c>
      <c r="G204" s="120" t="n">
        <f aca="false">Scoring!D210</f>
        <v>0</v>
      </c>
      <c r="H204" s="120" t="str">
        <f aca="false">Scoring!AP210</f>
        <v/>
      </c>
      <c r="I204" s="120" t="str">
        <f aca="false">Scoring!AO210</f>
        <v/>
      </c>
    </row>
    <row r="205" customFormat="false" ht="15.75" hidden="false" customHeight="false" outlineLevel="0" collapsed="false">
      <c r="A205" s="120" t="str">
        <f aca="false">Scoring!AR211</f>
        <v/>
      </c>
      <c r="B205" s="120" t="str">
        <f aca="false">Scoring!AQ211</f>
        <v/>
      </c>
      <c r="C205" s="120" t="n">
        <f aca="false">Scoring!C211</f>
        <v>0</v>
      </c>
      <c r="D205" s="121" t="str">
        <f aca="false">Scoring!AN211</f>
        <v/>
      </c>
      <c r="E205" s="120" t="str">
        <f aca="false">Scoring!V211</f>
        <v/>
      </c>
      <c r="F205" s="120" t="n">
        <f aca="false">Scoring!B211</f>
        <v>0</v>
      </c>
      <c r="G205" s="120" t="n">
        <f aca="false">Scoring!D211</f>
        <v>0</v>
      </c>
      <c r="H205" s="120" t="str">
        <f aca="false">Scoring!AP211</f>
        <v/>
      </c>
      <c r="I205" s="120" t="str">
        <f aca="false">Scoring!AO211</f>
        <v/>
      </c>
    </row>
    <row r="206" customFormat="false" ht="15.75" hidden="false" customHeight="false" outlineLevel="0" collapsed="false">
      <c r="A206" s="120" t="str">
        <f aca="false">Scoring!AR212</f>
        <v/>
      </c>
      <c r="B206" s="120" t="str">
        <f aca="false">Scoring!AQ212</f>
        <v/>
      </c>
      <c r="C206" s="120" t="n">
        <f aca="false">Scoring!C212</f>
        <v>0</v>
      </c>
      <c r="D206" s="121" t="str">
        <f aca="false">Scoring!AN212</f>
        <v/>
      </c>
      <c r="E206" s="120" t="str">
        <f aca="false">Scoring!V212</f>
        <v/>
      </c>
      <c r="F206" s="120" t="n">
        <f aca="false">Scoring!B212</f>
        <v>0</v>
      </c>
      <c r="G206" s="120" t="n">
        <f aca="false">Scoring!D212</f>
        <v>0</v>
      </c>
      <c r="H206" s="120" t="str">
        <f aca="false">Scoring!AP212</f>
        <v/>
      </c>
      <c r="I206" s="120" t="str">
        <f aca="false">Scoring!AO212</f>
        <v/>
      </c>
    </row>
    <row r="207" customFormat="false" ht="15.75" hidden="false" customHeight="false" outlineLevel="0" collapsed="false">
      <c r="A207" s="120" t="str">
        <f aca="false">Scoring!AR213</f>
        <v/>
      </c>
      <c r="B207" s="120" t="str">
        <f aca="false">Scoring!AQ213</f>
        <v/>
      </c>
      <c r="C207" s="120" t="n">
        <f aca="false">Scoring!C213</f>
        <v>0</v>
      </c>
      <c r="D207" s="121" t="str">
        <f aca="false">Scoring!AN213</f>
        <v/>
      </c>
      <c r="E207" s="120" t="str">
        <f aca="false">Scoring!V213</f>
        <v/>
      </c>
      <c r="F207" s="120" t="n">
        <f aca="false">Scoring!B213</f>
        <v>0</v>
      </c>
      <c r="G207" s="120" t="n">
        <f aca="false">Scoring!D213</f>
        <v>0</v>
      </c>
      <c r="H207" s="120" t="str">
        <f aca="false">Scoring!AP213</f>
        <v/>
      </c>
      <c r="I207" s="120" t="str">
        <f aca="false">Scoring!AO213</f>
        <v/>
      </c>
    </row>
    <row r="208" customFormat="false" ht="15.75" hidden="false" customHeight="false" outlineLevel="0" collapsed="false">
      <c r="A208" s="120" t="str">
        <f aca="false">Scoring!AR214</f>
        <v/>
      </c>
      <c r="B208" s="120" t="str">
        <f aca="false">Scoring!AQ214</f>
        <v/>
      </c>
      <c r="C208" s="120" t="n">
        <f aca="false">Scoring!C214</f>
        <v>0</v>
      </c>
      <c r="D208" s="121" t="str">
        <f aca="false">Scoring!AN214</f>
        <v/>
      </c>
      <c r="E208" s="120" t="str">
        <f aca="false">Scoring!V214</f>
        <v/>
      </c>
      <c r="F208" s="120" t="n">
        <f aca="false">Scoring!B214</f>
        <v>0</v>
      </c>
      <c r="G208" s="120" t="n">
        <f aca="false">Scoring!D214</f>
        <v>0</v>
      </c>
      <c r="H208" s="120" t="str">
        <f aca="false">Scoring!AP214</f>
        <v/>
      </c>
      <c r="I208" s="120" t="str">
        <f aca="false">Scoring!AO214</f>
        <v/>
      </c>
    </row>
    <row r="209" customFormat="false" ht="15.75" hidden="false" customHeight="false" outlineLevel="0" collapsed="false">
      <c r="A209" s="120" t="str">
        <f aca="false">Scoring!AR215</f>
        <v/>
      </c>
      <c r="B209" s="120" t="str">
        <f aca="false">Scoring!AQ215</f>
        <v/>
      </c>
      <c r="C209" s="120" t="n">
        <f aca="false">Scoring!C215</f>
        <v>0</v>
      </c>
      <c r="D209" s="121" t="str">
        <f aca="false">Scoring!AN215</f>
        <v/>
      </c>
      <c r="E209" s="120" t="str">
        <f aca="false">Scoring!V215</f>
        <v/>
      </c>
      <c r="F209" s="120" t="n">
        <f aca="false">Scoring!B215</f>
        <v>0</v>
      </c>
      <c r="G209" s="120" t="n">
        <f aca="false">Scoring!D215</f>
        <v>0</v>
      </c>
      <c r="H209" s="120" t="str">
        <f aca="false">Scoring!AP215</f>
        <v/>
      </c>
      <c r="I209" s="120" t="str">
        <f aca="false">Scoring!AO215</f>
        <v/>
      </c>
    </row>
    <row r="210" customFormat="false" ht="15.75" hidden="false" customHeight="false" outlineLevel="0" collapsed="false">
      <c r="A210" s="120" t="str">
        <f aca="false">Scoring!AR216</f>
        <v/>
      </c>
      <c r="B210" s="120" t="str">
        <f aca="false">Scoring!AQ216</f>
        <v/>
      </c>
      <c r="C210" s="120" t="n">
        <f aca="false">Scoring!C216</f>
        <v>0</v>
      </c>
      <c r="D210" s="121" t="str">
        <f aca="false">Scoring!AN216</f>
        <v/>
      </c>
      <c r="E210" s="120" t="str">
        <f aca="false">Scoring!V216</f>
        <v/>
      </c>
      <c r="F210" s="120" t="n">
        <f aca="false">Scoring!B216</f>
        <v>0</v>
      </c>
      <c r="G210" s="120" t="n">
        <f aca="false">Scoring!D216</f>
        <v>0</v>
      </c>
      <c r="H210" s="120" t="str">
        <f aca="false">Scoring!AP216</f>
        <v/>
      </c>
      <c r="I210" s="120" t="str">
        <f aca="false">Scoring!AO216</f>
        <v/>
      </c>
    </row>
    <row r="211" customFormat="false" ht="15.75" hidden="false" customHeight="false" outlineLevel="0" collapsed="false">
      <c r="A211" s="120" t="str">
        <f aca="false">Scoring!AR217</f>
        <v/>
      </c>
      <c r="B211" s="120" t="str">
        <f aca="false">Scoring!AQ217</f>
        <v/>
      </c>
      <c r="C211" s="120" t="n">
        <f aca="false">Scoring!C217</f>
        <v>0</v>
      </c>
      <c r="D211" s="121" t="str">
        <f aca="false">Scoring!AN217</f>
        <v/>
      </c>
      <c r="E211" s="120" t="str">
        <f aca="false">Scoring!V217</f>
        <v/>
      </c>
      <c r="F211" s="120" t="n">
        <f aca="false">Scoring!B217</f>
        <v>0</v>
      </c>
      <c r="G211" s="120" t="n">
        <f aca="false">Scoring!D217</f>
        <v>0</v>
      </c>
      <c r="H211" s="120" t="str">
        <f aca="false">Scoring!AP217</f>
        <v/>
      </c>
      <c r="I211" s="120" t="str">
        <f aca="false">Scoring!AO217</f>
        <v/>
      </c>
    </row>
    <row r="212" customFormat="false" ht="15.75" hidden="false" customHeight="false" outlineLevel="0" collapsed="false">
      <c r="A212" s="120" t="str">
        <f aca="false">Scoring!AR218</f>
        <v/>
      </c>
      <c r="B212" s="120" t="str">
        <f aca="false">Scoring!AQ218</f>
        <v/>
      </c>
      <c r="C212" s="120" t="n">
        <f aca="false">Scoring!C218</f>
        <v>0</v>
      </c>
      <c r="D212" s="121" t="str">
        <f aca="false">Scoring!AN218</f>
        <v/>
      </c>
      <c r="E212" s="120" t="str">
        <f aca="false">Scoring!V218</f>
        <v/>
      </c>
      <c r="F212" s="120" t="n">
        <f aca="false">Scoring!B218</f>
        <v>0</v>
      </c>
      <c r="G212" s="120" t="n">
        <f aca="false">Scoring!D218</f>
        <v>0</v>
      </c>
      <c r="H212" s="120" t="str">
        <f aca="false">Scoring!AP218</f>
        <v/>
      </c>
      <c r="I212" s="120" t="str">
        <f aca="false">Scoring!AO218</f>
        <v/>
      </c>
    </row>
    <row r="213" customFormat="false" ht="15.75" hidden="false" customHeight="false" outlineLevel="0" collapsed="false">
      <c r="A213" s="120" t="str">
        <f aca="false">Scoring!AR219</f>
        <v/>
      </c>
      <c r="B213" s="120" t="str">
        <f aca="false">Scoring!AQ219</f>
        <v/>
      </c>
      <c r="C213" s="120" t="n">
        <f aca="false">Scoring!C219</f>
        <v>0</v>
      </c>
      <c r="D213" s="121" t="str">
        <f aca="false">Scoring!AN219</f>
        <v/>
      </c>
      <c r="E213" s="120" t="str">
        <f aca="false">Scoring!V219</f>
        <v/>
      </c>
      <c r="F213" s="120" t="n">
        <f aca="false">Scoring!B219</f>
        <v>0</v>
      </c>
      <c r="G213" s="120" t="n">
        <f aca="false">Scoring!D219</f>
        <v>0</v>
      </c>
      <c r="H213" s="120" t="str">
        <f aca="false">Scoring!AP219</f>
        <v/>
      </c>
      <c r="I213" s="120" t="str">
        <f aca="false">Scoring!AO219</f>
        <v/>
      </c>
    </row>
    <row r="214" customFormat="false" ht="15.75" hidden="false" customHeight="false" outlineLevel="0" collapsed="false">
      <c r="A214" s="120" t="str">
        <f aca="false">Scoring!AR220</f>
        <v/>
      </c>
      <c r="B214" s="120" t="str">
        <f aca="false">Scoring!AQ220</f>
        <v/>
      </c>
      <c r="C214" s="120" t="n">
        <f aca="false">Scoring!C220</f>
        <v>0</v>
      </c>
      <c r="D214" s="121" t="str">
        <f aca="false">Scoring!AN220</f>
        <v/>
      </c>
      <c r="E214" s="120" t="str">
        <f aca="false">Scoring!V220</f>
        <v/>
      </c>
      <c r="F214" s="120" t="n">
        <f aca="false">Scoring!B220</f>
        <v>0</v>
      </c>
      <c r="G214" s="120" t="n">
        <f aca="false">Scoring!D220</f>
        <v>0</v>
      </c>
      <c r="H214" s="120" t="str">
        <f aca="false">Scoring!AP220</f>
        <v/>
      </c>
      <c r="I214" s="120" t="str">
        <f aca="false">Scoring!AO220</f>
        <v/>
      </c>
    </row>
    <row r="215" customFormat="false" ht="15.75" hidden="false" customHeight="false" outlineLevel="0" collapsed="false">
      <c r="A215" s="120" t="str">
        <f aca="false">Scoring!AR221</f>
        <v/>
      </c>
      <c r="B215" s="120" t="str">
        <f aca="false">Scoring!AQ221</f>
        <v/>
      </c>
      <c r="C215" s="120" t="n">
        <f aca="false">Scoring!C221</f>
        <v>0</v>
      </c>
      <c r="D215" s="121" t="str">
        <f aca="false">Scoring!AN221</f>
        <v/>
      </c>
      <c r="E215" s="120" t="str">
        <f aca="false">Scoring!V221</f>
        <v/>
      </c>
      <c r="F215" s="120" t="n">
        <f aca="false">Scoring!B221</f>
        <v>0</v>
      </c>
      <c r="G215" s="120" t="n">
        <f aca="false">Scoring!D221</f>
        <v>0</v>
      </c>
      <c r="H215" s="120" t="str">
        <f aca="false">Scoring!AP221</f>
        <v/>
      </c>
      <c r="I215" s="120" t="str">
        <f aca="false">Scoring!AO221</f>
        <v/>
      </c>
    </row>
    <row r="216" customFormat="false" ht="15.75" hidden="false" customHeight="false" outlineLevel="0" collapsed="false">
      <c r="A216" s="120" t="str">
        <f aca="false">Scoring!AR222</f>
        <v/>
      </c>
      <c r="B216" s="120" t="str">
        <f aca="false">Scoring!AQ222</f>
        <v/>
      </c>
      <c r="C216" s="120" t="n">
        <f aca="false">Scoring!C222</f>
        <v>0</v>
      </c>
      <c r="D216" s="121" t="str">
        <f aca="false">Scoring!AN222</f>
        <v/>
      </c>
      <c r="E216" s="120" t="str">
        <f aca="false">Scoring!V222</f>
        <v/>
      </c>
      <c r="F216" s="120" t="n">
        <f aca="false">Scoring!B222</f>
        <v>0</v>
      </c>
      <c r="G216" s="120" t="n">
        <f aca="false">Scoring!D222</f>
        <v>0</v>
      </c>
      <c r="H216" s="120" t="str">
        <f aca="false">Scoring!AP222</f>
        <v/>
      </c>
      <c r="I216" s="120" t="str">
        <f aca="false">Scoring!AO222</f>
        <v/>
      </c>
    </row>
    <row r="217" customFormat="false" ht="15.75" hidden="false" customHeight="false" outlineLevel="0" collapsed="false">
      <c r="A217" s="120" t="str">
        <f aca="false">Scoring!AR223</f>
        <v/>
      </c>
      <c r="B217" s="120" t="str">
        <f aca="false">Scoring!AQ223</f>
        <v/>
      </c>
      <c r="C217" s="120" t="n">
        <f aca="false">Scoring!C223</f>
        <v>0</v>
      </c>
      <c r="D217" s="121" t="str">
        <f aca="false">Scoring!AN223</f>
        <v/>
      </c>
      <c r="E217" s="120" t="str">
        <f aca="false">Scoring!V223</f>
        <v/>
      </c>
      <c r="F217" s="120" t="n">
        <f aca="false">Scoring!B223</f>
        <v>0</v>
      </c>
      <c r="G217" s="120" t="n">
        <f aca="false">Scoring!D223</f>
        <v>0</v>
      </c>
      <c r="H217" s="120" t="str">
        <f aca="false">Scoring!AP223</f>
        <v/>
      </c>
      <c r="I217" s="120" t="str">
        <f aca="false">Scoring!AO223</f>
        <v/>
      </c>
    </row>
    <row r="218" customFormat="false" ht="15.75" hidden="false" customHeight="false" outlineLevel="0" collapsed="false">
      <c r="A218" s="120" t="str">
        <f aca="false">Scoring!AR224</f>
        <v/>
      </c>
      <c r="B218" s="120" t="str">
        <f aca="false">Scoring!AQ224</f>
        <v/>
      </c>
      <c r="C218" s="120" t="n">
        <f aca="false">Scoring!C224</f>
        <v>0</v>
      </c>
      <c r="D218" s="121" t="str">
        <f aca="false">Scoring!AN224</f>
        <v/>
      </c>
      <c r="E218" s="120" t="str">
        <f aca="false">Scoring!V224</f>
        <v/>
      </c>
      <c r="F218" s="120" t="n">
        <f aca="false">Scoring!B224</f>
        <v>0</v>
      </c>
      <c r="G218" s="120" t="n">
        <f aca="false">Scoring!D224</f>
        <v>0</v>
      </c>
      <c r="H218" s="120" t="str">
        <f aca="false">Scoring!AP224</f>
        <v/>
      </c>
      <c r="I218" s="120" t="str">
        <f aca="false">Scoring!AO224</f>
        <v/>
      </c>
    </row>
    <row r="219" customFormat="false" ht="15.75" hidden="false" customHeight="false" outlineLevel="0" collapsed="false">
      <c r="A219" s="120" t="str">
        <f aca="false">Scoring!AR225</f>
        <v/>
      </c>
      <c r="B219" s="120" t="str">
        <f aca="false">Scoring!AQ225</f>
        <v/>
      </c>
      <c r="C219" s="120" t="n">
        <f aca="false">Scoring!C225</f>
        <v>0</v>
      </c>
      <c r="D219" s="121" t="str">
        <f aca="false">Scoring!AN225</f>
        <v/>
      </c>
      <c r="E219" s="120" t="str">
        <f aca="false">Scoring!V225</f>
        <v/>
      </c>
      <c r="F219" s="120" t="n">
        <f aca="false">Scoring!B225</f>
        <v>0</v>
      </c>
      <c r="G219" s="120" t="n">
        <f aca="false">Scoring!D225</f>
        <v>0</v>
      </c>
      <c r="H219" s="120" t="str">
        <f aca="false">Scoring!AP225</f>
        <v/>
      </c>
      <c r="I219" s="120" t="str">
        <f aca="false">Scoring!AO225</f>
        <v/>
      </c>
    </row>
    <row r="220" customFormat="false" ht="15.75" hidden="false" customHeight="false" outlineLevel="0" collapsed="false">
      <c r="A220" s="120" t="str">
        <f aca="false">Scoring!AR226</f>
        <v/>
      </c>
      <c r="B220" s="120" t="str">
        <f aca="false">Scoring!AQ226</f>
        <v/>
      </c>
      <c r="C220" s="120" t="n">
        <f aca="false">Scoring!C226</f>
        <v>0</v>
      </c>
      <c r="D220" s="121" t="str">
        <f aca="false">Scoring!AN226</f>
        <v/>
      </c>
      <c r="E220" s="120" t="str">
        <f aca="false">Scoring!V226</f>
        <v/>
      </c>
      <c r="F220" s="120" t="n">
        <f aca="false">Scoring!B226</f>
        <v>0</v>
      </c>
      <c r="G220" s="120" t="n">
        <f aca="false">Scoring!D226</f>
        <v>0</v>
      </c>
      <c r="H220" s="120" t="str">
        <f aca="false">Scoring!AP226</f>
        <v/>
      </c>
      <c r="I220" s="120" t="str">
        <f aca="false">Scoring!AO226</f>
        <v/>
      </c>
    </row>
    <row r="221" customFormat="false" ht="15.75" hidden="false" customHeight="false" outlineLevel="0" collapsed="false">
      <c r="A221" s="120" t="str">
        <f aca="false">Scoring!AR227</f>
        <v/>
      </c>
      <c r="B221" s="120" t="str">
        <f aca="false">Scoring!AQ227</f>
        <v/>
      </c>
      <c r="C221" s="120" t="n">
        <f aca="false">Scoring!C227</f>
        <v>0</v>
      </c>
      <c r="D221" s="121" t="str">
        <f aca="false">Scoring!AN227</f>
        <v/>
      </c>
      <c r="E221" s="120" t="str">
        <f aca="false">Scoring!V227</f>
        <v/>
      </c>
      <c r="F221" s="120" t="n">
        <f aca="false">Scoring!B227</f>
        <v>0</v>
      </c>
      <c r="G221" s="120" t="n">
        <f aca="false">Scoring!D227</f>
        <v>0</v>
      </c>
      <c r="H221" s="120" t="str">
        <f aca="false">Scoring!AP227</f>
        <v/>
      </c>
      <c r="I221" s="120" t="str">
        <f aca="false">Scoring!AO227</f>
        <v/>
      </c>
    </row>
    <row r="222" customFormat="false" ht="15.75" hidden="false" customHeight="false" outlineLevel="0" collapsed="false">
      <c r="A222" s="120" t="str">
        <f aca="false">Scoring!AR228</f>
        <v/>
      </c>
      <c r="B222" s="120" t="str">
        <f aca="false">Scoring!AQ228</f>
        <v/>
      </c>
      <c r="C222" s="120" t="n">
        <f aca="false">Scoring!C228</f>
        <v>0</v>
      </c>
      <c r="D222" s="121" t="str">
        <f aca="false">Scoring!AN228</f>
        <v/>
      </c>
      <c r="E222" s="120" t="str">
        <f aca="false">Scoring!V228</f>
        <v/>
      </c>
      <c r="F222" s="120" t="n">
        <f aca="false">Scoring!B228</f>
        <v>0</v>
      </c>
      <c r="G222" s="120" t="n">
        <f aca="false">Scoring!D228</f>
        <v>0</v>
      </c>
      <c r="H222" s="120" t="str">
        <f aca="false">Scoring!AP228</f>
        <v/>
      </c>
      <c r="I222" s="120" t="str">
        <f aca="false">Scoring!AO228</f>
        <v/>
      </c>
    </row>
    <row r="223" customFormat="false" ht="15.75" hidden="false" customHeight="false" outlineLevel="0" collapsed="false">
      <c r="A223" s="120" t="str">
        <f aca="false">Scoring!AR229</f>
        <v/>
      </c>
      <c r="B223" s="120" t="str">
        <f aca="false">Scoring!AQ229</f>
        <v/>
      </c>
      <c r="C223" s="120" t="n">
        <f aca="false">Scoring!C229</f>
        <v>0</v>
      </c>
      <c r="D223" s="121" t="str">
        <f aca="false">Scoring!AN229</f>
        <v/>
      </c>
      <c r="E223" s="120" t="str">
        <f aca="false">Scoring!V229</f>
        <v/>
      </c>
      <c r="F223" s="120" t="n">
        <f aca="false">Scoring!B229</f>
        <v>0</v>
      </c>
      <c r="G223" s="120" t="n">
        <f aca="false">Scoring!D229</f>
        <v>0</v>
      </c>
      <c r="H223" s="120" t="str">
        <f aca="false">Scoring!AP229</f>
        <v/>
      </c>
      <c r="I223" s="120" t="str">
        <f aca="false">Scoring!AO229</f>
        <v/>
      </c>
    </row>
    <row r="224" customFormat="false" ht="15.75" hidden="false" customHeight="false" outlineLevel="0" collapsed="false">
      <c r="A224" s="120" t="str">
        <f aca="false">Scoring!AR230</f>
        <v/>
      </c>
      <c r="B224" s="120" t="str">
        <f aca="false">Scoring!AQ230</f>
        <v/>
      </c>
      <c r="C224" s="120" t="n">
        <f aca="false">Scoring!C230</f>
        <v>0</v>
      </c>
      <c r="D224" s="121" t="str">
        <f aca="false">Scoring!AN230</f>
        <v/>
      </c>
      <c r="E224" s="120" t="str">
        <f aca="false">Scoring!V230</f>
        <v/>
      </c>
      <c r="F224" s="120" t="n">
        <f aca="false">Scoring!B230</f>
        <v>0</v>
      </c>
      <c r="G224" s="120" t="n">
        <f aca="false">Scoring!D230</f>
        <v>0</v>
      </c>
      <c r="H224" s="120" t="str">
        <f aca="false">Scoring!AP230</f>
        <v/>
      </c>
      <c r="I224" s="120" t="str">
        <f aca="false">Scoring!AO230</f>
        <v/>
      </c>
    </row>
    <row r="225" customFormat="false" ht="15.75" hidden="false" customHeight="false" outlineLevel="0" collapsed="false">
      <c r="A225" s="120" t="str">
        <f aca="false">Scoring!AR231</f>
        <v/>
      </c>
      <c r="B225" s="120" t="str">
        <f aca="false">Scoring!AQ231</f>
        <v/>
      </c>
      <c r="C225" s="120" t="n">
        <f aca="false">Scoring!C231</f>
        <v>0</v>
      </c>
      <c r="D225" s="121" t="str">
        <f aca="false">Scoring!AN231</f>
        <v/>
      </c>
      <c r="E225" s="120" t="str">
        <f aca="false">Scoring!V231</f>
        <v/>
      </c>
      <c r="F225" s="120" t="n">
        <f aca="false">Scoring!B231</f>
        <v>0</v>
      </c>
      <c r="G225" s="120" t="n">
        <f aca="false">Scoring!D231</f>
        <v>0</v>
      </c>
      <c r="H225" s="120" t="str">
        <f aca="false">Scoring!AP231</f>
        <v/>
      </c>
      <c r="I225" s="120" t="str">
        <f aca="false">Scoring!AO231</f>
        <v/>
      </c>
    </row>
    <row r="226" customFormat="false" ht="15.75" hidden="false" customHeight="false" outlineLevel="0" collapsed="false">
      <c r="A226" s="120" t="str">
        <f aca="false">Scoring!AR232</f>
        <v/>
      </c>
      <c r="B226" s="120" t="str">
        <f aca="false">Scoring!AQ232</f>
        <v/>
      </c>
      <c r="C226" s="120" t="n">
        <f aca="false">Scoring!C232</f>
        <v>0</v>
      </c>
      <c r="D226" s="121" t="str">
        <f aca="false">Scoring!AN232</f>
        <v/>
      </c>
      <c r="E226" s="120" t="str">
        <f aca="false">Scoring!V232</f>
        <v/>
      </c>
      <c r="F226" s="120" t="n">
        <f aca="false">Scoring!B232</f>
        <v>0</v>
      </c>
      <c r="G226" s="120" t="n">
        <f aca="false">Scoring!D232</f>
        <v>0</v>
      </c>
      <c r="H226" s="120" t="str">
        <f aca="false">Scoring!AP232</f>
        <v/>
      </c>
      <c r="I226" s="120" t="str">
        <f aca="false">Scoring!AO232</f>
        <v/>
      </c>
    </row>
    <row r="227" customFormat="false" ht="15.75" hidden="false" customHeight="false" outlineLevel="0" collapsed="false">
      <c r="A227" s="120" t="str">
        <f aca="false">Scoring!AR233</f>
        <v/>
      </c>
      <c r="B227" s="120" t="str">
        <f aca="false">Scoring!AQ233</f>
        <v/>
      </c>
      <c r="C227" s="120" t="n">
        <f aca="false">Scoring!C233</f>
        <v>0</v>
      </c>
      <c r="D227" s="121" t="str">
        <f aca="false">Scoring!AN233</f>
        <v/>
      </c>
      <c r="E227" s="120" t="str">
        <f aca="false">Scoring!V233</f>
        <v/>
      </c>
      <c r="F227" s="120" t="n">
        <f aca="false">Scoring!B233</f>
        <v>0</v>
      </c>
      <c r="G227" s="120" t="n">
        <f aca="false">Scoring!D233</f>
        <v>0</v>
      </c>
      <c r="H227" s="120" t="str">
        <f aca="false">Scoring!AP233</f>
        <v/>
      </c>
      <c r="I227" s="120" t="str">
        <f aca="false">Scoring!AO233</f>
        <v/>
      </c>
    </row>
    <row r="228" customFormat="false" ht="15.75" hidden="false" customHeight="false" outlineLevel="0" collapsed="false">
      <c r="A228" s="120" t="str">
        <f aca="false">Scoring!AR234</f>
        <v/>
      </c>
      <c r="B228" s="120" t="str">
        <f aca="false">Scoring!AQ234</f>
        <v/>
      </c>
      <c r="C228" s="120" t="n">
        <f aca="false">Scoring!C234</f>
        <v>0</v>
      </c>
      <c r="D228" s="121" t="str">
        <f aca="false">Scoring!AN234</f>
        <v/>
      </c>
      <c r="E228" s="120" t="str">
        <f aca="false">Scoring!V234</f>
        <v/>
      </c>
      <c r="F228" s="120" t="n">
        <f aca="false">Scoring!B234</f>
        <v>0</v>
      </c>
      <c r="G228" s="120" t="n">
        <f aca="false">Scoring!D234</f>
        <v>0</v>
      </c>
      <c r="H228" s="120" t="str">
        <f aca="false">Scoring!AP234</f>
        <v/>
      </c>
      <c r="I228" s="120" t="str">
        <f aca="false">Scoring!AO234</f>
        <v/>
      </c>
    </row>
    <row r="229" customFormat="false" ht="15.75" hidden="false" customHeight="false" outlineLevel="0" collapsed="false">
      <c r="A229" s="120" t="str">
        <f aca="false">Scoring!AR235</f>
        <v/>
      </c>
      <c r="B229" s="120" t="str">
        <f aca="false">Scoring!AQ235</f>
        <v/>
      </c>
      <c r="C229" s="120" t="n">
        <f aca="false">Scoring!C235</f>
        <v>0</v>
      </c>
      <c r="D229" s="121" t="str">
        <f aca="false">Scoring!AN235</f>
        <v/>
      </c>
      <c r="E229" s="120" t="str">
        <f aca="false">Scoring!V235</f>
        <v/>
      </c>
      <c r="F229" s="120" t="n">
        <f aca="false">Scoring!B235</f>
        <v>0</v>
      </c>
      <c r="G229" s="120" t="n">
        <f aca="false">Scoring!D235</f>
        <v>0</v>
      </c>
      <c r="H229" s="120" t="str">
        <f aca="false">Scoring!AP235</f>
        <v/>
      </c>
      <c r="I229" s="120" t="str">
        <f aca="false">Scoring!AO235</f>
        <v/>
      </c>
    </row>
    <row r="230" customFormat="false" ht="15.75" hidden="false" customHeight="false" outlineLevel="0" collapsed="false">
      <c r="A230" s="120" t="str">
        <f aca="false">Scoring!AR236</f>
        <v/>
      </c>
      <c r="B230" s="120" t="str">
        <f aca="false">Scoring!AQ236</f>
        <v/>
      </c>
      <c r="C230" s="120" t="n">
        <f aca="false">Scoring!C236</f>
        <v>0</v>
      </c>
      <c r="D230" s="121" t="str">
        <f aca="false">Scoring!AN236</f>
        <v/>
      </c>
      <c r="E230" s="120" t="str">
        <f aca="false">Scoring!V236</f>
        <v/>
      </c>
      <c r="F230" s="120" t="n">
        <f aca="false">Scoring!B236</f>
        <v>0</v>
      </c>
      <c r="G230" s="120" t="n">
        <f aca="false">Scoring!D236</f>
        <v>0</v>
      </c>
      <c r="H230" s="120" t="str">
        <f aca="false">Scoring!AP236</f>
        <v/>
      </c>
      <c r="I230" s="120" t="str">
        <f aca="false">Scoring!AO236</f>
        <v/>
      </c>
    </row>
    <row r="231" customFormat="false" ht="15.75" hidden="false" customHeight="false" outlineLevel="0" collapsed="false">
      <c r="A231" s="120" t="str">
        <f aca="false">Scoring!AR237</f>
        <v/>
      </c>
      <c r="B231" s="120" t="str">
        <f aca="false">Scoring!AQ237</f>
        <v/>
      </c>
      <c r="C231" s="120" t="n">
        <f aca="false">Scoring!C237</f>
        <v>0</v>
      </c>
      <c r="D231" s="121" t="str">
        <f aca="false">Scoring!AN237</f>
        <v/>
      </c>
      <c r="E231" s="120" t="str">
        <f aca="false">Scoring!V237</f>
        <v/>
      </c>
      <c r="F231" s="120" t="n">
        <f aca="false">Scoring!B237</f>
        <v>0</v>
      </c>
      <c r="G231" s="120" t="n">
        <f aca="false">Scoring!D237</f>
        <v>0</v>
      </c>
      <c r="H231" s="120" t="str">
        <f aca="false">Scoring!AP237</f>
        <v/>
      </c>
      <c r="I231" s="120" t="str">
        <f aca="false">Scoring!AO237</f>
        <v/>
      </c>
    </row>
    <row r="232" customFormat="false" ht="15.75" hidden="false" customHeight="false" outlineLevel="0" collapsed="false">
      <c r="A232" s="120" t="str">
        <f aca="false">Scoring!AR238</f>
        <v/>
      </c>
      <c r="B232" s="120" t="str">
        <f aca="false">Scoring!AQ238</f>
        <v/>
      </c>
      <c r="C232" s="120" t="n">
        <f aca="false">Scoring!C238</f>
        <v>0</v>
      </c>
      <c r="D232" s="121" t="str">
        <f aca="false">Scoring!AN238</f>
        <v/>
      </c>
      <c r="E232" s="120" t="str">
        <f aca="false">Scoring!V238</f>
        <v/>
      </c>
      <c r="F232" s="120" t="n">
        <f aca="false">Scoring!B238</f>
        <v>0</v>
      </c>
      <c r="G232" s="120" t="n">
        <f aca="false">Scoring!D238</f>
        <v>0</v>
      </c>
      <c r="H232" s="120" t="str">
        <f aca="false">Scoring!AP238</f>
        <v/>
      </c>
      <c r="I232" s="120" t="str">
        <f aca="false">Scoring!AO238</f>
        <v/>
      </c>
    </row>
    <row r="233" customFormat="false" ht="15.75" hidden="false" customHeight="false" outlineLevel="0" collapsed="false">
      <c r="A233" s="120" t="str">
        <f aca="false">Scoring!AR239</f>
        <v/>
      </c>
      <c r="B233" s="120" t="str">
        <f aca="false">Scoring!AQ239</f>
        <v/>
      </c>
      <c r="C233" s="120" t="n">
        <f aca="false">Scoring!C239</f>
        <v>0</v>
      </c>
      <c r="D233" s="121" t="str">
        <f aca="false">Scoring!AN239</f>
        <v/>
      </c>
      <c r="E233" s="120" t="str">
        <f aca="false">Scoring!V239</f>
        <v/>
      </c>
      <c r="F233" s="120" t="n">
        <f aca="false">Scoring!B239</f>
        <v>0</v>
      </c>
      <c r="G233" s="120" t="n">
        <f aca="false">Scoring!D239</f>
        <v>0</v>
      </c>
      <c r="H233" s="120" t="str">
        <f aca="false">Scoring!AP239</f>
        <v/>
      </c>
      <c r="I233" s="120" t="str">
        <f aca="false">Scoring!AO239</f>
        <v/>
      </c>
    </row>
    <row r="234" customFormat="false" ht="15.75" hidden="false" customHeight="false" outlineLevel="0" collapsed="false">
      <c r="A234" s="120" t="str">
        <f aca="false">Scoring!AR240</f>
        <v/>
      </c>
      <c r="B234" s="120" t="str">
        <f aca="false">Scoring!AQ240</f>
        <v/>
      </c>
      <c r="C234" s="120" t="n">
        <f aca="false">Scoring!C240</f>
        <v>0</v>
      </c>
      <c r="D234" s="121" t="str">
        <f aca="false">Scoring!AN240</f>
        <v/>
      </c>
      <c r="E234" s="120" t="str">
        <f aca="false">Scoring!V240</f>
        <v/>
      </c>
      <c r="F234" s="120" t="n">
        <f aca="false">Scoring!B240</f>
        <v>0</v>
      </c>
      <c r="G234" s="120" t="n">
        <f aca="false">Scoring!D240</f>
        <v>0</v>
      </c>
      <c r="H234" s="120" t="str">
        <f aca="false">Scoring!AP240</f>
        <v/>
      </c>
      <c r="I234" s="120" t="str">
        <f aca="false">Scoring!AO240</f>
        <v/>
      </c>
    </row>
    <row r="235" customFormat="false" ht="15.75" hidden="false" customHeight="false" outlineLevel="0" collapsed="false">
      <c r="A235" s="120" t="str">
        <f aca="false">Scoring!AR241</f>
        <v/>
      </c>
      <c r="B235" s="120" t="str">
        <f aca="false">Scoring!AQ241</f>
        <v/>
      </c>
      <c r="C235" s="120" t="n">
        <f aca="false">Scoring!C241</f>
        <v>0</v>
      </c>
      <c r="D235" s="121" t="str">
        <f aca="false">Scoring!AN241</f>
        <v/>
      </c>
      <c r="E235" s="120" t="str">
        <f aca="false">Scoring!V241</f>
        <v/>
      </c>
      <c r="F235" s="120" t="n">
        <f aca="false">Scoring!B241</f>
        <v>0</v>
      </c>
      <c r="G235" s="120" t="n">
        <f aca="false">Scoring!D241</f>
        <v>0</v>
      </c>
      <c r="H235" s="120" t="str">
        <f aca="false">Scoring!AP241</f>
        <v/>
      </c>
      <c r="I235" s="120" t="str">
        <f aca="false">Scoring!AO241</f>
        <v/>
      </c>
    </row>
    <row r="236" customFormat="false" ht="15.75" hidden="false" customHeight="false" outlineLevel="0" collapsed="false">
      <c r="A236" s="120" t="str">
        <f aca="false">Scoring!AR242</f>
        <v/>
      </c>
      <c r="B236" s="120" t="str">
        <f aca="false">Scoring!AQ242</f>
        <v/>
      </c>
      <c r="C236" s="120" t="n">
        <f aca="false">Scoring!C242</f>
        <v>0</v>
      </c>
      <c r="D236" s="121" t="str">
        <f aca="false">Scoring!AN242</f>
        <v/>
      </c>
      <c r="E236" s="120" t="str">
        <f aca="false">Scoring!V242</f>
        <v/>
      </c>
      <c r="F236" s="120" t="n">
        <f aca="false">Scoring!B242</f>
        <v>0</v>
      </c>
      <c r="G236" s="120" t="n">
        <f aca="false">Scoring!D242</f>
        <v>0</v>
      </c>
      <c r="H236" s="120" t="str">
        <f aca="false">Scoring!AP242</f>
        <v/>
      </c>
      <c r="I236" s="120" t="str">
        <f aca="false">Scoring!AO242</f>
        <v/>
      </c>
    </row>
    <row r="237" customFormat="false" ht="15.75" hidden="false" customHeight="false" outlineLevel="0" collapsed="false">
      <c r="A237" s="120" t="str">
        <f aca="false">Scoring!AR243</f>
        <v/>
      </c>
      <c r="B237" s="120" t="str">
        <f aca="false">Scoring!AQ243</f>
        <v/>
      </c>
      <c r="C237" s="120" t="n">
        <f aca="false">Scoring!C243</f>
        <v>0</v>
      </c>
      <c r="D237" s="121" t="str">
        <f aca="false">Scoring!AN243</f>
        <v/>
      </c>
      <c r="E237" s="120" t="str">
        <f aca="false">Scoring!V243</f>
        <v/>
      </c>
      <c r="F237" s="120" t="n">
        <f aca="false">Scoring!B243</f>
        <v>0</v>
      </c>
      <c r="G237" s="120" t="n">
        <f aca="false">Scoring!D243</f>
        <v>0</v>
      </c>
      <c r="H237" s="120" t="str">
        <f aca="false">Scoring!AP243</f>
        <v/>
      </c>
      <c r="I237" s="120" t="str">
        <f aca="false">Scoring!AO243</f>
        <v/>
      </c>
    </row>
    <row r="238" customFormat="false" ht="15.75" hidden="false" customHeight="false" outlineLevel="0" collapsed="false">
      <c r="A238" s="120" t="str">
        <f aca="false">Scoring!AR244</f>
        <v/>
      </c>
      <c r="B238" s="120" t="str">
        <f aca="false">Scoring!AQ244</f>
        <v/>
      </c>
      <c r="C238" s="120" t="n">
        <f aca="false">Scoring!C244</f>
        <v>0</v>
      </c>
      <c r="D238" s="121" t="str">
        <f aca="false">Scoring!AN244</f>
        <v/>
      </c>
      <c r="E238" s="120" t="str">
        <f aca="false">Scoring!V244</f>
        <v/>
      </c>
      <c r="F238" s="120" t="n">
        <f aca="false">Scoring!B244</f>
        <v>0</v>
      </c>
      <c r="G238" s="120" t="n">
        <f aca="false">Scoring!D244</f>
        <v>0</v>
      </c>
      <c r="H238" s="120" t="str">
        <f aca="false">Scoring!AP244</f>
        <v/>
      </c>
      <c r="I238" s="120" t="str">
        <f aca="false">Scoring!AO244</f>
        <v/>
      </c>
    </row>
    <row r="239" customFormat="false" ht="15.75" hidden="false" customHeight="false" outlineLevel="0" collapsed="false">
      <c r="A239" s="120" t="str">
        <f aca="false">Scoring!AR245</f>
        <v/>
      </c>
      <c r="B239" s="120" t="str">
        <f aca="false">Scoring!AQ245</f>
        <v/>
      </c>
      <c r="C239" s="120" t="n">
        <f aca="false">Scoring!C245</f>
        <v>0</v>
      </c>
      <c r="D239" s="121" t="str">
        <f aca="false">Scoring!AN245</f>
        <v/>
      </c>
      <c r="E239" s="120" t="str">
        <f aca="false">Scoring!V245</f>
        <v/>
      </c>
      <c r="F239" s="120" t="n">
        <f aca="false">Scoring!B245</f>
        <v>0</v>
      </c>
      <c r="G239" s="120" t="n">
        <f aca="false">Scoring!D245</f>
        <v>0</v>
      </c>
      <c r="H239" s="120" t="str">
        <f aca="false">Scoring!AP245</f>
        <v/>
      </c>
      <c r="I239" s="120" t="str">
        <f aca="false">Scoring!AO245</f>
        <v/>
      </c>
    </row>
    <row r="240" customFormat="false" ht="15.75" hidden="false" customHeight="false" outlineLevel="0" collapsed="false">
      <c r="A240" s="120" t="str">
        <f aca="false">Scoring!AR246</f>
        <v/>
      </c>
      <c r="B240" s="120" t="str">
        <f aca="false">Scoring!AQ246</f>
        <v/>
      </c>
      <c r="C240" s="120" t="n">
        <f aca="false">Scoring!C246</f>
        <v>0</v>
      </c>
      <c r="D240" s="121" t="str">
        <f aca="false">Scoring!AN246</f>
        <v/>
      </c>
      <c r="E240" s="120" t="str">
        <f aca="false">Scoring!V246</f>
        <v/>
      </c>
      <c r="F240" s="120" t="n">
        <f aca="false">Scoring!B246</f>
        <v>0</v>
      </c>
      <c r="G240" s="120" t="n">
        <f aca="false">Scoring!D246</f>
        <v>0</v>
      </c>
      <c r="H240" s="120" t="str">
        <f aca="false">Scoring!AP246</f>
        <v/>
      </c>
      <c r="I240" s="120" t="str">
        <f aca="false">Scoring!AO246</f>
        <v/>
      </c>
    </row>
    <row r="241" customFormat="false" ht="15.75" hidden="false" customHeight="false" outlineLevel="0" collapsed="false">
      <c r="A241" s="120" t="str">
        <f aca="false">Scoring!AR247</f>
        <v/>
      </c>
      <c r="B241" s="120" t="str">
        <f aca="false">Scoring!AQ247</f>
        <v/>
      </c>
      <c r="C241" s="120" t="n">
        <f aca="false">Scoring!C247</f>
        <v>0</v>
      </c>
      <c r="D241" s="121" t="str">
        <f aca="false">Scoring!AN247</f>
        <v/>
      </c>
      <c r="E241" s="120" t="str">
        <f aca="false">Scoring!V247</f>
        <v/>
      </c>
      <c r="F241" s="120" t="n">
        <f aca="false">Scoring!B247</f>
        <v>0</v>
      </c>
      <c r="G241" s="120" t="n">
        <f aca="false">Scoring!D247</f>
        <v>0</v>
      </c>
      <c r="H241" s="120" t="str">
        <f aca="false">Scoring!AP247</f>
        <v/>
      </c>
      <c r="I241" s="120" t="str">
        <f aca="false">Scoring!AO247</f>
        <v/>
      </c>
    </row>
    <row r="242" customFormat="false" ht="15.75" hidden="false" customHeight="false" outlineLevel="0" collapsed="false">
      <c r="A242" s="120" t="str">
        <f aca="false">Scoring!AR248</f>
        <v/>
      </c>
      <c r="B242" s="120" t="str">
        <f aca="false">Scoring!AQ248</f>
        <v/>
      </c>
      <c r="C242" s="120" t="n">
        <f aca="false">Scoring!C248</f>
        <v>0</v>
      </c>
      <c r="D242" s="121" t="str">
        <f aca="false">Scoring!AN248</f>
        <v/>
      </c>
      <c r="E242" s="120" t="str">
        <f aca="false">Scoring!V248</f>
        <v/>
      </c>
      <c r="F242" s="120" t="n">
        <f aca="false">Scoring!B248</f>
        <v>0</v>
      </c>
      <c r="G242" s="120" t="n">
        <f aca="false">Scoring!D248</f>
        <v>0</v>
      </c>
      <c r="H242" s="120" t="str">
        <f aca="false">Scoring!AP248</f>
        <v/>
      </c>
      <c r="I242" s="120" t="str">
        <f aca="false">Scoring!AO248</f>
        <v/>
      </c>
    </row>
    <row r="243" customFormat="false" ht="15.75" hidden="false" customHeight="false" outlineLevel="0" collapsed="false">
      <c r="A243" s="120" t="str">
        <f aca="false">Scoring!AR249</f>
        <v/>
      </c>
      <c r="B243" s="120" t="str">
        <f aca="false">Scoring!AQ249</f>
        <v/>
      </c>
      <c r="C243" s="120" t="n">
        <f aca="false">Scoring!C249</f>
        <v>0</v>
      </c>
      <c r="D243" s="121" t="str">
        <f aca="false">Scoring!AN249</f>
        <v/>
      </c>
      <c r="E243" s="120" t="str">
        <f aca="false">Scoring!V249</f>
        <v/>
      </c>
      <c r="F243" s="120" t="n">
        <f aca="false">Scoring!B249</f>
        <v>0</v>
      </c>
      <c r="G243" s="120" t="n">
        <f aca="false">Scoring!D249</f>
        <v>0</v>
      </c>
      <c r="H243" s="120" t="str">
        <f aca="false">Scoring!AP249</f>
        <v/>
      </c>
      <c r="I243" s="120" t="str">
        <f aca="false">Scoring!AO249</f>
        <v/>
      </c>
    </row>
    <row r="244" customFormat="false" ht="15.75" hidden="false" customHeight="false" outlineLevel="0" collapsed="false">
      <c r="A244" s="120" t="str">
        <f aca="false">Scoring!AR250</f>
        <v/>
      </c>
      <c r="B244" s="120" t="str">
        <f aca="false">Scoring!AQ250</f>
        <v/>
      </c>
      <c r="C244" s="120" t="n">
        <f aca="false">Scoring!C250</f>
        <v>0</v>
      </c>
      <c r="D244" s="121" t="str">
        <f aca="false">Scoring!AN250</f>
        <v/>
      </c>
      <c r="E244" s="120" t="str">
        <f aca="false">Scoring!V250</f>
        <v/>
      </c>
      <c r="F244" s="120" t="n">
        <f aca="false">Scoring!B250</f>
        <v>0</v>
      </c>
      <c r="G244" s="120" t="n">
        <f aca="false">Scoring!D250</f>
        <v>0</v>
      </c>
      <c r="H244" s="120" t="str">
        <f aca="false">Scoring!AP250</f>
        <v/>
      </c>
      <c r="I244" s="120" t="str">
        <f aca="false">Scoring!AO250</f>
        <v/>
      </c>
    </row>
    <row r="245" customFormat="false" ht="15.75" hidden="false" customHeight="false" outlineLevel="0" collapsed="false">
      <c r="A245" s="120" t="str">
        <f aca="false">Scoring!AR251</f>
        <v/>
      </c>
      <c r="B245" s="120" t="str">
        <f aca="false">Scoring!AQ251</f>
        <v/>
      </c>
      <c r="C245" s="120" t="n">
        <f aca="false">Scoring!C251</f>
        <v>0</v>
      </c>
      <c r="D245" s="121" t="str">
        <f aca="false">Scoring!AN251</f>
        <v/>
      </c>
      <c r="E245" s="120" t="str">
        <f aca="false">Scoring!V251</f>
        <v/>
      </c>
      <c r="F245" s="120" t="n">
        <f aca="false">Scoring!B251</f>
        <v>0</v>
      </c>
      <c r="G245" s="120" t="n">
        <f aca="false">Scoring!D251</f>
        <v>0</v>
      </c>
      <c r="H245" s="120" t="str">
        <f aca="false">Scoring!AP251</f>
        <v/>
      </c>
      <c r="I245" s="120" t="str">
        <f aca="false">Scoring!AO251</f>
        <v/>
      </c>
    </row>
    <row r="246" customFormat="false" ht="15.75" hidden="false" customHeight="false" outlineLevel="0" collapsed="false">
      <c r="A246" s="120" t="str">
        <f aca="false">Scoring!AR252</f>
        <v/>
      </c>
      <c r="B246" s="120" t="str">
        <f aca="false">Scoring!AQ252</f>
        <v/>
      </c>
      <c r="C246" s="120" t="n">
        <f aca="false">Scoring!C252</f>
        <v>0</v>
      </c>
      <c r="D246" s="121" t="str">
        <f aca="false">Scoring!AN252</f>
        <v/>
      </c>
      <c r="E246" s="120" t="str">
        <f aca="false">Scoring!V252</f>
        <v/>
      </c>
      <c r="F246" s="120" t="n">
        <f aca="false">Scoring!B252</f>
        <v>0</v>
      </c>
      <c r="G246" s="120" t="n">
        <f aca="false">Scoring!D252</f>
        <v>0</v>
      </c>
      <c r="H246" s="120" t="str">
        <f aca="false">Scoring!AP252</f>
        <v/>
      </c>
      <c r="I246" s="120" t="str">
        <f aca="false">Scoring!AO252</f>
        <v/>
      </c>
    </row>
    <row r="247" customFormat="false" ht="15.75" hidden="false" customHeight="false" outlineLevel="0" collapsed="false">
      <c r="A247" s="120" t="str">
        <f aca="false">Scoring!AR253</f>
        <v/>
      </c>
      <c r="B247" s="120" t="str">
        <f aca="false">Scoring!AQ253</f>
        <v/>
      </c>
      <c r="C247" s="120" t="n">
        <f aca="false">Scoring!C253</f>
        <v>0</v>
      </c>
      <c r="D247" s="121" t="str">
        <f aca="false">Scoring!AN253</f>
        <v/>
      </c>
      <c r="E247" s="120" t="str">
        <f aca="false">Scoring!V253</f>
        <v/>
      </c>
      <c r="F247" s="120" t="n">
        <f aca="false">Scoring!B253</f>
        <v>0</v>
      </c>
      <c r="G247" s="120" t="n">
        <f aca="false">Scoring!D253</f>
        <v>0</v>
      </c>
      <c r="H247" s="120" t="str">
        <f aca="false">Scoring!AP253</f>
        <v/>
      </c>
      <c r="I247" s="120" t="str">
        <f aca="false">Scoring!AO253</f>
        <v/>
      </c>
    </row>
    <row r="248" customFormat="false" ht="15.75" hidden="false" customHeight="false" outlineLevel="0" collapsed="false">
      <c r="A248" s="120" t="str">
        <f aca="false">Scoring!AR254</f>
        <v/>
      </c>
      <c r="B248" s="120" t="str">
        <f aca="false">Scoring!AQ254</f>
        <v/>
      </c>
      <c r="C248" s="120" t="n">
        <f aca="false">Scoring!C254</f>
        <v>0</v>
      </c>
      <c r="D248" s="121" t="str">
        <f aca="false">Scoring!AN254</f>
        <v/>
      </c>
      <c r="E248" s="120" t="str">
        <f aca="false">Scoring!V254</f>
        <v/>
      </c>
      <c r="F248" s="120" t="n">
        <f aca="false">Scoring!B254</f>
        <v>0</v>
      </c>
      <c r="G248" s="120" t="n">
        <f aca="false">Scoring!D254</f>
        <v>0</v>
      </c>
      <c r="H248" s="120" t="str">
        <f aca="false">Scoring!AP254</f>
        <v/>
      </c>
      <c r="I248" s="120" t="str">
        <f aca="false">Scoring!AO254</f>
        <v/>
      </c>
    </row>
    <row r="249" customFormat="false" ht="15.75" hidden="false" customHeight="false" outlineLevel="0" collapsed="false">
      <c r="A249" s="120" t="str">
        <f aca="false">Scoring!AR255</f>
        <v/>
      </c>
      <c r="B249" s="120" t="str">
        <f aca="false">Scoring!AQ255</f>
        <v/>
      </c>
      <c r="C249" s="120" t="n">
        <f aca="false">Scoring!C255</f>
        <v>0</v>
      </c>
      <c r="D249" s="121" t="str">
        <f aca="false">Scoring!AN255</f>
        <v/>
      </c>
      <c r="E249" s="120" t="str">
        <f aca="false">Scoring!V255</f>
        <v/>
      </c>
      <c r="F249" s="120" t="n">
        <f aca="false">Scoring!B255</f>
        <v>0</v>
      </c>
      <c r="G249" s="120" t="n">
        <f aca="false">Scoring!D255</f>
        <v>0</v>
      </c>
      <c r="H249" s="120" t="str">
        <f aca="false">Scoring!AP255</f>
        <v/>
      </c>
      <c r="I249" s="120" t="str">
        <f aca="false">Scoring!AO255</f>
        <v/>
      </c>
    </row>
    <row r="250" customFormat="false" ht="15.75" hidden="false" customHeight="false" outlineLevel="0" collapsed="false">
      <c r="A250" s="120" t="str">
        <f aca="false">Scoring!AR256</f>
        <v/>
      </c>
      <c r="B250" s="120" t="str">
        <f aca="false">Scoring!AQ256</f>
        <v/>
      </c>
      <c r="C250" s="120" t="n">
        <f aca="false">Scoring!C256</f>
        <v>0</v>
      </c>
      <c r="D250" s="121" t="str">
        <f aca="false">Scoring!AN256</f>
        <v/>
      </c>
      <c r="E250" s="120" t="str">
        <f aca="false">Scoring!V256</f>
        <v/>
      </c>
      <c r="F250" s="120" t="n">
        <f aca="false">Scoring!B256</f>
        <v>0</v>
      </c>
      <c r="G250" s="120" t="n">
        <f aca="false">Scoring!D256</f>
        <v>0</v>
      </c>
      <c r="H250" s="120" t="str">
        <f aca="false">Scoring!AP256</f>
        <v/>
      </c>
      <c r="I250" s="120" t="str">
        <f aca="false">Scoring!AO256</f>
        <v/>
      </c>
    </row>
    <row r="251" customFormat="false" ht="15.75" hidden="false" customHeight="false" outlineLevel="0" collapsed="false">
      <c r="A251" s="120" t="str">
        <f aca="false">Scoring!AR257</f>
        <v/>
      </c>
      <c r="B251" s="120" t="str">
        <f aca="false">Scoring!AQ257</f>
        <v/>
      </c>
      <c r="C251" s="120" t="n">
        <f aca="false">Scoring!C257</f>
        <v>0</v>
      </c>
      <c r="D251" s="121" t="str">
        <f aca="false">Scoring!AN257</f>
        <v/>
      </c>
      <c r="E251" s="120" t="str">
        <f aca="false">Scoring!V257</f>
        <v/>
      </c>
      <c r="F251" s="120" t="n">
        <f aca="false">Scoring!B257</f>
        <v>0</v>
      </c>
      <c r="G251" s="120" t="n">
        <f aca="false">Scoring!D257</f>
        <v>0</v>
      </c>
      <c r="H251" s="120" t="str">
        <f aca="false">Scoring!AP257</f>
        <v/>
      </c>
      <c r="I251" s="120" t="str">
        <f aca="false">Scoring!AO257</f>
        <v/>
      </c>
    </row>
    <row r="252" customFormat="false" ht="15.75" hidden="false" customHeight="false" outlineLevel="0" collapsed="false">
      <c r="A252" s="120" t="str">
        <f aca="false">Scoring!AR258</f>
        <v/>
      </c>
      <c r="B252" s="120" t="str">
        <f aca="false">Scoring!AQ258</f>
        <v/>
      </c>
      <c r="C252" s="120" t="n">
        <f aca="false">Scoring!C258</f>
        <v>0</v>
      </c>
      <c r="D252" s="121" t="str">
        <f aca="false">Scoring!AN258</f>
        <v/>
      </c>
      <c r="E252" s="120" t="str">
        <f aca="false">Scoring!V258</f>
        <v/>
      </c>
      <c r="F252" s="120" t="n">
        <f aca="false">Scoring!B258</f>
        <v>0</v>
      </c>
      <c r="G252" s="120" t="n">
        <f aca="false">Scoring!D258</f>
        <v>0</v>
      </c>
      <c r="H252" s="120" t="str">
        <f aca="false">Scoring!AP258</f>
        <v/>
      </c>
      <c r="I252" s="120" t="str">
        <f aca="false">Scoring!AO258</f>
        <v/>
      </c>
    </row>
    <row r="253" customFormat="false" ht="15.75" hidden="false" customHeight="false" outlineLevel="0" collapsed="false">
      <c r="A253" s="120" t="str">
        <f aca="false">Scoring!AR259</f>
        <v/>
      </c>
      <c r="B253" s="120" t="str">
        <f aca="false">Scoring!AQ259</f>
        <v/>
      </c>
      <c r="C253" s="120" t="n">
        <f aca="false">Scoring!C259</f>
        <v>0</v>
      </c>
      <c r="D253" s="121" t="str">
        <f aca="false">Scoring!AN259</f>
        <v/>
      </c>
      <c r="E253" s="120" t="str">
        <f aca="false">Scoring!V259</f>
        <v/>
      </c>
      <c r="F253" s="120" t="n">
        <f aca="false">Scoring!B259</f>
        <v>0</v>
      </c>
      <c r="G253" s="120" t="n">
        <f aca="false">Scoring!D259</f>
        <v>0</v>
      </c>
      <c r="H253" s="120" t="str">
        <f aca="false">Scoring!AP259</f>
        <v/>
      </c>
      <c r="I253" s="120" t="str">
        <f aca="false">Scoring!AO259</f>
        <v/>
      </c>
    </row>
    <row r="254" customFormat="false" ht="15.75" hidden="false" customHeight="false" outlineLevel="0" collapsed="false">
      <c r="A254" s="120" t="str">
        <f aca="false">Scoring!AR260</f>
        <v/>
      </c>
      <c r="B254" s="120" t="str">
        <f aca="false">Scoring!AQ260</f>
        <v/>
      </c>
      <c r="C254" s="120" t="n">
        <f aca="false">Scoring!C260</f>
        <v>0</v>
      </c>
      <c r="D254" s="121" t="str">
        <f aca="false">Scoring!AN260</f>
        <v/>
      </c>
      <c r="E254" s="120" t="str">
        <f aca="false">Scoring!V260</f>
        <v/>
      </c>
      <c r="F254" s="120" t="n">
        <f aca="false">Scoring!B260</f>
        <v>0</v>
      </c>
      <c r="G254" s="120" t="n">
        <f aca="false">Scoring!D260</f>
        <v>0</v>
      </c>
      <c r="H254" s="120" t="str">
        <f aca="false">Scoring!AP260</f>
        <v/>
      </c>
      <c r="I254" s="120" t="str">
        <f aca="false">Scoring!AO260</f>
        <v/>
      </c>
    </row>
    <row r="255" customFormat="false" ht="15.75" hidden="false" customHeight="false" outlineLevel="0" collapsed="false">
      <c r="A255" s="120" t="str">
        <f aca="false">Scoring!AR261</f>
        <v/>
      </c>
      <c r="B255" s="120" t="str">
        <f aca="false">Scoring!AQ261</f>
        <v/>
      </c>
      <c r="C255" s="120" t="n">
        <f aca="false">Scoring!C261</f>
        <v>0</v>
      </c>
      <c r="D255" s="121" t="str">
        <f aca="false">Scoring!AN261</f>
        <v/>
      </c>
      <c r="E255" s="120" t="str">
        <f aca="false">Scoring!V261</f>
        <v/>
      </c>
      <c r="F255" s="120" t="n">
        <f aca="false">Scoring!B261</f>
        <v>0</v>
      </c>
      <c r="G255" s="120" t="n">
        <f aca="false">Scoring!D261</f>
        <v>0</v>
      </c>
      <c r="H255" s="120" t="str">
        <f aca="false">Scoring!AP261</f>
        <v/>
      </c>
      <c r="I255" s="120" t="str">
        <f aca="false">Scoring!AO261</f>
        <v/>
      </c>
    </row>
    <row r="256" customFormat="false" ht="15.75" hidden="false" customHeight="false" outlineLevel="0" collapsed="false">
      <c r="A256" s="120" t="str">
        <f aca="false">Scoring!AR262</f>
        <v/>
      </c>
      <c r="B256" s="120" t="str">
        <f aca="false">Scoring!AQ262</f>
        <v/>
      </c>
      <c r="C256" s="120" t="n">
        <f aca="false">Scoring!C262</f>
        <v>0</v>
      </c>
      <c r="D256" s="121" t="str">
        <f aca="false">Scoring!AN262</f>
        <v/>
      </c>
      <c r="E256" s="120" t="str">
        <f aca="false">Scoring!V262</f>
        <v/>
      </c>
      <c r="F256" s="120" t="n">
        <f aca="false">Scoring!B262</f>
        <v>0</v>
      </c>
      <c r="G256" s="120" t="n">
        <f aca="false">Scoring!D262</f>
        <v>0</v>
      </c>
      <c r="H256" s="120" t="str">
        <f aca="false">Scoring!AP262</f>
        <v/>
      </c>
      <c r="I256" s="120" t="str">
        <f aca="false">Scoring!AO262</f>
        <v/>
      </c>
    </row>
    <row r="257" customFormat="false" ht="15.75" hidden="false" customHeight="false" outlineLevel="0" collapsed="false">
      <c r="A257" s="120" t="str">
        <f aca="false">Scoring!AR263</f>
        <v/>
      </c>
      <c r="B257" s="120" t="str">
        <f aca="false">Scoring!AQ263</f>
        <v/>
      </c>
      <c r="C257" s="120" t="n">
        <f aca="false">Scoring!C263</f>
        <v>0</v>
      </c>
      <c r="D257" s="121" t="str">
        <f aca="false">Scoring!AN263</f>
        <v/>
      </c>
      <c r="E257" s="120" t="str">
        <f aca="false">Scoring!V263</f>
        <v/>
      </c>
      <c r="F257" s="120" t="n">
        <f aca="false">Scoring!B263</f>
        <v>0</v>
      </c>
      <c r="G257" s="120" t="n">
        <f aca="false">Scoring!D263</f>
        <v>0</v>
      </c>
      <c r="H257" s="120" t="str">
        <f aca="false">Scoring!AP263</f>
        <v/>
      </c>
      <c r="I257" s="120" t="str">
        <f aca="false">Scoring!AO263</f>
        <v/>
      </c>
    </row>
    <row r="258" customFormat="false" ht="15.75" hidden="false" customHeight="false" outlineLevel="0" collapsed="false">
      <c r="A258" s="120" t="str">
        <f aca="false">Scoring!AR264</f>
        <v/>
      </c>
      <c r="B258" s="120" t="str">
        <f aca="false">Scoring!AQ264</f>
        <v/>
      </c>
      <c r="C258" s="120" t="n">
        <f aca="false">Scoring!C264</f>
        <v>0</v>
      </c>
      <c r="D258" s="121" t="str">
        <f aca="false">Scoring!AN264</f>
        <v/>
      </c>
      <c r="E258" s="120" t="str">
        <f aca="false">Scoring!V264</f>
        <v/>
      </c>
      <c r="F258" s="120" t="n">
        <f aca="false">Scoring!B264</f>
        <v>0</v>
      </c>
      <c r="G258" s="120" t="n">
        <f aca="false">Scoring!D264</f>
        <v>0</v>
      </c>
      <c r="H258" s="120" t="str">
        <f aca="false">Scoring!AP264</f>
        <v/>
      </c>
      <c r="I258" s="120" t="str">
        <f aca="false">Scoring!AO264</f>
        <v/>
      </c>
    </row>
    <row r="259" customFormat="false" ht="15.75" hidden="false" customHeight="false" outlineLevel="0" collapsed="false">
      <c r="A259" s="120" t="str">
        <f aca="false">Scoring!AR265</f>
        <v/>
      </c>
      <c r="B259" s="120" t="str">
        <f aca="false">Scoring!AQ265</f>
        <v/>
      </c>
      <c r="C259" s="120" t="n">
        <f aca="false">Scoring!C265</f>
        <v>0</v>
      </c>
      <c r="D259" s="121" t="str">
        <f aca="false">Scoring!AN265</f>
        <v/>
      </c>
      <c r="E259" s="120" t="str">
        <f aca="false">Scoring!V265</f>
        <v/>
      </c>
      <c r="F259" s="120" t="n">
        <f aca="false">Scoring!B265</f>
        <v>0</v>
      </c>
      <c r="G259" s="120" t="n">
        <f aca="false">Scoring!D265</f>
        <v>0</v>
      </c>
      <c r="H259" s="120" t="str">
        <f aca="false">Scoring!AP265</f>
        <v/>
      </c>
      <c r="I259" s="120" t="str">
        <f aca="false">Scoring!AO265</f>
        <v/>
      </c>
    </row>
    <row r="260" customFormat="false" ht="15.75" hidden="false" customHeight="false" outlineLevel="0" collapsed="false">
      <c r="A260" s="120" t="str">
        <f aca="false">Scoring!AR266</f>
        <v/>
      </c>
      <c r="B260" s="120" t="str">
        <f aca="false">Scoring!AQ266</f>
        <v/>
      </c>
      <c r="C260" s="120" t="n">
        <f aca="false">Scoring!C266</f>
        <v>0</v>
      </c>
      <c r="D260" s="121" t="str">
        <f aca="false">Scoring!AN266</f>
        <v/>
      </c>
      <c r="E260" s="120" t="str">
        <f aca="false">Scoring!V266</f>
        <v/>
      </c>
      <c r="F260" s="120" t="n">
        <f aca="false">Scoring!B266</f>
        <v>0</v>
      </c>
      <c r="G260" s="120" t="n">
        <f aca="false">Scoring!D266</f>
        <v>0</v>
      </c>
      <c r="H260" s="120" t="str">
        <f aca="false">Scoring!AP266</f>
        <v/>
      </c>
      <c r="I260" s="120" t="str">
        <f aca="false">Scoring!AO266</f>
        <v/>
      </c>
    </row>
    <row r="261" customFormat="false" ht="15.75" hidden="false" customHeight="false" outlineLevel="0" collapsed="false">
      <c r="A261" s="120" t="str">
        <f aca="false">Scoring!AR267</f>
        <v/>
      </c>
      <c r="B261" s="120" t="str">
        <f aca="false">Scoring!AQ267</f>
        <v/>
      </c>
      <c r="C261" s="120" t="n">
        <f aca="false">Scoring!C267</f>
        <v>0</v>
      </c>
      <c r="D261" s="121" t="str">
        <f aca="false">Scoring!AN267</f>
        <v/>
      </c>
      <c r="E261" s="120" t="str">
        <f aca="false">Scoring!V267</f>
        <v/>
      </c>
      <c r="F261" s="120" t="n">
        <f aca="false">Scoring!B267</f>
        <v>0</v>
      </c>
      <c r="G261" s="120" t="n">
        <f aca="false">Scoring!D267</f>
        <v>0</v>
      </c>
      <c r="H261" s="120" t="str">
        <f aca="false">Scoring!AP267</f>
        <v/>
      </c>
      <c r="I261" s="120" t="str">
        <f aca="false">Scoring!AO267</f>
        <v/>
      </c>
    </row>
    <row r="262" customFormat="false" ht="15.75" hidden="false" customHeight="false" outlineLevel="0" collapsed="false">
      <c r="A262" s="120" t="str">
        <f aca="false">Scoring!AR268</f>
        <v/>
      </c>
      <c r="B262" s="120" t="str">
        <f aca="false">Scoring!AQ268</f>
        <v/>
      </c>
      <c r="C262" s="120" t="n">
        <f aca="false">Scoring!C268</f>
        <v>0</v>
      </c>
      <c r="D262" s="121" t="str">
        <f aca="false">Scoring!AN268</f>
        <v/>
      </c>
      <c r="E262" s="120" t="str">
        <f aca="false">Scoring!V268</f>
        <v/>
      </c>
      <c r="F262" s="120" t="n">
        <f aca="false">Scoring!B268</f>
        <v>0</v>
      </c>
      <c r="G262" s="120" t="n">
        <f aca="false">Scoring!D268</f>
        <v>0</v>
      </c>
      <c r="H262" s="120" t="str">
        <f aca="false">Scoring!AP268</f>
        <v/>
      </c>
      <c r="I262" s="120" t="str">
        <f aca="false">Scoring!AO268</f>
        <v/>
      </c>
    </row>
    <row r="263" customFormat="false" ht="15.75" hidden="false" customHeight="false" outlineLevel="0" collapsed="false">
      <c r="A263" s="120" t="str">
        <f aca="false">Scoring!AR269</f>
        <v/>
      </c>
      <c r="B263" s="120" t="str">
        <f aca="false">Scoring!AQ269</f>
        <v/>
      </c>
      <c r="C263" s="120" t="n">
        <f aca="false">Scoring!C269</f>
        <v>0</v>
      </c>
      <c r="D263" s="121" t="str">
        <f aca="false">Scoring!AN269</f>
        <v/>
      </c>
      <c r="E263" s="120" t="str">
        <f aca="false">Scoring!V269</f>
        <v/>
      </c>
      <c r="F263" s="120" t="n">
        <f aca="false">Scoring!B269</f>
        <v>0</v>
      </c>
      <c r="G263" s="120" t="n">
        <f aca="false">Scoring!D269</f>
        <v>0</v>
      </c>
      <c r="H263" s="120" t="str">
        <f aca="false">Scoring!AP269</f>
        <v/>
      </c>
      <c r="I263" s="120" t="str">
        <f aca="false">Scoring!AO269</f>
        <v/>
      </c>
    </row>
    <row r="264" customFormat="false" ht="15.75" hidden="false" customHeight="false" outlineLevel="0" collapsed="false">
      <c r="A264" s="120" t="str">
        <f aca="false">Scoring!AR270</f>
        <v/>
      </c>
      <c r="B264" s="120" t="str">
        <f aca="false">Scoring!AQ270</f>
        <v/>
      </c>
      <c r="C264" s="120" t="n">
        <f aca="false">Scoring!C270</f>
        <v>0</v>
      </c>
      <c r="D264" s="121" t="str">
        <f aca="false">Scoring!AN270</f>
        <v/>
      </c>
      <c r="E264" s="120" t="str">
        <f aca="false">Scoring!V270</f>
        <v/>
      </c>
      <c r="F264" s="120" t="n">
        <f aca="false">Scoring!B270</f>
        <v>0</v>
      </c>
      <c r="G264" s="120" t="n">
        <f aca="false">Scoring!D270</f>
        <v>0</v>
      </c>
      <c r="H264" s="120" t="str">
        <f aca="false">Scoring!AP270</f>
        <v/>
      </c>
      <c r="I264" s="120" t="str">
        <f aca="false">Scoring!AO270</f>
        <v/>
      </c>
    </row>
    <row r="265" customFormat="false" ht="15.75" hidden="false" customHeight="false" outlineLevel="0" collapsed="false">
      <c r="A265" s="120" t="str">
        <f aca="false">Scoring!AR271</f>
        <v/>
      </c>
      <c r="B265" s="120" t="str">
        <f aca="false">Scoring!AQ271</f>
        <v/>
      </c>
      <c r="C265" s="120" t="n">
        <f aca="false">Scoring!C271</f>
        <v>0</v>
      </c>
      <c r="D265" s="121" t="str">
        <f aca="false">Scoring!AN271</f>
        <v/>
      </c>
      <c r="E265" s="120" t="str">
        <f aca="false">Scoring!V271</f>
        <v/>
      </c>
      <c r="F265" s="120" t="n">
        <f aca="false">Scoring!B271</f>
        <v>0</v>
      </c>
      <c r="G265" s="120" t="n">
        <f aca="false">Scoring!D271</f>
        <v>0</v>
      </c>
      <c r="H265" s="120" t="str">
        <f aca="false">Scoring!AP271</f>
        <v/>
      </c>
      <c r="I265" s="120" t="str">
        <f aca="false">Scoring!AO271</f>
        <v/>
      </c>
    </row>
    <row r="266" customFormat="false" ht="15.75" hidden="false" customHeight="false" outlineLevel="0" collapsed="false">
      <c r="A266" s="120" t="str">
        <f aca="false">Scoring!AR272</f>
        <v/>
      </c>
      <c r="B266" s="120" t="str">
        <f aca="false">Scoring!AQ272</f>
        <v/>
      </c>
      <c r="C266" s="120" t="n">
        <f aca="false">Scoring!C272</f>
        <v>0</v>
      </c>
      <c r="D266" s="121" t="str">
        <f aca="false">Scoring!AN272</f>
        <v/>
      </c>
      <c r="E266" s="120" t="str">
        <f aca="false">Scoring!V272</f>
        <v/>
      </c>
      <c r="F266" s="120" t="n">
        <f aca="false">Scoring!B272</f>
        <v>0</v>
      </c>
      <c r="G266" s="120" t="n">
        <f aca="false">Scoring!D272</f>
        <v>0</v>
      </c>
      <c r="H266" s="120" t="str">
        <f aca="false">Scoring!AP272</f>
        <v/>
      </c>
      <c r="I266" s="120" t="str">
        <f aca="false">Scoring!AO272</f>
        <v/>
      </c>
    </row>
    <row r="267" customFormat="false" ht="15.75" hidden="false" customHeight="false" outlineLevel="0" collapsed="false">
      <c r="A267" s="120" t="str">
        <f aca="false">Scoring!AR273</f>
        <v/>
      </c>
      <c r="B267" s="120" t="str">
        <f aca="false">Scoring!AQ273</f>
        <v/>
      </c>
      <c r="C267" s="120" t="n">
        <f aca="false">Scoring!C273</f>
        <v>0</v>
      </c>
      <c r="D267" s="121" t="str">
        <f aca="false">Scoring!AN273</f>
        <v/>
      </c>
      <c r="E267" s="120" t="str">
        <f aca="false">Scoring!V273</f>
        <v/>
      </c>
      <c r="F267" s="120" t="n">
        <f aca="false">Scoring!B273</f>
        <v>0</v>
      </c>
      <c r="G267" s="120" t="n">
        <f aca="false">Scoring!D273</f>
        <v>0</v>
      </c>
      <c r="H267" s="120" t="str">
        <f aca="false">Scoring!AP273</f>
        <v/>
      </c>
      <c r="I267" s="120" t="str">
        <f aca="false">Scoring!AO273</f>
        <v/>
      </c>
    </row>
    <row r="268" customFormat="false" ht="15.75" hidden="false" customHeight="false" outlineLevel="0" collapsed="false">
      <c r="A268" s="120" t="str">
        <f aca="false">Scoring!AR274</f>
        <v/>
      </c>
      <c r="B268" s="120" t="str">
        <f aca="false">Scoring!AQ274</f>
        <v/>
      </c>
      <c r="C268" s="120" t="n">
        <f aca="false">Scoring!C274</f>
        <v>0</v>
      </c>
      <c r="D268" s="121" t="str">
        <f aca="false">Scoring!AN274</f>
        <v/>
      </c>
      <c r="E268" s="120" t="str">
        <f aca="false">Scoring!V274</f>
        <v/>
      </c>
      <c r="F268" s="120" t="n">
        <f aca="false">Scoring!B274</f>
        <v>0</v>
      </c>
      <c r="G268" s="120" t="n">
        <f aca="false">Scoring!D274</f>
        <v>0</v>
      </c>
      <c r="H268" s="120" t="str">
        <f aca="false">Scoring!AP274</f>
        <v/>
      </c>
      <c r="I268" s="120" t="str">
        <f aca="false">Scoring!AO274</f>
        <v/>
      </c>
    </row>
    <row r="269" customFormat="false" ht="15.75" hidden="false" customHeight="false" outlineLevel="0" collapsed="false">
      <c r="A269" s="120" t="str">
        <f aca="false">Scoring!AR275</f>
        <v/>
      </c>
      <c r="B269" s="120" t="str">
        <f aca="false">Scoring!AQ275</f>
        <v/>
      </c>
      <c r="C269" s="120" t="n">
        <f aca="false">Scoring!C275</f>
        <v>0</v>
      </c>
      <c r="D269" s="121" t="str">
        <f aca="false">Scoring!AN275</f>
        <v/>
      </c>
      <c r="E269" s="120" t="str">
        <f aca="false">Scoring!V275</f>
        <v/>
      </c>
      <c r="F269" s="120" t="n">
        <f aca="false">Scoring!B275</f>
        <v>0</v>
      </c>
      <c r="G269" s="120" t="n">
        <f aca="false">Scoring!D275</f>
        <v>0</v>
      </c>
      <c r="H269" s="120" t="str">
        <f aca="false">Scoring!AP275</f>
        <v/>
      </c>
      <c r="I269" s="120" t="str">
        <f aca="false">Scoring!AO275</f>
        <v/>
      </c>
    </row>
    <row r="270" customFormat="false" ht="15.75" hidden="false" customHeight="false" outlineLevel="0" collapsed="false">
      <c r="A270" s="120" t="str">
        <f aca="false">Scoring!AR276</f>
        <v/>
      </c>
      <c r="B270" s="120" t="str">
        <f aca="false">Scoring!AQ276</f>
        <v/>
      </c>
      <c r="C270" s="120" t="n">
        <f aca="false">Scoring!C276</f>
        <v>0</v>
      </c>
      <c r="D270" s="121" t="str">
        <f aca="false">Scoring!AN276</f>
        <v/>
      </c>
      <c r="E270" s="120" t="str">
        <f aca="false">Scoring!V276</f>
        <v/>
      </c>
      <c r="F270" s="120" t="n">
        <f aca="false">Scoring!B276</f>
        <v>0</v>
      </c>
      <c r="G270" s="120" t="n">
        <f aca="false">Scoring!D276</f>
        <v>0</v>
      </c>
      <c r="H270" s="120" t="str">
        <f aca="false">Scoring!AP276</f>
        <v/>
      </c>
      <c r="I270" s="120" t="str">
        <f aca="false">Scoring!AO276</f>
        <v/>
      </c>
    </row>
    <row r="271" customFormat="false" ht="15.75" hidden="false" customHeight="false" outlineLevel="0" collapsed="false">
      <c r="A271" s="120" t="str">
        <f aca="false">Scoring!AR277</f>
        <v/>
      </c>
      <c r="B271" s="120" t="str">
        <f aca="false">Scoring!AQ277</f>
        <v/>
      </c>
      <c r="C271" s="120" t="n">
        <f aca="false">Scoring!C277</f>
        <v>0</v>
      </c>
      <c r="D271" s="121" t="str">
        <f aca="false">Scoring!AN277</f>
        <v/>
      </c>
      <c r="E271" s="120" t="str">
        <f aca="false">Scoring!V277</f>
        <v/>
      </c>
      <c r="F271" s="120" t="n">
        <f aca="false">Scoring!B277</f>
        <v>0</v>
      </c>
      <c r="G271" s="120" t="n">
        <f aca="false">Scoring!D277</f>
        <v>0</v>
      </c>
      <c r="H271" s="120" t="str">
        <f aca="false">Scoring!AP277</f>
        <v/>
      </c>
      <c r="I271" s="120" t="str">
        <f aca="false">Scoring!AO277</f>
        <v/>
      </c>
    </row>
    <row r="272" customFormat="false" ht="15.75" hidden="false" customHeight="false" outlineLevel="0" collapsed="false">
      <c r="A272" s="120" t="str">
        <f aca="false">Scoring!AR278</f>
        <v/>
      </c>
      <c r="B272" s="120" t="str">
        <f aca="false">Scoring!AQ278</f>
        <v/>
      </c>
      <c r="C272" s="120" t="n">
        <f aca="false">Scoring!C278</f>
        <v>0</v>
      </c>
      <c r="D272" s="121" t="str">
        <f aca="false">Scoring!AN278</f>
        <v/>
      </c>
      <c r="E272" s="120" t="str">
        <f aca="false">Scoring!V278</f>
        <v/>
      </c>
      <c r="F272" s="120" t="n">
        <f aca="false">Scoring!B278</f>
        <v>0</v>
      </c>
      <c r="G272" s="120" t="n">
        <f aca="false">Scoring!D278</f>
        <v>0</v>
      </c>
      <c r="H272" s="120" t="str">
        <f aca="false">Scoring!AP278</f>
        <v/>
      </c>
      <c r="I272" s="120" t="str">
        <f aca="false">Scoring!AO278</f>
        <v/>
      </c>
    </row>
    <row r="273" customFormat="false" ht="15.75" hidden="false" customHeight="false" outlineLevel="0" collapsed="false">
      <c r="A273" s="120" t="str">
        <f aca="false">Scoring!AR279</f>
        <v/>
      </c>
      <c r="B273" s="120" t="str">
        <f aca="false">Scoring!AQ279</f>
        <v/>
      </c>
      <c r="C273" s="120" t="n">
        <f aca="false">Scoring!C279</f>
        <v>0</v>
      </c>
      <c r="D273" s="121" t="str">
        <f aca="false">Scoring!AN279</f>
        <v/>
      </c>
      <c r="E273" s="120" t="str">
        <f aca="false">Scoring!V279</f>
        <v/>
      </c>
      <c r="F273" s="120" t="n">
        <f aca="false">Scoring!B279</f>
        <v>0</v>
      </c>
      <c r="G273" s="120" t="n">
        <f aca="false">Scoring!D279</f>
        <v>0</v>
      </c>
      <c r="H273" s="120" t="str">
        <f aca="false">Scoring!AP279</f>
        <v/>
      </c>
      <c r="I273" s="120" t="str">
        <f aca="false">Scoring!AO279</f>
        <v/>
      </c>
    </row>
    <row r="274" customFormat="false" ht="15.75" hidden="false" customHeight="false" outlineLevel="0" collapsed="false">
      <c r="A274" s="120" t="str">
        <f aca="false">Scoring!AR280</f>
        <v/>
      </c>
      <c r="B274" s="120" t="str">
        <f aca="false">Scoring!AQ280</f>
        <v/>
      </c>
      <c r="C274" s="120" t="n">
        <f aca="false">Scoring!C280</f>
        <v>0</v>
      </c>
      <c r="D274" s="121" t="str">
        <f aca="false">Scoring!AN280</f>
        <v/>
      </c>
      <c r="E274" s="120" t="str">
        <f aca="false">Scoring!V280</f>
        <v/>
      </c>
      <c r="F274" s="120" t="n">
        <f aca="false">Scoring!B280</f>
        <v>0</v>
      </c>
      <c r="G274" s="120" t="n">
        <f aca="false">Scoring!D280</f>
        <v>0</v>
      </c>
      <c r="H274" s="120" t="str">
        <f aca="false">Scoring!AP280</f>
        <v/>
      </c>
      <c r="I274" s="120" t="str">
        <f aca="false">Scoring!AO280</f>
        <v/>
      </c>
    </row>
    <row r="275" customFormat="false" ht="15.75" hidden="false" customHeight="false" outlineLevel="0" collapsed="false">
      <c r="A275" s="120" t="str">
        <f aca="false">Scoring!AR281</f>
        <v/>
      </c>
      <c r="B275" s="120" t="str">
        <f aca="false">Scoring!AQ281</f>
        <v/>
      </c>
      <c r="C275" s="120" t="n">
        <f aca="false">Scoring!C281</f>
        <v>0</v>
      </c>
      <c r="D275" s="121" t="str">
        <f aca="false">Scoring!AN281</f>
        <v/>
      </c>
      <c r="E275" s="120" t="str">
        <f aca="false">Scoring!V281</f>
        <v/>
      </c>
      <c r="F275" s="120" t="n">
        <f aca="false">Scoring!B281</f>
        <v>0</v>
      </c>
      <c r="G275" s="120" t="n">
        <f aca="false">Scoring!D281</f>
        <v>0</v>
      </c>
      <c r="H275" s="120" t="str">
        <f aca="false">Scoring!AP281</f>
        <v/>
      </c>
      <c r="I275" s="120" t="str">
        <f aca="false">Scoring!AO281</f>
        <v/>
      </c>
    </row>
    <row r="276" customFormat="false" ht="15.75" hidden="false" customHeight="false" outlineLevel="0" collapsed="false">
      <c r="A276" s="120" t="str">
        <f aca="false">Scoring!AR282</f>
        <v/>
      </c>
      <c r="B276" s="120" t="str">
        <f aca="false">Scoring!AQ282</f>
        <v/>
      </c>
      <c r="C276" s="120" t="n">
        <f aca="false">Scoring!C282</f>
        <v>0</v>
      </c>
      <c r="D276" s="121" t="str">
        <f aca="false">Scoring!AN282</f>
        <v/>
      </c>
      <c r="E276" s="120" t="str">
        <f aca="false">Scoring!V282</f>
        <v/>
      </c>
      <c r="F276" s="120" t="n">
        <f aca="false">Scoring!B282</f>
        <v>0</v>
      </c>
      <c r="G276" s="120" t="n">
        <f aca="false">Scoring!D282</f>
        <v>0</v>
      </c>
      <c r="H276" s="120" t="str">
        <f aca="false">Scoring!AP282</f>
        <v/>
      </c>
      <c r="I276" s="120" t="str">
        <f aca="false">Scoring!AO282</f>
        <v/>
      </c>
    </row>
    <row r="277" customFormat="false" ht="15.75" hidden="false" customHeight="false" outlineLevel="0" collapsed="false">
      <c r="A277" s="120" t="str">
        <f aca="false">Scoring!AR283</f>
        <v/>
      </c>
      <c r="B277" s="120" t="str">
        <f aca="false">Scoring!AQ283</f>
        <v/>
      </c>
      <c r="C277" s="120" t="n">
        <f aca="false">Scoring!C283</f>
        <v>0</v>
      </c>
      <c r="D277" s="121" t="str">
        <f aca="false">Scoring!AN283</f>
        <v/>
      </c>
      <c r="E277" s="120" t="str">
        <f aca="false">Scoring!V283</f>
        <v/>
      </c>
      <c r="F277" s="120" t="n">
        <f aca="false">Scoring!B283</f>
        <v>0</v>
      </c>
      <c r="G277" s="120" t="n">
        <f aca="false">Scoring!D283</f>
        <v>0</v>
      </c>
      <c r="H277" s="120" t="str">
        <f aca="false">Scoring!AP283</f>
        <v/>
      </c>
      <c r="I277" s="120" t="str">
        <f aca="false">Scoring!AO283</f>
        <v/>
      </c>
    </row>
    <row r="278" customFormat="false" ht="15.75" hidden="false" customHeight="false" outlineLevel="0" collapsed="false">
      <c r="A278" s="120" t="str">
        <f aca="false">Scoring!AR284</f>
        <v/>
      </c>
      <c r="B278" s="120" t="str">
        <f aca="false">Scoring!AQ284</f>
        <v/>
      </c>
      <c r="C278" s="120" t="n">
        <f aca="false">Scoring!C284</f>
        <v>0</v>
      </c>
      <c r="D278" s="121" t="str">
        <f aca="false">Scoring!AN284</f>
        <v/>
      </c>
      <c r="E278" s="120" t="str">
        <f aca="false">Scoring!V284</f>
        <v/>
      </c>
      <c r="F278" s="120" t="n">
        <f aca="false">Scoring!B284</f>
        <v>0</v>
      </c>
      <c r="G278" s="120" t="n">
        <f aca="false">Scoring!D284</f>
        <v>0</v>
      </c>
      <c r="H278" s="120" t="str">
        <f aca="false">Scoring!AP284</f>
        <v/>
      </c>
      <c r="I278" s="120" t="str">
        <f aca="false">Scoring!AO284</f>
        <v/>
      </c>
    </row>
    <row r="279" customFormat="false" ht="15.75" hidden="false" customHeight="false" outlineLevel="0" collapsed="false">
      <c r="A279" s="120" t="str">
        <f aca="false">Scoring!AR285</f>
        <v/>
      </c>
      <c r="B279" s="120" t="str">
        <f aca="false">Scoring!AQ285</f>
        <v/>
      </c>
      <c r="C279" s="120" t="n">
        <f aca="false">Scoring!C285</f>
        <v>0</v>
      </c>
      <c r="D279" s="121" t="str">
        <f aca="false">Scoring!AN285</f>
        <v/>
      </c>
      <c r="E279" s="120" t="str">
        <f aca="false">Scoring!V285</f>
        <v/>
      </c>
      <c r="F279" s="120" t="n">
        <f aca="false">Scoring!B285</f>
        <v>0</v>
      </c>
      <c r="G279" s="120" t="n">
        <f aca="false">Scoring!D285</f>
        <v>0</v>
      </c>
      <c r="H279" s="120" t="str">
        <f aca="false">Scoring!AP285</f>
        <v/>
      </c>
      <c r="I279" s="120" t="str">
        <f aca="false">Scoring!AO285</f>
        <v/>
      </c>
    </row>
    <row r="280" customFormat="false" ht="15.75" hidden="false" customHeight="false" outlineLevel="0" collapsed="false">
      <c r="A280" s="120" t="str">
        <f aca="false">Scoring!AR286</f>
        <v/>
      </c>
      <c r="B280" s="120" t="str">
        <f aca="false">Scoring!AQ286</f>
        <v/>
      </c>
      <c r="C280" s="120" t="n">
        <f aca="false">Scoring!C286</f>
        <v>0</v>
      </c>
      <c r="D280" s="121" t="str">
        <f aca="false">Scoring!AN286</f>
        <v/>
      </c>
      <c r="E280" s="120" t="str">
        <f aca="false">Scoring!V286</f>
        <v/>
      </c>
      <c r="F280" s="120" t="n">
        <f aca="false">Scoring!B286</f>
        <v>0</v>
      </c>
      <c r="G280" s="120" t="n">
        <f aca="false">Scoring!D286</f>
        <v>0</v>
      </c>
      <c r="H280" s="120" t="str">
        <f aca="false">Scoring!AP286</f>
        <v/>
      </c>
      <c r="I280" s="120" t="str">
        <f aca="false">Scoring!AO286</f>
        <v/>
      </c>
    </row>
    <row r="281" customFormat="false" ht="15.75" hidden="false" customHeight="false" outlineLevel="0" collapsed="false">
      <c r="A281" s="120" t="str">
        <f aca="false">Scoring!AR287</f>
        <v/>
      </c>
      <c r="B281" s="120" t="str">
        <f aca="false">Scoring!AQ287</f>
        <v/>
      </c>
      <c r="C281" s="120" t="n">
        <f aca="false">Scoring!C287</f>
        <v>0</v>
      </c>
      <c r="D281" s="121" t="str">
        <f aca="false">Scoring!AN287</f>
        <v/>
      </c>
      <c r="E281" s="120" t="str">
        <f aca="false">Scoring!V287</f>
        <v/>
      </c>
      <c r="F281" s="120" t="n">
        <f aca="false">Scoring!B287</f>
        <v>0</v>
      </c>
      <c r="G281" s="120" t="n">
        <f aca="false">Scoring!D287</f>
        <v>0</v>
      </c>
      <c r="H281" s="120" t="str">
        <f aca="false">Scoring!AP287</f>
        <v/>
      </c>
      <c r="I281" s="120" t="str">
        <f aca="false">Scoring!AO287</f>
        <v/>
      </c>
    </row>
    <row r="282" customFormat="false" ht="15.75" hidden="false" customHeight="false" outlineLevel="0" collapsed="false">
      <c r="A282" s="120" t="str">
        <f aca="false">Scoring!AR288</f>
        <v/>
      </c>
      <c r="B282" s="120" t="str">
        <f aca="false">Scoring!AQ288</f>
        <v/>
      </c>
      <c r="C282" s="120" t="n">
        <f aca="false">Scoring!C288</f>
        <v>0</v>
      </c>
      <c r="D282" s="121" t="str">
        <f aca="false">Scoring!AN288</f>
        <v/>
      </c>
      <c r="E282" s="120" t="str">
        <f aca="false">Scoring!V288</f>
        <v/>
      </c>
      <c r="F282" s="120" t="n">
        <f aca="false">Scoring!B288</f>
        <v>0</v>
      </c>
      <c r="G282" s="120" t="n">
        <f aca="false">Scoring!D288</f>
        <v>0</v>
      </c>
      <c r="H282" s="120" t="str">
        <f aca="false">Scoring!AP288</f>
        <v/>
      </c>
      <c r="I282" s="120" t="str">
        <f aca="false">Scoring!AO288</f>
        <v/>
      </c>
    </row>
    <row r="283" customFormat="false" ht="15.75" hidden="false" customHeight="false" outlineLevel="0" collapsed="false">
      <c r="A283" s="120" t="str">
        <f aca="false">Scoring!AR289</f>
        <v/>
      </c>
      <c r="B283" s="120" t="str">
        <f aca="false">Scoring!AQ289</f>
        <v/>
      </c>
      <c r="C283" s="120" t="n">
        <f aca="false">Scoring!C289</f>
        <v>0</v>
      </c>
      <c r="D283" s="121" t="str">
        <f aca="false">Scoring!AN289</f>
        <v/>
      </c>
      <c r="E283" s="120" t="str">
        <f aca="false">Scoring!V289</f>
        <v/>
      </c>
      <c r="F283" s="120" t="n">
        <f aca="false">Scoring!B289</f>
        <v>0</v>
      </c>
      <c r="G283" s="120" t="n">
        <f aca="false">Scoring!D289</f>
        <v>0</v>
      </c>
      <c r="H283" s="120" t="str">
        <f aca="false">Scoring!AP289</f>
        <v/>
      </c>
      <c r="I283" s="120" t="str">
        <f aca="false">Scoring!AO289</f>
        <v/>
      </c>
    </row>
    <row r="284" customFormat="false" ht="15.75" hidden="false" customHeight="false" outlineLevel="0" collapsed="false">
      <c r="A284" s="120" t="str">
        <f aca="false">Scoring!AR290</f>
        <v/>
      </c>
      <c r="B284" s="120" t="str">
        <f aca="false">Scoring!AQ290</f>
        <v/>
      </c>
      <c r="C284" s="120" t="n">
        <f aca="false">Scoring!C290</f>
        <v>0</v>
      </c>
      <c r="D284" s="121" t="str">
        <f aca="false">Scoring!AN290</f>
        <v/>
      </c>
      <c r="E284" s="120" t="str">
        <f aca="false">Scoring!V290</f>
        <v/>
      </c>
      <c r="F284" s="120" t="n">
        <f aca="false">Scoring!B290</f>
        <v>0</v>
      </c>
      <c r="G284" s="120" t="n">
        <f aca="false">Scoring!D290</f>
        <v>0</v>
      </c>
      <c r="H284" s="120" t="str">
        <f aca="false">Scoring!AP290</f>
        <v/>
      </c>
      <c r="I284" s="120" t="str">
        <f aca="false">Scoring!AO290</f>
        <v/>
      </c>
    </row>
    <row r="285" customFormat="false" ht="15.75" hidden="false" customHeight="false" outlineLevel="0" collapsed="false">
      <c r="A285" s="120" t="str">
        <f aca="false">Scoring!AR291</f>
        <v/>
      </c>
      <c r="B285" s="120" t="str">
        <f aca="false">Scoring!AQ291</f>
        <v/>
      </c>
      <c r="C285" s="120" t="n">
        <f aca="false">Scoring!C291</f>
        <v>0</v>
      </c>
      <c r="D285" s="121" t="str">
        <f aca="false">Scoring!AN291</f>
        <v/>
      </c>
      <c r="E285" s="120" t="str">
        <f aca="false">Scoring!V291</f>
        <v/>
      </c>
      <c r="F285" s="120" t="n">
        <f aca="false">Scoring!B291</f>
        <v>0</v>
      </c>
      <c r="G285" s="120" t="n">
        <f aca="false">Scoring!D291</f>
        <v>0</v>
      </c>
      <c r="H285" s="120" t="str">
        <f aca="false">Scoring!AP291</f>
        <v/>
      </c>
      <c r="I285" s="120" t="str">
        <f aca="false">Scoring!AO291</f>
        <v/>
      </c>
    </row>
    <row r="286" customFormat="false" ht="15.75" hidden="false" customHeight="false" outlineLevel="0" collapsed="false">
      <c r="A286" s="120" t="str">
        <f aca="false">Scoring!AR292</f>
        <v/>
      </c>
      <c r="B286" s="120" t="str">
        <f aca="false">Scoring!AQ292</f>
        <v/>
      </c>
      <c r="C286" s="120" t="n">
        <f aca="false">Scoring!C292</f>
        <v>0</v>
      </c>
      <c r="D286" s="121" t="str">
        <f aca="false">Scoring!AN292</f>
        <v/>
      </c>
      <c r="E286" s="120" t="str">
        <f aca="false">Scoring!V292</f>
        <v/>
      </c>
      <c r="F286" s="120" t="n">
        <f aca="false">Scoring!B292</f>
        <v>0</v>
      </c>
      <c r="G286" s="120" t="n">
        <f aca="false">Scoring!D292</f>
        <v>0</v>
      </c>
      <c r="H286" s="120" t="str">
        <f aca="false">Scoring!AP292</f>
        <v/>
      </c>
      <c r="I286" s="120" t="str">
        <f aca="false">Scoring!AO292</f>
        <v/>
      </c>
    </row>
    <row r="287" customFormat="false" ht="15.75" hidden="false" customHeight="false" outlineLevel="0" collapsed="false">
      <c r="A287" s="120" t="str">
        <f aca="false">Scoring!AR293</f>
        <v/>
      </c>
      <c r="B287" s="120" t="str">
        <f aca="false">Scoring!AQ293</f>
        <v/>
      </c>
      <c r="C287" s="120" t="n">
        <f aca="false">Scoring!C293</f>
        <v>0</v>
      </c>
      <c r="D287" s="121" t="str">
        <f aca="false">Scoring!AN293</f>
        <v/>
      </c>
      <c r="E287" s="120" t="str">
        <f aca="false">Scoring!V293</f>
        <v/>
      </c>
      <c r="F287" s="120" t="n">
        <f aca="false">Scoring!B293</f>
        <v>0</v>
      </c>
      <c r="G287" s="120" t="n">
        <f aca="false">Scoring!D293</f>
        <v>0</v>
      </c>
      <c r="H287" s="120" t="str">
        <f aca="false">Scoring!AP293</f>
        <v/>
      </c>
      <c r="I287" s="120" t="str">
        <f aca="false">Scoring!AO293</f>
        <v/>
      </c>
    </row>
    <row r="288" customFormat="false" ht="15.75" hidden="false" customHeight="false" outlineLevel="0" collapsed="false">
      <c r="A288" s="120" t="str">
        <f aca="false">Scoring!AR294</f>
        <v/>
      </c>
      <c r="B288" s="120" t="str">
        <f aca="false">Scoring!AQ294</f>
        <v/>
      </c>
      <c r="C288" s="120" t="n">
        <f aca="false">Scoring!C294</f>
        <v>0</v>
      </c>
      <c r="D288" s="121" t="str">
        <f aca="false">Scoring!AN294</f>
        <v/>
      </c>
      <c r="E288" s="120" t="str">
        <f aca="false">Scoring!V294</f>
        <v/>
      </c>
      <c r="F288" s="120" t="n">
        <f aca="false">Scoring!B294</f>
        <v>0</v>
      </c>
      <c r="G288" s="120" t="n">
        <f aca="false">Scoring!D294</f>
        <v>0</v>
      </c>
      <c r="H288" s="120" t="str">
        <f aca="false">Scoring!AP294</f>
        <v/>
      </c>
      <c r="I288" s="120" t="str">
        <f aca="false">Scoring!AO294</f>
        <v/>
      </c>
    </row>
    <row r="289" customFormat="false" ht="15.75" hidden="false" customHeight="false" outlineLevel="0" collapsed="false">
      <c r="A289" s="120" t="str">
        <f aca="false">Scoring!AR295</f>
        <v/>
      </c>
      <c r="B289" s="120" t="str">
        <f aca="false">Scoring!AQ295</f>
        <v/>
      </c>
      <c r="C289" s="120" t="n">
        <f aca="false">Scoring!C295</f>
        <v>0</v>
      </c>
      <c r="D289" s="121" t="str">
        <f aca="false">Scoring!AN295</f>
        <v/>
      </c>
      <c r="E289" s="120" t="str">
        <f aca="false">Scoring!V295</f>
        <v/>
      </c>
      <c r="F289" s="120" t="n">
        <f aca="false">Scoring!B295</f>
        <v>0</v>
      </c>
      <c r="G289" s="120" t="n">
        <f aca="false">Scoring!D295</f>
        <v>0</v>
      </c>
      <c r="H289" s="120" t="str">
        <f aca="false">Scoring!AP295</f>
        <v/>
      </c>
      <c r="I289" s="120" t="str">
        <f aca="false">Scoring!AO295</f>
        <v/>
      </c>
    </row>
    <row r="290" customFormat="false" ht="15.75" hidden="false" customHeight="false" outlineLevel="0" collapsed="false">
      <c r="A290" s="120" t="str">
        <f aca="false">Scoring!AR296</f>
        <v/>
      </c>
      <c r="B290" s="120" t="str">
        <f aca="false">Scoring!AQ296</f>
        <v/>
      </c>
      <c r="C290" s="120" t="n">
        <f aca="false">Scoring!C296</f>
        <v>0</v>
      </c>
      <c r="D290" s="121" t="str">
        <f aca="false">Scoring!AN296</f>
        <v/>
      </c>
      <c r="E290" s="120" t="str">
        <f aca="false">Scoring!V296</f>
        <v/>
      </c>
      <c r="F290" s="120" t="n">
        <f aca="false">Scoring!B296</f>
        <v>0</v>
      </c>
      <c r="G290" s="120" t="n">
        <f aca="false">Scoring!D296</f>
        <v>0</v>
      </c>
      <c r="H290" s="120" t="str">
        <f aca="false">Scoring!AP296</f>
        <v/>
      </c>
      <c r="I290" s="120" t="str">
        <f aca="false">Scoring!AO296</f>
        <v/>
      </c>
    </row>
    <row r="291" customFormat="false" ht="15.75" hidden="false" customHeight="false" outlineLevel="0" collapsed="false">
      <c r="A291" s="120" t="str">
        <f aca="false">Scoring!AR297</f>
        <v/>
      </c>
      <c r="B291" s="120" t="str">
        <f aca="false">Scoring!AQ297</f>
        <v/>
      </c>
      <c r="C291" s="120" t="n">
        <f aca="false">Scoring!C297</f>
        <v>0</v>
      </c>
      <c r="D291" s="121" t="str">
        <f aca="false">Scoring!AN297</f>
        <v/>
      </c>
      <c r="E291" s="120" t="str">
        <f aca="false">Scoring!V297</f>
        <v/>
      </c>
      <c r="F291" s="120" t="n">
        <f aca="false">Scoring!B297</f>
        <v>0</v>
      </c>
      <c r="G291" s="120" t="n">
        <f aca="false">Scoring!D297</f>
        <v>0</v>
      </c>
      <c r="H291" s="120" t="str">
        <f aca="false">Scoring!AP297</f>
        <v/>
      </c>
      <c r="I291" s="120" t="str">
        <f aca="false">Scoring!AO297</f>
        <v/>
      </c>
    </row>
    <row r="292" customFormat="false" ht="15.75" hidden="false" customHeight="false" outlineLevel="0" collapsed="false">
      <c r="A292" s="120" t="str">
        <f aca="false">Scoring!AR298</f>
        <v/>
      </c>
      <c r="B292" s="120" t="str">
        <f aca="false">Scoring!AQ298</f>
        <v/>
      </c>
      <c r="C292" s="120" t="n">
        <f aca="false">Scoring!C298</f>
        <v>0</v>
      </c>
      <c r="D292" s="121" t="str">
        <f aca="false">Scoring!AN298</f>
        <v/>
      </c>
      <c r="E292" s="120" t="str">
        <f aca="false">Scoring!V298</f>
        <v/>
      </c>
      <c r="F292" s="120" t="n">
        <f aca="false">Scoring!B298</f>
        <v>0</v>
      </c>
      <c r="G292" s="120" t="n">
        <f aca="false">Scoring!D298</f>
        <v>0</v>
      </c>
      <c r="H292" s="120" t="str">
        <f aca="false">Scoring!AP298</f>
        <v/>
      </c>
      <c r="I292" s="120" t="str">
        <f aca="false">Scoring!AO298</f>
        <v/>
      </c>
    </row>
    <row r="293" customFormat="false" ht="15.75" hidden="false" customHeight="false" outlineLevel="0" collapsed="false">
      <c r="A293" s="120" t="str">
        <f aca="false">Scoring!AR299</f>
        <v/>
      </c>
      <c r="B293" s="120" t="str">
        <f aca="false">Scoring!AQ299</f>
        <v/>
      </c>
      <c r="C293" s="120" t="n">
        <f aca="false">Scoring!C299</f>
        <v>0</v>
      </c>
      <c r="D293" s="121" t="str">
        <f aca="false">Scoring!AN299</f>
        <v/>
      </c>
      <c r="E293" s="120" t="str">
        <f aca="false">Scoring!V299</f>
        <v/>
      </c>
      <c r="F293" s="120" t="n">
        <f aca="false">Scoring!B299</f>
        <v>0</v>
      </c>
      <c r="G293" s="120" t="n">
        <f aca="false">Scoring!D299</f>
        <v>0</v>
      </c>
      <c r="H293" s="120" t="str">
        <f aca="false">Scoring!AP299</f>
        <v/>
      </c>
      <c r="I293" s="120" t="str">
        <f aca="false">Scoring!AO299</f>
        <v/>
      </c>
    </row>
    <row r="294" customFormat="false" ht="15.75" hidden="false" customHeight="false" outlineLevel="0" collapsed="false">
      <c r="A294" s="120" t="str">
        <f aca="false">Scoring!AR300</f>
        <v/>
      </c>
      <c r="B294" s="120" t="str">
        <f aca="false">Scoring!AQ300</f>
        <v/>
      </c>
      <c r="C294" s="120" t="n">
        <f aca="false">Scoring!C300</f>
        <v>0</v>
      </c>
      <c r="D294" s="121" t="str">
        <f aca="false">Scoring!AN300</f>
        <v/>
      </c>
      <c r="E294" s="120" t="str">
        <f aca="false">Scoring!V300</f>
        <v/>
      </c>
      <c r="F294" s="120" t="n">
        <f aca="false">Scoring!B300</f>
        <v>0</v>
      </c>
      <c r="G294" s="120" t="n">
        <f aca="false">Scoring!D300</f>
        <v>0</v>
      </c>
      <c r="H294" s="120" t="str">
        <f aca="false">Scoring!AP300</f>
        <v/>
      </c>
      <c r="I294" s="120" t="str">
        <f aca="false">Scoring!AO300</f>
        <v/>
      </c>
    </row>
    <row r="295" customFormat="false" ht="15.75" hidden="false" customHeight="false" outlineLevel="0" collapsed="false">
      <c r="A295" s="120" t="str">
        <f aca="false">Scoring!AR301</f>
        <v/>
      </c>
      <c r="B295" s="120" t="str">
        <f aca="false">Scoring!AQ301</f>
        <v/>
      </c>
      <c r="C295" s="120" t="n">
        <f aca="false">Scoring!C301</f>
        <v>0</v>
      </c>
      <c r="D295" s="121" t="str">
        <f aca="false">Scoring!AN301</f>
        <v/>
      </c>
      <c r="E295" s="120" t="str">
        <f aca="false">Scoring!V301</f>
        <v/>
      </c>
      <c r="F295" s="120" t="n">
        <f aca="false">Scoring!B301</f>
        <v>0</v>
      </c>
      <c r="G295" s="120" t="n">
        <f aca="false">Scoring!D301</f>
        <v>0</v>
      </c>
      <c r="H295" s="120" t="str">
        <f aca="false">Scoring!AP301</f>
        <v/>
      </c>
      <c r="I295" s="120" t="str">
        <f aca="false">Scoring!AO301</f>
        <v/>
      </c>
    </row>
    <row r="296" customFormat="false" ht="15.75" hidden="false" customHeight="false" outlineLevel="0" collapsed="false">
      <c r="A296" s="120" t="str">
        <f aca="false">Scoring!AR302</f>
        <v/>
      </c>
      <c r="B296" s="120" t="str">
        <f aca="false">Scoring!AQ302</f>
        <v/>
      </c>
      <c r="C296" s="120" t="n">
        <f aca="false">Scoring!C302</f>
        <v>0</v>
      </c>
      <c r="D296" s="121" t="str">
        <f aca="false">Scoring!AN302</f>
        <v/>
      </c>
      <c r="E296" s="120" t="str">
        <f aca="false">Scoring!V302</f>
        <v/>
      </c>
      <c r="F296" s="120" t="n">
        <f aca="false">Scoring!B302</f>
        <v>0</v>
      </c>
      <c r="G296" s="120" t="n">
        <f aca="false">Scoring!D302</f>
        <v>0</v>
      </c>
      <c r="H296" s="120" t="str">
        <f aca="false">Scoring!AP302</f>
        <v/>
      </c>
      <c r="I296" s="120" t="str">
        <f aca="false">Scoring!AO302</f>
        <v/>
      </c>
    </row>
    <row r="297" customFormat="false" ht="15.75" hidden="false" customHeight="false" outlineLevel="0" collapsed="false">
      <c r="A297" s="120" t="str">
        <f aca="false">Scoring!AR303</f>
        <v/>
      </c>
      <c r="B297" s="120" t="str">
        <f aca="false">Scoring!AQ303</f>
        <v/>
      </c>
      <c r="C297" s="120" t="n">
        <f aca="false">Scoring!C303</f>
        <v>0</v>
      </c>
      <c r="D297" s="121" t="str">
        <f aca="false">Scoring!AN303</f>
        <v/>
      </c>
      <c r="E297" s="120" t="str">
        <f aca="false">Scoring!V303</f>
        <v/>
      </c>
      <c r="F297" s="120" t="n">
        <f aca="false">Scoring!B303</f>
        <v>0</v>
      </c>
      <c r="G297" s="120" t="n">
        <f aca="false">Scoring!D303</f>
        <v>0</v>
      </c>
      <c r="H297" s="120" t="str">
        <f aca="false">Scoring!AP303</f>
        <v/>
      </c>
      <c r="I297" s="120" t="str">
        <f aca="false">Scoring!AO303</f>
        <v/>
      </c>
    </row>
    <row r="298" customFormat="false" ht="15.75" hidden="false" customHeight="false" outlineLevel="0" collapsed="false">
      <c r="A298" s="120" t="str">
        <f aca="false">Scoring!AR304</f>
        <v/>
      </c>
      <c r="B298" s="120" t="str">
        <f aca="false">Scoring!AQ304</f>
        <v/>
      </c>
      <c r="C298" s="120" t="n">
        <f aca="false">Scoring!C304</f>
        <v>0</v>
      </c>
      <c r="D298" s="121" t="str">
        <f aca="false">Scoring!AN304</f>
        <v/>
      </c>
      <c r="E298" s="120" t="str">
        <f aca="false">Scoring!V304</f>
        <v/>
      </c>
      <c r="F298" s="120" t="n">
        <f aca="false">Scoring!B304</f>
        <v>0</v>
      </c>
      <c r="G298" s="120" t="n">
        <f aca="false">Scoring!D304</f>
        <v>0</v>
      </c>
      <c r="H298" s="120" t="str">
        <f aca="false">Scoring!AP304</f>
        <v/>
      </c>
      <c r="I298" s="120" t="str">
        <f aca="false">Scoring!AO304</f>
        <v/>
      </c>
    </row>
    <row r="299" customFormat="false" ht="15.75" hidden="false" customHeight="false" outlineLevel="0" collapsed="false">
      <c r="A299" s="120" t="str">
        <f aca="false">Scoring!AR305</f>
        <v/>
      </c>
      <c r="B299" s="120" t="str">
        <f aca="false">Scoring!AQ305</f>
        <v/>
      </c>
      <c r="C299" s="120" t="n">
        <f aca="false">Scoring!C305</f>
        <v>0</v>
      </c>
      <c r="D299" s="121" t="str">
        <f aca="false">Scoring!AN305</f>
        <v/>
      </c>
      <c r="E299" s="120" t="str">
        <f aca="false">Scoring!V305</f>
        <v/>
      </c>
      <c r="F299" s="120" t="n">
        <f aca="false">Scoring!B305</f>
        <v>0</v>
      </c>
      <c r="G299" s="120" t="n">
        <f aca="false">Scoring!D305</f>
        <v>0</v>
      </c>
      <c r="H299" s="120" t="str">
        <f aca="false">Scoring!AP305</f>
        <v/>
      </c>
      <c r="I299" s="120" t="str">
        <f aca="false">Scoring!AO305</f>
        <v/>
      </c>
    </row>
    <row r="300" customFormat="false" ht="15.75" hidden="false" customHeight="false" outlineLevel="0" collapsed="false">
      <c r="A300" s="120" t="str">
        <f aca="false">Scoring!AR306</f>
        <v/>
      </c>
      <c r="B300" s="120" t="str">
        <f aca="false">Scoring!AQ306</f>
        <v/>
      </c>
      <c r="C300" s="120" t="n">
        <f aca="false">Scoring!C306</f>
        <v>0</v>
      </c>
      <c r="D300" s="121" t="str">
        <f aca="false">Scoring!AN306</f>
        <v/>
      </c>
      <c r="E300" s="120" t="str">
        <f aca="false">Scoring!V306</f>
        <v/>
      </c>
      <c r="F300" s="120" t="n">
        <f aca="false">Scoring!B306</f>
        <v>0</v>
      </c>
      <c r="G300" s="120" t="n">
        <f aca="false">Scoring!D306</f>
        <v>0</v>
      </c>
      <c r="H300" s="120" t="str">
        <f aca="false">Scoring!AP306</f>
        <v/>
      </c>
      <c r="I300" s="120" t="str">
        <f aca="false">Scoring!AO306</f>
        <v/>
      </c>
    </row>
    <row r="301" customFormat="false" ht="15.75" hidden="false" customHeight="false" outlineLevel="0" collapsed="false">
      <c r="A301" s="120" t="str">
        <f aca="false">Scoring!AR307</f>
        <v/>
      </c>
      <c r="B301" s="120" t="str">
        <f aca="false">Scoring!AQ307</f>
        <v/>
      </c>
      <c r="C301" s="120" t="n">
        <f aca="false">Scoring!C307</f>
        <v>0</v>
      </c>
      <c r="D301" s="121" t="str">
        <f aca="false">Scoring!AN307</f>
        <v/>
      </c>
      <c r="E301" s="120" t="str">
        <f aca="false">Scoring!V307</f>
        <v/>
      </c>
      <c r="F301" s="120" t="n">
        <f aca="false">Scoring!B307</f>
        <v>0</v>
      </c>
      <c r="G301" s="120" t="n">
        <f aca="false">Scoring!D307</f>
        <v>0</v>
      </c>
      <c r="H301" s="120" t="str">
        <f aca="false">Scoring!AP307</f>
        <v/>
      </c>
      <c r="I301" s="120" t="str">
        <f aca="false">Scoring!AO307</f>
        <v/>
      </c>
    </row>
    <row r="302" customFormat="false" ht="15.75" hidden="false" customHeight="false" outlineLevel="0" collapsed="false">
      <c r="A302" s="120" t="str">
        <f aca="false">Scoring!AR308</f>
        <v/>
      </c>
      <c r="B302" s="120" t="str">
        <f aca="false">Scoring!AQ308</f>
        <v/>
      </c>
      <c r="C302" s="120" t="n">
        <f aca="false">Scoring!C308</f>
        <v>0</v>
      </c>
      <c r="D302" s="121" t="str">
        <f aca="false">Scoring!AN308</f>
        <v/>
      </c>
      <c r="E302" s="120" t="str">
        <f aca="false">Scoring!V308</f>
        <v/>
      </c>
      <c r="F302" s="120" t="n">
        <f aca="false">Scoring!B308</f>
        <v>0</v>
      </c>
      <c r="G302" s="120" t="n">
        <f aca="false">Scoring!D308</f>
        <v>0</v>
      </c>
      <c r="H302" s="120" t="str">
        <f aca="false">Scoring!AP308</f>
        <v/>
      </c>
      <c r="I302" s="120" t="str">
        <f aca="false">Scoring!AO308</f>
        <v/>
      </c>
    </row>
    <row r="303" customFormat="false" ht="15.75" hidden="false" customHeight="false" outlineLevel="0" collapsed="false">
      <c r="A303" s="120" t="str">
        <f aca="false">Scoring!AR309</f>
        <v/>
      </c>
      <c r="B303" s="120" t="str">
        <f aca="false">Scoring!AQ309</f>
        <v/>
      </c>
      <c r="C303" s="120" t="n">
        <f aca="false">Scoring!C309</f>
        <v>0</v>
      </c>
      <c r="D303" s="121" t="str">
        <f aca="false">Scoring!AN309</f>
        <v/>
      </c>
      <c r="E303" s="120" t="str">
        <f aca="false">Scoring!V309</f>
        <v/>
      </c>
      <c r="F303" s="120" t="n">
        <f aca="false">Scoring!B309</f>
        <v>0</v>
      </c>
      <c r="G303" s="120" t="n">
        <f aca="false">Scoring!D309</f>
        <v>0</v>
      </c>
      <c r="H303" s="120" t="str">
        <f aca="false">Scoring!AP309</f>
        <v/>
      </c>
      <c r="I303" s="120" t="str">
        <f aca="false">Scoring!AO309</f>
        <v/>
      </c>
    </row>
    <row r="304" customFormat="false" ht="15.75" hidden="false" customHeight="false" outlineLevel="0" collapsed="false">
      <c r="A304" s="120" t="str">
        <f aca="false">Scoring!AR310</f>
        <v/>
      </c>
      <c r="B304" s="120" t="str">
        <f aca="false">Scoring!AQ310</f>
        <v/>
      </c>
      <c r="C304" s="120" t="n">
        <f aca="false">Scoring!C310</f>
        <v>0</v>
      </c>
      <c r="D304" s="121" t="str">
        <f aca="false">Scoring!AN310</f>
        <v/>
      </c>
      <c r="E304" s="120" t="str">
        <f aca="false">Scoring!V310</f>
        <v/>
      </c>
      <c r="F304" s="120" t="n">
        <f aca="false">Scoring!B310</f>
        <v>0</v>
      </c>
      <c r="G304" s="120" t="n">
        <f aca="false">Scoring!D310</f>
        <v>0</v>
      </c>
      <c r="H304" s="120" t="str">
        <f aca="false">Scoring!AP310</f>
        <v/>
      </c>
      <c r="I304" s="120" t="str">
        <f aca="false">Scoring!AO310</f>
        <v/>
      </c>
    </row>
    <row r="305" customFormat="false" ht="15.75" hidden="false" customHeight="false" outlineLevel="0" collapsed="false">
      <c r="A305" s="120" t="str">
        <f aca="false">Scoring!AR311</f>
        <v/>
      </c>
      <c r="B305" s="120" t="str">
        <f aca="false">Scoring!AQ311</f>
        <v/>
      </c>
      <c r="C305" s="120" t="n">
        <f aca="false">Scoring!C311</f>
        <v>0</v>
      </c>
      <c r="D305" s="121" t="str">
        <f aca="false">Scoring!AN311</f>
        <v/>
      </c>
      <c r="E305" s="120" t="str">
        <f aca="false">Scoring!V311</f>
        <v/>
      </c>
      <c r="F305" s="120" t="n">
        <f aca="false">Scoring!B311</f>
        <v>0</v>
      </c>
      <c r="G305" s="120" t="n">
        <f aca="false">Scoring!D311</f>
        <v>0</v>
      </c>
      <c r="H305" s="120" t="str">
        <f aca="false">Scoring!AP311</f>
        <v/>
      </c>
      <c r="I305" s="120" t="str">
        <f aca="false">Scoring!AO311</f>
        <v/>
      </c>
    </row>
    <row r="306" customFormat="false" ht="15.75" hidden="false" customHeight="false" outlineLevel="0" collapsed="false">
      <c r="A306" s="120" t="str">
        <f aca="false">Scoring!AR312</f>
        <v/>
      </c>
      <c r="B306" s="120" t="str">
        <f aca="false">Scoring!AQ312</f>
        <v/>
      </c>
      <c r="C306" s="120" t="n">
        <f aca="false">Scoring!C312</f>
        <v>0</v>
      </c>
      <c r="D306" s="121" t="str">
        <f aca="false">Scoring!AN312</f>
        <v/>
      </c>
      <c r="E306" s="120" t="str">
        <f aca="false">Scoring!V312</f>
        <v/>
      </c>
      <c r="F306" s="120" t="n">
        <f aca="false">Scoring!B312</f>
        <v>0</v>
      </c>
      <c r="G306" s="120" t="n">
        <f aca="false">Scoring!D312</f>
        <v>0</v>
      </c>
      <c r="H306" s="120" t="str">
        <f aca="false">Scoring!AP312</f>
        <v/>
      </c>
      <c r="I306" s="120" t="str">
        <f aca="false">Scoring!AO312</f>
        <v/>
      </c>
    </row>
    <row r="307" customFormat="false" ht="15.75" hidden="false" customHeight="false" outlineLevel="0" collapsed="false">
      <c r="A307" s="120" t="str">
        <f aca="false">Scoring!AR313</f>
        <v/>
      </c>
      <c r="B307" s="120" t="str">
        <f aca="false">Scoring!AQ313</f>
        <v/>
      </c>
      <c r="C307" s="120" t="n">
        <f aca="false">Scoring!C313</f>
        <v>0</v>
      </c>
      <c r="D307" s="121" t="str">
        <f aca="false">Scoring!AN313</f>
        <v/>
      </c>
      <c r="E307" s="120" t="str">
        <f aca="false">Scoring!V313</f>
        <v/>
      </c>
      <c r="F307" s="120" t="n">
        <f aca="false">Scoring!B313</f>
        <v>0</v>
      </c>
      <c r="G307" s="120" t="n">
        <f aca="false">Scoring!D313</f>
        <v>0</v>
      </c>
      <c r="H307" s="120" t="str">
        <f aca="false">Scoring!AP313</f>
        <v/>
      </c>
      <c r="I307" s="120" t="str">
        <f aca="false">Scoring!AO313</f>
        <v/>
      </c>
    </row>
    <row r="308" customFormat="false" ht="15.75" hidden="false" customHeight="false" outlineLevel="0" collapsed="false">
      <c r="A308" s="120" t="str">
        <f aca="false">Scoring!AR314</f>
        <v/>
      </c>
      <c r="B308" s="120" t="str">
        <f aca="false">Scoring!AQ314</f>
        <v/>
      </c>
      <c r="C308" s="120" t="n">
        <f aca="false">Scoring!C314</f>
        <v>0</v>
      </c>
      <c r="D308" s="121" t="str">
        <f aca="false">Scoring!AN314</f>
        <v/>
      </c>
      <c r="E308" s="120" t="str">
        <f aca="false">Scoring!V314</f>
        <v/>
      </c>
      <c r="F308" s="120" t="n">
        <f aca="false">Scoring!B314</f>
        <v>0</v>
      </c>
      <c r="G308" s="120" t="n">
        <f aca="false">Scoring!D314</f>
        <v>0</v>
      </c>
      <c r="H308" s="120" t="str">
        <f aca="false">Scoring!AP314</f>
        <v/>
      </c>
      <c r="I308" s="120" t="str">
        <f aca="false">Scoring!AO314</f>
        <v/>
      </c>
    </row>
    <row r="309" customFormat="false" ht="15.75" hidden="false" customHeight="false" outlineLevel="0" collapsed="false">
      <c r="A309" s="120" t="str">
        <f aca="false">Scoring!AR315</f>
        <v/>
      </c>
      <c r="B309" s="120" t="str">
        <f aca="false">Scoring!AQ315</f>
        <v/>
      </c>
      <c r="C309" s="120" t="n">
        <f aca="false">Scoring!C315</f>
        <v>0</v>
      </c>
      <c r="D309" s="121" t="str">
        <f aca="false">Scoring!AN315</f>
        <v/>
      </c>
      <c r="E309" s="120" t="str">
        <f aca="false">Scoring!V315</f>
        <v/>
      </c>
      <c r="F309" s="120" t="n">
        <f aca="false">Scoring!B315</f>
        <v>0</v>
      </c>
      <c r="G309" s="120" t="n">
        <f aca="false">Scoring!D315</f>
        <v>0</v>
      </c>
      <c r="H309" s="120" t="str">
        <f aca="false">Scoring!AP315</f>
        <v/>
      </c>
      <c r="I309" s="120" t="str">
        <f aca="false">Scoring!AO315</f>
        <v/>
      </c>
    </row>
    <row r="310" customFormat="false" ht="15.75" hidden="false" customHeight="false" outlineLevel="0" collapsed="false">
      <c r="A310" s="120" t="str">
        <f aca="false">Scoring!AR316</f>
        <v/>
      </c>
      <c r="B310" s="120" t="str">
        <f aca="false">Scoring!AQ316</f>
        <v/>
      </c>
      <c r="C310" s="120" t="n">
        <f aca="false">Scoring!C316</f>
        <v>0</v>
      </c>
      <c r="D310" s="121" t="str">
        <f aca="false">Scoring!AN316</f>
        <v/>
      </c>
      <c r="E310" s="120" t="str">
        <f aca="false">Scoring!V316</f>
        <v/>
      </c>
      <c r="F310" s="120" t="n">
        <f aca="false">Scoring!B316</f>
        <v>0</v>
      </c>
      <c r="G310" s="120" t="n">
        <f aca="false">Scoring!D316</f>
        <v>0</v>
      </c>
      <c r="H310" s="120" t="str">
        <f aca="false">Scoring!AP316</f>
        <v/>
      </c>
      <c r="I310" s="120" t="str">
        <f aca="false">Scoring!AO316</f>
        <v/>
      </c>
    </row>
    <row r="311" customFormat="false" ht="15.75" hidden="false" customHeight="false" outlineLevel="0" collapsed="false">
      <c r="A311" s="120" t="str">
        <f aca="false">Scoring!AR317</f>
        <v/>
      </c>
      <c r="B311" s="120" t="str">
        <f aca="false">Scoring!AQ317</f>
        <v/>
      </c>
      <c r="C311" s="120" t="n">
        <f aca="false">Scoring!C317</f>
        <v>0</v>
      </c>
      <c r="D311" s="121" t="str">
        <f aca="false">Scoring!AN317</f>
        <v/>
      </c>
      <c r="E311" s="120" t="str">
        <f aca="false">Scoring!V317</f>
        <v/>
      </c>
      <c r="F311" s="120" t="n">
        <f aca="false">Scoring!B317</f>
        <v>0</v>
      </c>
      <c r="G311" s="120" t="n">
        <f aca="false">Scoring!D317</f>
        <v>0</v>
      </c>
      <c r="H311" s="120" t="str">
        <f aca="false">Scoring!AP317</f>
        <v/>
      </c>
      <c r="I311" s="120" t="str">
        <f aca="false">Scoring!AO317</f>
        <v/>
      </c>
    </row>
    <row r="312" customFormat="false" ht="15.75" hidden="false" customHeight="false" outlineLevel="0" collapsed="false">
      <c r="A312" s="120" t="str">
        <f aca="false">Scoring!AR318</f>
        <v/>
      </c>
      <c r="B312" s="120" t="str">
        <f aca="false">Scoring!AQ318</f>
        <v/>
      </c>
      <c r="C312" s="120" t="n">
        <f aca="false">Scoring!C318</f>
        <v>0</v>
      </c>
      <c r="D312" s="121" t="str">
        <f aca="false">Scoring!AN318</f>
        <v/>
      </c>
      <c r="E312" s="120" t="str">
        <f aca="false">Scoring!V318</f>
        <v/>
      </c>
      <c r="F312" s="120" t="n">
        <f aca="false">Scoring!B318</f>
        <v>0</v>
      </c>
      <c r="G312" s="120" t="n">
        <f aca="false">Scoring!D318</f>
        <v>0</v>
      </c>
      <c r="H312" s="120" t="str">
        <f aca="false">Scoring!AP318</f>
        <v/>
      </c>
      <c r="I312" s="120" t="str">
        <f aca="false">Scoring!AO318</f>
        <v/>
      </c>
    </row>
    <row r="313" customFormat="false" ht="15.75" hidden="false" customHeight="false" outlineLevel="0" collapsed="false">
      <c r="A313" s="120" t="str">
        <f aca="false">Scoring!AR319</f>
        <v/>
      </c>
      <c r="B313" s="120" t="str">
        <f aca="false">Scoring!AQ319</f>
        <v/>
      </c>
      <c r="C313" s="120" t="n">
        <f aca="false">Scoring!C319</f>
        <v>0</v>
      </c>
      <c r="D313" s="121" t="str">
        <f aca="false">Scoring!AN319</f>
        <v/>
      </c>
      <c r="E313" s="120" t="str">
        <f aca="false">Scoring!V319</f>
        <v/>
      </c>
      <c r="F313" s="120" t="n">
        <f aca="false">Scoring!B319</f>
        <v>0</v>
      </c>
      <c r="G313" s="120" t="n">
        <f aca="false">Scoring!D319</f>
        <v>0</v>
      </c>
      <c r="H313" s="120" t="str">
        <f aca="false">Scoring!AP319</f>
        <v/>
      </c>
      <c r="I313" s="120" t="str">
        <f aca="false">Scoring!AO319</f>
        <v/>
      </c>
    </row>
    <row r="314" customFormat="false" ht="15.75" hidden="false" customHeight="false" outlineLevel="0" collapsed="false">
      <c r="A314" s="120" t="str">
        <f aca="false">Scoring!AR320</f>
        <v/>
      </c>
      <c r="B314" s="120" t="str">
        <f aca="false">Scoring!AQ320</f>
        <v/>
      </c>
      <c r="C314" s="120" t="n">
        <f aca="false">Scoring!C320</f>
        <v>0</v>
      </c>
      <c r="D314" s="121" t="str">
        <f aca="false">Scoring!AN320</f>
        <v/>
      </c>
      <c r="E314" s="120" t="str">
        <f aca="false">Scoring!V320</f>
        <v/>
      </c>
      <c r="F314" s="120" t="n">
        <f aca="false">Scoring!B320</f>
        <v>0</v>
      </c>
      <c r="G314" s="120" t="n">
        <f aca="false">Scoring!D320</f>
        <v>0</v>
      </c>
      <c r="H314" s="120" t="str">
        <f aca="false">Scoring!AP320</f>
        <v/>
      </c>
      <c r="I314" s="120" t="str">
        <f aca="false">Scoring!AO320</f>
        <v/>
      </c>
    </row>
    <row r="315" customFormat="false" ht="15.75" hidden="false" customHeight="false" outlineLevel="0" collapsed="false">
      <c r="A315" s="120" t="str">
        <f aca="false">Scoring!AR321</f>
        <v/>
      </c>
      <c r="B315" s="120" t="str">
        <f aca="false">Scoring!AQ321</f>
        <v/>
      </c>
      <c r="C315" s="120" t="n">
        <f aca="false">Scoring!C321</f>
        <v>0</v>
      </c>
      <c r="D315" s="121" t="str">
        <f aca="false">Scoring!AN321</f>
        <v/>
      </c>
      <c r="E315" s="120" t="str">
        <f aca="false">Scoring!V321</f>
        <v/>
      </c>
      <c r="F315" s="120" t="n">
        <f aca="false">Scoring!B321</f>
        <v>0</v>
      </c>
      <c r="G315" s="120" t="n">
        <f aca="false">Scoring!D321</f>
        <v>0</v>
      </c>
      <c r="H315" s="120" t="str">
        <f aca="false">Scoring!AP321</f>
        <v/>
      </c>
      <c r="I315" s="120" t="str">
        <f aca="false">Scoring!AO321</f>
        <v/>
      </c>
    </row>
    <row r="316" customFormat="false" ht="15.75" hidden="false" customHeight="false" outlineLevel="0" collapsed="false">
      <c r="A316" s="120" t="str">
        <f aca="false">Scoring!AR322</f>
        <v/>
      </c>
      <c r="B316" s="120" t="str">
        <f aca="false">Scoring!AQ322</f>
        <v/>
      </c>
      <c r="C316" s="120" t="n">
        <f aca="false">Scoring!C322</f>
        <v>0</v>
      </c>
      <c r="D316" s="121" t="str">
        <f aca="false">Scoring!AN322</f>
        <v/>
      </c>
      <c r="E316" s="120" t="str">
        <f aca="false">Scoring!V322</f>
        <v/>
      </c>
      <c r="F316" s="120" t="n">
        <f aca="false">Scoring!B322</f>
        <v>0</v>
      </c>
      <c r="G316" s="120" t="n">
        <f aca="false">Scoring!D322</f>
        <v>0</v>
      </c>
      <c r="H316" s="120" t="str">
        <f aca="false">Scoring!AP322</f>
        <v/>
      </c>
      <c r="I316" s="120" t="str">
        <f aca="false">Scoring!AO322</f>
        <v/>
      </c>
    </row>
    <row r="317" customFormat="false" ht="15.75" hidden="false" customHeight="false" outlineLevel="0" collapsed="false">
      <c r="A317" s="120" t="str">
        <f aca="false">Scoring!AR323</f>
        <v/>
      </c>
      <c r="B317" s="120" t="str">
        <f aca="false">Scoring!AQ323</f>
        <v/>
      </c>
      <c r="C317" s="120" t="n">
        <f aca="false">Scoring!C323</f>
        <v>0</v>
      </c>
      <c r="D317" s="121" t="str">
        <f aca="false">Scoring!AN323</f>
        <v/>
      </c>
      <c r="E317" s="120" t="str">
        <f aca="false">Scoring!V323</f>
        <v/>
      </c>
      <c r="F317" s="120" t="n">
        <f aca="false">Scoring!B323</f>
        <v>0</v>
      </c>
      <c r="G317" s="120" t="n">
        <f aca="false">Scoring!D323</f>
        <v>0</v>
      </c>
      <c r="H317" s="120" t="str">
        <f aca="false">Scoring!AP323</f>
        <v/>
      </c>
      <c r="I317" s="120" t="str">
        <f aca="false">Scoring!AO323</f>
        <v/>
      </c>
    </row>
    <row r="318" customFormat="false" ht="15.75" hidden="false" customHeight="false" outlineLevel="0" collapsed="false">
      <c r="A318" s="120" t="str">
        <f aca="false">Scoring!AR324</f>
        <v/>
      </c>
      <c r="B318" s="120" t="str">
        <f aca="false">Scoring!AQ324</f>
        <v/>
      </c>
      <c r="C318" s="120" t="n">
        <f aca="false">Scoring!C324</f>
        <v>0</v>
      </c>
      <c r="D318" s="121" t="str">
        <f aca="false">Scoring!AN324</f>
        <v/>
      </c>
      <c r="E318" s="120" t="str">
        <f aca="false">Scoring!V324</f>
        <v/>
      </c>
      <c r="F318" s="120" t="n">
        <f aca="false">Scoring!B324</f>
        <v>0</v>
      </c>
      <c r="G318" s="120" t="n">
        <f aca="false">Scoring!D324</f>
        <v>0</v>
      </c>
      <c r="H318" s="120" t="str">
        <f aca="false">Scoring!AP324</f>
        <v/>
      </c>
      <c r="I318" s="120" t="str">
        <f aca="false">Scoring!AO324</f>
        <v/>
      </c>
    </row>
    <row r="319" customFormat="false" ht="15.75" hidden="false" customHeight="false" outlineLevel="0" collapsed="false">
      <c r="A319" s="120" t="str">
        <f aca="false">Scoring!AR325</f>
        <v/>
      </c>
      <c r="B319" s="120" t="str">
        <f aca="false">Scoring!AQ325</f>
        <v/>
      </c>
      <c r="C319" s="120" t="n">
        <f aca="false">Scoring!C325</f>
        <v>0</v>
      </c>
      <c r="D319" s="121" t="str">
        <f aca="false">Scoring!AN325</f>
        <v/>
      </c>
      <c r="E319" s="120" t="str">
        <f aca="false">Scoring!V325</f>
        <v/>
      </c>
      <c r="F319" s="120" t="n">
        <f aca="false">Scoring!B325</f>
        <v>0</v>
      </c>
      <c r="G319" s="120" t="n">
        <f aca="false">Scoring!D325</f>
        <v>0</v>
      </c>
      <c r="H319" s="120" t="str">
        <f aca="false">Scoring!AP325</f>
        <v/>
      </c>
      <c r="I319" s="120" t="str">
        <f aca="false">Scoring!AO325</f>
        <v/>
      </c>
    </row>
    <row r="320" customFormat="false" ht="15.75" hidden="false" customHeight="false" outlineLevel="0" collapsed="false">
      <c r="A320" s="120" t="str">
        <f aca="false">Scoring!AR326</f>
        <v/>
      </c>
      <c r="B320" s="120" t="str">
        <f aca="false">Scoring!AQ326</f>
        <v/>
      </c>
      <c r="C320" s="120" t="n">
        <f aca="false">Scoring!C326</f>
        <v>0</v>
      </c>
      <c r="D320" s="121" t="str">
        <f aca="false">Scoring!AN326</f>
        <v/>
      </c>
      <c r="E320" s="120" t="str">
        <f aca="false">Scoring!V326</f>
        <v/>
      </c>
      <c r="F320" s="120" t="n">
        <f aca="false">Scoring!B326</f>
        <v>0</v>
      </c>
      <c r="G320" s="120" t="n">
        <f aca="false">Scoring!D326</f>
        <v>0</v>
      </c>
      <c r="H320" s="120" t="str">
        <f aca="false">Scoring!AP326</f>
        <v/>
      </c>
      <c r="I320" s="120" t="str">
        <f aca="false">Scoring!AO326</f>
        <v/>
      </c>
    </row>
    <row r="321" customFormat="false" ht="15.75" hidden="false" customHeight="false" outlineLevel="0" collapsed="false">
      <c r="A321" s="120" t="str">
        <f aca="false">Scoring!AR327</f>
        <v/>
      </c>
      <c r="B321" s="120" t="str">
        <f aca="false">Scoring!AQ327</f>
        <v/>
      </c>
      <c r="C321" s="120" t="n">
        <f aca="false">Scoring!C327</f>
        <v>0</v>
      </c>
      <c r="D321" s="121" t="str">
        <f aca="false">Scoring!AN327</f>
        <v/>
      </c>
      <c r="E321" s="120" t="str">
        <f aca="false">Scoring!V327</f>
        <v/>
      </c>
      <c r="F321" s="120" t="n">
        <f aca="false">Scoring!B327</f>
        <v>0</v>
      </c>
      <c r="G321" s="120" t="n">
        <f aca="false">Scoring!D327</f>
        <v>0</v>
      </c>
      <c r="H321" s="120" t="str">
        <f aca="false">Scoring!AP327</f>
        <v/>
      </c>
      <c r="I321" s="120" t="str">
        <f aca="false">Scoring!AO327</f>
        <v/>
      </c>
    </row>
    <row r="322" customFormat="false" ht="15.75" hidden="false" customHeight="false" outlineLevel="0" collapsed="false">
      <c r="A322" s="120" t="str">
        <f aca="false">Scoring!AR328</f>
        <v/>
      </c>
      <c r="B322" s="120" t="str">
        <f aca="false">Scoring!AQ328</f>
        <v/>
      </c>
      <c r="C322" s="120" t="n">
        <f aca="false">Scoring!C328</f>
        <v>0</v>
      </c>
      <c r="D322" s="121" t="str">
        <f aca="false">Scoring!AN328</f>
        <v/>
      </c>
      <c r="E322" s="120" t="str">
        <f aca="false">Scoring!V328</f>
        <v/>
      </c>
      <c r="F322" s="120" t="n">
        <f aca="false">Scoring!B328</f>
        <v>0</v>
      </c>
      <c r="G322" s="120" t="n">
        <f aca="false">Scoring!D328</f>
        <v>0</v>
      </c>
      <c r="H322" s="120" t="str">
        <f aca="false">Scoring!AP328</f>
        <v/>
      </c>
      <c r="I322" s="120" t="str">
        <f aca="false">Scoring!AO328</f>
        <v/>
      </c>
    </row>
    <row r="323" customFormat="false" ht="15.75" hidden="false" customHeight="false" outlineLevel="0" collapsed="false">
      <c r="A323" s="120" t="str">
        <f aca="false">Scoring!AR329</f>
        <v/>
      </c>
      <c r="B323" s="120" t="str">
        <f aca="false">Scoring!AQ329</f>
        <v/>
      </c>
      <c r="C323" s="120" t="n">
        <f aca="false">Scoring!C329</f>
        <v>0</v>
      </c>
      <c r="D323" s="121" t="str">
        <f aca="false">Scoring!AN329</f>
        <v/>
      </c>
      <c r="E323" s="120" t="str">
        <f aca="false">Scoring!V329</f>
        <v/>
      </c>
      <c r="F323" s="120" t="n">
        <f aca="false">Scoring!B329</f>
        <v>0</v>
      </c>
      <c r="G323" s="120" t="n">
        <f aca="false">Scoring!D329</f>
        <v>0</v>
      </c>
      <c r="H323" s="120" t="str">
        <f aca="false">Scoring!AP329</f>
        <v/>
      </c>
      <c r="I323" s="120" t="str">
        <f aca="false">Scoring!AO329</f>
        <v/>
      </c>
    </row>
    <row r="324" customFormat="false" ht="15.75" hidden="false" customHeight="false" outlineLevel="0" collapsed="false">
      <c r="A324" s="120" t="str">
        <f aca="false">Scoring!AR330</f>
        <v/>
      </c>
      <c r="B324" s="120" t="str">
        <f aca="false">Scoring!AQ330</f>
        <v/>
      </c>
      <c r="C324" s="120" t="n">
        <f aca="false">Scoring!C330</f>
        <v>0</v>
      </c>
      <c r="D324" s="121" t="str">
        <f aca="false">Scoring!AN330</f>
        <v/>
      </c>
      <c r="E324" s="120" t="str">
        <f aca="false">Scoring!V330</f>
        <v/>
      </c>
      <c r="F324" s="120" t="n">
        <f aca="false">Scoring!B330</f>
        <v>0</v>
      </c>
      <c r="G324" s="120" t="n">
        <f aca="false">Scoring!D330</f>
        <v>0</v>
      </c>
      <c r="H324" s="120" t="str">
        <f aca="false">Scoring!AP330</f>
        <v/>
      </c>
      <c r="I324" s="120" t="str">
        <f aca="false">Scoring!AO330</f>
        <v/>
      </c>
    </row>
    <row r="325" customFormat="false" ht="15.75" hidden="false" customHeight="false" outlineLevel="0" collapsed="false">
      <c r="A325" s="120" t="str">
        <f aca="false">Scoring!AR331</f>
        <v/>
      </c>
      <c r="B325" s="120" t="str">
        <f aca="false">Scoring!AQ331</f>
        <v/>
      </c>
      <c r="C325" s="120" t="n">
        <f aca="false">Scoring!C331</f>
        <v>0</v>
      </c>
      <c r="D325" s="121" t="str">
        <f aca="false">Scoring!AN331</f>
        <v/>
      </c>
      <c r="E325" s="120" t="str">
        <f aca="false">Scoring!V331</f>
        <v/>
      </c>
      <c r="F325" s="120" t="n">
        <f aca="false">Scoring!B331</f>
        <v>0</v>
      </c>
      <c r="G325" s="120" t="n">
        <f aca="false">Scoring!D331</f>
        <v>0</v>
      </c>
      <c r="H325" s="120" t="str">
        <f aca="false">Scoring!AP331</f>
        <v/>
      </c>
      <c r="I325" s="120" t="str">
        <f aca="false">Scoring!AO331</f>
        <v/>
      </c>
    </row>
    <row r="326" customFormat="false" ht="15.75" hidden="false" customHeight="false" outlineLevel="0" collapsed="false">
      <c r="A326" s="120" t="str">
        <f aca="false">Scoring!AR332</f>
        <v/>
      </c>
      <c r="B326" s="120" t="str">
        <f aca="false">Scoring!AQ332</f>
        <v/>
      </c>
      <c r="C326" s="120" t="n">
        <f aca="false">Scoring!C332</f>
        <v>0</v>
      </c>
      <c r="D326" s="121" t="str">
        <f aca="false">Scoring!AN332</f>
        <v/>
      </c>
      <c r="E326" s="120" t="str">
        <f aca="false">Scoring!V332</f>
        <v/>
      </c>
      <c r="F326" s="120" t="n">
        <f aca="false">Scoring!B332</f>
        <v>0</v>
      </c>
      <c r="G326" s="120" t="n">
        <f aca="false">Scoring!D332</f>
        <v>0</v>
      </c>
      <c r="H326" s="120" t="str">
        <f aca="false">Scoring!AP332</f>
        <v/>
      </c>
      <c r="I326" s="120" t="str">
        <f aca="false">Scoring!AO332</f>
        <v/>
      </c>
    </row>
    <row r="327" customFormat="false" ht="15.75" hidden="false" customHeight="false" outlineLevel="0" collapsed="false">
      <c r="A327" s="120" t="str">
        <f aca="false">Scoring!AR333</f>
        <v/>
      </c>
      <c r="B327" s="120" t="str">
        <f aca="false">Scoring!AQ333</f>
        <v/>
      </c>
      <c r="C327" s="120" t="n">
        <f aca="false">Scoring!C333</f>
        <v>0</v>
      </c>
      <c r="D327" s="121" t="str">
        <f aca="false">Scoring!AN333</f>
        <v/>
      </c>
      <c r="E327" s="120" t="str">
        <f aca="false">Scoring!V333</f>
        <v/>
      </c>
      <c r="F327" s="120" t="n">
        <f aca="false">Scoring!B333</f>
        <v>0</v>
      </c>
      <c r="G327" s="120" t="n">
        <f aca="false">Scoring!D333</f>
        <v>0</v>
      </c>
      <c r="H327" s="120" t="str">
        <f aca="false">Scoring!AP333</f>
        <v/>
      </c>
      <c r="I327" s="120" t="str">
        <f aca="false">Scoring!AO333</f>
        <v/>
      </c>
    </row>
    <row r="328" customFormat="false" ht="15.75" hidden="false" customHeight="false" outlineLevel="0" collapsed="false">
      <c r="A328" s="120" t="str">
        <f aca="false">Scoring!AR334</f>
        <v/>
      </c>
      <c r="B328" s="120" t="str">
        <f aca="false">Scoring!AQ334</f>
        <v/>
      </c>
      <c r="C328" s="120" t="n">
        <f aca="false">Scoring!C334</f>
        <v>0</v>
      </c>
      <c r="D328" s="121" t="str">
        <f aca="false">Scoring!AN334</f>
        <v/>
      </c>
      <c r="E328" s="120" t="str">
        <f aca="false">Scoring!V334</f>
        <v/>
      </c>
      <c r="F328" s="120" t="n">
        <f aca="false">Scoring!B334</f>
        <v>0</v>
      </c>
      <c r="G328" s="120" t="n">
        <f aca="false">Scoring!D334</f>
        <v>0</v>
      </c>
      <c r="H328" s="120" t="str">
        <f aca="false">Scoring!AP334</f>
        <v/>
      </c>
      <c r="I328" s="120" t="str">
        <f aca="false">Scoring!AO334</f>
        <v/>
      </c>
    </row>
    <row r="329" customFormat="false" ht="15.75" hidden="false" customHeight="false" outlineLevel="0" collapsed="false">
      <c r="A329" s="120" t="str">
        <f aca="false">Scoring!AR335</f>
        <v/>
      </c>
      <c r="B329" s="120" t="str">
        <f aca="false">Scoring!AQ335</f>
        <v/>
      </c>
      <c r="C329" s="120" t="n">
        <f aca="false">Scoring!C335</f>
        <v>0</v>
      </c>
      <c r="D329" s="121" t="str">
        <f aca="false">Scoring!AN335</f>
        <v/>
      </c>
      <c r="E329" s="120" t="str">
        <f aca="false">Scoring!V335</f>
        <v/>
      </c>
      <c r="F329" s="120" t="n">
        <f aca="false">Scoring!B335</f>
        <v>0</v>
      </c>
      <c r="G329" s="120" t="n">
        <f aca="false">Scoring!D335</f>
        <v>0</v>
      </c>
      <c r="H329" s="120" t="str">
        <f aca="false">Scoring!AP335</f>
        <v/>
      </c>
      <c r="I329" s="120" t="str">
        <f aca="false">Scoring!AO335</f>
        <v/>
      </c>
    </row>
    <row r="330" customFormat="false" ht="15.75" hidden="false" customHeight="false" outlineLevel="0" collapsed="false">
      <c r="A330" s="120" t="str">
        <f aca="false">Scoring!AR336</f>
        <v/>
      </c>
      <c r="B330" s="120" t="str">
        <f aca="false">Scoring!AQ336</f>
        <v/>
      </c>
      <c r="C330" s="120" t="n">
        <f aca="false">Scoring!C336</f>
        <v>0</v>
      </c>
      <c r="D330" s="121" t="str">
        <f aca="false">Scoring!AN336</f>
        <v/>
      </c>
      <c r="E330" s="120" t="str">
        <f aca="false">Scoring!V336</f>
        <v/>
      </c>
      <c r="F330" s="120" t="n">
        <f aca="false">Scoring!B336</f>
        <v>0</v>
      </c>
      <c r="G330" s="120" t="n">
        <f aca="false">Scoring!D336</f>
        <v>0</v>
      </c>
      <c r="H330" s="120" t="str">
        <f aca="false">Scoring!AP336</f>
        <v/>
      </c>
      <c r="I330" s="120" t="str">
        <f aca="false">Scoring!AO336</f>
        <v/>
      </c>
    </row>
    <row r="331" customFormat="false" ht="15.75" hidden="false" customHeight="false" outlineLevel="0" collapsed="false">
      <c r="A331" s="120" t="str">
        <f aca="false">Scoring!AR337</f>
        <v/>
      </c>
      <c r="B331" s="120" t="str">
        <f aca="false">Scoring!AQ337</f>
        <v/>
      </c>
      <c r="C331" s="120" t="n">
        <f aca="false">Scoring!C337</f>
        <v>0</v>
      </c>
      <c r="D331" s="121" t="str">
        <f aca="false">Scoring!AN337</f>
        <v/>
      </c>
      <c r="E331" s="120" t="str">
        <f aca="false">Scoring!V337</f>
        <v/>
      </c>
      <c r="F331" s="120" t="n">
        <f aca="false">Scoring!B337</f>
        <v>0</v>
      </c>
      <c r="G331" s="120" t="n">
        <f aca="false">Scoring!D337</f>
        <v>0</v>
      </c>
      <c r="H331" s="120" t="str">
        <f aca="false">Scoring!AP337</f>
        <v/>
      </c>
      <c r="I331" s="120" t="str">
        <f aca="false">Scoring!AO337</f>
        <v/>
      </c>
    </row>
    <row r="332" customFormat="false" ht="15.75" hidden="false" customHeight="false" outlineLevel="0" collapsed="false">
      <c r="A332" s="120" t="str">
        <f aca="false">Scoring!AR338</f>
        <v/>
      </c>
      <c r="B332" s="120" t="str">
        <f aca="false">Scoring!AQ338</f>
        <v/>
      </c>
      <c r="C332" s="120" t="n">
        <f aca="false">Scoring!C338</f>
        <v>0</v>
      </c>
      <c r="D332" s="121" t="str">
        <f aca="false">Scoring!AN338</f>
        <v/>
      </c>
      <c r="E332" s="120" t="str">
        <f aca="false">Scoring!V338</f>
        <v/>
      </c>
      <c r="F332" s="120" t="n">
        <f aca="false">Scoring!B338</f>
        <v>0</v>
      </c>
      <c r="G332" s="120" t="n">
        <f aca="false">Scoring!D338</f>
        <v>0</v>
      </c>
      <c r="H332" s="120" t="str">
        <f aca="false">Scoring!AP338</f>
        <v/>
      </c>
      <c r="I332" s="120" t="str">
        <f aca="false">Scoring!AO338</f>
        <v/>
      </c>
    </row>
    <row r="333" customFormat="false" ht="15.75" hidden="false" customHeight="false" outlineLevel="0" collapsed="false">
      <c r="A333" s="120" t="str">
        <f aca="false">Scoring!AR339</f>
        <v/>
      </c>
      <c r="B333" s="120" t="str">
        <f aca="false">Scoring!AQ339</f>
        <v/>
      </c>
      <c r="C333" s="120" t="n">
        <f aca="false">Scoring!C339</f>
        <v>0</v>
      </c>
      <c r="D333" s="121" t="str">
        <f aca="false">Scoring!AN339</f>
        <v/>
      </c>
      <c r="E333" s="120" t="str">
        <f aca="false">Scoring!V339</f>
        <v/>
      </c>
      <c r="F333" s="120" t="n">
        <f aca="false">Scoring!B339</f>
        <v>0</v>
      </c>
      <c r="G333" s="120" t="n">
        <f aca="false">Scoring!D339</f>
        <v>0</v>
      </c>
      <c r="H333" s="120" t="str">
        <f aca="false">Scoring!AP339</f>
        <v/>
      </c>
      <c r="I333" s="120" t="str">
        <f aca="false">Scoring!AO339</f>
        <v/>
      </c>
    </row>
    <row r="334" customFormat="false" ht="15.75" hidden="false" customHeight="false" outlineLevel="0" collapsed="false">
      <c r="A334" s="120" t="str">
        <f aca="false">Scoring!AR340</f>
        <v/>
      </c>
      <c r="B334" s="120" t="str">
        <f aca="false">Scoring!AQ340</f>
        <v/>
      </c>
      <c r="C334" s="120" t="n">
        <f aca="false">Scoring!C340</f>
        <v>0</v>
      </c>
      <c r="D334" s="121" t="str">
        <f aca="false">Scoring!AN340</f>
        <v/>
      </c>
      <c r="E334" s="120" t="str">
        <f aca="false">Scoring!V340</f>
        <v/>
      </c>
      <c r="F334" s="120" t="n">
        <f aca="false">Scoring!B340</f>
        <v>0</v>
      </c>
      <c r="G334" s="120" t="n">
        <f aca="false">Scoring!D340</f>
        <v>0</v>
      </c>
      <c r="H334" s="120" t="str">
        <f aca="false">Scoring!AP340</f>
        <v/>
      </c>
      <c r="I334" s="120" t="str">
        <f aca="false">Scoring!AO340</f>
        <v/>
      </c>
    </row>
    <row r="335" customFormat="false" ht="15.75" hidden="false" customHeight="false" outlineLevel="0" collapsed="false">
      <c r="A335" s="120" t="str">
        <f aca="false">Scoring!AR341</f>
        <v/>
      </c>
      <c r="B335" s="120" t="str">
        <f aca="false">Scoring!AQ341</f>
        <v/>
      </c>
      <c r="C335" s="120" t="n">
        <f aca="false">Scoring!C341</f>
        <v>0</v>
      </c>
      <c r="D335" s="121" t="str">
        <f aca="false">Scoring!AN341</f>
        <v/>
      </c>
      <c r="E335" s="120" t="str">
        <f aca="false">Scoring!V341</f>
        <v/>
      </c>
      <c r="F335" s="120" t="n">
        <f aca="false">Scoring!B341</f>
        <v>0</v>
      </c>
      <c r="G335" s="120" t="n">
        <f aca="false">Scoring!D341</f>
        <v>0</v>
      </c>
      <c r="H335" s="120" t="str">
        <f aca="false">Scoring!AP341</f>
        <v/>
      </c>
      <c r="I335" s="120" t="str">
        <f aca="false">Scoring!AO341</f>
        <v/>
      </c>
    </row>
    <row r="336" customFormat="false" ht="15.75" hidden="false" customHeight="false" outlineLevel="0" collapsed="false">
      <c r="A336" s="120" t="str">
        <f aca="false">Scoring!AR342</f>
        <v/>
      </c>
      <c r="B336" s="120" t="str">
        <f aca="false">Scoring!AQ342</f>
        <v/>
      </c>
      <c r="C336" s="120" t="n">
        <f aca="false">Scoring!C342</f>
        <v>0</v>
      </c>
      <c r="D336" s="121" t="str">
        <f aca="false">Scoring!AN342</f>
        <v/>
      </c>
      <c r="E336" s="120" t="str">
        <f aca="false">Scoring!V342</f>
        <v/>
      </c>
      <c r="F336" s="120" t="n">
        <f aca="false">Scoring!B342</f>
        <v>0</v>
      </c>
      <c r="G336" s="120" t="n">
        <f aca="false">Scoring!D342</f>
        <v>0</v>
      </c>
      <c r="H336" s="120" t="str">
        <f aca="false">Scoring!AP342</f>
        <v/>
      </c>
      <c r="I336" s="120" t="str">
        <f aca="false">Scoring!AO342</f>
        <v/>
      </c>
    </row>
    <row r="337" customFormat="false" ht="15.75" hidden="false" customHeight="false" outlineLevel="0" collapsed="false">
      <c r="A337" s="120" t="str">
        <f aca="false">Scoring!AR343</f>
        <v/>
      </c>
      <c r="B337" s="120" t="str">
        <f aca="false">Scoring!AQ343</f>
        <v/>
      </c>
      <c r="C337" s="120" t="n">
        <f aca="false">Scoring!C343</f>
        <v>0</v>
      </c>
      <c r="D337" s="121" t="str">
        <f aca="false">Scoring!AN343</f>
        <v/>
      </c>
      <c r="E337" s="120" t="str">
        <f aca="false">Scoring!V343</f>
        <v/>
      </c>
      <c r="F337" s="120" t="n">
        <f aca="false">Scoring!B343</f>
        <v>0</v>
      </c>
      <c r="G337" s="120" t="n">
        <f aca="false">Scoring!D343</f>
        <v>0</v>
      </c>
      <c r="H337" s="120" t="str">
        <f aca="false">Scoring!AP343</f>
        <v/>
      </c>
      <c r="I337" s="120" t="str">
        <f aca="false">Scoring!AO343</f>
        <v/>
      </c>
    </row>
    <row r="338" customFormat="false" ht="15.75" hidden="false" customHeight="false" outlineLevel="0" collapsed="false">
      <c r="A338" s="120" t="str">
        <f aca="false">Scoring!AR344</f>
        <v/>
      </c>
      <c r="B338" s="120" t="str">
        <f aca="false">Scoring!AQ344</f>
        <v/>
      </c>
      <c r="C338" s="120" t="n">
        <f aca="false">Scoring!C344</f>
        <v>0</v>
      </c>
      <c r="D338" s="121" t="str">
        <f aca="false">Scoring!AN344</f>
        <v/>
      </c>
      <c r="E338" s="120" t="str">
        <f aca="false">Scoring!V344</f>
        <v/>
      </c>
      <c r="F338" s="120" t="n">
        <f aca="false">Scoring!B344</f>
        <v>0</v>
      </c>
      <c r="G338" s="120" t="n">
        <f aca="false">Scoring!D344</f>
        <v>0</v>
      </c>
      <c r="H338" s="120" t="str">
        <f aca="false">Scoring!AP344</f>
        <v/>
      </c>
      <c r="I338" s="120" t="str">
        <f aca="false">Scoring!AO344</f>
        <v/>
      </c>
    </row>
    <row r="339" customFormat="false" ht="15.75" hidden="false" customHeight="false" outlineLevel="0" collapsed="false">
      <c r="A339" s="120" t="str">
        <f aca="false">Scoring!AR345</f>
        <v/>
      </c>
      <c r="B339" s="120" t="str">
        <f aca="false">Scoring!AQ345</f>
        <v/>
      </c>
      <c r="C339" s="120" t="n">
        <f aca="false">Scoring!C345</f>
        <v>0</v>
      </c>
      <c r="D339" s="121" t="str">
        <f aca="false">Scoring!AN345</f>
        <v/>
      </c>
      <c r="E339" s="120" t="str">
        <f aca="false">Scoring!V345</f>
        <v/>
      </c>
      <c r="F339" s="120" t="n">
        <f aca="false">Scoring!B345</f>
        <v>0</v>
      </c>
      <c r="G339" s="120" t="n">
        <f aca="false">Scoring!D345</f>
        <v>0</v>
      </c>
      <c r="H339" s="120" t="str">
        <f aca="false">Scoring!AP345</f>
        <v/>
      </c>
      <c r="I339" s="120" t="str">
        <f aca="false">Scoring!AO345</f>
        <v/>
      </c>
    </row>
    <row r="340" customFormat="false" ht="15.75" hidden="false" customHeight="false" outlineLevel="0" collapsed="false">
      <c r="A340" s="120" t="str">
        <f aca="false">Scoring!AR346</f>
        <v/>
      </c>
      <c r="B340" s="120" t="str">
        <f aca="false">Scoring!AQ346</f>
        <v/>
      </c>
      <c r="C340" s="120" t="n">
        <f aca="false">Scoring!C346</f>
        <v>0</v>
      </c>
      <c r="D340" s="121" t="str">
        <f aca="false">Scoring!AN346</f>
        <v/>
      </c>
      <c r="E340" s="120" t="str">
        <f aca="false">Scoring!V346</f>
        <v/>
      </c>
      <c r="F340" s="120" t="n">
        <f aca="false">Scoring!B346</f>
        <v>0</v>
      </c>
      <c r="G340" s="120" t="n">
        <f aca="false">Scoring!D346</f>
        <v>0</v>
      </c>
      <c r="H340" s="120" t="str">
        <f aca="false">Scoring!AP346</f>
        <v/>
      </c>
      <c r="I340" s="120" t="str">
        <f aca="false">Scoring!AO346</f>
        <v/>
      </c>
    </row>
    <row r="341" customFormat="false" ht="15.75" hidden="false" customHeight="false" outlineLevel="0" collapsed="false">
      <c r="A341" s="120" t="str">
        <f aca="false">Scoring!AR347</f>
        <v/>
      </c>
      <c r="B341" s="120" t="str">
        <f aca="false">Scoring!AQ347</f>
        <v/>
      </c>
      <c r="C341" s="120" t="n">
        <f aca="false">Scoring!C347</f>
        <v>0</v>
      </c>
      <c r="D341" s="121" t="str">
        <f aca="false">Scoring!AN347</f>
        <v/>
      </c>
      <c r="E341" s="120" t="str">
        <f aca="false">Scoring!V347</f>
        <v/>
      </c>
      <c r="F341" s="120" t="n">
        <f aca="false">Scoring!B347</f>
        <v>0</v>
      </c>
      <c r="G341" s="120" t="n">
        <f aca="false">Scoring!D347</f>
        <v>0</v>
      </c>
      <c r="H341" s="120" t="str">
        <f aca="false">Scoring!AP347</f>
        <v/>
      </c>
      <c r="I341" s="120" t="str">
        <f aca="false">Scoring!AO347</f>
        <v/>
      </c>
    </row>
    <row r="342" customFormat="false" ht="15.75" hidden="false" customHeight="false" outlineLevel="0" collapsed="false">
      <c r="A342" s="120" t="str">
        <f aca="false">Scoring!AR348</f>
        <v/>
      </c>
      <c r="B342" s="120" t="str">
        <f aca="false">Scoring!AQ348</f>
        <v/>
      </c>
      <c r="C342" s="120" t="n">
        <f aca="false">Scoring!C348</f>
        <v>0</v>
      </c>
      <c r="D342" s="121" t="str">
        <f aca="false">Scoring!AN348</f>
        <v/>
      </c>
      <c r="E342" s="120" t="str">
        <f aca="false">Scoring!V348</f>
        <v/>
      </c>
      <c r="F342" s="120" t="n">
        <f aca="false">Scoring!B348</f>
        <v>0</v>
      </c>
      <c r="G342" s="120" t="n">
        <f aca="false">Scoring!D348</f>
        <v>0</v>
      </c>
      <c r="H342" s="120" t="str">
        <f aca="false">Scoring!AP348</f>
        <v/>
      </c>
      <c r="I342" s="120" t="str">
        <f aca="false">Scoring!AO348</f>
        <v/>
      </c>
    </row>
    <row r="343" customFormat="false" ht="15.75" hidden="false" customHeight="false" outlineLevel="0" collapsed="false">
      <c r="A343" s="120" t="str">
        <f aca="false">Scoring!AR349</f>
        <v/>
      </c>
      <c r="B343" s="120" t="str">
        <f aca="false">Scoring!AQ349</f>
        <v/>
      </c>
      <c r="C343" s="120" t="n">
        <f aca="false">Scoring!C349</f>
        <v>0</v>
      </c>
      <c r="D343" s="121" t="str">
        <f aca="false">Scoring!AN349</f>
        <v/>
      </c>
      <c r="E343" s="120" t="str">
        <f aca="false">Scoring!V349</f>
        <v/>
      </c>
      <c r="F343" s="120" t="n">
        <f aca="false">Scoring!B349</f>
        <v>0</v>
      </c>
      <c r="G343" s="120" t="n">
        <f aca="false">Scoring!D349</f>
        <v>0</v>
      </c>
      <c r="H343" s="120" t="str">
        <f aca="false">Scoring!AP349</f>
        <v/>
      </c>
      <c r="I343" s="120" t="str">
        <f aca="false">Scoring!AO349</f>
        <v/>
      </c>
    </row>
    <row r="344" customFormat="false" ht="15.75" hidden="false" customHeight="false" outlineLevel="0" collapsed="false">
      <c r="A344" s="120" t="str">
        <f aca="false">Scoring!AR350</f>
        <v/>
      </c>
      <c r="B344" s="120" t="str">
        <f aca="false">Scoring!AQ350</f>
        <v/>
      </c>
      <c r="C344" s="120" t="n">
        <f aca="false">Scoring!C350</f>
        <v>0</v>
      </c>
      <c r="D344" s="121" t="str">
        <f aca="false">Scoring!AN350</f>
        <v/>
      </c>
      <c r="E344" s="120" t="str">
        <f aca="false">Scoring!V350</f>
        <v/>
      </c>
      <c r="F344" s="120" t="n">
        <f aca="false">Scoring!B350</f>
        <v>0</v>
      </c>
      <c r="G344" s="120" t="n">
        <f aca="false">Scoring!D350</f>
        <v>0</v>
      </c>
      <c r="H344" s="120" t="str">
        <f aca="false">Scoring!AP350</f>
        <v/>
      </c>
      <c r="I344" s="120" t="str">
        <f aca="false">Scoring!AO350</f>
        <v/>
      </c>
    </row>
    <row r="345" customFormat="false" ht="15.75" hidden="false" customHeight="false" outlineLevel="0" collapsed="false">
      <c r="A345" s="120" t="str">
        <f aca="false">Scoring!AR351</f>
        <v/>
      </c>
      <c r="B345" s="120" t="str">
        <f aca="false">Scoring!AQ351</f>
        <v/>
      </c>
      <c r="C345" s="120" t="n">
        <f aca="false">Scoring!C351</f>
        <v>0</v>
      </c>
      <c r="D345" s="121" t="str">
        <f aca="false">Scoring!AN351</f>
        <v/>
      </c>
      <c r="E345" s="120" t="str">
        <f aca="false">Scoring!V351</f>
        <v/>
      </c>
      <c r="F345" s="120" t="n">
        <f aca="false">Scoring!B351</f>
        <v>0</v>
      </c>
      <c r="G345" s="120" t="n">
        <f aca="false">Scoring!D351</f>
        <v>0</v>
      </c>
      <c r="H345" s="120" t="str">
        <f aca="false">Scoring!AP351</f>
        <v/>
      </c>
      <c r="I345" s="120" t="str">
        <f aca="false">Scoring!AO351</f>
        <v/>
      </c>
    </row>
    <row r="346" customFormat="false" ht="15.75" hidden="false" customHeight="false" outlineLevel="0" collapsed="false">
      <c r="A346" s="120" t="str">
        <f aca="false">Scoring!AR352</f>
        <v/>
      </c>
      <c r="B346" s="120" t="str">
        <f aca="false">Scoring!AQ352</f>
        <v/>
      </c>
      <c r="C346" s="120" t="n">
        <f aca="false">Scoring!C352</f>
        <v>0</v>
      </c>
      <c r="D346" s="121" t="str">
        <f aca="false">Scoring!AN352</f>
        <v/>
      </c>
      <c r="E346" s="120" t="str">
        <f aca="false">Scoring!V352</f>
        <v/>
      </c>
      <c r="F346" s="120" t="n">
        <f aca="false">Scoring!B352</f>
        <v>0</v>
      </c>
      <c r="G346" s="120" t="n">
        <f aca="false">Scoring!D352</f>
        <v>0</v>
      </c>
      <c r="H346" s="120" t="str">
        <f aca="false">Scoring!AP352</f>
        <v/>
      </c>
      <c r="I346" s="120" t="str">
        <f aca="false">Scoring!AO352</f>
        <v/>
      </c>
    </row>
    <row r="347" customFormat="false" ht="15.75" hidden="false" customHeight="false" outlineLevel="0" collapsed="false">
      <c r="A347" s="120" t="str">
        <f aca="false">Scoring!AR353</f>
        <v/>
      </c>
      <c r="B347" s="120" t="str">
        <f aca="false">Scoring!AQ353</f>
        <v/>
      </c>
      <c r="C347" s="120" t="n">
        <f aca="false">Scoring!C353</f>
        <v>0</v>
      </c>
      <c r="D347" s="121" t="str">
        <f aca="false">Scoring!AN353</f>
        <v/>
      </c>
      <c r="E347" s="120" t="str">
        <f aca="false">Scoring!V353</f>
        <v/>
      </c>
      <c r="F347" s="120" t="n">
        <f aca="false">Scoring!B353</f>
        <v>0</v>
      </c>
      <c r="G347" s="120" t="n">
        <f aca="false">Scoring!D353</f>
        <v>0</v>
      </c>
      <c r="H347" s="120" t="str">
        <f aca="false">Scoring!AP353</f>
        <v/>
      </c>
      <c r="I347" s="120" t="str">
        <f aca="false">Scoring!AO353</f>
        <v/>
      </c>
    </row>
    <row r="348" customFormat="false" ht="15.75" hidden="false" customHeight="false" outlineLevel="0" collapsed="false">
      <c r="A348" s="120" t="str">
        <f aca="false">Scoring!AR354</f>
        <v/>
      </c>
      <c r="B348" s="120" t="str">
        <f aca="false">Scoring!AQ354</f>
        <v/>
      </c>
      <c r="C348" s="120" t="n">
        <f aca="false">Scoring!C354</f>
        <v>0</v>
      </c>
      <c r="D348" s="121" t="str">
        <f aca="false">Scoring!AN354</f>
        <v/>
      </c>
      <c r="E348" s="120" t="str">
        <f aca="false">Scoring!V354</f>
        <v/>
      </c>
      <c r="F348" s="120" t="n">
        <f aca="false">Scoring!B354</f>
        <v>0</v>
      </c>
      <c r="G348" s="120" t="n">
        <f aca="false">Scoring!D354</f>
        <v>0</v>
      </c>
      <c r="H348" s="120" t="str">
        <f aca="false">Scoring!AP354</f>
        <v/>
      </c>
      <c r="I348" s="120" t="str">
        <f aca="false">Scoring!AO354</f>
        <v/>
      </c>
    </row>
    <row r="349" customFormat="false" ht="15.75" hidden="false" customHeight="false" outlineLevel="0" collapsed="false">
      <c r="A349" s="120" t="str">
        <f aca="false">Scoring!AR355</f>
        <v/>
      </c>
      <c r="B349" s="120" t="str">
        <f aca="false">Scoring!AQ355</f>
        <v/>
      </c>
      <c r="C349" s="120" t="n">
        <f aca="false">Scoring!C355</f>
        <v>0</v>
      </c>
      <c r="D349" s="121" t="str">
        <f aca="false">Scoring!AN355</f>
        <v/>
      </c>
      <c r="E349" s="120" t="str">
        <f aca="false">Scoring!V355</f>
        <v/>
      </c>
      <c r="F349" s="120" t="n">
        <f aca="false">Scoring!B355</f>
        <v>0</v>
      </c>
      <c r="G349" s="120" t="n">
        <f aca="false">Scoring!D355</f>
        <v>0</v>
      </c>
      <c r="H349" s="120" t="str">
        <f aca="false">Scoring!AP355</f>
        <v/>
      </c>
      <c r="I349" s="120" t="str">
        <f aca="false">Scoring!AO355</f>
        <v/>
      </c>
    </row>
    <row r="350" customFormat="false" ht="15.75" hidden="false" customHeight="false" outlineLevel="0" collapsed="false">
      <c r="A350" s="120" t="str">
        <f aca="false">Scoring!AR356</f>
        <v/>
      </c>
      <c r="B350" s="120" t="str">
        <f aca="false">Scoring!AQ356</f>
        <v/>
      </c>
      <c r="C350" s="120" t="n">
        <f aca="false">Scoring!C356</f>
        <v>0</v>
      </c>
      <c r="D350" s="121" t="str">
        <f aca="false">Scoring!AN356</f>
        <v/>
      </c>
      <c r="E350" s="120" t="str">
        <f aca="false">Scoring!V356</f>
        <v/>
      </c>
      <c r="F350" s="120" t="n">
        <f aca="false">Scoring!B356</f>
        <v>0</v>
      </c>
      <c r="G350" s="120" t="n">
        <f aca="false">Scoring!D356</f>
        <v>0</v>
      </c>
      <c r="H350" s="120" t="str">
        <f aca="false">Scoring!AP356</f>
        <v/>
      </c>
      <c r="I350" s="120" t="str">
        <f aca="false">Scoring!AO356</f>
        <v/>
      </c>
    </row>
    <row r="351" customFormat="false" ht="15.75" hidden="false" customHeight="false" outlineLevel="0" collapsed="false">
      <c r="A351" s="120" t="str">
        <f aca="false">Scoring!AR357</f>
        <v/>
      </c>
      <c r="B351" s="120" t="str">
        <f aca="false">Scoring!AQ357</f>
        <v/>
      </c>
      <c r="C351" s="120" t="n">
        <f aca="false">Scoring!C357</f>
        <v>0</v>
      </c>
      <c r="D351" s="121" t="str">
        <f aca="false">Scoring!AN357</f>
        <v/>
      </c>
      <c r="E351" s="120" t="str">
        <f aca="false">Scoring!V357</f>
        <v/>
      </c>
      <c r="F351" s="120" t="n">
        <f aca="false">Scoring!B357</f>
        <v>0</v>
      </c>
      <c r="G351" s="120" t="n">
        <f aca="false">Scoring!D357</f>
        <v>0</v>
      </c>
      <c r="H351" s="120" t="str">
        <f aca="false">Scoring!AP357</f>
        <v/>
      </c>
      <c r="I351" s="120" t="str">
        <f aca="false">Scoring!AO357</f>
        <v/>
      </c>
    </row>
    <row r="352" customFormat="false" ht="15.75" hidden="false" customHeight="false" outlineLevel="0" collapsed="false">
      <c r="A352" s="120" t="str">
        <f aca="false">Scoring!AR358</f>
        <v/>
      </c>
      <c r="B352" s="120" t="str">
        <f aca="false">Scoring!AQ358</f>
        <v/>
      </c>
      <c r="C352" s="120" t="n">
        <f aca="false">Scoring!C358</f>
        <v>0</v>
      </c>
      <c r="D352" s="121" t="str">
        <f aca="false">Scoring!AN358</f>
        <v/>
      </c>
      <c r="E352" s="120" t="str">
        <f aca="false">Scoring!V358</f>
        <v/>
      </c>
      <c r="F352" s="120" t="n">
        <f aca="false">Scoring!B358</f>
        <v>0</v>
      </c>
      <c r="G352" s="120" t="n">
        <f aca="false">Scoring!D358</f>
        <v>0</v>
      </c>
      <c r="H352" s="120" t="str">
        <f aca="false">Scoring!AP358</f>
        <v/>
      </c>
      <c r="I352" s="120" t="str">
        <f aca="false">Scoring!AO358</f>
        <v/>
      </c>
    </row>
    <row r="353" customFormat="false" ht="15.75" hidden="false" customHeight="false" outlineLevel="0" collapsed="false">
      <c r="A353" s="120" t="str">
        <f aca="false">Scoring!AR359</f>
        <v/>
      </c>
      <c r="B353" s="120" t="str">
        <f aca="false">Scoring!AQ359</f>
        <v/>
      </c>
      <c r="C353" s="120" t="n">
        <f aca="false">Scoring!C359</f>
        <v>0</v>
      </c>
      <c r="D353" s="121" t="str">
        <f aca="false">Scoring!AN359</f>
        <v/>
      </c>
      <c r="E353" s="120" t="str">
        <f aca="false">Scoring!V359</f>
        <v/>
      </c>
      <c r="F353" s="120" t="n">
        <f aca="false">Scoring!B359</f>
        <v>0</v>
      </c>
      <c r="G353" s="120" t="n">
        <f aca="false">Scoring!D359</f>
        <v>0</v>
      </c>
      <c r="H353" s="120" t="str">
        <f aca="false">Scoring!AP359</f>
        <v/>
      </c>
      <c r="I353" s="120" t="str">
        <f aca="false">Scoring!AO359</f>
        <v/>
      </c>
    </row>
    <row r="354" customFormat="false" ht="15.75" hidden="false" customHeight="false" outlineLevel="0" collapsed="false">
      <c r="A354" s="120" t="str">
        <f aca="false">Scoring!AR360</f>
        <v/>
      </c>
      <c r="B354" s="120" t="str">
        <f aca="false">Scoring!AQ360</f>
        <v/>
      </c>
      <c r="C354" s="120" t="n">
        <f aca="false">Scoring!C360</f>
        <v>0</v>
      </c>
      <c r="D354" s="121" t="str">
        <f aca="false">Scoring!AN360</f>
        <v/>
      </c>
      <c r="E354" s="120" t="str">
        <f aca="false">Scoring!V360</f>
        <v/>
      </c>
      <c r="F354" s="120" t="n">
        <f aca="false">Scoring!B360</f>
        <v>0</v>
      </c>
      <c r="G354" s="120" t="n">
        <f aca="false">Scoring!D360</f>
        <v>0</v>
      </c>
      <c r="H354" s="120" t="str">
        <f aca="false">Scoring!AP360</f>
        <v/>
      </c>
      <c r="I354" s="120" t="str">
        <f aca="false">Scoring!AO360</f>
        <v/>
      </c>
    </row>
    <row r="355" customFormat="false" ht="15.75" hidden="false" customHeight="false" outlineLevel="0" collapsed="false">
      <c r="A355" s="120" t="str">
        <f aca="false">Scoring!AR361</f>
        <v/>
      </c>
      <c r="B355" s="120" t="str">
        <f aca="false">Scoring!AQ361</f>
        <v/>
      </c>
      <c r="C355" s="120" t="n">
        <f aca="false">Scoring!C361</f>
        <v>0</v>
      </c>
      <c r="D355" s="121" t="str">
        <f aca="false">Scoring!AN361</f>
        <v/>
      </c>
      <c r="E355" s="120" t="str">
        <f aca="false">Scoring!V361</f>
        <v/>
      </c>
      <c r="F355" s="120" t="n">
        <f aca="false">Scoring!B361</f>
        <v>0</v>
      </c>
      <c r="G355" s="120" t="n">
        <f aca="false">Scoring!D361</f>
        <v>0</v>
      </c>
      <c r="H355" s="120" t="str">
        <f aca="false">Scoring!AP361</f>
        <v/>
      </c>
      <c r="I355" s="120" t="str">
        <f aca="false">Scoring!AO361</f>
        <v/>
      </c>
    </row>
    <row r="356" customFormat="false" ht="15.75" hidden="false" customHeight="false" outlineLevel="0" collapsed="false">
      <c r="A356" s="120" t="str">
        <f aca="false">Scoring!AR362</f>
        <v/>
      </c>
      <c r="B356" s="120" t="str">
        <f aca="false">Scoring!AQ362</f>
        <v/>
      </c>
      <c r="C356" s="120" t="n">
        <f aca="false">Scoring!C362</f>
        <v>0</v>
      </c>
      <c r="D356" s="121" t="str">
        <f aca="false">Scoring!AN362</f>
        <v/>
      </c>
      <c r="E356" s="120" t="str">
        <f aca="false">Scoring!V362</f>
        <v/>
      </c>
      <c r="F356" s="120" t="n">
        <f aca="false">Scoring!B362</f>
        <v>0</v>
      </c>
      <c r="G356" s="120" t="n">
        <f aca="false">Scoring!D362</f>
        <v>0</v>
      </c>
      <c r="H356" s="120" t="str">
        <f aca="false">Scoring!AP362</f>
        <v/>
      </c>
      <c r="I356" s="120" t="str">
        <f aca="false">Scoring!AO362</f>
        <v/>
      </c>
    </row>
    <row r="357" customFormat="false" ht="15.75" hidden="false" customHeight="false" outlineLevel="0" collapsed="false">
      <c r="A357" s="120" t="str">
        <f aca="false">Scoring!AR363</f>
        <v/>
      </c>
      <c r="B357" s="120" t="str">
        <f aca="false">Scoring!AQ363</f>
        <v/>
      </c>
      <c r="C357" s="120" t="n">
        <f aca="false">Scoring!C363</f>
        <v>0</v>
      </c>
      <c r="D357" s="121" t="str">
        <f aca="false">Scoring!AN363</f>
        <v/>
      </c>
      <c r="E357" s="120" t="str">
        <f aca="false">Scoring!V363</f>
        <v/>
      </c>
      <c r="F357" s="120" t="n">
        <f aca="false">Scoring!B363</f>
        <v>0</v>
      </c>
      <c r="G357" s="120" t="n">
        <f aca="false">Scoring!D363</f>
        <v>0</v>
      </c>
      <c r="H357" s="120" t="str">
        <f aca="false">Scoring!AP363</f>
        <v/>
      </c>
      <c r="I357" s="120" t="str">
        <f aca="false">Scoring!AO363</f>
        <v/>
      </c>
    </row>
    <row r="358" customFormat="false" ht="15.75" hidden="false" customHeight="false" outlineLevel="0" collapsed="false">
      <c r="A358" s="120" t="str">
        <f aca="false">Scoring!AR364</f>
        <v/>
      </c>
      <c r="B358" s="120" t="str">
        <f aca="false">Scoring!AQ364</f>
        <v/>
      </c>
      <c r="C358" s="120" t="n">
        <f aca="false">Scoring!C364</f>
        <v>0</v>
      </c>
      <c r="D358" s="121" t="str">
        <f aca="false">Scoring!AN364</f>
        <v/>
      </c>
      <c r="E358" s="120" t="str">
        <f aca="false">Scoring!V364</f>
        <v/>
      </c>
      <c r="F358" s="120" t="n">
        <f aca="false">Scoring!B364</f>
        <v>0</v>
      </c>
      <c r="G358" s="120" t="n">
        <f aca="false">Scoring!D364</f>
        <v>0</v>
      </c>
      <c r="H358" s="120" t="str">
        <f aca="false">Scoring!AP364</f>
        <v/>
      </c>
      <c r="I358" s="120" t="str">
        <f aca="false">Scoring!AO364</f>
        <v/>
      </c>
    </row>
    <row r="359" customFormat="false" ht="15.75" hidden="false" customHeight="false" outlineLevel="0" collapsed="false">
      <c r="A359" s="120" t="str">
        <f aca="false">Scoring!AR365</f>
        <v/>
      </c>
      <c r="B359" s="120" t="str">
        <f aca="false">Scoring!AQ365</f>
        <v/>
      </c>
      <c r="C359" s="120" t="n">
        <f aca="false">Scoring!C365</f>
        <v>0</v>
      </c>
      <c r="D359" s="121" t="str">
        <f aca="false">Scoring!AN365</f>
        <v/>
      </c>
      <c r="E359" s="120" t="str">
        <f aca="false">Scoring!V365</f>
        <v/>
      </c>
      <c r="F359" s="120" t="n">
        <f aca="false">Scoring!B365</f>
        <v>0</v>
      </c>
      <c r="G359" s="120" t="n">
        <f aca="false">Scoring!D365</f>
        <v>0</v>
      </c>
      <c r="H359" s="120" t="str">
        <f aca="false">Scoring!AP365</f>
        <v/>
      </c>
      <c r="I359" s="120" t="str">
        <f aca="false">Scoring!AO365</f>
        <v/>
      </c>
    </row>
    <row r="360" customFormat="false" ht="15.75" hidden="false" customHeight="false" outlineLevel="0" collapsed="false">
      <c r="A360" s="120" t="str">
        <f aca="false">Scoring!AR366</f>
        <v/>
      </c>
      <c r="B360" s="120" t="str">
        <f aca="false">Scoring!AQ366</f>
        <v/>
      </c>
      <c r="C360" s="120" t="n">
        <f aca="false">Scoring!C366</f>
        <v>0</v>
      </c>
      <c r="D360" s="121" t="str">
        <f aca="false">Scoring!AN366</f>
        <v/>
      </c>
      <c r="E360" s="120" t="str">
        <f aca="false">Scoring!V366</f>
        <v/>
      </c>
      <c r="F360" s="120" t="n">
        <f aca="false">Scoring!B366</f>
        <v>0</v>
      </c>
      <c r="G360" s="120" t="n">
        <f aca="false">Scoring!D366</f>
        <v>0</v>
      </c>
      <c r="H360" s="120" t="str">
        <f aca="false">Scoring!AP366</f>
        <v/>
      </c>
      <c r="I360" s="120" t="str">
        <f aca="false">Scoring!AO366</f>
        <v/>
      </c>
    </row>
    <row r="361" customFormat="false" ht="15.75" hidden="false" customHeight="false" outlineLevel="0" collapsed="false">
      <c r="A361" s="120" t="str">
        <f aca="false">Scoring!AR367</f>
        <v/>
      </c>
      <c r="B361" s="120" t="str">
        <f aca="false">Scoring!AQ367</f>
        <v/>
      </c>
      <c r="C361" s="120" t="n">
        <f aca="false">Scoring!C367</f>
        <v>0</v>
      </c>
      <c r="D361" s="121" t="str">
        <f aca="false">Scoring!AN367</f>
        <v/>
      </c>
      <c r="E361" s="120" t="str">
        <f aca="false">Scoring!V367</f>
        <v/>
      </c>
      <c r="F361" s="120" t="n">
        <f aca="false">Scoring!B367</f>
        <v>0</v>
      </c>
      <c r="G361" s="120" t="n">
        <f aca="false">Scoring!D367</f>
        <v>0</v>
      </c>
      <c r="H361" s="120" t="str">
        <f aca="false">Scoring!AP367</f>
        <v/>
      </c>
      <c r="I361" s="120" t="str">
        <f aca="false">Scoring!AO367</f>
        <v/>
      </c>
    </row>
    <row r="362" customFormat="false" ht="15.75" hidden="false" customHeight="false" outlineLevel="0" collapsed="false">
      <c r="A362" s="120" t="str">
        <f aca="false">Scoring!AR368</f>
        <v/>
      </c>
      <c r="B362" s="120" t="str">
        <f aca="false">Scoring!AQ368</f>
        <v/>
      </c>
      <c r="C362" s="120" t="n">
        <f aca="false">Scoring!C368</f>
        <v>0</v>
      </c>
      <c r="D362" s="121" t="str">
        <f aca="false">Scoring!AN368</f>
        <v/>
      </c>
      <c r="E362" s="120" t="str">
        <f aca="false">Scoring!V368</f>
        <v/>
      </c>
      <c r="F362" s="120" t="n">
        <f aca="false">Scoring!B368</f>
        <v>0</v>
      </c>
      <c r="G362" s="120" t="n">
        <f aca="false">Scoring!D368</f>
        <v>0</v>
      </c>
      <c r="H362" s="120" t="str">
        <f aca="false">Scoring!AP368</f>
        <v/>
      </c>
      <c r="I362" s="120" t="str">
        <f aca="false">Scoring!AO368</f>
        <v/>
      </c>
    </row>
    <row r="363" customFormat="false" ht="15.75" hidden="false" customHeight="false" outlineLevel="0" collapsed="false">
      <c r="A363" s="120" t="str">
        <f aca="false">Scoring!AR369</f>
        <v/>
      </c>
      <c r="B363" s="120" t="str">
        <f aca="false">Scoring!AQ369</f>
        <v/>
      </c>
      <c r="C363" s="120" t="n">
        <f aca="false">Scoring!C369</f>
        <v>0</v>
      </c>
      <c r="D363" s="121" t="str">
        <f aca="false">Scoring!AN369</f>
        <v/>
      </c>
      <c r="E363" s="120" t="str">
        <f aca="false">Scoring!V369</f>
        <v/>
      </c>
      <c r="F363" s="120" t="n">
        <f aca="false">Scoring!B369</f>
        <v>0</v>
      </c>
      <c r="G363" s="120" t="n">
        <f aca="false">Scoring!D369</f>
        <v>0</v>
      </c>
      <c r="H363" s="120" t="str">
        <f aca="false">Scoring!AP369</f>
        <v/>
      </c>
      <c r="I363" s="120" t="str">
        <f aca="false">Scoring!AO369</f>
        <v/>
      </c>
    </row>
    <row r="364" customFormat="false" ht="15.75" hidden="false" customHeight="false" outlineLevel="0" collapsed="false">
      <c r="A364" s="120" t="str">
        <f aca="false">Scoring!AR370</f>
        <v/>
      </c>
      <c r="B364" s="120" t="str">
        <f aca="false">Scoring!AQ370</f>
        <v/>
      </c>
      <c r="C364" s="120" t="n">
        <f aca="false">Scoring!C370</f>
        <v>0</v>
      </c>
      <c r="D364" s="121" t="str">
        <f aca="false">Scoring!AN370</f>
        <v/>
      </c>
      <c r="E364" s="120" t="str">
        <f aca="false">Scoring!V370</f>
        <v/>
      </c>
      <c r="F364" s="120" t="n">
        <f aca="false">Scoring!B370</f>
        <v>0</v>
      </c>
      <c r="G364" s="120" t="n">
        <f aca="false">Scoring!D370</f>
        <v>0</v>
      </c>
      <c r="H364" s="120" t="str">
        <f aca="false">Scoring!AP370</f>
        <v/>
      </c>
      <c r="I364" s="120" t="str">
        <f aca="false">Scoring!AO370</f>
        <v/>
      </c>
    </row>
    <row r="365" customFormat="false" ht="15.75" hidden="false" customHeight="false" outlineLevel="0" collapsed="false">
      <c r="A365" s="120" t="str">
        <f aca="false">Scoring!AR371</f>
        <v/>
      </c>
      <c r="B365" s="120" t="str">
        <f aca="false">Scoring!AQ371</f>
        <v/>
      </c>
      <c r="C365" s="120" t="n">
        <f aca="false">Scoring!C371</f>
        <v>0</v>
      </c>
      <c r="D365" s="121" t="str">
        <f aca="false">Scoring!AN371</f>
        <v/>
      </c>
      <c r="E365" s="120" t="str">
        <f aca="false">Scoring!V371</f>
        <v/>
      </c>
      <c r="F365" s="120" t="n">
        <f aca="false">Scoring!B371</f>
        <v>0</v>
      </c>
      <c r="G365" s="120" t="n">
        <f aca="false">Scoring!D371</f>
        <v>0</v>
      </c>
      <c r="H365" s="120" t="str">
        <f aca="false">Scoring!AP371</f>
        <v/>
      </c>
      <c r="I365" s="120" t="str">
        <f aca="false">Scoring!AO371</f>
        <v/>
      </c>
    </row>
    <row r="366" customFormat="false" ht="15.75" hidden="false" customHeight="false" outlineLevel="0" collapsed="false">
      <c r="A366" s="120" t="str">
        <f aca="false">Scoring!AR372</f>
        <v/>
      </c>
      <c r="B366" s="120" t="str">
        <f aca="false">Scoring!AQ372</f>
        <v/>
      </c>
      <c r="C366" s="120" t="n">
        <f aca="false">Scoring!C372</f>
        <v>0</v>
      </c>
      <c r="D366" s="121" t="str">
        <f aca="false">Scoring!AN372</f>
        <v/>
      </c>
      <c r="E366" s="120" t="str">
        <f aca="false">Scoring!V372</f>
        <v/>
      </c>
      <c r="F366" s="120" t="n">
        <f aca="false">Scoring!B372</f>
        <v>0</v>
      </c>
      <c r="G366" s="120" t="n">
        <f aca="false">Scoring!D372</f>
        <v>0</v>
      </c>
      <c r="H366" s="120" t="str">
        <f aca="false">Scoring!AP372</f>
        <v/>
      </c>
      <c r="I366" s="120" t="str">
        <f aca="false">Scoring!AO372</f>
        <v/>
      </c>
    </row>
    <row r="367" customFormat="false" ht="15.75" hidden="false" customHeight="false" outlineLevel="0" collapsed="false">
      <c r="A367" s="120" t="str">
        <f aca="false">Scoring!AR373</f>
        <v/>
      </c>
      <c r="B367" s="120" t="str">
        <f aca="false">Scoring!AQ373</f>
        <v/>
      </c>
      <c r="C367" s="120" t="n">
        <f aca="false">Scoring!C373</f>
        <v>0</v>
      </c>
      <c r="D367" s="121" t="str">
        <f aca="false">Scoring!AN373</f>
        <v/>
      </c>
      <c r="E367" s="120" t="str">
        <f aca="false">Scoring!V373</f>
        <v/>
      </c>
      <c r="F367" s="120" t="n">
        <f aca="false">Scoring!B373</f>
        <v>0</v>
      </c>
      <c r="G367" s="120" t="n">
        <f aca="false">Scoring!D373</f>
        <v>0</v>
      </c>
      <c r="H367" s="120" t="str">
        <f aca="false">Scoring!AP373</f>
        <v/>
      </c>
      <c r="I367" s="120" t="str">
        <f aca="false">Scoring!AO373</f>
        <v/>
      </c>
    </row>
    <row r="368" customFormat="false" ht="15.75" hidden="false" customHeight="false" outlineLevel="0" collapsed="false">
      <c r="A368" s="120" t="str">
        <f aca="false">Scoring!AR374</f>
        <v/>
      </c>
      <c r="B368" s="120" t="str">
        <f aca="false">Scoring!AQ374</f>
        <v/>
      </c>
      <c r="C368" s="120" t="n">
        <f aca="false">Scoring!C374</f>
        <v>0</v>
      </c>
      <c r="D368" s="121" t="str">
        <f aca="false">Scoring!AN374</f>
        <v/>
      </c>
      <c r="E368" s="120" t="str">
        <f aca="false">Scoring!V374</f>
        <v/>
      </c>
      <c r="F368" s="120" t="n">
        <f aca="false">Scoring!B374</f>
        <v>0</v>
      </c>
      <c r="G368" s="120" t="n">
        <f aca="false">Scoring!D374</f>
        <v>0</v>
      </c>
      <c r="H368" s="120" t="str">
        <f aca="false">Scoring!AP374</f>
        <v/>
      </c>
      <c r="I368" s="120" t="str">
        <f aca="false">Scoring!AO374</f>
        <v/>
      </c>
    </row>
    <row r="369" customFormat="false" ht="15.75" hidden="false" customHeight="false" outlineLevel="0" collapsed="false">
      <c r="A369" s="120" t="str">
        <f aca="false">Scoring!AR375</f>
        <v/>
      </c>
      <c r="B369" s="120" t="str">
        <f aca="false">Scoring!AQ375</f>
        <v/>
      </c>
      <c r="C369" s="120" t="n">
        <f aca="false">Scoring!C375</f>
        <v>0</v>
      </c>
      <c r="D369" s="121" t="str">
        <f aca="false">Scoring!AN375</f>
        <v/>
      </c>
      <c r="E369" s="120" t="str">
        <f aca="false">Scoring!V375</f>
        <v/>
      </c>
      <c r="F369" s="120" t="n">
        <f aca="false">Scoring!B375</f>
        <v>0</v>
      </c>
      <c r="G369" s="120" t="n">
        <f aca="false">Scoring!D375</f>
        <v>0</v>
      </c>
      <c r="H369" s="120" t="str">
        <f aca="false">Scoring!AP375</f>
        <v/>
      </c>
      <c r="I369" s="120" t="str">
        <f aca="false">Scoring!AO375</f>
        <v/>
      </c>
    </row>
    <row r="370" customFormat="false" ht="15.75" hidden="false" customHeight="false" outlineLevel="0" collapsed="false">
      <c r="A370" s="120" t="str">
        <f aca="false">Scoring!AR376</f>
        <v/>
      </c>
      <c r="B370" s="120" t="str">
        <f aca="false">Scoring!AQ376</f>
        <v/>
      </c>
      <c r="C370" s="120" t="n">
        <f aca="false">Scoring!C376</f>
        <v>0</v>
      </c>
      <c r="D370" s="121" t="str">
        <f aca="false">Scoring!AN376</f>
        <v/>
      </c>
      <c r="E370" s="120" t="str">
        <f aca="false">Scoring!V376</f>
        <v/>
      </c>
      <c r="F370" s="120" t="n">
        <f aca="false">Scoring!B376</f>
        <v>0</v>
      </c>
      <c r="G370" s="120" t="n">
        <f aca="false">Scoring!D376</f>
        <v>0</v>
      </c>
      <c r="H370" s="120" t="str">
        <f aca="false">Scoring!AP376</f>
        <v/>
      </c>
      <c r="I370" s="120" t="str">
        <f aca="false">Scoring!AO376</f>
        <v/>
      </c>
    </row>
    <row r="371" customFormat="false" ht="15.75" hidden="false" customHeight="false" outlineLevel="0" collapsed="false">
      <c r="A371" s="120" t="str">
        <f aca="false">Scoring!AR377</f>
        <v/>
      </c>
      <c r="B371" s="120" t="str">
        <f aca="false">Scoring!AQ377</f>
        <v/>
      </c>
      <c r="C371" s="120" t="n">
        <f aca="false">Scoring!C377</f>
        <v>0</v>
      </c>
      <c r="D371" s="121" t="str">
        <f aca="false">Scoring!AN377</f>
        <v/>
      </c>
      <c r="E371" s="120" t="str">
        <f aca="false">Scoring!V377</f>
        <v/>
      </c>
      <c r="F371" s="120" t="n">
        <f aca="false">Scoring!B377</f>
        <v>0</v>
      </c>
      <c r="G371" s="120" t="n">
        <f aca="false">Scoring!D377</f>
        <v>0</v>
      </c>
      <c r="H371" s="120" t="str">
        <f aca="false">Scoring!AP377</f>
        <v/>
      </c>
      <c r="I371" s="120" t="str">
        <f aca="false">Scoring!AO377</f>
        <v/>
      </c>
    </row>
    <row r="372" customFormat="false" ht="15.75" hidden="false" customHeight="false" outlineLevel="0" collapsed="false">
      <c r="A372" s="120" t="str">
        <f aca="false">Scoring!AR378</f>
        <v/>
      </c>
      <c r="B372" s="120" t="str">
        <f aca="false">Scoring!AQ378</f>
        <v/>
      </c>
      <c r="C372" s="120" t="n">
        <f aca="false">Scoring!C378</f>
        <v>0</v>
      </c>
      <c r="D372" s="121" t="str">
        <f aca="false">Scoring!AN378</f>
        <v/>
      </c>
      <c r="E372" s="120" t="str">
        <f aca="false">Scoring!V378</f>
        <v/>
      </c>
      <c r="F372" s="120" t="n">
        <f aca="false">Scoring!B378</f>
        <v>0</v>
      </c>
      <c r="G372" s="120" t="n">
        <f aca="false">Scoring!D378</f>
        <v>0</v>
      </c>
      <c r="H372" s="120" t="str">
        <f aca="false">Scoring!AP378</f>
        <v/>
      </c>
      <c r="I372" s="120" t="str">
        <f aca="false">Scoring!AO378</f>
        <v/>
      </c>
    </row>
    <row r="373" customFormat="false" ht="15.75" hidden="false" customHeight="false" outlineLevel="0" collapsed="false">
      <c r="A373" s="120" t="str">
        <f aca="false">Scoring!AR379</f>
        <v/>
      </c>
      <c r="B373" s="120" t="str">
        <f aca="false">Scoring!AQ379</f>
        <v/>
      </c>
      <c r="C373" s="120" t="n">
        <f aca="false">Scoring!C379</f>
        <v>0</v>
      </c>
      <c r="D373" s="121" t="str">
        <f aca="false">Scoring!AN379</f>
        <v/>
      </c>
      <c r="E373" s="120" t="str">
        <f aca="false">Scoring!V379</f>
        <v/>
      </c>
      <c r="F373" s="120" t="n">
        <f aca="false">Scoring!B379</f>
        <v>0</v>
      </c>
      <c r="G373" s="120" t="n">
        <f aca="false">Scoring!D379</f>
        <v>0</v>
      </c>
      <c r="H373" s="120" t="str">
        <f aca="false">Scoring!AP379</f>
        <v/>
      </c>
      <c r="I373" s="120" t="str">
        <f aca="false">Scoring!AO379</f>
        <v/>
      </c>
    </row>
    <row r="374" customFormat="false" ht="15.75" hidden="false" customHeight="false" outlineLevel="0" collapsed="false">
      <c r="A374" s="120" t="str">
        <f aca="false">Scoring!AR380</f>
        <v/>
      </c>
      <c r="B374" s="120" t="str">
        <f aca="false">Scoring!AQ380</f>
        <v/>
      </c>
      <c r="C374" s="120" t="n">
        <f aca="false">Scoring!C380</f>
        <v>0</v>
      </c>
      <c r="D374" s="121" t="str">
        <f aca="false">Scoring!AN380</f>
        <v/>
      </c>
      <c r="E374" s="120" t="str">
        <f aca="false">Scoring!V380</f>
        <v/>
      </c>
      <c r="F374" s="120" t="n">
        <f aca="false">Scoring!B380</f>
        <v>0</v>
      </c>
      <c r="G374" s="120" t="n">
        <f aca="false">Scoring!D380</f>
        <v>0</v>
      </c>
      <c r="H374" s="120" t="str">
        <f aca="false">Scoring!AP380</f>
        <v/>
      </c>
      <c r="I374" s="120" t="str">
        <f aca="false">Scoring!AO380</f>
        <v/>
      </c>
    </row>
    <row r="375" customFormat="false" ht="15.75" hidden="false" customHeight="false" outlineLevel="0" collapsed="false">
      <c r="A375" s="120" t="str">
        <f aca="false">Scoring!AR381</f>
        <v/>
      </c>
      <c r="B375" s="120" t="str">
        <f aca="false">Scoring!AQ381</f>
        <v/>
      </c>
      <c r="C375" s="120" t="n">
        <f aca="false">Scoring!C381</f>
        <v>0</v>
      </c>
      <c r="D375" s="121" t="str">
        <f aca="false">Scoring!AN381</f>
        <v/>
      </c>
      <c r="E375" s="120" t="str">
        <f aca="false">Scoring!V381</f>
        <v/>
      </c>
      <c r="F375" s="120" t="n">
        <f aca="false">Scoring!B381</f>
        <v>0</v>
      </c>
      <c r="G375" s="120" t="n">
        <f aca="false">Scoring!D381</f>
        <v>0</v>
      </c>
      <c r="H375" s="120" t="str">
        <f aca="false">Scoring!AP381</f>
        <v/>
      </c>
      <c r="I375" s="120" t="str">
        <f aca="false">Scoring!AO381</f>
        <v/>
      </c>
    </row>
    <row r="376" customFormat="false" ht="15.75" hidden="false" customHeight="false" outlineLevel="0" collapsed="false">
      <c r="A376" s="120" t="str">
        <f aca="false">Scoring!AR382</f>
        <v/>
      </c>
      <c r="B376" s="120" t="str">
        <f aca="false">Scoring!AQ382</f>
        <v/>
      </c>
      <c r="C376" s="120" t="n">
        <f aca="false">Scoring!C382</f>
        <v>0</v>
      </c>
      <c r="D376" s="121" t="str">
        <f aca="false">Scoring!AN382</f>
        <v/>
      </c>
      <c r="E376" s="120" t="str">
        <f aca="false">Scoring!V382</f>
        <v/>
      </c>
      <c r="F376" s="120" t="n">
        <f aca="false">Scoring!B382</f>
        <v>0</v>
      </c>
      <c r="G376" s="120" t="n">
        <f aca="false">Scoring!D382</f>
        <v>0</v>
      </c>
      <c r="H376" s="120" t="str">
        <f aca="false">Scoring!AP382</f>
        <v/>
      </c>
      <c r="I376" s="120" t="str">
        <f aca="false">Scoring!AO382</f>
        <v/>
      </c>
    </row>
    <row r="377" customFormat="false" ht="15.75" hidden="false" customHeight="false" outlineLevel="0" collapsed="false">
      <c r="A377" s="120" t="str">
        <f aca="false">Scoring!AR383</f>
        <v/>
      </c>
      <c r="B377" s="120" t="str">
        <f aca="false">Scoring!AQ383</f>
        <v/>
      </c>
      <c r="C377" s="120" t="n">
        <f aca="false">Scoring!C383</f>
        <v>0</v>
      </c>
      <c r="D377" s="121" t="str">
        <f aca="false">Scoring!AN383</f>
        <v/>
      </c>
      <c r="E377" s="120" t="str">
        <f aca="false">Scoring!V383</f>
        <v/>
      </c>
      <c r="F377" s="120" t="n">
        <f aca="false">Scoring!B383</f>
        <v>0</v>
      </c>
      <c r="G377" s="120" t="n">
        <f aca="false">Scoring!D383</f>
        <v>0</v>
      </c>
      <c r="H377" s="120" t="str">
        <f aca="false">Scoring!AP383</f>
        <v/>
      </c>
      <c r="I377" s="120" t="str">
        <f aca="false">Scoring!AO383</f>
        <v/>
      </c>
    </row>
    <row r="378" customFormat="false" ht="15.75" hidden="false" customHeight="false" outlineLevel="0" collapsed="false">
      <c r="A378" s="120" t="str">
        <f aca="false">Scoring!AR384</f>
        <v/>
      </c>
      <c r="B378" s="120" t="str">
        <f aca="false">Scoring!AQ384</f>
        <v/>
      </c>
      <c r="C378" s="120" t="n">
        <f aca="false">Scoring!C384</f>
        <v>0</v>
      </c>
      <c r="D378" s="121" t="str">
        <f aca="false">Scoring!AN384</f>
        <v/>
      </c>
      <c r="E378" s="120" t="str">
        <f aca="false">Scoring!V384</f>
        <v/>
      </c>
      <c r="F378" s="120" t="n">
        <f aca="false">Scoring!B384</f>
        <v>0</v>
      </c>
      <c r="G378" s="120" t="n">
        <f aca="false">Scoring!D384</f>
        <v>0</v>
      </c>
      <c r="H378" s="120" t="str">
        <f aca="false">Scoring!AP384</f>
        <v/>
      </c>
      <c r="I378" s="120" t="str">
        <f aca="false">Scoring!AO384</f>
        <v/>
      </c>
    </row>
    <row r="379" customFormat="false" ht="15.75" hidden="false" customHeight="false" outlineLevel="0" collapsed="false">
      <c r="A379" s="120" t="str">
        <f aca="false">Scoring!AR385</f>
        <v/>
      </c>
      <c r="B379" s="120" t="str">
        <f aca="false">Scoring!AQ385</f>
        <v/>
      </c>
      <c r="C379" s="120" t="n">
        <f aca="false">Scoring!C385</f>
        <v>0</v>
      </c>
      <c r="D379" s="121" t="str">
        <f aca="false">Scoring!AN385</f>
        <v/>
      </c>
      <c r="E379" s="120" t="str">
        <f aca="false">Scoring!V385</f>
        <v/>
      </c>
      <c r="F379" s="120" t="n">
        <f aca="false">Scoring!B385</f>
        <v>0</v>
      </c>
      <c r="G379" s="120" t="n">
        <f aca="false">Scoring!D385</f>
        <v>0</v>
      </c>
      <c r="H379" s="120" t="str">
        <f aca="false">Scoring!AP385</f>
        <v/>
      </c>
      <c r="I379" s="120" t="str">
        <f aca="false">Scoring!AO385</f>
        <v/>
      </c>
    </row>
    <row r="380" customFormat="false" ht="15.75" hidden="false" customHeight="false" outlineLevel="0" collapsed="false">
      <c r="A380" s="120" t="str">
        <f aca="false">Scoring!AR386</f>
        <v/>
      </c>
      <c r="B380" s="120" t="str">
        <f aca="false">Scoring!AQ386</f>
        <v/>
      </c>
      <c r="C380" s="120" t="n">
        <f aca="false">Scoring!C386</f>
        <v>0</v>
      </c>
      <c r="D380" s="121" t="str">
        <f aca="false">Scoring!AN386</f>
        <v/>
      </c>
      <c r="E380" s="120" t="str">
        <f aca="false">Scoring!V386</f>
        <v/>
      </c>
      <c r="F380" s="120" t="n">
        <f aca="false">Scoring!B386</f>
        <v>0</v>
      </c>
      <c r="G380" s="120" t="n">
        <f aca="false">Scoring!D386</f>
        <v>0</v>
      </c>
      <c r="H380" s="120" t="str">
        <f aca="false">Scoring!AP386</f>
        <v/>
      </c>
      <c r="I380" s="120" t="str">
        <f aca="false">Scoring!AO386</f>
        <v/>
      </c>
    </row>
    <row r="381" customFormat="false" ht="15.75" hidden="false" customHeight="false" outlineLevel="0" collapsed="false">
      <c r="A381" s="120" t="str">
        <f aca="false">Scoring!AR387</f>
        <v/>
      </c>
      <c r="B381" s="120" t="str">
        <f aca="false">Scoring!AQ387</f>
        <v/>
      </c>
      <c r="C381" s="120" t="n">
        <f aca="false">Scoring!C387</f>
        <v>0</v>
      </c>
      <c r="D381" s="121" t="str">
        <f aca="false">Scoring!AN387</f>
        <v/>
      </c>
      <c r="E381" s="120" t="str">
        <f aca="false">Scoring!V387</f>
        <v/>
      </c>
      <c r="F381" s="120" t="n">
        <f aca="false">Scoring!B387</f>
        <v>0</v>
      </c>
      <c r="G381" s="120" t="n">
        <f aca="false">Scoring!D387</f>
        <v>0</v>
      </c>
      <c r="H381" s="120" t="str">
        <f aca="false">Scoring!AP387</f>
        <v/>
      </c>
      <c r="I381" s="120" t="str">
        <f aca="false">Scoring!AO387</f>
        <v/>
      </c>
    </row>
    <row r="382" customFormat="false" ht="15.75" hidden="false" customHeight="false" outlineLevel="0" collapsed="false">
      <c r="A382" s="120" t="str">
        <f aca="false">Scoring!AR388</f>
        <v/>
      </c>
      <c r="B382" s="120" t="str">
        <f aca="false">Scoring!AQ388</f>
        <v/>
      </c>
      <c r="C382" s="120" t="n">
        <f aca="false">Scoring!C388</f>
        <v>0</v>
      </c>
      <c r="D382" s="121" t="str">
        <f aca="false">Scoring!AN388</f>
        <v/>
      </c>
      <c r="E382" s="120" t="str">
        <f aca="false">Scoring!V388</f>
        <v/>
      </c>
      <c r="F382" s="120" t="n">
        <f aca="false">Scoring!B388</f>
        <v>0</v>
      </c>
      <c r="G382" s="120" t="n">
        <f aca="false">Scoring!D388</f>
        <v>0</v>
      </c>
      <c r="H382" s="120" t="str">
        <f aca="false">Scoring!AP388</f>
        <v/>
      </c>
      <c r="I382" s="120" t="str">
        <f aca="false">Scoring!AO388</f>
        <v/>
      </c>
    </row>
    <row r="383" customFormat="false" ht="15.75" hidden="false" customHeight="false" outlineLevel="0" collapsed="false">
      <c r="A383" s="120" t="str">
        <f aca="false">Scoring!AR389</f>
        <v/>
      </c>
      <c r="B383" s="120" t="str">
        <f aca="false">Scoring!AQ389</f>
        <v/>
      </c>
      <c r="C383" s="120" t="n">
        <f aca="false">Scoring!C389</f>
        <v>0</v>
      </c>
      <c r="D383" s="121" t="str">
        <f aca="false">Scoring!AN389</f>
        <v/>
      </c>
      <c r="E383" s="120" t="str">
        <f aca="false">Scoring!V389</f>
        <v/>
      </c>
      <c r="F383" s="120" t="n">
        <f aca="false">Scoring!B389</f>
        <v>0</v>
      </c>
      <c r="G383" s="120" t="n">
        <f aca="false">Scoring!D389</f>
        <v>0</v>
      </c>
      <c r="H383" s="120" t="str">
        <f aca="false">Scoring!AP389</f>
        <v/>
      </c>
      <c r="I383" s="120" t="str">
        <f aca="false">Scoring!AO389</f>
        <v/>
      </c>
    </row>
    <row r="384" customFormat="false" ht="15.75" hidden="false" customHeight="false" outlineLevel="0" collapsed="false">
      <c r="A384" s="120" t="str">
        <f aca="false">Scoring!AR390</f>
        <v/>
      </c>
      <c r="B384" s="120" t="str">
        <f aca="false">Scoring!AQ390</f>
        <v/>
      </c>
      <c r="C384" s="120" t="n">
        <f aca="false">Scoring!C390</f>
        <v>0</v>
      </c>
      <c r="D384" s="121" t="str">
        <f aca="false">Scoring!AN390</f>
        <v/>
      </c>
      <c r="E384" s="120" t="str">
        <f aca="false">Scoring!V390</f>
        <v/>
      </c>
      <c r="F384" s="120" t="n">
        <f aca="false">Scoring!B390</f>
        <v>0</v>
      </c>
      <c r="G384" s="120" t="n">
        <f aca="false">Scoring!D390</f>
        <v>0</v>
      </c>
      <c r="H384" s="120" t="str">
        <f aca="false">Scoring!AP390</f>
        <v/>
      </c>
      <c r="I384" s="120" t="str">
        <f aca="false">Scoring!AO390</f>
        <v/>
      </c>
    </row>
    <row r="385" customFormat="false" ht="15.75" hidden="false" customHeight="false" outlineLevel="0" collapsed="false">
      <c r="A385" s="120" t="str">
        <f aca="false">Scoring!AR391</f>
        <v/>
      </c>
      <c r="B385" s="120" t="str">
        <f aca="false">Scoring!AQ391</f>
        <v/>
      </c>
      <c r="C385" s="120" t="n">
        <f aca="false">Scoring!C391</f>
        <v>0</v>
      </c>
      <c r="D385" s="121" t="str">
        <f aca="false">Scoring!AN391</f>
        <v/>
      </c>
      <c r="E385" s="120" t="str">
        <f aca="false">Scoring!V391</f>
        <v/>
      </c>
      <c r="F385" s="120" t="n">
        <f aca="false">Scoring!B391</f>
        <v>0</v>
      </c>
      <c r="G385" s="120" t="n">
        <f aca="false">Scoring!D391</f>
        <v>0</v>
      </c>
      <c r="H385" s="120" t="str">
        <f aca="false">Scoring!AP391</f>
        <v/>
      </c>
      <c r="I385" s="120" t="str">
        <f aca="false">Scoring!AO391</f>
        <v/>
      </c>
    </row>
    <row r="386" customFormat="false" ht="15.75" hidden="false" customHeight="false" outlineLevel="0" collapsed="false">
      <c r="A386" s="120" t="str">
        <f aca="false">Scoring!AR392</f>
        <v/>
      </c>
      <c r="B386" s="120" t="str">
        <f aca="false">Scoring!AQ392</f>
        <v/>
      </c>
      <c r="C386" s="120" t="n">
        <f aca="false">Scoring!C392</f>
        <v>0</v>
      </c>
      <c r="D386" s="121" t="str">
        <f aca="false">Scoring!AN392</f>
        <v/>
      </c>
      <c r="E386" s="120" t="str">
        <f aca="false">Scoring!V392</f>
        <v/>
      </c>
      <c r="F386" s="120" t="n">
        <f aca="false">Scoring!B392</f>
        <v>0</v>
      </c>
      <c r="G386" s="120" t="n">
        <f aca="false">Scoring!D392</f>
        <v>0</v>
      </c>
      <c r="H386" s="120" t="str">
        <f aca="false">Scoring!AP392</f>
        <v/>
      </c>
      <c r="I386" s="120" t="str">
        <f aca="false">Scoring!AO392</f>
        <v/>
      </c>
    </row>
    <row r="387" customFormat="false" ht="15.75" hidden="false" customHeight="false" outlineLevel="0" collapsed="false">
      <c r="A387" s="120" t="str">
        <f aca="false">Scoring!AR393</f>
        <v/>
      </c>
      <c r="B387" s="120" t="str">
        <f aca="false">Scoring!AQ393</f>
        <v/>
      </c>
      <c r="C387" s="120" t="n">
        <f aca="false">Scoring!C393</f>
        <v>0</v>
      </c>
      <c r="D387" s="121" t="str">
        <f aca="false">Scoring!AN393</f>
        <v/>
      </c>
      <c r="E387" s="120" t="str">
        <f aca="false">Scoring!V393</f>
        <v/>
      </c>
      <c r="F387" s="120" t="n">
        <f aca="false">Scoring!B393</f>
        <v>0</v>
      </c>
      <c r="G387" s="120" t="n">
        <f aca="false">Scoring!D393</f>
        <v>0</v>
      </c>
      <c r="H387" s="120" t="str">
        <f aca="false">Scoring!AP393</f>
        <v/>
      </c>
      <c r="I387" s="120" t="str">
        <f aca="false">Scoring!AO393</f>
        <v/>
      </c>
    </row>
    <row r="388" customFormat="false" ht="15.75" hidden="false" customHeight="false" outlineLevel="0" collapsed="false">
      <c r="A388" s="120" t="str">
        <f aca="false">Scoring!AR394</f>
        <v/>
      </c>
      <c r="B388" s="120" t="str">
        <f aca="false">Scoring!AQ394</f>
        <v/>
      </c>
      <c r="C388" s="120" t="n">
        <f aca="false">Scoring!C394</f>
        <v>0</v>
      </c>
      <c r="D388" s="121" t="str">
        <f aca="false">Scoring!AN394</f>
        <v/>
      </c>
      <c r="E388" s="120" t="str">
        <f aca="false">Scoring!V394</f>
        <v/>
      </c>
      <c r="F388" s="120" t="n">
        <f aca="false">Scoring!B394</f>
        <v>0</v>
      </c>
      <c r="G388" s="120" t="n">
        <f aca="false">Scoring!D394</f>
        <v>0</v>
      </c>
      <c r="H388" s="120" t="str">
        <f aca="false">Scoring!AP394</f>
        <v/>
      </c>
      <c r="I388" s="120" t="str">
        <f aca="false">Scoring!AO394</f>
        <v/>
      </c>
    </row>
    <row r="389" customFormat="false" ht="15.75" hidden="false" customHeight="false" outlineLevel="0" collapsed="false">
      <c r="A389" s="120" t="str">
        <f aca="false">Scoring!AR395</f>
        <v/>
      </c>
      <c r="B389" s="120" t="str">
        <f aca="false">Scoring!AQ395</f>
        <v/>
      </c>
      <c r="C389" s="120" t="n">
        <f aca="false">Scoring!C395</f>
        <v>0</v>
      </c>
      <c r="D389" s="121" t="str">
        <f aca="false">Scoring!AN395</f>
        <v/>
      </c>
      <c r="E389" s="120" t="str">
        <f aca="false">Scoring!V395</f>
        <v/>
      </c>
      <c r="F389" s="120" t="n">
        <f aca="false">Scoring!B395</f>
        <v>0</v>
      </c>
      <c r="G389" s="120" t="n">
        <f aca="false">Scoring!D395</f>
        <v>0</v>
      </c>
      <c r="H389" s="120" t="str">
        <f aca="false">Scoring!AP395</f>
        <v/>
      </c>
      <c r="I389" s="120" t="str">
        <f aca="false">Scoring!AO395</f>
        <v/>
      </c>
    </row>
    <row r="390" customFormat="false" ht="15.75" hidden="false" customHeight="false" outlineLevel="0" collapsed="false">
      <c r="A390" s="120" t="str">
        <f aca="false">Scoring!AR396</f>
        <v/>
      </c>
      <c r="B390" s="120" t="str">
        <f aca="false">Scoring!AQ396</f>
        <v/>
      </c>
      <c r="C390" s="120" t="n">
        <f aca="false">Scoring!C396</f>
        <v>0</v>
      </c>
      <c r="D390" s="121" t="str">
        <f aca="false">Scoring!AN396</f>
        <v/>
      </c>
      <c r="E390" s="120" t="str">
        <f aca="false">Scoring!V396</f>
        <v/>
      </c>
      <c r="F390" s="120" t="n">
        <f aca="false">Scoring!B396</f>
        <v>0</v>
      </c>
      <c r="G390" s="120" t="n">
        <f aca="false">Scoring!D396</f>
        <v>0</v>
      </c>
      <c r="H390" s="120" t="str">
        <f aca="false">Scoring!AP396</f>
        <v/>
      </c>
      <c r="I390" s="120" t="str">
        <f aca="false">Scoring!AO396</f>
        <v/>
      </c>
    </row>
    <row r="391" customFormat="false" ht="15.75" hidden="false" customHeight="false" outlineLevel="0" collapsed="false">
      <c r="A391" s="120" t="str">
        <f aca="false">Scoring!AR397</f>
        <v/>
      </c>
      <c r="B391" s="120" t="str">
        <f aca="false">Scoring!AQ397</f>
        <v/>
      </c>
      <c r="C391" s="120" t="n">
        <f aca="false">Scoring!C397</f>
        <v>0</v>
      </c>
      <c r="D391" s="121" t="str">
        <f aca="false">Scoring!AN397</f>
        <v/>
      </c>
      <c r="E391" s="120" t="str">
        <f aca="false">Scoring!V397</f>
        <v/>
      </c>
      <c r="F391" s="120" t="n">
        <f aca="false">Scoring!B397</f>
        <v>0</v>
      </c>
      <c r="G391" s="120" t="n">
        <f aca="false">Scoring!D397</f>
        <v>0</v>
      </c>
      <c r="H391" s="120" t="str">
        <f aca="false">Scoring!AP397</f>
        <v/>
      </c>
      <c r="I391" s="120" t="str">
        <f aca="false">Scoring!AO397</f>
        <v/>
      </c>
    </row>
    <row r="392" customFormat="false" ht="15.75" hidden="false" customHeight="false" outlineLevel="0" collapsed="false">
      <c r="A392" s="120" t="str">
        <f aca="false">Scoring!AR398</f>
        <v/>
      </c>
      <c r="B392" s="120" t="str">
        <f aca="false">Scoring!AQ398</f>
        <v/>
      </c>
      <c r="C392" s="120" t="n">
        <f aca="false">Scoring!C398</f>
        <v>0</v>
      </c>
      <c r="D392" s="121" t="str">
        <f aca="false">Scoring!AN398</f>
        <v/>
      </c>
      <c r="E392" s="120" t="str">
        <f aca="false">Scoring!V398</f>
        <v/>
      </c>
      <c r="F392" s="120" t="n">
        <f aca="false">Scoring!B398</f>
        <v>0</v>
      </c>
      <c r="G392" s="120" t="n">
        <f aca="false">Scoring!D398</f>
        <v>0</v>
      </c>
      <c r="H392" s="120" t="str">
        <f aca="false">Scoring!AP398</f>
        <v/>
      </c>
      <c r="I392" s="120" t="str">
        <f aca="false">Scoring!AO398</f>
        <v/>
      </c>
    </row>
    <row r="393" customFormat="false" ht="15.75" hidden="false" customHeight="false" outlineLevel="0" collapsed="false">
      <c r="A393" s="120" t="str">
        <f aca="false">Scoring!AR399</f>
        <v/>
      </c>
      <c r="B393" s="120" t="str">
        <f aca="false">Scoring!AQ399</f>
        <v/>
      </c>
      <c r="C393" s="120" t="n">
        <f aca="false">Scoring!C399</f>
        <v>0</v>
      </c>
      <c r="D393" s="121" t="str">
        <f aca="false">Scoring!AN399</f>
        <v/>
      </c>
      <c r="E393" s="120" t="str">
        <f aca="false">Scoring!V399</f>
        <v/>
      </c>
      <c r="F393" s="120" t="n">
        <f aca="false">Scoring!B399</f>
        <v>0</v>
      </c>
      <c r="G393" s="120" t="n">
        <f aca="false">Scoring!D399</f>
        <v>0</v>
      </c>
      <c r="H393" s="120" t="str">
        <f aca="false">Scoring!AP399</f>
        <v/>
      </c>
      <c r="I393" s="120" t="str">
        <f aca="false">Scoring!AO399</f>
        <v/>
      </c>
    </row>
    <row r="394" customFormat="false" ht="15.75" hidden="false" customHeight="false" outlineLevel="0" collapsed="false">
      <c r="A394" s="120" t="str">
        <f aca="false">Scoring!AR400</f>
        <v/>
      </c>
      <c r="B394" s="120" t="str">
        <f aca="false">Scoring!AQ400</f>
        <v/>
      </c>
      <c r="C394" s="120" t="n">
        <f aca="false">Scoring!C400</f>
        <v>0</v>
      </c>
      <c r="D394" s="121" t="str">
        <f aca="false">Scoring!AN400</f>
        <v/>
      </c>
      <c r="E394" s="120" t="str">
        <f aca="false">Scoring!V400</f>
        <v/>
      </c>
      <c r="F394" s="120" t="n">
        <f aca="false">Scoring!B400</f>
        <v>0</v>
      </c>
      <c r="G394" s="120" t="n">
        <f aca="false">Scoring!D400</f>
        <v>0</v>
      </c>
      <c r="H394" s="120" t="str">
        <f aca="false">Scoring!AP400</f>
        <v/>
      </c>
      <c r="I394" s="120" t="str">
        <f aca="false">Scoring!AO400</f>
        <v/>
      </c>
    </row>
    <row r="395" customFormat="false" ht="15.75" hidden="false" customHeight="false" outlineLevel="0" collapsed="false">
      <c r="A395" s="120" t="str">
        <f aca="false">Scoring!AR401</f>
        <v/>
      </c>
      <c r="B395" s="120" t="str">
        <f aca="false">Scoring!AQ401</f>
        <v/>
      </c>
      <c r="C395" s="120" t="n">
        <f aca="false">Scoring!C401</f>
        <v>0</v>
      </c>
      <c r="D395" s="121" t="str">
        <f aca="false">Scoring!AN401</f>
        <v/>
      </c>
      <c r="E395" s="120" t="str">
        <f aca="false">Scoring!V401</f>
        <v/>
      </c>
      <c r="F395" s="120" t="n">
        <f aca="false">Scoring!B401</f>
        <v>0</v>
      </c>
      <c r="G395" s="120" t="n">
        <f aca="false">Scoring!D401</f>
        <v>0</v>
      </c>
      <c r="H395" s="120" t="str">
        <f aca="false">Scoring!AP401</f>
        <v/>
      </c>
      <c r="I395" s="120" t="str">
        <f aca="false">Scoring!AO401</f>
        <v/>
      </c>
    </row>
    <row r="396" customFormat="false" ht="15.75" hidden="false" customHeight="false" outlineLevel="0" collapsed="false">
      <c r="A396" s="120" t="str">
        <f aca="false">Scoring!AR402</f>
        <v/>
      </c>
      <c r="B396" s="120" t="str">
        <f aca="false">Scoring!AQ402</f>
        <v/>
      </c>
      <c r="C396" s="120" t="n">
        <f aca="false">Scoring!C402</f>
        <v>0</v>
      </c>
      <c r="D396" s="121" t="str">
        <f aca="false">Scoring!AN402</f>
        <v/>
      </c>
      <c r="E396" s="120" t="str">
        <f aca="false">Scoring!V402</f>
        <v/>
      </c>
      <c r="F396" s="120" t="n">
        <f aca="false">Scoring!B402</f>
        <v>0</v>
      </c>
      <c r="G396" s="120" t="n">
        <f aca="false">Scoring!D402</f>
        <v>0</v>
      </c>
      <c r="H396" s="120" t="str">
        <f aca="false">Scoring!AP402</f>
        <v/>
      </c>
      <c r="I396" s="120" t="str">
        <f aca="false">Scoring!AO402</f>
        <v/>
      </c>
    </row>
    <row r="397" customFormat="false" ht="15.75" hidden="false" customHeight="false" outlineLevel="0" collapsed="false">
      <c r="A397" s="120" t="str">
        <f aca="false">Scoring!AR403</f>
        <v/>
      </c>
      <c r="B397" s="120" t="str">
        <f aca="false">Scoring!AQ403</f>
        <v/>
      </c>
      <c r="C397" s="120" t="n">
        <f aca="false">Scoring!C403</f>
        <v>0</v>
      </c>
      <c r="D397" s="121" t="str">
        <f aca="false">Scoring!AN403</f>
        <v/>
      </c>
      <c r="E397" s="120" t="str">
        <f aca="false">Scoring!V403</f>
        <v/>
      </c>
      <c r="F397" s="120" t="n">
        <f aca="false">Scoring!B403</f>
        <v>0</v>
      </c>
      <c r="G397" s="120" t="n">
        <f aca="false">Scoring!D403</f>
        <v>0</v>
      </c>
      <c r="H397" s="120" t="str">
        <f aca="false">Scoring!AP403</f>
        <v/>
      </c>
      <c r="I397" s="120" t="str">
        <f aca="false">Scoring!AO403</f>
        <v/>
      </c>
    </row>
    <row r="398" customFormat="false" ht="15.75" hidden="false" customHeight="false" outlineLevel="0" collapsed="false">
      <c r="A398" s="120" t="str">
        <f aca="false">Scoring!AR404</f>
        <v/>
      </c>
      <c r="B398" s="120" t="str">
        <f aca="false">Scoring!AQ404</f>
        <v/>
      </c>
      <c r="C398" s="120" t="n">
        <f aca="false">Scoring!C404</f>
        <v>0</v>
      </c>
      <c r="D398" s="121" t="str">
        <f aca="false">Scoring!AN404</f>
        <v/>
      </c>
      <c r="E398" s="120" t="str">
        <f aca="false">Scoring!V404</f>
        <v/>
      </c>
      <c r="F398" s="120" t="n">
        <f aca="false">Scoring!B404</f>
        <v>0</v>
      </c>
      <c r="G398" s="120" t="n">
        <f aca="false">Scoring!D404</f>
        <v>0</v>
      </c>
      <c r="H398" s="120" t="str">
        <f aca="false">Scoring!AP404</f>
        <v/>
      </c>
      <c r="I398" s="120" t="str">
        <f aca="false">Scoring!AO404</f>
        <v/>
      </c>
    </row>
    <row r="399" customFormat="false" ht="15.75" hidden="false" customHeight="false" outlineLevel="0" collapsed="false">
      <c r="A399" s="120" t="str">
        <f aca="false">Scoring!AR405</f>
        <v/>
      </c>
      <c r="B399" s="120" t="str">
        <f aca="false">Scoring!AQ405</f>
        <v/>
      </c>
      <c r="C399" s="120" t="n">
        <f aca="false">Scoring!C405</f>
        <v>0</v>
      </c>
      <c r="D399" s="121" t="str">
        <f aca="false">Scoring!AN405</f>
        <v/>
      </c>
      <c r="E399" s="120" t="str">
        <f aca="false">Scoring!V405</f>
        <v/>
      </c>
      <c r="F399" s="120" t="n">
        <f aca="false">Scoring!B405</f>
        <v>0</v>
      </c>
      <c r="G399" s="120" t="n">
        <f aca="false">Scoring!D405</f>
        <v>0</v>
      </c>
      <c r="H399" s="120" t="str">
        <f aca="false">Scoring!AP405</f>
        <v/>
      </c>
      <c r="I399" s="120" t="str">
        <f aca="false">Scoring!AO405</f>
        <v/>
      </c>
    </row>
    <row r="400" customFormat="false" ht="15.75" hidden="false" customHeight="false" outlineLevel="0" collapsed="false">
      <c r="A400" s="120" t="str">
        <f aca="false">Scoring!AR406</f>
        <v/>
      </c>
      <c r="B400" s="120" t="str">
        <f aca="false">Scoring!AQ406</f>
        <v/>
      </c>
      <c r="C400" s="120" t="n">
        <f aca="false">Scoring!C406</f>
        <v>0</v>
      </c>
      <c r="D400" s="121" t="str">
        <f aca="false">Scoring!AN406</f>
        <v/>
      </c>
      <c r="E400" s="120" t="str">
        <f aca="false">Scoring!V406</f>
        <v/>
      </c>
      <c r="F400" s="120" t="n">
        <f aca="false">Scoring!B406</f>
        <v>0</v>
      </c>
      <c r="G400" s="120" t="n">
        <f aca="false">Scoring!D406</f>
        <v>0</v>
      </c>
      <c r="H400" s="120" t="str">
        <f aca="false">Scoring!AP406</f>
        <v/>
      </c>
      <c r="I400" s="120" t="str">
        <f aca="false">Scoring!AO406</f>
        <v/>
      </c>
    </row>
    <row r="401" customFormat="false" ht="15.75" hidden="false" customHeight="false" outlineLevel="0" collapsed="false">
      <c r="A401" s="120" t="str">
        <f aca="false">Scoring!AR407</f>
        <v/>
      </c>
      <c r="B401" s="120" t="str">
        <f aca="false">Scoring!AQ407</f>
        <v/>
      </c>
      <c r="C401" s="120" t="n">
        <f aca="false">Scoring!C407</f>
        <v>0</v>
      </c>
      <c r="D401" s="121" t="str">
        <f aca="false">Scoring!AN407</f>
        <v/>
      </c>
      <c r="E401" s="120" t="str">
        <f aca="false">Scoring!V407</f>
        <v/>
      </c>
      <c r="F401" s="120" t="n">
        <f aca="false">Scoring!B407</f>
        <v>0</v>
      </c>
      <c r="G401" s="120" t="n">
        <f aca="false">Scoring!D407</f>
        <v>0</v>
      </c>
      <c r="H401" s="120" t="str">
        <f aca="false">Scoring!AP407</f>
        <v/>
      </c>
      <c r="I401" s="120" t="str">
        <f aca="false">Scoring!AO407</f>
        <v/>
      </c>
    </row>
    <row r="402" customFormat="false" ht="15.75" hidden="false" customHeight="false" outlineLevel="0" collapsed="false">
      <c r="A402" s="120" t="str">
        <f aca="false">Scoring!AR408</f>
        <v/>
      </c>
      <c r="B402" s="120" t="str">
        <f aca="false">Scoring!AQ408</f>
        <v/>
      </c>
      <c r="C402" s="120" t="n">
        <f aca="false">Scoring!C408</f>
        <v>0</v>
      </c>
      <c r="D402" s="121" t="str">
        <f aca="false">Scoring!AN408</f>
        <v/>
      </c>
      <c r="E402" s="120" t="str">
        <f aca="false">Scoring!V408</f>
        <v/>
      </c>
      <c r="F402" s="120" t="n">
        <f aca="false">Scoring!B408</f>
        <v>0</v>
      </c>
      <c r="G402" s="120" t="n">
        <f aca="false">Scoring!D408</f>
        <v>0</v>
      </c>
      <c r="H402" s="120" t="str">
        <f aca="false">Scoring!AP408</f>
        <v/>
      </c>
      <c r="I402" s="120" t="str">
        <f aca="false">Scoring!AO408</f>
        <v/>
      </c>
    </row>
    <row r="403" customFormat="false" ht="15.75" hidden="false" customHeight="false" outlineLevel="0" collapsed="false">
      <c r="A403" s="120" t="str">
        <f aca="false">Scoring!AR409</f>
        <v/>
      </c>
      <c r="B403" s="120" t="str">
        <f aca="false">Scoring!AQ409</f>
        <v/>
      </c>
      <c r="C403" s="120" t="n">
        <f aca="false">Scoring!C409</f>
        <v>0</v>
      </c>
      <c r="D403" s="121" t="str">
        <f aca="false">Scoring!AN409</f>
        <v/>
      </c>
      <c r="E403" s="120" t="str">
        <f aca="false">Scoring!V409</f>
        <v/>
      </c>
      <c r="F403" s="120" t="n">
        <f aca="false">Scoring!B409</f>
        <v>0</v>
      </c>
      <c r="G403" s="120" t="n">
        <f aca="false">Scoring!D409</f>
        <v>0</v>
      </c>
      <c r="H403" s="120" t="str">
        <f aca="false">Scoring!AP409</f>
        <v/>
      </c>
      <c r="I403" s="120" t="str">
        <f aca="false">Scoring!AO409</f>
        <v/>
      </c>
    </row>
    <row r="404" customFormat="false" ht="15.75" hidden="false" customHeight="false" outlineLevel="0" collapsed="false">
      <c r="A404" s="120" t="str">
        <f aca="false">Scoring!AR410</f>
        <v/>
      </c>
      <c r="B404" s="120" t="str">
        <f aca="false">Scoring!AQ410</f>
        <v/>
      </c>
      <c r="C404" s="120" t="n">
        <f aca="false">Scoring!C410</f>
        <v>0</v>
      </c>
      <c r="D404" s="121" t="str">
        <f aca="false">Scoring!AN410</f>
        <v/>
      </c>
      <c r="E404" s="120" t="str">
        <f aca="false">Scoring!V410</f>
        <v/>
      </c>
      <c r="F404" s="120" t="n">
        <f aca="false">Scoring!B410</f>
        <v>0</v>
      </c>
      <c r="G404" s="120" t="n">
        <f aca="false">Scoring!D410</f>
        <v>0</v>
      </c>
      <c r="H404" s="120" t="str">
        <f aca="false">Scoring!AP410</f>
        <v/>
      </c>
      <c r="I404" s="120" t="str">
        <f aca="false">Scoring!AO410</f>
        <v/>
      </c>
    </row>
    <row r="405" customFormat="false" ht="15.75" hidden="false" customHeight="false" outlineLevel="0" collapsed="false">
      <c r="A405" s="120" t="str">
        <f aca="false">Scoring!AR411</f>
        <v/>
      </c>
      <c r="B405" s="120" t="str">
        <f aca="false">Scoring!AQ411</f>
        <v/>
      </c>
      <c r="C405" s="120" t="n">
        <f aca="false">Scoring!C411</f>
        <v>0</v>
      </c>
      <c r="D405" s="121" t="str">
        <f aca="false">Scoring!AN411</f>
        <v/>
      </c>
      <c r="E405" s="120" t="str">
        <f aca="false">Scoring!V411</f>
        <v/>
      </c>
      <c r="F405" s="120" t="n">
        <f aca="false">Scoring!B411</f>
        <v>0</v>
      </c>
      <c r="G405" s="120" t="n">
        <f aca="false">Scoring!D411</f>
        <v>0</v>
      </c>
      <c r="H405" s="120" t="str">
        <f aca="false">Scoring!AP411</f>
        <v/>
      </c>
      <c r="I405" s="120" t="str">
        <f aca="false">Scoring!AO411</f>
        <v/>
      </c>
    </row>
    <row r="406" customFormat="false" ht="15.75" hidden="false" customHeight="false" outlineLevel="0" collapsed="false">
      <c r="A406" s="120" t="str">
        <f aca="false">Scoring!AR412</f>
        <v/>
      </c>
      <c r="B406" s="120" t="str">
        <f aca="false">Scoring!AQ412</f>
        <v/>
      </c>
      <c r="C406" s="120" t="n">
        <f aca="false">Scoring!C412</f>
        <v>0</v>
      </c>
      <c r="D406" s="121" t="str">
        <f aca="false">Scoring!AN412</f>
        <v/>
      </c>
      <c r="E406" s="120" t="str">
        <f aca="false">Scoring!V412</f>
        <v/>
      </c>
      <c r="F406" s="120" t="n">
        <f aca="false">Scoring!B412</f>
        <v>0</v>
      </c>
      <c r="G406" s="120" t="n">
        <f aca="false">Scoring!D412</f>
        <v>0</v>
      </c>
      <c r="H406" s="120" t="str">
        <f aca="false">Scoring!AP412</f>
        <v/>
      </c>
      <c r="I406" s="120" t="str">
        <f aca="false">Scoring!AO412</f>
        <v/>
      </c>
    </row>
    <row r="407" customFormat="false" ht="15.75" hidden="false" customHeight="false" outlineLevel="0" collapsed="false">
      <c r="A407" s="120" t="str">
        <f aca="false">Scoring!AR413</f>
        <v/>
      </c>
      <c r="B407" s="120" t="str">
        <f aca="false">Scoring!AQ413</f>
        <v/>
      </c>
      <c r="C407" s="120" t="n">
        <f aca="false">Scoring!C413</f>
        <v>0</v>
      </c>
      <c r="D407" s="121" t="str">
        <f aca="false">Scoring!AN413</f>
        <v/>
      </c>
      <c r="E407" s="120" t="str">
        <f aca="false">Scoring!V413</f>
        <v/>
      </c>
      <c r="F407" s="120" t="n">
        <f aca="false">Scoring!B413</f>
        <v>0</v>
      </c>
      <c r="G407" s="120" t="n">
        <f aca="false">Scoring!D413</f>
        <v>0</v>
      </c>
      <c r="H407" s="120" t="str">
        <f aca="false">Scoring!AP413</f>
        <v/>
      </c>
      <c r="I407" s="120" t="str">
        <f aca="false">Scoring!AO413</f>
        <v/>
      </c>
    </row>
    <row r="408" customFormat="false" ht="15.75" hidden="false" customHeight="false" outlineLevel="0" collapsed="false">
      <c r="A408" s="120" t="str">
        <f aca="false">Scoring!AR414</f>
        <v/>
      </c>
      <c r="B408" s="120" t="str">
        <f aca="false">Scoring!AQ414</f>
        <v/>
      </c>
      <c r="C408" s="120" t="n">
        <f aca="false">Scoring!C414</f>
        <v>0</v>
      </c>
      <c r="D408" s="121" t="str">
        <f aca="false">Scoring!AN414</f>
        <v/>
      </c>
      <c r="E408" s="120" t="str">
        <f aca="false">Scoring!V414</f>
        <v/>
      </c>
      <c r="F408" s="120" t="n">
        <f aca="false">Scoring!B414</f>
        <v>0</v>
      </c>
      <c r="G408" s="120" t="n">
        <f aca="false">Scoring!D414</f>
        <v>0</v>
      </c>
      <c r="H408" s="120" t="str">
        <f aca="false">Scoring!AP414</f>
        <v/>
      </c>
      <c r="I408" s="120" t="str">
        <f aca="false">Scoring!AO414</f>
        <v/>
      </c>
    </row>
    <row r="409" customFormat="false" ht="15.75" hidden="false" customHeight="false" outlineLevel="0" collapsed="false">
      <c r="A409" s="120" t="str">
        <f aca="false">Scoring!AR415</f>
        <v/>
      </c>
      <c r="B409" s="120" t="str">
        <f aca="false">Scoring!AQ415</f>
        <v/>
      </c>
      <c r="C409" s="120" t="n">
        <f aca="false">Scoring!C415</f>
        <v>0</v>
      </c>
      <c r="D409" s="121" t="str">
        <f aca="false">Scoring!AN415</f>
        <v/>
      </c>
      <c r="E409" s="120" t="str">
        <f aca="false">Scoring!V415</f>
        <v/>
      </c>
      <c r="F409" s="120" t="n">
        <f aca="false">Scoring!B415</f>
        <v>0</v>
      </c>
      <c r="G409" s="120" t="n">
        <f aca="false">Scoring!D415</f>
        <v>0</v>
      </c>
      <c r="H409" s="120" t="str">
        <f aca="false">Scoring!AP415</f>
        <v/>
      </c>
      <c r="I409" s="120" t="str">
        <f aca="false">Scoring!AO415</f>
        <v/>
      </c>
    </row>
    <row r="410" customFormat="false" ht="15.75" hidden="false" customHeight="false" outlineLevel="0" collapsed="false">
      <c r="A410" s="120" t="str">
        <f aca="false">Scoring!AR416</f>
        <v/>
      </c>
      <c r="B410" s="120" t="str">
        <f aca="false">Scoring!AQ416</f>
        <v/>
      </c>
      <c r="C410" s="120" t="n">
        <f aca="false">Scoring!C416</f>
        <v>0</v>
      </c>
      <c r="D410" s="121" t="str">
        <f aca="false">Scoring!AN416</f>
        <v/>
      </c>
      <c r="E410" s="120" t="str">
        <f aca="false">Scoring!V416</f>
        <v/>
      </c>
      <c r="F410" s="120" t="n">
        <f aca="false">Scoring!B416</f>
        <v>0</v>
      </c>
      <c r="G410" s="120" t="n">
        <f aca="false">Scoring!D416</f>
        <v>0</v>
      </c>
      <c r="H410" s="120" t="str">
        <f aca="false">Scoring!AP416</f>
        <v/>
      </c>
      <c r="I410" s="120" t="str">
        <f aca="false">Scoring!AO416</f>
        <v/>
      </c>
    </row>
    <row r="411" customFormat="false" ht="15.75" hidden="false" customHeight="false" outlineLevel="0" collapsed="false">
      <c r="A411" s="120" t="str">
        <f aca="false">Scoring!AR417</f>
        <v/>
      </c>
      <c r="B411" s="120" t="str">
        <f aca="false">Scoring!AQ417</f>
        <v/>
      </c>
      <c r="C411" s="120" t="n">
        <f aca="false">Scoring!C417</f>
        <v>0</v>
      </c>
      <c r="D411" s="121" t="str">
        <f aca="false">Scoring!AN417</f>
        <v/>
      </c>
      <c r="E411" s="120" t="str">
        <f aca="false">Scoring!V417</f>
        <v/>
      </c>
      <c r="F411" s="120" t="n">
        <f aca="false">Scoring!B417</f>
        <v>0</v>
      </c>
      <c r="G411" s="120" t="n">
        <f aca="false">Scoring!D417</f>
        <v>0</v>
      </c>
      <c r="H411" s="120" t="str">
        <f aca="false">Scoring!AP417</f>
        <v/>
      </c>
      <c r="I411" s="120" t="str">
        <f aca="false">Scoring!AO417</f>
        <v/>
      </c>
    </row>
    <row r="412" customFormat="false" ht="15.75" hidden="false" customHeight="false" outlineLevel="0" collapsed="false">
      <c r="A412" s="120" t="str">
        <f aca="false">Scoring!AR418</f>
        <v/>
      </c>
      <c r="B412" s="120" t="str">
        <f aca="false">Scoring!AQ418</f>
        <v/>
      </c>
      <c r="C412" s="120" t="n">
        <f aca="false">Scoring!C418</f>
        <v>0</v>
      </c>
      <c r="D412" s="121" t="str">
        <f aca="false">Scoring!AN418</f>
        <v/>
      </c>
      <c r="E412" s="120" t="str">
        <f aca="false">Scoring!V418</f>
        <v/>
      </c>
      <c r="F412" s="120" t="n">
        <f aca="false">Scoring!B418</f>
        <v>0</v>
      </c>
      <c r="G412" s="120" t="n">
        <f aca="false">Scoring!D418</f>
        <v>0</v>
      </c>
      <c r="H412" s="120" t="str">
        <f aca="false">Scoring!AP418</f>
        <v/>
      </c>
      <c r="I412" s="120" t="str">
        <f aca="false">Scoring!AO418</f>
        <v/>
      </c>
    </row>
    <row r="413" customFormat="false" ht="15.75" hidden="false" customHeight="false" outlineLevel="0" collapsed="false">
      <c r="A413" s="120" t="str">
        <f aca="false">Scoring!AR419</f>
        <v/>
      </c>
      <c r="B413" s="120" t="str">
        <f aca="false">Scoring!AQ419</f>
        <v/>
      </c>
      <c r="C413" s="120" t="n">
        <f aca="false">Scoring!C419</f>
        <v>0</v>
      </c>
      <c r="D413" s="121" t="str">
        <f aca="false">Scoring!AN419</f>
        <v/>
      </c>
      <c r="E413" s="120" t="str">
        <f aca="false">Scoring!V419</f>
        <v/>
      </c>
      <c r="F413" s="120" t="n">
        <f aca="false">Scoring!B419</f>
        <v>0</v>
      </c>
      <c r="G413" s="120" t="n">
        <f aca="false">Scoring!D419</f>
        <v>0</v>
      </c>
      <c r="H413" s="120" t="str">
        <f aca="false">Scoring!AP419</f>
        <v/>
      </c>
      <c r="I413" s="120" t="str">
        <f aca="false">Scoring!AO419</f>
        <v/>
      </c>
    </row>
    <row r="414" customFormat="false" ht="15.75" hidden="false" customHeight="false" outlineLevel="0" collapsed="false">
      <c r="A414" s="120" t="str">
        <f aca="false">Scoring!AR420</f>
        <v/>
      </c>
      <c r="B414" s="120" t="str">
        <f aca="false">Scoring!AQ420</f>
        <v/>
      </c>
      <c r="C414" s="120" t="n">
        <f aca="false">Scoring!C420</f>
        <v>0</v>
      </c>
      <c r="D414" s="121" t="str">
        <f aca="false">Scoring!AN420</f>
        <v/>
      </c>
      <c r="E414" s="120" t="str">
        <f aca="false">Scoring!V420</f>
        <v/>
      </c>
      <c r="F414" s="120" t="n">
        <f aca="false">Scoring!B420</f>
        <v>0</v>
      </c>
      <c r="G414" s="120" t="n">
        <f aca="false">Scoring!D420</f>
        <v>0</v>
      </c>
      <c r="H414" s="120" t="str">
        <f aca="false">Scoring!AP420</f>
        <v/>
      </c>
      <c r="I414" s="120" t="str">
        <f aca="false">Scoring!AO420</f>
        <v/>
      </c>
    </row>
    <row r="415" customFormat="false" ht="15.75" hidden="false" customHeight="false" outlineLevel="0" collapsed="false">
      <c r="A415" s="120" t="str">
        <f aca="false">Scoring!AR421</f>
        <v/>
      </c>
      <c r="B415" s="120" t="str">
        <f aca="false">Scoring!AQ421</f>
        <v/>
      </c>
      <c r="C415" s="120" t="n">
        <f aca="false">Scoring!C421</f>
        <v>0</v>
      </c>
      <c r="D415" s="121" t="str">
        <f aca="false">Scoring!AN421</f>
        <v/>
      </c>
      <c r="E415" s="120" t="str">
        <f aca="false">Scoring!V421</f>
        <v/>
      </c>
      <c r="F415" s="120" t="n">
        <f aca="false">Scoring!B421</f>
        <v>0</v>
      </c>
      <c r="G415" s="120" t="n">
        <f aca="false">Scoring!D421</f>
        <v>0</v>
      </c>
      <c r="H415" s="120" t="str">
        <f aca="false">Scoring!AP421</f>
        <v/>
      </c>
      <c r="I415" s="120" t="str">
        <f aca="false">Scoring!AO421</f>
        <v/>
      </c>
    </row>
    <row r="416" customFormat="false" ht="15.75" hidden="false" customHeight="false" outlineLevel="0" collapsed="false">
      <c r="A416" s="120" t="str">
        <f aca="false">Scoring!AR422</f>
        <v/>
      </c>
      <c r="B416" s="120" t="str">
        <f aca="false">Scoring!AQ422</f>
        <v/>
      </c>
      <c r="C416" s="120" t="n">
        <f aca="false">Scoring!C422</f>
        <v>0</v>
      </c>
      <c r="D416" s="121" t="str">
        <f aca="false">Scoring!AN422</f>
        <v/>
      </c>
      <c r="E416" s="120" t="str">
        <f aca="false">Scoring!V422</f>
        <v/>
      </c>
      <c r="F416" s="120" t="n">
        <f aca="false">Scoring!B422</f>
        <v>0</v>
      </c>
      <c r="G416" s="120" t="n">
        <f aca="false">Scoring!D422</f>
        <v>0</v>
      </c>
      <c r="H416" s="120" t="str">
        <f aca="false">Scoring!AP422</f>
        <v/>
      </c>
      <c r="I416" s="120" t="str">
        <f aca="false">Scoring!AO422</f>
        <v/>
      </c>
    </row>
    <row r="417" customFormat="false" ht="15.75" hidden="false" customHeight="false" outlineLevel="0" collapsed="false">
      <c r="A417" s="120" t="str">
        <f aca="false">Scoring!AR423</f>
        <v/>
      </c>
      <c r="B417" s="120" t="str">
        <f aca="false">Scoring!AQ423</f>
        <v/>
      </c>
      <c r="C417" s="120" t="n">
        <f aca="false">Scoring!C423</f>
        <v>0</v>
      </c>
      <c r="D417" s="121" t="str">
        <f aca="false">Scoring!AN423</f>
        <v/>
      </c>
      <c r="E417" s="120" t="str">
        <f aca="false">Scoring!V423</f>
        <v/>
      </c>
      <c r="F417" s="120" t="n">
        <f aca="false">Scoring!B423</f>
        <v>0</v>
      </c>
      <c r="G417" s="120" t="n">
        <f aca="false">Scoring!D423</f>
        <v>0</v>
      </c>
      <c r="H417" s="120" t="str">
        <f aca="false">Scoring!AP423</f>
        <v/>
      </c>
      <c r="I417" s="120" t="str">
        <f aca="false">Scoring!AO423</f>
        <v/>
      </c>
    </row>
    <row r="418" customFormat="false" ht="15.75" hidden="false" customHeight="false" outlineLevel="0" collapsed="false">
      <c r="A418" s="120" t="str">
        <f aca="false">Scoring!AR424</f>
        <v/>
      </c>
      <c r="B418" s="120" t="str">
        <f aca="false">Scoring!AQ424</f>
        <v/>
      </c>
      <c r="C418" s="120" t="n">
        <f aca="false">Scoring!C424</f>
        <v>0</v>
      </c>
      <c r="D418" s="121" t="str">
        <f aca="false">Scoring!AN424</f>
        <v/>
      </c>
      <c r="E418" s="120" t="str">
        <f aca="false">Scoring!V424</f>
        <v/>
      </c>
      <c r="F418" s="120" t="n">
        <f aca="false">Scoring!B424</f>
        <v>0</v>
      </c>
      <c r="G418" s="120" t="n">
        <f aca="false">Scoring!D424</f>
        <v>0</v>
      </c>
      <c r="H418" s="120" t="str">
        <f aca="false">Scoring!AP424</f>
        <v/>
      </c>
      <c r="I418" s="120" t="str">
        <f aca="false">Scoring!AO424</f>
        <v/>
      </c>
    </row>
    <row r="419" customFormat="false" ht="15.75" hidden="false" customHeight="false" outlineLevel="0" collapsed="false">
      <c r="A419" s="120" t="str">
        <f aca="false">Scoring!AR425</f>
        <v/>
      </c>
      <c r="B419" s="120" t="str">
        <f aca="false">Scoring!AQ425</f>
        <v/>
      </c>
      <c r="C419" s="120" t="n">
        <f aca="false">Scoring!C425</f>
        <v>0</v>
      </c>
      <c r="D419" s="121" t="str">
        <f aca="false">Scoring!AN425</f>
        <v/>
      </c>
      <c r="E419" s="120" t="str">
        <f aca="false">Scoring!V425</f>
        <v/>
      </c>
      <c r="F419" s="120" t="n">
        <f aca="false">Scoring!B425</f>
        <v>0</v>
      </c>
      <c r="G419" s="120" t="n">
        <f aca="false">Scoring!D425</f>
        <v>0</v>
      </c>
      <c r="H419" s="120" t="str">
        <f aca="false">Scoring!AP425</f>
        <v/>
      </c>
      <c r="I419" s="120" t="str">
        <f aca="false">Scoring!AO425</f>
        <v/>
      </c>
    </row>
    <row r="420" customFormat="false" ht="15.75" hidden="false" customHeight="false" outlineLevel="0" collapsed="false">
      <c r="A420" s="120" t="str">
        <f aca="false">Scoring!AR426</f>
        <v/>
      </c>
      <c r="B420" s="120" t="str">
        <f aca="false">Scoring!AQ426</f>
        <v/>
      </c>
      <c r="C420" s="120" t="n">
        <f aca="false">Scoring!C426</f>
        <v>0</v>
      </c>
      <c r="D420" s="121" t="str">
        <f aca="false">Scoring!AN426</f>
        <v/>
      </c>
      <c r="E420" s="120" t="str">
        <f aca="false">Scoring!V426</f>
        <v/>
      </c>
      <c r="F420" s="120" t="n">
        <f aca="false">Scoring!B426</f>
        <v>0</v>
      </c>
      <c r="G420" s="120" t="n">
        <f aca="false">Scoring!D426</f>
        <v>0</v>
      </c>
      <c r="H420" s="120" t="str">
        <f aca="false">Scoring!AP426</f>
        <v/>
      </c>
      <c r="I420" s="120" t="str">
        <f aca="false">Scoring!AO426</f>
        <v/>
      </c>
    </row>
    <row r="421" customFormat="false" ht="15.75" hidden="false" customHeight="false" outlineLevel="0" collapsed="false">
      <c r="A421" s="120" t="str">
        <f aca="false">Scoring!AR427</f>
        <v/>
      </c>
      <c r="B421" s="120" t="str">
        <f aca="false">Scoring!AQ427</f>
        <v/>
      </c>
      <c r="C421" s="120" t="n">
        <f aca="false">Scoring!C427</f>
        <v>0</v>
      </c>
      <c r="D421" s="121" t="str">
        <f aca="false">Scoring!AN427</f>
        <v/>
      </c>
      <c r="E421" s="120" t="str">
        <f aca="false">Scoring!V427</f>
        <v/>
      </c>
      <c r="F421" s="120" t="n">
        <f aca="false">Scoring!B427</f>
        <v>0</v>
      </c>
      <c r="G421" s="120" t="n">
        <f aca="false">Scoring!D427</f>
        <v>0</v>
      </c>
      <c r="H421" s="120" t="str">
        <f aca="false">Scoring!AP427</f>
        <v/>
      </c>
      <c r="I421" s="120" t="str">
        <f aca="false">Scoring!AO427</f>
        <v/>
      </c>
    </row>
    <row r="422" customFormat="false" ht="15.75" hidden="false" customHeight="false" outlineLevel="0" collapsed="false">
      <c r="A422" s="120" t="str">
        <f aca="false">Scoring!AR428</f>
        <v/>
      </c>
      <c r="B422" s="120" t="str">
        <f aca="false">Scoring!AQ428</f>
        <v/>
      </c>
      <c r="C422" s="120" t="n">
        <f aca="false">Scoring!C428</f>
        <v>0</v>
      </c>
      <c r="D422" s="121" t="str">
        <f aca="false">Scoring!AN428</f>
        <v/>
      </c>
      <c r="E422" s="120" t="str">
        <f aca="false">Scoring!V428</f>
        <v/>
      </c>
      <c r="F422" s="120" t="n">
        <f aca="false">Scoring!B428</f>
        <v>0</v>
      </c>
      <c r="G422" s="120" t="n">
        <f aca="false">Scoring!D428</f>
        <v>0</v>
      </c>
      <c r="H422" s="120" t="str">
        <f aca="false">Scoring!AP428</f>
        <v/>
      </c>
      <c r="I422" s="120" t="str">
        <f aca="false">Scoring!AO428</f>
        <v/>
      </c>
    </row>
    <row r="423" customFormat="false" ht="15.75" hidden="false" customHeight="false" outlineLevel="0" collapsed="false">
      <c r="A423" s="120" t="str">
        <f aca="false">Scoring!AR429</f>
        <v/>
      </c>
      <c r="B423" s="120" t="str">
        <f aca="false">Scoring!AQ429</f>
        <v/>
      </c>
      <c r="C423" s="120" t="n">
        <f aca="false">Scoring!C429</f>
        <v>0</v>
      </c>
      <c r="D423" s="121" t="str">
        <f aca="false">Scoring!AN429</f>
        <v/>
      </c>
      <c r="E423" s="120" t="str">
        <f aca="false">Scoring!V429</f>
        <v/>
      </c>
      <c r="F423" s="120" t="n">
        <f aca="false">Scoring!B429</f>
        <v>0</v>
      </c>
      <c r="G423" s="120" t="n">
        <f aca="false">Scoring!D429</f>
        <v>0</v>
      </c>
      <c r="H423" s="120" t="str">
        <f aca="false">Scoring!AP429</f>
        <v/>
      </c>
      <c r="I423" s="120" t="str">
        <f aca="false">Scoring!AO429</f>
        <v/>
      </c>
    </row>
    <row r="424" customFormat="false" ht="15.75" hidden="false" customHeight="false" outlineLevel="0" collapsed="false">
      <c r="A424" s="120" t="str">
        <f aca="false">Scoring!AR430</f>
        <v/>
      </c>
      <c r="B424" s="120" t="str">
        <f aca="false">Scoring!AQ430</f>
        <v/>
      </c>
      <c r="C424" s="120" t="n">
        <f aca="false">Scoring!C430</f>
        <v>0</v>
      </c>
      <c r="D424" s="121" t="str">
        <f aca="false">Scoring!AN430</f>
        <v/>
      </c>
      <c r="E424" s="120" t="str">
        <f aca="false">Scoring!V430</f>
        <v/>
      </c>
      <c r="F424" s="120" t="n">
        <f aca="false">Scoring!B430</f>
        <v>0</v>
      </c>
      <c r="G424" s="120" t="n">
        <f aca="false">Scoring!D430</f>
        <v>0</v>
      </c>
      <c r="H424" s="120" t="str">
        <f aca="false">Scoring!AP430</f>
        <v/>
      </c>
      <c r="I424" s="120" t="str">
        <f aca="false">Scoring!AO430</f>
        <v/>
      </c>
    </row>
    <row r="425" customFormat="false" ht="15.75" hidden="false" customHeight="false" outlineLevel="0" collapsed="false">
      <c r="A425" s="120" t="str">
        <f aca="false">Scoring!AR431</f>
        <v/>
      </c>
      <c r="B425" s="120" t="str">
        <f aca="false">Scoring!AQ431</f>
        <v/>
      </c>
      <c r="C425" s="120" t="n">
        <f aca="false">Scoring!C431</f>
        <v>0</v>
      </c>
      <c r="D425" s="121" t="str">
        <f aca="false">Scoring!AN431</f>
        <v/>
      </c>
      <c r="E425" s="120" t="str">
        <f aca="false">Scoring!V431</f>
        <v/>
      </c>
      <c r="F425" s="120" t="n">
        <f aca="false">Scoring!B431</f>
        <v>0</v>
      </c>
      <c r="G425" s="120" t="n">
        <f aca="false">Scoring!D431</f>
        <v>0</v>
      </c>
      <c r="H425" s="120" t="str">
        <f aca="false">Scoring!AP431</f>
        <v/>
      </c>
      <c r="I425" s="120" t="str">
        <f aca="false">Scoring!AO431</f>
        <v/>
      </c>
    </row>
    <row r="426" customFormat="false" ht="15.75" hidden="false" customHeight="false" outlineLevel="0" collapsed="false">
      <c r="A426" s="120" t="str">
        <f aca="false">Scoring!AR432</f>
        <v/>
      </c>
      <c r="B426" s="120" t="str">
        <f aca="false">Scoring!AQ432</f>
        <v/>
      </c>
      <c r="C426" s="120" t="n">
        <f aca="false">Scoring!C432</f>
        <v>0</v>
      </c>
      <c r="D426" s="121" t="str">
        <f aca="false">Scoring!AN432</f>
        <v/>
      </c>
      <c r="E426" s="120" t="str">
        <f aca="false">Scoring!V432</f>
        <v/>
      </c>
      <c r="F426" s="120" t="n">
        <f aca="false">Scoring!B432</f>
        <v>0</v>
      </c>
      <c r="G426" s="120" t="n">
        <f aca="false">Scoring!D432</f>
        <v>0</v>
      </c>
      <c r="H426" s="120" t="str">
        <f aca="false">Scoring!AP432</f>
        <v/>
      </c>
      <c r="I426" s="120" t="str">
        <f aca="false">Scoring!AO432</f>
        <v/>
      </c>
    </row>
    <row r="427" customFormat="false" ht="15.75" hidden="false" customHeight="false" outlineLevel="0" collapsed="false">
      <c r="A427" s="120" t="str">
        <f aca="false">Scoring!AR433</f>
        <v/>
      </c>
      <c r="B427" s="120" t="str">
        <f aca="false">Scoring!AQ433</f>
        <v/>
      </c>
      <c r="C427" s="120" t="n">
        <f aca="false">Scoring!C433</f>
        <v>0</v>
      </c>
      <c r="D427" s="121" t="str">
        <f aca="false">Scoring!AN433</f>
        <v/>
      </c>
      <c r="E427" s="120" t="str">
        <f aca="false">Scoring!V433</f>
        <v/>
      </c>
      <c r="F427" s="120" t="n">
        <f aca="false">Scoring!B433</f>
        <v>0</v>
      </c>
      <c r="G427" s="120" t="n">
        <f aca="false">Scoring!D433</f>
        <v>0</v>
      </c>
      <c r="H427" s="120" t="str">
        <f aca="false">Scoring!AP433</f>
        <v/>
      </c>
      <c r="I427" s="120" t="str">
        <f aca="false">Scoring!AO433</f>
        <v/>
      </c>
    </row>
    <row r="428" customFormat="false" ht="15.75" hidden="false" customHeight="false" outlineLevel="0" collapsed="false">
      <c r="A428" s="120" t="str">
        <f aca="false">Scoring!AR434</f>
        <v/>
      </c>
      <c r="B428" s="120" t="str">
        <f aca="false">Scoring!AQ434</f>
        <v/>
      </c>
      <c r="C428" s="120" t="n">
        <f aca="false">Scoring!C434</f>
        <v>0</v>
      </c>
      <c r="D428" s="121" t="str">
        <f aca="false">Scoring!AN434</f>
        <v/>
      </c>
      <c r="E428" s="120" t="str">
        <f aca="false">Scoring!V434</f>
        <v/>
      </c>
      <c r="F428" s="120" t="n">
        <f aca="false">Scoring!B434</f>
        <v>0</v>
      </c>
      <c r="G428" s="120" t="n">
        <f aca="false">Scoring!D434</f>
        <v>0</v>
      </c>
      <c r="H428" s="120" t="str">
        <f aca="false">Scoring!AP434</f>
        <v/>
      </c>
      <c r="I428" s="120" t="str">
        <f aca="false">Scoring!AO434</f>
        <v/>
      </c>
    </row>
    <row r="429" customFormat="false" ht="15.75" hidden="false" customHeight="false" outlineLevel="0" collapsed="false">
      <c r="A429" s="120" t="str">
        <f aca="false">Scoring!AR435</f>
        <v/>
      </c>
      <c r="B429" s="120" t="str">
        <f aca="false">Scoring!AQ435</f>
        <v/>
      </c>
      <c r="C429" s="120" t="n">
        <f aca="false">Scoring!C435</f>
        <v>0</v>
      </c>
      <c r="D429" s="121" t="str">
        <f aca="false">Scoring!AN435</f>
        <v/>
      </c>
      <c r="E429" s="120" t="str">
        <f aca="false">Scoring!V435</f>
        <v/>
      </c>
      <c r="F429" s="120" t="n">
        <f aca="false">Scoring!B435</f>
        <v>0</v>
      </c>
      <c r="G429" s="120" t="n">
        <f aca="false">Scoring!D435</f>
        <v>0</v>
      </c>
      <c r="H429" s="120" t="str">
        <f aca="false">Scoring!AP435</f>
        <v/>
      </c>
      <c r="I429" s="120" t="str">
        <f aca="false">Scoring!AO435</f>
        <v/>
      </c>
    </row>
    <row r="430" customFormat="false" ht="15.75" hidden="false" customHeight="false" outlineLevel="0" collapsed="false">
      <c r="A430" s="120" t="str">
        <f aca="false">Scoring!AR436</f>
        <v/>
      </c>
      <c r="B430" s="120" t="str">
        <f aca="false">Scoring!AQ436</f>
        <v/>
      </c>
      <c r="C430" s="120" t="n">
        <f aca="false">Scoring!C436</f>
        <v>0</v>
      </c>
      <c r="D430" s="121" t="str">
        <f aca="false">Scoring!AN436</f>
        <v/>
      </c>
      <c r="E430" s="120" t="str">
        <f aca="false">Scoring!V436</f>
        <v/>
      </c>
      <c r="F430" s="120" t="n">
        <f aca="false">Scoring!B436</f>
        <v>0</v>
      </c>
      <c r="G430" s="120" t="n">
        <f aca="false">Scoring!D436</f>
        <v>0</v>
      </c>
      <c r="H430" s="120" t="str">
        <f aca="false">Scoring!AP436</f>
        <v/>
      </c>
      <c r="I430" s="120" t="str">
        <f aca="false">Scoring!AO436</f>
        <v/>
      </c>
    </row>
    <row r="431" customFormat="false" ht="15.75" hidden="false" customHeight="false" outlineLevel="0" collapsed="false">
      <c r="A431" s="120" t="str">
        <f aca="false">Scoring!AR437</f>
        <v/>
      </c>
      <c r="B431" s="120" t="str">
        <f aca="false">Scoring!AQ437</f>
        <v/>
      </c>
      <c r="C431" s="120" t="n">
        <f aca="false">Scoring!C437</f>
        <v>0</v>
      </c>
      <c r="D431" s="121" t="str">
        <f aca="false">Scoring!AN437</f>
        <v/>
      </c>
      <c r="E431" s="120" t="str">
        <f aca="false">Scoring!V437</f>
        <v/>
      </c>
      <c r="F431" s="120" t="n">
        <f aca="false">Scoring!B437</f>
        <v>0</v>
      </c>
      <c r="G431" s="120" t="n">
        <f aca="false">Scoring!D437</f>
        <v>0</v>
      </c>
      <c r="H431" s="120" t="str">
        <f aca="false">Scoring!AP437</f>
        <v/>
      </c>
      <c r="I431" s="120" t="str">
        <f aca="false">Scoring!AO437</f>
        <v/>
      </c>
    </row>
    <row r="432" customFormat="false" ht="15.75" hidden="false" customHeight="false" outlineLevel="0" collapsed="false">
      <c r="A432" s="120" t="str">
        <f aca="false">Scoring!AR438</f>
        <v/>
      </c>
      <c r="B432" s="120" t="str">
        <f aca="false">Scoring!AQ438</f>
        <v/>
      </c>
      <c r="C432" s="120" t="n">
        <f aca="false">Scoring!C438</f>
        <v>0</v>
      </c>
      <c r="D432" s="121" t="str">
        <f aca="false">Scoring!AN438</f>
        <v/>
      </c>
      <c r="E432" s="120" t="str">
        <f aca="false">Scoring!V438</f>
        <v/>
      </c>
      <c r="F432" s="120" t="n">
        <f aca="false">Scoring!B438</f>
        <v>0</v>
      </c>
      <c r="G432" s="120" t="n">
        <f aca="false">Scoring!D438</f>
        <v>0</v>
      </c>
      <c r="H432" s="120" t="str">
        <f aca="false">Scoring!AP438</f>
        <v/>
      </c>
      <c r="I432" s="120" t="str">
        <f aca="false">Scoring!AO438</f>
        <v/>
      </c>
    </row>
    <row r="433" customFormat="false" ht="15.75" hidden="false" customHeight="false" outlineLevel="0" collapsed="false">
      <c r="A433" s="120" t="str">
        <f aca="false">Scoring!AR439</f>
        <v/>
      </c>
      <c r="B433" s="120" t="str">
        <f aca="false">Scoring!AQ439</f>
        <v/>
      </c>
      <c r="C433" s="120" t="n">
        <f aca="false">Scoring!C439</f>
        <v>0</v>
      </c>
      <c r="D433" s="121" t="str">
        <f aca="false">Scoring!AN439</f>
        <v/>
      </c>
      <c r="E433" s="120" t="str">
        <f aca="false">Scoring!V439</f>
        <v/>
      </c>
      <c r="F433" s="120" t="n">
        <f aca="false">Scoring!B439</f>
        <v>0</v>
      </c>
      <c r="G433" s="120" t="n">
        <f aca="false">Scoring!D439</f>
        <v>0</v>
      </c>
      <c r="H433" s="120" t="str">
        <f aca="false">Scoring!AP439</f>
        <v/>
      </c>
      <c r="I433" s="120" t="str">
        <f aca="false">Scoring!AO439</f>
        <v/>
      </c>
    </row>
    <row r="434" customFormat="false" ht="15.75" hidden="false" customHeight="false" outlineLevel="0" collapsed="false">
      <c r="A434" s="120" t="str">
        <f aca="false">Scoring!AR440</f>
        <v/>
      </c>
      <c r="B434" s="120" t="str">
        <f aca="false">Scoring!AQ440</f>
        <v/>
      </c>
      <c r="C434" s="120" t="n">
        <f aca="false">Scoring!C440</f>
        <v>0</v>
      </c>
      <c r="D434" s="121" t="str">
        <f aca="false">Scoring!AN440</f>
        <v/>
      </c>
      <c r="E434" s="120" t="str">
        <f aca="false">Scoring!V440</f>
        <v/>
      </c>
      <c r="F434" s="120" t="n">
        <f aca="false">Scoring!B440</f>
        <v>0</v>
      </c>
      <c r="G434" s="120" t="n">
        <f aca="false">Scoring!D440</f>
        <v>0</v>
      </c>
      <c r="H434" s="120" t="str">
        <f aca="false">Scoring!AP440</f>
        <v/>
      </c>
      <c r="I434" s="120" t="str">
        <f aca="false">Scoring!AO440</f>
        <v/>
      </c>
    </row>
    <row r="435" customFormat="false" ht="15.75" hidden="false" customHeight="false" outlineLevel="0" collapsed="false">
      <c r="A435" s="120" t="str">
        <f aca="false">Scoring!AR441</f>
        <v/>
      </c>
      <c r="B435" s="120" t="str">
        <f aca="false">Scoring!AQ441</f>
        <v/>
      </c>
      <c r="C435" s="120" t="n">
        <f aca="false">Scoring!C441</f>
        <v>0</v>
      </c>
      <c r="D435" s="121" t="str">
        <f aca="false">Scoring!AN441</f>
        <v/>
      </c>
      <c r="E435" s="120" t="str">
        <f aca="false">Scoring!V441</f>
        <v/>
      </c>
      <c r="F435" s="120" t="n">
        <f aca="false">Scoring!B441</f>
        <v>0</v>
      </c>
      <c r="G435" s="120" t="n">
        <f aca="false">Scoring!D441</f>
        <v>0</v>
      </c>
      <c r="H435" s="120" t="str">
        <f aca="false">Scoring!AP441</f>
        <v/>
      </c>
      <c r="I435" s="120" t="str">
        <f aca="false">Scoring!AO441</f>
        <v/>
      </c>
    </row>
    <row r="436" customFormat="false" ht="15.75" hidden="false" customHeight="false" outlineLevel="0" collapsed="false">
      <c r="A436" s="120" t="str">
        <f aca="false">Scoring!AR442</f>
        <v/>
      </c>
      <c r="B436" s="120" t="str">
        <f aca="false">Scoring!AQ442</f>
        <v/>
      </c>
      <c r="C436" s="120" t="n">
        <f aca="false">Scoring!C442</f>
        <v>0</v>
      </c>
      <c r="D436" s="121" t="str">
        <f aca="false">Scoring!AN442</f>
        <v/>
      </c>
      <c r="E436" s="120" t="str">
        <f aca="false">Scoring!V442</f>
        <v/>
      </c>
      <c r="F436" s="120" t="n">
        <f aca="false">Scoring!B442</f>
        <v>0</v>
      </c>
      <c r="G436" s="120" t="n">
        <f aca="false">Scoring!D442</f>
        <v>0</v>
      </c>
      <c r="H436" s="120" t="str">
        <f aca="false">Scoring!AP442</f>
        <v/>
      </c>
      <c r="I436" s="120" t="str">
        <f aca="false">Scoring!AO442</f>
        <v/>
      </c>
    </row>
    <row r="437" customFormat="false" ht="15.75" hidden="false" customHeight="false" outlineLevel="0" collapsed="false">
      <c r="A437" s="120" t="str">
        <f aca="false">Scoring!AR443</f>
        <v/>
      </c>
      <c r="B437" s="120" t="str">
        <f aca="false">Scoring!AQ443</f>
        <v/>
      </c>
      <c r="C437" s="120" t="n">
        <f aca="false">Scoring!C443</f>
        <v>0</v>
      </c>
      <c r="D437" s="121" t="str">
        <f aca="false">Scoring!AN443</f>
        <v/>
      </c>
      <c r="E437" s="120" t="str">
        <f aca="false">Scoring!V443</f>
        <v/>
      </c>
      <c r="F437" s="120" t="n">
        <f aca="false">Scoring!B443</f>
        <v>0</v>
      </c>
      <c r="G437" s="120" t="n">
        <f aca="false">Scoring!D443</f>
        <v>0</v>
      </c>
      <c r="H437" s="120" t="str">
        <f aca="false">Scoring!AP443</f>
        <v/>
      </c>
      <c r="I437" s="120" t="str">
        <f aca="false">Scoring!AO443</f>
        <v/>
      </c>
    </row>
    <row r="438" customFormat="false" ht="15.75" hidden="false" customHeight="false" outlineLevel="0" collapsed="false">
      <c r="A438" s="120" t="str">
        <f aca="false">Scoring!AR444</f>
        <v/>
      </c>
      <c r="B438" s="120" t="str">
        <f aca="false">Scoring!AQ444</f>
        <v/>
      </c>
      <c r="C438" s="120" t="n">
        <f aca="false">Scoring!C444</f>
        <v>0</v>
      </c>
      <c r="D438" s="121" t="str">
        <f aca="false">Scoring!AN444</f>
        <v/>
      </c>
      <c r="E438" s="120" t="str">
        <f aca="false">Scoring!V444</f>
        <v/>
      </c>
      <c r="F438" s="120" t="n">
        <f aca="false">Scoring!B444</f>
        <v>0</v>
      </c>
      <c r="G438" s="120" t="n">
        <f aca="false">Scoring!D444</f>
        <v>0</v>
      </c>
      <c r="H438" s="120" t="str">
        <f aca="false">Scoring!AP444</f>
        <v/>
      </c>
      <c r="I438" s="120" t="str">
        <f aca="false">Scoring!AO444</f>
        <v/>
      </c>
    </row>
    <row r="439" customFormat="false" ht="15.75" hidden="false" customHeight="false" outlineLevel="0" collapsed="false">
      <c r="A439" s="120" t="str">
        <f aca="false">Scoring!AR445</f>
        <v/>
      </c>
      <c r="B439" s="120" t="str">
        <f aca="false">Scoring!AQ445</f>
        <v/>
      </c>
      <c r="C439" s="120" t="n">
        <f aca="false">Scoring!C445</f>
        <v>0</v>
      </c>
      <c r="D439" s="121" t="str">
        <f aca="false">Scoring!AN445</f>
        <v/>
      </c>
      <c r="E439" s="120" t="str">
        <f aca="false">Scoring!V445</f>
        <v/>
      </c>
      <c r="F439" s="120" t="n">
        <f aca="false">Scoring!B445</f>
        <v>0</v>
      </c>
      <c r="G439" s="120" t="n">
        <f aca="false">Scoring!D445</f>
        <v>0</v>
      </c>
      <c r="H439" s="120" t="str">
        <f aca="false">Scoring!AP445</f>
        <v/>
      </c>
      <c r="I439" s="120" t="str">
        <f aca="false">Scoring!AO445</f>
        <v/>
      </c>
    </row>
    <row r="440" customFormat="false" ht="15.75" hidden="false" customHeight="false" outlineLevel="0" collapsed="false">
      <c r="A440" s="120" t="str">
        <f aca="false">Scoring!AR446</f>
        <v/>
      </c>
      <c r="B440" s="120" t="str">
        <f aca="false">Scoring!AQ446</f>
        <v/>
      </c>
      <c r="C440" s="120" t="n">
        <f aca="false">Scoring!C446</f>
        <v>0</v>
      </c>
      <c r="D440" s="121" t="str">
        <f aca="false">Scoring!AN446</f>
        <v/>
      </c>
      <c r="E440" s="120" t="str">
        <f aca="false">Scoring!V446</f>
        <v/>
      </c>
      <c r="F440" s="120" t="n">
        <f aca="false">Scoring!B446</f>
        <v>0</v>
      </c>
      <c r="G440" s="120" t="n">
        <f aca="false">Scoring!D446</f>
        <v>0</v>
      </c>
      <c r="H440" s="120" t="str">
        <f aca="false">Scoring!AP446</f>
        <v/>
      </c>
      <c r="I440" s="120" t="str">
        <f aca="false">Scoring!AO446</f>
        <v/>
      </c>
    </row>
    <row r="441" customFormat="false" ht="15.75" hidden="false" customHeight="false" outlineLevel="0" collapsed="false">
      <c r="A441" s="120" t="str">
        <f aca="false">Scoring!AR447</f>
        <v/>
      </c>
      <c r="B441" s="120" t="str">
        <f aca="false">Scoring!AQ447</f>
        <v/>
      </c>
      <c r="C441" s="120" t="n">
        <f aca="false">Scoring!C447</f>
        <v>0</v>
      </c>
      <c r="D441" s="121" t="str">
        <f aca="false">Scoring!AN447</f>
        <v/>
      </c>
      <c r="E441" s="120" t="str">
        <f aca="false">Scoring!V447</f>
        <v/>
      </c>
      <c r="F441" s="120" t="n">
        <f aca="false">Scoring!B447</f>
        <v>0</v>
      </c>
      <c r="G441" s="120" t="n">
        <f aca="false">Scoring!D447</f>
        <v>0</v>
      </c>
      <c r="H441" s="120" t="str">
        <f aca="false">Scoring!AP447</f>
        <v/>
      </c>
      <c r="I441" s="120" t="str">
        <f aca="false">Scoring!AO447</f>
        <v/>
      </c>
    </row>
    <row r="442" customFormat="false" ht="15.75" hidden="false" customHeight="false" outlineLevel="0" collapsed="false">
      <c r="A442" s="120" t="str">
        <f aca="false">Scoring!AR448</f>
        <v/>
      </c>
      <c r="B442" s="120" t="str">
        <f aca="false">Scoring!AQ448</f>
        <v/>
      </c>
      <c r="C442" s="120" t="n">
        <f aca="false">Scoring!C448</f>
        <v>0</v>
      </c>
      <c r="D442" s="121" t="str">
        <f aca="false">Scoring!AN448</f>
        <v/>
      </c>
      <c r="E442" s="120" t="str">
        <f aca="false">Scoring!V448</f>
        <v/>
      </c>
      <c r="F442" s="120" t="n">
        <f aca="false">Scoring!B448</f>
        <v>0</v>
      </c>
      <c r="G442" s="120" t="n">
        <f aca="false">Scoring!D448</f>
        <v>0</v>
      </c>
      <c r="H442" s="120" t="str">
        <f aca="false">Scoring!AP448</f>
        <v/>
      </c>
      <c r="I442" s="120" t="str">
        <f aca="false">Scoring!AO448</f>
        <v/>
      </c>
    </row>
    <row r="443" customFormat="false" ht="15.75" hidden="false" customHeight="false" outlineLevel="0" collapsed="false">
      <c r="A443" s="120" t="str">
        <f aca="false">Scoring!AR449</f>
        <v/>
      </c>
      <c r="B443" s="120" t="str">
        <f aca="false">Scoring!AQ449</f>
        <v/>
      </c>
      <c r="C443" s="120" t="n">
        <f aca="false">Scoring!C449</f>
        <v>0</v>
      </c>
      <c r="D443" s="121" t="str">
        <f aca="false">Scoring!AN449</f>
        <v/>
      </c>
      <c r="E443" s="120" t="str">
        <f aca="false">Scoring!V449</f>
        <v/>
      </c>
      <c r="F443" s="120" t="n">
        <f aca="false">Scoring!B449</f>
        <v>0</v>
      </c>
      <c r="G443" s="120" t="n">
        <f aca="false">Scoring!D449</f>
        <v>0</v>
      </c>
      <c r="H443" s="120" t="str">
        <f aca="false">Scoring!AP449</f>
        <v/>
      </c>
      <c r="I443" s="120" t="str">
        <f aca="false">Scoring!AO449</f>
        <v/>
      </c>
    </row>
    <row r="444" customFormat="false" ht="15.75" hidden="false" customHeight="false" outlineLevel="0" collapsed="false">
      <c r="A444" s="120" t="str">
        <f aca="false">Scoring!AR450</f>
        <v/>
      </c>
      <c r="B444" s="120" t="str">
        <f aca="false">Scoring!AQ450</f>
        <v/>
      </c>
      <c r="C444" s="120" t="n">
        <f aca="false">Scoring!C450</f>
        <v>0</v>
      </c>
      <c r="D444" s="121" t="str">
        <f aca="false">Scoring!AN450</f>
        <v/>
      </c>
      <c r="E444" s="120" t="str">
        <f aca="false">Scoring!V450</f>
        <v/>
      </c>
      <c r="F444" s="120" t="n">
        <f aca="false">Scoring!B450</f>
        <v>0</v>
      </c>
      <c r="G444" s="120" t="n">
        <f aca="false">Scoring!D450</f>
        <v>0</v>
      </c>
      <c r="H444" s="120" t="str">
        <f aca="false">Scoring!AP450</f>
        <v/>
      </c>
      <c r="I444" s="120" t="str">
        <f aca="false">Scoring!AO450</f>
        <v/>
      </c>
    </row>
    <row r="445" customFormat="false" ht="15.75" hidden="false" customHeight="false" outlineLevel="0" collapsed="false">
      <c r="A445" s="120" t="str">
        <f aca="false">Scoring!AR451</f>
        <v/>
      </c>
      <c r="B445" s="120" t="str">
        <f aca="false">Scoring!AQ451</f>
        <v/>
      </c>
      <c r="C445" s="120" t="n">
        <f aca="false">Scoring!C451</f>
        <v>0</v>
      </c>
      <c r="D445" s="121" t="str">
        <f aca="false">Scoring!AN451</f>
        <v/>
      </c>
      <c r="E445" s="120" t="str">
        <f aca="false">Scoring!V451</f>
        <v/>
      </c>
      <c r="F445" s="120" t="n">
        <f aca="false">Scoring!B451</f>
        <v>0</v>
      </c>
      <c r="G445" s="120" t="n">
        <f aca="false">Scoring!D451</f>
        <v>0</v>
      </c>
      <c r="H445" s="120" t="str">
        <f aca="false">Scoring!AP451</f>
        <v/>
      </c>
      <c r="I445" s="120" t="str">
        <f aca="false">Scoring!AO451</f>
        <v/>
      </c>
    </row>
    <row r="446" customFormat="false" ht="15.75" hidden="false" customHeight="false" outlineLevel="0" collapsed="false">
      <c r="A446" s="120" t="str">
        <f aca="false">Scoring!AR452</f>
        <v/>
      </c>
      <c r="B446" s="120" t="str">
        <f aca="false">Scoring!AQ452</f>
        <v/>
      </c>
      <c r="C446" s="120" t="n">
        <f aca="false">Scoring!C452</f>
        <v>0</v>
      </c>
      <c r="D446" s="121" t="str">
        <f aca="false">Scoring!AN452</f>
        <v/>
      </c>
      <c r="E446" s="120" t="str">
        <f aca="false">Scoring!V452</f>
        <v/>
      </c>
      <c r="F446" s="120" t="n">
        <f aca="false">Scoring!B452</f>
        <v>0</v>
      </c>
      <c r="G446" s="120" t="n">
        <f aca="false">Scoring!D452</f>
        <v>0</v>
      </c>
      <c r="H446" s="120" t="str">
        <f aca="false">Scoring!AP452</f>
        <v/>
      </c>
      <c r="I446" s="120" t="str">
        <f aca="false">Scoring!AO452</f>
        <v/>
      </c>
    </row>
    <row r="447" customFormat="false" ht="15.75" hidden="false" customHeight="false" outlineLevel="0" collapsed="false">
      <c r="A447" s="120" t="str">
        <f aca="false">Scoring!AR453</f>
        <v/>
      </c>
      <c r="B447" s="120" t="str">
        <f aca="false">Scoring!AQ453</f>
        <v/>
      </c>
      <c r="C447" s="120" t="n">
        <f aca="false">Scoring!C453</f>
        <v>0</v>
      </c>
      <c r="D447" s="121" t="str">
        <f aca="false">Scoring!AN453</f>
        <v/>
      </c>
      <c r="E447" s="120" t="str">
        <f aca="false">Scoring!V453</f>
        <v/>
      </c>
      <c r="F447" s="120" t="n">
        <f aca="false">Scoring!B453</f>
        <v>0</v>
      </c>
      <c r="G447" s="120" t="n">
        <f aca="false">Scoring!D453</f>
        <v>0</v>
      </c>
      <c r="H447" s="120" t="str">
        <f aca="false">Scoring!AP453</f>
        <v/>
      </c>
      <c r="I447" s="120" t="str">
        <f aca="false">Scoring!AO453</f>
        <v/>
      </c>
    </row>
    <row r="448" customFormat="false" ht="15.75" hidden="false" customHeight="false" outlineLevel="0" collapsed="false">
      <c r="A448" s="120" t="str">
        <f aca="false">Scoring!AR454</f>
        <v/>
      </c>
      <c r="B448" s="120" t="str">
        <f aca="false">Scoring!AQ454</f>
        <v/>
      </c>
      <c r="C448" s="120" t="n">
        <f aca="false">Scoring!C454</f>
        <v>0</v>
      </c>
      <c r="D448" s="121" t="str">
        <f aca="false">Scoring!AN454</f>
        <v/>
      </c>
      <c r="E448" s="120" t="str">
        <f aca="false">Scoring!V454</f>
        <v/>
      </c>
      <c r="F448" s="120" t="n">
        <f aca="false">Scoring!B454</f>
        <v>0</v>
      </c>
      <c r="G448" s="120" t="n">
        <f aca="false">Scoring!D454</f>
        <v>0</v>
      </c>
      <c r="H448" s="120" t="str">
        <f aca="false">Scoring!AP454</f>
        <v/>
      </c>
      <c r="I448" s="120" t="str">
        <f aca="false">Scoring!AO454</f>
        <v/>
      </c>
    </row>
    <row r="449" customFormat="false" ht="15.75" hidden="false" customHeight="false" outlineLevel="0" collapsed="false">
      <c r="A449" s="120" t="str">
        <f aca="false">Scoring!AR455</f>
        <v/>
      </c>
      <c r="B449" s="120" t="str">
        <f aca="false">Scoring!AQ455</f>
        <v/>
      </c>
      <c r="C449" s="120" t="n">
        <f aca="false">Scoring!C455</f>
        <v>0</v>
      </c>
      <c r="D449" s="121" t="str">
        <f aca="false">Scoring!AN455</f>
        <v/>
      </c>
      <c r="E449" s="120" t="str">
        <f aca="false">Scoring!V455</f>
        <v/>
      </c>
      <c r="F449" s="120" t="n">
        <f aca="false">Scoring!B455</f>
        <v>0</v>
      </c>
      <c r="G449" s="120" t="n">
        <f aca="false">Scoring!D455</f>
        <v>0</v>
      </c>
      <c r="H449" s="120" t="str">
        <f aca="false">Scoring!AP455</f>
        <v/>
      </c>
      <c r="I449" s="120" t="str">
        <f aca="false">Scoring!AO455</f>
        <v/>
      </c>
    </row>
    <row r="450" customFormat="false" ht="15.75" hidden="false" customHeight="false" outlineLevel="0" collapsed="false">
      <c r="A450" s="120" t="str">
        <f aca="false">Scoring!AR456</f>
        <v/>
      </c>
      <c r="B450" s="120" t="str">
        <f aca="false">Scoring!AQ456</f>
        <v/>
      </c>
      <c r="C450" s="120" t="n">
        <f aca="false">Scoring!C456</f>
        <v>0</v>
      </c>
      <c r="D450" s="121" t="str">
        <f aca="false">Scoring!AN456</f>
        <v/>
      </c>
      <c r="E450" s="120" t="str">
        <f aca="false">Scoring!V456</f>
        <v/>
      </c>
      <c r="F450" s="120" t="n">
        <f aca="false">Scoring!B456</f>
        <v>0</v>
      </c>
      <c r="G450" s="120" t="n">
        <f aca="false">Scoring!D456</f>
        <v>0</v>
      </c>
      <c r="H450" s="120" t="str">
        <f aca="false">Scoring!AP456</f>
        <v/>
      </c>
      <c r="I450" s="120" t="str">
        <f aca="false">Scoring!AO456</f>
        <v/>
      </c>
    </row>
    <row r="451" customFormat="false" ht="15.75" hidden="false" customHeight="false" outlineLevel="0" collapsed="false">
      <c r="A451" s="120" t="str">
        <f aca="false">Scoring!AR457</f>
        <v/>
      </c>
      <c r="B451" s="120" t="str">
        <f aca="false">Scoring!AQ457</f>
        <v/>
      </c>
      <c r="C451" s="120" t="n">
        <f aca="false">Scoring!C457</f>
        <v>0</v>
      </c>
      <c r="D451" s="121" t="str">
        <f aca="false">Scoring!AN457</f>
        <v/>
      </c>
      <c r="E451" s="120" t="str">
        <f aca="false">Scoring!V457</f>
        <v/>
      </c>
      <c r="F451" s="120" t="n">
        <f aca="false">Scoring!B457</f>
        <v>0</v>
      </c>
      <c r="G451" s="120" t="n">
        <f aca="false">Scoring!D457</f>
        <v>0</v>
      </c>
      <c r="H451" s="120" t="str">
        <f aca="false">Scoring!AP457</f>
        <v/>
      </c>
      <c r="I451" s="120" t="str">
        <f aca="false">Scoring!AO457</f>
        <v/>
      </c>
    </row>
    <row r="452" customFormat="false" ht="15.75" hidden="false" customHeight="false" outlineLevel="0" collapsed="false">
      <c r="A452" s="120" t="str">
        <f aca="false">Scoring!AR458</f>
        <v/>
      </c>
      <c r="B452" s="120" t="str">
        <f aca="false">Scoring!AQ458</f>
        <v/>
      </c>
      <c r="C452" s="120" t="n">
        <f aca="false">Scoring!C458</f>
        <v>0</v>
      </c>
      <c r="D452" s="121" t="str">
        <f aca="false">Scoring!AN458</f>
        <v/>
      </c>
      <c r="E452" s="120" t="str">
        <f aca="false">Scoring!V458</f>
        <v/>
      </c>
      <c r="F452" s="120" t="n">
        <f aca="false">Scoring!B458</f>
        <v>0</v>
      </c>
      <c r="G452" s="120" t="n">
        <f aca="false">Scoring!D458</f>
        <v>0</v>
      </c>
      <c r="H452" s="120" t="str">
        <f aca="false">Scoring!AP458</f>
        <v/>
      </c>
      <c r="I452" s="120" t="str">
        <f aca="false">Scoring!AO458</f>
        <v/>
      </c>
    </row>
    <row r="453" customFormat="false" ht="15.75" hidden="false" customHeight="false" outlineLevel="0" collapsed="false">
      <c r="A453" s="120" t="str">
        <f aca="false">Scoring!AR459</f>
        <v/>
      </c>
      <c r="B453" s="120" t="str">
        <f aca="false">Scoring!AQ459</f>
        <v/>
      </c>
      <c r="C453" s="120" t="n">
        <f aca="false">Scoring!C459</f>
        <v>0</v>
      </c>
      <c r="D453" s="121" t="str">
        <f aca="false">Scoring!AN459</f>
        <v/>
      </c>
      <c r="E453" s="120" t="str">
        <f aca="false">Scoring!V459</f>
        <v/>
      </c>
      <c r="F453" s="120" t="n">
        <f aca="false">Scoring!B459</f>
        <v>0</v>
      </c>
      <c r="G453" s="120" t="n">
        <f aca="false">Scoring!D459</f>
        <v>0</v>
      </c>
      <c r="H453" s="120" t="str">
        <f aca="false">Scoring!AP459</f>
        <v/>
      </c>
      <c r="I453" s="120" t="str">
        <f aca="false">Scoring!AO459</f>
        <v/>
      </c>
    </row>
    <row r="454" customFormat="false" ht="15.75" hidden="false" customHeight="false" outlineLevel="0" collapsed="false">
      <c r="A454" s="120" t="str">
        <f aca="false">Scoring!AR460</f>
        <v/>
      </c>
      <c r="B454" s="120" t="str">
        <f aca="false">Scoring!AQ460</f>
        <v/>
      </c>
      <c r="C454" s="120" t="n">
        <f aca="false">Scoring!C460</f>
        <v>0</v>
      </c>
      <c r="D454" s="121" t="str">
        <f aca="false">Scoring!AN460</f>
        <v/>
      </c>
      <c r="E454" s="120" t="str">
        <f aca="false">Scoring!V460</f>
        <v/>
      </c>
      <c r="F454" s="120" t="n">
        <f aca="false">Scoring!B460</f>
        <v>0</v>
      </c>
      <c r="G454" s="120" t="n">
        <f aca="false">Scoring!D460</f>
        <v>0</v>
      </c>
      <c r="H454" s="120" t="str">
        <f aca="false">Scoring!AP460</f>
        <v/>
      </c>
      <c r="I454" s="120" t="str">
        <f aca="false">Scoring!AO460</f>
        <v/>
      </c>
    </row>
    <row r="455" customFormat="false" ht="15.75" hidden="false" customHeight="false" outlineLevel="0" collapsed="false">
      <c r="A455" s="120" t="str">
        <f aca="false">Scoring!AR461</f>
        <v/>
      </c>
      <c r="B455" s="120" t="str">
        <f aca="false">Scoring!AQ461</f>
        <v/>
      </c>
      <c r="C455" s="120" t="n">
        <f aca="false">Scoring!C461</f>
        <v>0</v>
      </c>
      <c r="D455" s="121" t="str">
        <f aca="false">Scoring!AN461</f>
        <v/>
      </c>
      <c r="E455" s="120" t="str">
        <f aca="false">Scoring!V461</f>
        <v/>
      </c>
      <c r="F455" s="120" t="n">
        <f aca="false">Scoring!B461</f>
        <v>0</v>
      </c>
      <c r="G455" s="120" t="n">
        <f aca="false">Scoring!D461</f>
        <v>0</v>
      </c>
      <c r="H455" s="120" t="str">
        <f aca="false">Scoring!AP461</f>
        <v/>
      </c>
      <c r="I455" s="120" t="str">
        <f aca="false">Scoring!AO461</f>
        <v/>
      </c>
    </row>
    <row r="456" customFormat="false" ht="15.75" hidden="false" customHeight="false" outlineLevel="0" collapsed="false">
      <c r="A456" s="120" t="str">
        <f aca="false">Scoring!AR462</f>
        <v/>
      </c>
      <c r="B456" s="120" t="str">
        <f aca="false">Scoring!AQ462</f>
        <v/>
      </c>
      <c r="C456" s="120" t="n">
        <f aca="false">Scoring!C462</f>
        <v>0</v>
      </c>
      <c r="D456" s="121" t="str">
        <f aca="false">Scoring!AN462</f>
        <v/>
      </c>
      <c r="E456" s="120" t="str">
        <f aca="false">Scoring!V462</f>
        <v/>
      </c>
      <c r="F456" s="120" t="n">
        <f aca="false">Scoring!B462</f>
        <v>0</v>
      </c>
      <c r="G456" s="120" t="n">
        <f aca="false">Scoring!D462</f>
        <v>0</v>
      </c>
      <c r="H456" s="120" t="str">
        <f aca="false">Scoring!AP462</f>
        <v/>
      </c>
      <c r="I456" s="120" t="str">
        <f aca="false">Scoring!AO462</f>
        <v/>
      </c>
    </row>
    <row r="457" customFormat="false" ht="15.75" hidden="false" customHeight="false" outlineLevel="0" collapsed="false">
      <c r="A457" s="120" t="str">
        <f aca="false">Scoring!AR463</f>
        <v/>
      </c>
      <c r="B457" s="120" t="str">
        <f aca="false">Scoring!AQ463</f>
        <v/>
      </c>
      <c r="C457" s="120" t="n">
        <f aca="false">Scoring!C463</f>
        <v>0</v>
      </c>
      <c r="D457" s="121" t="str">
        <f aca="false">Scoring!AN463</f>
        <v/>
      </c>
      <c r="E457" s="120" t="str">
        <f aca="false">Scoring!V463</f>
        <v/>
      </c>
      <c r="F457" s="120" t="n">
        <f aca="false">Scoring!B463</f>
        <v>0</v>
      </c>
      <c r="G457" s="120" t="n">
        <f aca="false">Scoring!D463</f>
        <v>0</v>
      </c>
      <c r="H457" s="120" t="str">
        <f aca="false">Scoring!AP463</f>
        <v/>
      </c>
      <c r="I457" s="120" t="str">
        <f aca="false">Scoring!AO463</f>
        <v/>
      </c>
    </row>
    <row r="458" customFormat="false" ht="15.75" hidden="false" customHeight="false" outlineLevel="0" collapsed="false">
      <c r="A458" s="120" t="str">
        <f aca="false">Scoring!AR464</f>
        <v/>
      </c>
      <c r="B458" s="120" t="str">
        <f aca="false">Scoring!AQ464</f>
        <v/>
      </c>
      <c r="C458" s="120" t="n">
        <f aca="false">Scoring!C464</f>
        <v>0</v>
      </c>
      <c r="D458" s="121" t="str">
        <f aca="false">Scoring!AN464</f>
        <v/>
      </c>
      <c r="E458" s="120" t="str">
        <f aca="false">Scoring!V464</f>
        <v/>
      </c>
      <c r="F458" s="120" t="n">
        <f aca="false">Scoring!B464</f>
        <v>0</v>
      </c>
      <c r="G458" s="120" t="n">
        <f aca="false">Scoring!D464</f>
        <v>0</v>
      </c>
      <c r="H458" s="120" t="str">
        <f aca="false">Scoring!AP464</f>
        <v/>
      </c>
      <c r="I458" s="120" t="str">
        <f aca="false">Scoring!AO464</f>
        <v/>
      </c>
    </row>
    <row r="459" customFormat="false" ht="15.75" hidden="false" customHeight="false" outlineLevel="0" collapsed="false">
      <c r="A459" s="120" t="str">
        <f aca="false">Scoring!AR465</f>
        <v/>
      </c>
      <c r="B459" s="120" t="str">
        <f aca="false">Scoring!AQ465</f>
        <v/>
      </c>
      <c r="C459" s="120" t="n">
        <f aca="false">Scoring!C465</f>
        <v>0</v>
      </c>
      <c r="D459" s="121" t="str">
        <f aca="false">Scoring!AN465</f>
        <v/>
      </c>
      <c r="E459" s="120" t="str">
        <f aca="false">Scoring!V465</f>
        <v/>
      </c>
      <c r="F459" s="120" t="n">
        <f aca="false">Scoring!B465</f>
        <v>0</v>
      </c>
      <c r="G459" s="120" t="n">
        <f aca="false">Scoring!D465</f>
        <v>0</v>
      </c>
      <c r="H459" s="120" t="str">
        <f aca="false">Scoring!AP465</f>
        <v/>
      </c>
      <c r="I459" s="120" t="str">
        <f aca="false">Scoring!AO465</f>
        <v/>
      </c>
    </row>
    <row r="460" customFormat="false" ht="15.75" hidden="false" customHeight="false" outlineLevel="0" collapsed="false">
      <c r="A460" s="120" t="str">
        <f aca="false">Scoring!AR466</f>
        <v/>
      </c>
      <c r="B460" s="120" t="str">
        <f aca="false">Scoring!AQ466</f>
        <v/>
      </c>
      <c r="C460" s="120" t="n">
        <f aca="false">Scoring!C466</f>
        <v>0</v>
      </c>
      <c r="D460" s="121" t="str">
        <f aca="false">Scoring!AN466</f>
        <v/>
      </c>
      <c r="E460" s="120" t="str">
        <f aca="false">Scoring!V466</f>
        <v/>
      </c>
      <c r="F460" s="120" t="n">
        <f aca="false">Scoring!B466</f>
        <v>0</v>
      </c>
      <c r="G460" s="120" t="n">
        <f aca="false">Scoring!D466</f>
        <v>0</v>
      </c>
      <c r="H460" s="120" t="str">
        <f aca="false">Scoring!AP466</f>
        <v/>
      </c>
      <c r="I460" s="120" t="str">
        <f aca="false">Scoring!AO466</f>
        <v/>
      </c>
    </row>
    <row r="461" customFormat="false" ht="15.75" hidden="false" customHeight="false" outlineLevel="0" collapsed="false">
      <c r="A461" s="120" t="str">
        <f aca="false">Scoring!AR467</f>
        <v/>
      </c>
      <c r="B461" s="120" t="str">
        <f aca="false">Scoring!AQ467</f>
        <v/>
      </c>
      <c r="C461" s="120" t="n">
        <f aca="false">Scoring!C467</f>
        <v>0</v>
      </c>
      <c r="D461" s="121" t="str">
        <f aca="false">Scoring!AN467</f>
        <v/>
      </c>
      <c r="E461" s="120" t="str">
        <f aca="false">Scoring!V467</f>
        <v/>
      </c>
      <c r="F461" s="120" t="n">
        <f aca="false">Scoring!B467</f>
        <v>0</v>
      </c>
      <c r="G461" s="120" t="n">
        <f aca="false">Scoring!D467</f>
        <v>0</v>
      </c>
      <c r="H461" s="120" t="str">
        <f aca="false">Scoring!AP467</f>
        <v/>
      </c>
      <c r="I461" s="120" t="str">
        <f aca="false">Scoring!AO467</f>
        <v/>
      </c>
    </row>
    <row r="462" customFormat="false" ht="15.75" hidden="false" customHeight="false" outlineLevel="0" collapsed="false">
      <c r="A462" s="120" t="str">
        <f aca="false">Scoring!AR468</f>
        <v/>
      </c>
      <c r="B462" s="120" t="str">
        <f aca="false">Scoring!AQ468</f>
        <v/>
      </c>
      <c r="C462" s="120" t="n">
        <f aca="false">Scoring!C468</f>
        <v>0</v>
      </c>
      <c r="D462" s="121" t="str">
        <f aca="false">Scoring!AN468</f>
        <v/>
      </c>
      <c r="E462" s="120" t="str">
        <f aca="false">Scoring!V468</f>
        <v/>
      </c>
      <c r="F462" s="120" t="n">
        <f aca="false">Scoring!B468</f>
        <v>0</v>
      </c>
      <c r="G462" s="120" t="n">
        <f aca="false">Scoring!D468</f>
        <v>0</v>
      </c>
      <c r="H462" s="120" t="str">
        <f aca="false">Scoring!AP468</f>
        <v/>
      </c>
      <c r="I462" s="120" t="str">
        <f aca="false">Scoring!AO468</f>
        <v/>
      </c>
    </row>
    <row r="463" customFormat="false" ht="15.75" hidden="false" customHeight="false" outlineLevel="0" collapsed="false">
      <c r="A463" s="120" t="str">
        <f aca="false">Scoring!AR469</f>
        <v/>
      </c>
      <c r="B463" s="120" t="str">
        <f aca="false">Scoring!AQ469</f>
        <v/>
      </c>
      <c r="C463" s="120" t="n">
        <f aca="false">Scoring!C469</f>
        <v>0</v>
      </c>
      <c r="D463" s="121" t="str">
        <f aca="false">Scoring!AN469</f>
        <v/>
      </c>
      <c r="E463" s="120" t="str">
        <f aca="false">Scoring!V469</f>
        <v/>
      </c>
      <c r="F463" s="120" t="n">
        <f aca="false">Scoring!B469</f>
        <v>0</v>
      </c>
      <c r="G463" s="120" t="n">
        <f aca="false">Scoring!D469</f>
        <v>0</v>
      </c>
      <c r="H463" s="120" t="str">
        <f aca="false">Scoring!AP469</f>
        <v/>
      </c>
      <c r="I463" s="120" t="str">
        <f aca="false">Scoring!AO469</f>
        <v/>
      </c>
    </row>
    <row r="464" customFormat="false" ht="15.75" hidden="false" customHeight="false" outlineLevel="0" collapsed="false">
      <c r="A464" s="120" t="str">
        <f aca="false">Scoring!AR470</f>
        <v/>
      </c>
      <c r="B464" s="120" t="str">
        <f aca="false">Scoring!AQ470</f>
        <v/>
      </c>
      <c r="C464" s="120" t="n">
        <f aca="false">Scoring!C470</f>
        <v>0</v>
      </c>
      <c r="D464" s="121" t="str">
        <f aca="false">Scoring!AN470</f>
        <v/>
      </c>
      <c r="E464" s="120" t="str">
        <f aca="false">Scoring!V470</f>
        <v/>
      </c>
      <c r="F464" s="120" t="n">
        <f aca="false">Scoring!B470</f>
        <v>0</v>
      </c>
      <c r="G464" s="120" t="n">
        <f aca="false">Scoring!D470</f>
        <v>0</v>
      </c>
      <c r="H464" s="120" t="str">
        <f aca="false">Scoring!AP470</f>
        <v/>
      </c>
      <c r="I464" s="120" t="str">
        <f aca="false">Scoring!AO470</f>
        <v/>
      </c>
    </row>
    <row r="465" customFormat="false" ht="15.75" hidden="false" customHeight="false" outlineLevel="0" collapsed="false">
      <c r="A465" s="120" t="str">
        <f aca="false">Scoring!AR471</f>
        <v/>
      </c>
      <c r="B465" s="120" t="str">
        <f aca="false">Scoring!AQ471</f>
        <v/>
      </c>
      <c r="C465" s="120" t="n">
        <f aca="false">Scoring!C471</f>
        <v>0</v>
      </c>
      <c r="D465" s="121" t="str">
        <f aca="false">Scoring!AN471</f>
        <v/>
      </c>
      <c r="E465" s="120" t="str">
        <f aca="false">Scoring!V471</f>
        <v/>
      </c>
      <c r="F465" s="120" t="n">
        <f aca="false">Scoring!B471</f>
        <v>0</v>
      </c>
      <c r="G465" s="120" t="n">
        <f aca="false">Scoring!D471</f>
        <v>0</v>
      </c>
      <c r="H465" s="120" t="str">
        <f aca="false">Scoring!AP471</f>
        <v/>
      </c>
      <c r="I465" s="120" t="str">
        <f aca="false">Scoring!AO471</f>
        <v/>
      </c>
    </row>
    <row r="466" customFormat="false" ht="15.75" hidden="false" customHeight="false" outlineLevel="0" collapsed="false">
      <c r="A466" s="120" t="str">
        <f aca="false">Scoring!AR472</f>
        <v/>
      </c>
      <c r="B466" s="120" t="str">
        <f aca="false">Scoring!AQ472</f>
        <v/>
      </c>
      <c r="C466" s="120" t="n">
        <f aca="false">Scoring!C472</f>
        <v>0</v>
      </c>
      <c r="D466" s="121" t="str">
        <f aca="false">Scoring!AN472</f>
        <v/>
      </c>
      <c r="E466" s="120" t="str">
        <f aca="false">Scoring!V472</f>
        <v/>
      </c>
      <c r="F466" s="120" t="n">
        <f aca="false">Scoring!B472</f>
        <v>0</v>
      </c>
      <c r="G466" s="120" t="n">
        <f aca="false">Scoring!D472</f>
        <v>0</v>
      </c>
      <c r="H466" s="120" t="str">
        <f aca="false">Scoring!AP472</f>
        <v/>
      </c>
      <c r="I466" s="120" t="str">
        <f aca="false">Scoring!AO472</f>
        <v/>
      </c>
    </row>
    <row r="467" customFormat="false" ht="15.75" hidden="false" customHeight="false" outlineLevel="0" collapsed="false">
      <c r="A467" s="120" t="str">
        <f aca="false">Scoring!AR473</f>
        <v/>
      </c>
      <c r="B467" s="120" t="str">
        <f aca="false">Scoring!AQ473</f>
        <v/>
      </c>
      <c r="C467" s="120" t="n">
        <f aca="false">Scoring!C473</f>
        <v>0</v>
      </c>
      <c r="D467" s="121" t="str">
        <f aca="false">Scoring!AN473</f>
        <v/>
      </c>
      <c r="E467" s="120" t="str">
        <f aca="false">Scoring!V473</f>
        <v/>
      </c>
      <c r="F467" s="120" t="n">
        <f aca="false">Scoring!B473</f>
        <v>0</v>
      </c>
      <c r="G467" s="120" t="n">
        <f aca="false">Scoring!D473</f>
        <v>0</v>
      </c>
      <c r="H467" s="120" t="str">
        <f aca="false">Scoring!AP473</f>
        <v/>
      </c>
      <c r="I467" s="120" t="str">
        <f aca="false">Scoring!AO473</f>
        <v/>
      </c>
    </row>
    <row r="468" customFormat="false" ht="15.75" hidden="false" customHeight="false" outlineLevel="0" collapsed="false">
      <c r="A468" s="120" t="str">
        <f aca="false">Scoring!AR474</f>
        <v/>
      </c>
      <c r="B468" s="120" t="str">
        <f aca="false">Scoring!AQ474</f>
        <v/>
      </c>
      <c r="C468" s="120" t="n">
        <f aca="false">Scoring!C474</f>
        <v>0</v>
      </c>
      <c r="D468" s="121" t="str">
        <f aca="false">Scoring!AN474</f>
        <v/>
      </c>
      <c r="E468" s="120" t="str">
        <f aca="false">Scoring!V474</f>
        <v/>
      </c>
      <c r="F468" s="120" t="n">
        <f aca="false">Scoring!B474</f>
        <v>0</v>
      </c>
      <c r="G468" s="120" t="n">
        <f aca="false">Scoring!D474</f>
        <v>0</v>
      </c>
      <c r="H468" s="120" t="str">
        <f aca="false">Scoring!AP474</f>
        <v/>
      </c>
      <c r="I468" s="120" t="str">
        <f aca="false">Scoring!AO474</f>
        <v/>
      </c>
    </row>
    <row r="469" customFormat="false" ht="15.75" hidden="false" customHeight="false" outlineLevel="0" collapsed="false">
      <c r="A469" s="120" t="str">
        <f aca="false">Scoring!AR475</f>
        <v/>
      </c>
      <c r="B469" s="120" t="str">
        <f aca="false">Scoring!AQ475</f>
        <v/>
      </c>
      <c r="C469" s="120" t="n">
        <f aca="false">Scoring!C475</f>
        <v>0</v>
      </c>
      <c r="D469" s="121" t="str">
        <f aca="false">Scoring!AN475</f>
        <v/>
      </c>
      <c r="E469" s="120" t="str">
        <f aca="false">Scoring!V475</f>
        <v/>
      </c>
      <c r="F469" s="120" t="n">
        <f aca="false">Scoring!B475</f>
        <v>0</v>
      </c>
      <c r="G469" s="120" t="n">
        <f aca="false">Scoring!D475</f>
        <v>0</v>
      </c>
      <c r="H469" s="120" t="str">
        <f aca="false">Scoring!AP475</f>
        <v/>
      </c>
      <c r="I469" s="120" t="str">
        <f aca="false">Scoring!AO475</f>
        <v/>
      </c>
    </row>
    <row r="470" customFormat="false" ht="15.75" hidden="false" customHeight="false" outlineLevel="0" collapsed="false">
      <c r="A470" s="120" t="str">
        <f aca="false">Scoring!AR476</f>
        <v/>
      </c>
      <c r="B470" s="120" t="str">
        <f aca="false">Scoring!AQ476</f>
        <v/>
      </c>
      <c r="C470" s="120" t="n">
        <f aca="false">Scoring!C476</f>
        <v>0</v>
      </c>
      <c r="D470" s="121" t="str">
        <f aca="false">Scoring!AN476</f>
        <v/>
      </c>
      <c r="E470" s="120" t="str">
        <f aca="false">Scoring!V476</f>
        <v/>
      </c>
      <c r="F470" s="120" t="n">
        <f aca="false">Scoring!B476</f>
        <v>0</v>
      </c>
      <c r="G470" s="120" t="n">
        <f aca="false">Scoring!D476</f>
        <v>0</v>
      </c>
      <c r="H470" s="120" t="str">
        <f aca="false">Scoring!AP476</f>
        <v/>
      </c>
      <c r="I470" s="120" t="str">
        <f aca="false">Scoring!AO476</f>
        <v/>
      </c>
    </row>
    <row r="471" customFormat="false" ht="15.75" hidden="false" customHeight="false" outlineLevel="0" collapsed="false">
      <c r="A471" s="120" t="str">
        <f aca="false">Scoring!AR477</f>
        <v/>
      </c>
      <c r="B471" s="120" t="str">
        <f aca="false">Scoring!AQ477</f>
        <v/>
      </c>
      <c r="C471" s="120" t="n">
        <f aca="false">Scoring!C477</f>
        <v>0</v>
      </c>
      <c r="D471" s="121" t="str">
        <f aca="false">Scoring!AN477</f>
        <v/>
      </c>
      <c r="E471" s="120" t="str">
        <f aca="false">Scoring!V477</f>
        <v/>
      </c>
      <c r="F471" s="120" t="n">
        <f aca="false">Scoring!B477</f>
        <v>0</v>
      </c>
      <c r="G471" s="120" t="n">
        <f aca="false">Scoring!D477</f>
        <v>0</v>
      </c>
      <c r="H471" s="120" t="str">
        <f aca="false">Scoring!AP477</f>
        <v/>
      </c>
      <c r="I471" s="120" t="str">
        <f aca="false">Scoring!AO477</f>
        <v/>
      </c>
    </row>
    <row r="472" customFormat="false" ht="15.75" hidden="false" customHeight="false" outlineLevel="0" collapsed="false">
      <c r="A472" s="120" t="str">
        <f aca="false">Scoring!AR478</f>
        <v/>
      </c>
      <c r="B472" s="120" t="str">
        <f aca="false">Scoring!AQ478</f>
        <v/>
      </c>
      <c r="C472" s="120" t="n">
        <f aca="false">Scoring!C478</f>
        <v>0</v>
      </c>
      <c r="D472" s="121" t="str">
        <f aca="false">Scoring!AN478</f>
        <v/>
      </c>
      <c r="E472" s="120" t="str">
        <f aca="false">Scoring!V478</f>
        <v/>
      </c>
      <c r="F472" s="120" t="n">
        <f aca="false">Scoring!B478</f>
        <v>0</v>
      </c>
      <c r="G472" s="120" t="n">
        <f aca="false">Scoring!D478</f>
        <v>0</v>
      </c>
      <c r="H472" s="120" t="str">
        <f aca="false">Scoring!AP478</f>
        <v/>
      </c>
      <c r="I472" s="120" t="str">
        <f aca="false">Scoring!AO478</f>
        <v/>
      </c>
    </row>
    <row r="473" customFormat="false" ht="15.75" hidden="false" customHeight="false" outlineLevel="0" collapsed="false">
      <c r="A473" s="120" t="str">
        <f aca="false">Scoring!AR479</f>
        <v/>
      </c>
      <c r="B473" s="120" t="str">
        <f aca="false">Scoring!AQ479</f>
        <v/>
      </c>
      <c r="C473" s="120" t="n">
        <f aca="false">Scoring!C479</f>
        <v>0</v>
      </c>
      <c r="D473" s="121" t="str">
        <f aca="false">Scoring!AN479</f>
        <v/>
      </c>
      <c r="E473" s="120" t="str">
        <f aca="false">Scoring!V479</f>
        <v/>
      </c>
      <c r="F473" s="120" t="n">
        <f aca="false">Scoring!B479</f>
        <v>0</v>
      </c>
      <c r="G473" s="120" t="n">
        <f aca="false">Scoring!D479</f>
        <v>0</v>
      </c>
      <c r="H473" s="120" t="str">
        <f aca="false">Scoring!AP479</f>
        <v/>
      </c>
      <c r="I473" s="120" t="str">
        <f aca="false">Scoring!AO479</f>
        <v/>
      </c>
    </row>
    <row r="474" customFormat="false" ht="15.75" hidden="false" customHeight="false" outlineLevel="0" collapsed="false">
      <c r="A474" s="120" t="str">
        <f aca="false">Scoring!AR480</f>
        <v/>
      </c>
      <c r="B474" s="120" t="str">
        <f aca="false">Scoring!AQ480</f>
        <v/>
      </c>
      <c r="C474" s="120" t="n">
        <f aca="false">Scoring!C480</f>
        <v>0</v>
      </c>
      <c r="D474" s="121" t="str">
        <f aca="false">Scoring!AN480</f>
        <v/>
      </c>
      <c r="E474" s="120" t="str">
        <f aca="false">Scoring!V480</f>
        <v/>
      </c>
      <c r="F474" s="120" t="n">
        <f aca="false">Scoring!B480</f>
        <v>0</v>
      </c>
      <c r="G474" s="120" t="n">
        <f aca="false">Scoring!D480</f>
        <v>0</v>
      </c>
      <c r="H474" s="120" t="str">
        <f aca="false">Scoring!AP480</f>
        <v/>
      </c>
      <c r="I474" s="120" t="str">
        <f aca="false">Scoring!AO480</f>
        <v/>
      </c>
    </row>
    <row r="475" customFormat="false" ht="15.75" hidden="false" customHeight="false" outlineLevel="0" collapsed="false">
      <c r="A475" s="120" t="str">
        <f aca="false">Scoring!AR481</f>
        <v/>
      </c>
      <c r="B475" s="120" t="str">
        <f aca="false">Scoring!AQ481</f>
        <v/>
      </c>
      <c r="C475" s="120" t="n">
        <f aca="false">Scoring!C481</f>
        <v>0</v>
      </c>
      <c r="D475" s="121" t="str">
        <f aca="false">Scoring!AN481</f>
        <v/>
      </c>
      <c r="E475" s="120" t="str">
        <f aca="false">Scoring!V481</f>
        <v/>
      </c>
      <c r="F475" s="120" t="n">
        <f aca="false">Scoring!B481</f>
        <v>0</v>
      </c>
      <c r="G475" s="120" t="n">
        <f aca="false">Scoring!D481</f>
        <v>0</v>
      </c>
      <c r="H475" s="120" t="str">
        <f aca="false">Scoring!AP481</f>
        <v/>
      </c>
      <c r="I475" s="120" t="str">
        <f aca="false">Scoring!AO481</f>
        <v/>
      </c>
    </row>
    <row r="476" customFormat="false" ht="15.75" hidden="false" customHeight="false" outlineLevel="0" collapsed="false">
      <c r="A476" s="120" t="str">
        <f aca="false">Scoring!AR482</f>
        <v/>
      </c>
      <c r="B476" s="120" t="str">
        <f aca="false">Scoring!AQ482</f>
        <v/>
      </c>
      <c r="C476" s="120" t="n">
        <f aca="false">Scoring!C482</f>
        <v>0</v>
      </c>
      <c r="D476" s="121" t="str">
        <f aca="false">Scoring!AN482</f>
        <v/>
      </c>
      <c r="E476" s="120" t="str">
        <f aca="false">Scoring!V482</f>
        <v/>
      </c>
      <c r="F476" s="120" t="n">
        <f aca="false">Scoring!B482</f>
        <v>0</v>
      </c>
      <c r="G476" s="120" t="n">
        <f aca="false">Scoring!D482</f>
        <v>0</v>
      </c>
      <c r="H476" s="120" t="str">
        <f aca="false">Scoring!AP482</f>
        <v/>
      </c>
      <c r="I476" s="120" t="str">
        <f aca="false">Scoring!AO482</f>
        <v/>
      </c>
    </row>
    <row r="477" customFormat="false" ht="15.75" hidden="false" customHeight="false" outlineLevel="0" collapsed="false">
      <c r="A477" s="120" t="str">
        <f aca="false">Scoring!AR483</f>
        <v/>
      </c>
      <c r="B477" s="120" t="str">
        <f aca="false">Scoring!AQ483</f>
        <v/>
      </c>
      <c r="C477" s="120" t="n">
        <f aca="false">Scoring!C483</f>
        <v>0</v>
      </c>
      <c r="D477" s="121" t="str">
        <f aca="false">Scoring!AN483</f>
        <v/>
      </c>
      <c r="E477" s="120" t="str">
        <f aca="false">Scoring!V483</f>
        <v/>
      </c>
      <c r="F477" s="120" t="n">
        <f aca="false">Scoring!B483</f>
        <v>0</v>
      </c>
      <c r="G477" s="120" t="n">
        <f aca="false">Scoring!D483</f>
        <v>0</v>
      </c>
      <c r="H477" s="120" t="str">
        <f aca="false">Scoring!AP483</f>
        <v/>
      </c>
      <c r="I477" s="120" t="str">
        <f aca="false">Scoring!AO483</f>
        <v/>
      </c>
    </row>
    <row r="478" customFormat="false" ht="15.75" hidden="false" customHeight="false" outlineLevel="0" collapsed="false">
      <c r="A478" s="120" t="str">
        <f aca="false">Scoring!AR484</f>
        <v/>
      </c>
      <c r="B478" s="120" t="str">
        <f aca="false">Scoring!AQ484</f>
        <v/>
      </c>
      <c r="C478" s="120" t="n">
        <f aca="false">Scoring!C484</f>
        <v>0</v>
      </c>
      <c r="D478" s="121" t="str">
        <f aca="false">Scoring!AN484</f>
        <v/>
      </c>
      <c r="E478" s="120" t="str">
        <f aca="false">Scoring!V484</f>
        <v/>
      </c>
      <c r="F478" s="120" t="n">
        <f aca="false">Scoring!B484</f>
        <v>0</v>
      </c>
      <c r="G478" s="120" t="n">
        <f aca="false">Scoring!D484</f>
        <v>0</v>
      </c>
      <c r="H478" s="120" t="str">
        <f aca="false">Scoring!AP484</f>
        <v/>
      </c>
      <c r="I478" s="120" t="str">
        <f aca="false">Scoring!AO484</f>
        <v/>
      </c>
    </row>
    <row r="479" customFormat="false" ht="15.75" hidden="false" customHeight="false" outlineLevel="0" collapsed="false">
      <c r="A479" s="120" t="str">
        <f aca="false">Scoring!AR485</f>
        <v/>
      </c>
      <c r="B479" s="120" t="str">
        <f aca="false">Scoring!AQ485</f>
        <v/>
      </c>
      <c r="C479" s="120" t="n">
        <f aca="false">Scoring!C485</f>
        <v>0</v>
      </c>
      <c r="D479" s="121" t="str">
        <f aca="false">Scoring!AN485</f>
        <v/>
      </c>
      <c r="E479" s="120" t="str">
        <f aca="false">Scoring!V485</f>
        <v/>
      </c>
      <c r="F479" s="120" t="n">
        <f aca="false">Scoring!B485</f>
        <v>0</v>
      </c>
      <c r="G479" s="120" t="n">
        <f aca="false">Scoring!D485</f>
        <v>0</v>
      </c>
      <c r="H479" s="120" t="str">
        <f aca="false">Scoring!AP485</f>
        <v/>
      </c>
      <c r="I479" s="120" t="str">
        <f aca="false">Scoring!AO485</f>
        <v/>
      </c>
    </row>
    <row r="480" customFormat="false" ht="15.75" hidden="false" customHeight="false" outlineLevel="0" collapsed="false">
      <c r="A480" s="120" t="str">
        <f aca="false">Scoring!AR486</f>
        <v/>
      </c>
      <c r="B480" s="120" t="str">
        <f aca="false">Scoring!AQ486</f>
        <v/>
      </c>
      <c r="C480" s="120" t="n">
        <f aca="false">Scoring!C486</f>
        <v>0</v>
      </c>
      <c r="D480" s="121" t="str">
        <f aca="false">Scoring!AN486</f>
        <v/>
      </c>
      <c r="E480" s="120" t="str">
        <f aca="false">Scoring!V486</f>
        <v/>
      </c>
      <c r="F480" s="120" t="n">
        <f aca="false">Scoring!B486</f>
        <v>0</v>
      </c>
      <c r="G480" s="120" t="n">
        <f aca="false">Scoring!D486</f>
        <v>0</v>
      </c>
      <c r="H480" s="120" t="str">
        <f aca="false">Scoring!AP486</f>
        <v/>
      </c>
      <c r="I480" s="120" t="str">
        <f aca="false">Scoring!AO486</f>
        <v/>
      </c>
    </row>
    <row r="481" customFormat="false" ht="15.75" hidden="false" customHeight="false" outlineLevel="0" collapsed="false">
      <c r="A481" s="120" t="str">
        <f aca="false">Scoring!AR487</f>
        <v/>
      </c>
      <c r="B481" s="120" t="str">
        <f aca="false">Scoring!AQ487</f>
        <v/>
      </c>
      <c r="C481" s="120" t="n">
        <f aca="false">Scoring!C487</f>
        <v>0</v>
      </c>
      <c r="D481" s="121" t="str">
        <f aca="false">Scoring!AN487</f>
        <v/>
      </c>
      <c r="E481" s="120" t="str">
        <f aca="false">Scoring!V487</f>
        <v/>
      </c>
      <c r="F481" s="120" t="n">
        <f aca="false">Scoring!B487</f>
        <v>0</v>
      </c>
      <c r="G481" s="120" t="n">
        <f aca="false">Scoring!D487</f>
        <v>0</v>
      </c>
      <c r="H481" s="120" t="str">
        <f aca="false">Scoring!AP487</f>
        <v/>
      </c>
      <c r="I481" s="120" t="str">
        <f aca="false">Scoring!AO487</f>
        <v/>
      </c>
    </row>
    <row r="482" customFormat="false" ht="15.75" hidden="false" customHeight="false" outlineLevel="0" collapsed="false">
      <c r="A482" s="120" t="str">
        <f aca="false">Scoring!AR488</f>
        <v/>
      </c>
      <c r="B482" s="120" t="str">
        <f aca="false">Scoring!AQ488</f>
        <v/>
      </c>
      <c r="C482" s="120" t="n">
        <f aca="false">Scoring!C488</f>
        <v>0</v>
      </c>
      <c r="D482" s="121" t="str">
        <f aca="false">Scoring!AN488</f>
        <v/>
      </c>
      <c r="E482" s="120" t="str">
        <f aca="false">Scoring!V488</f>
        <v/>
      </c>
      <c r="F482" s="120" t="n">
        <f aca="false">Scoring!B488</f>
        <v>0</v>
      </c>
      <c r="G482" s="120" t="n">
        <f aca="false">Scoring!D488</f>
        <v>0</v>
      </c>
      <c r="H482" s="120" t="str">
        <f aca="false">Scoring!AP488</f>
        <v/>
      </c>
      <c r="I482" s="120" t="str">
        <f aca="false">Scoring!AO488</f>
        <v/>
      </c>
    </row>
    <row r="483" customFormat="false" ht="15.75" hidden="false" customHeight="false" outlineLevel="0" collapsed="false">
      <c r="A483" s="120" t="str">
        <f aca="false">Scoring!AR489</f>
        <v/>
      </c>
      <c r="B483" s="120" t="str">
        <f aca="false">Scoring!AQ489</f>
        <v/>
      </c>
      <c r="C483" s="120" t="n">
        <f aca="false">Scoring!C489</f>
        <v>0</v>
      </c>
      <c r="D483" s="121" t="str">
        <f aca="false">Scoring!AN489</f>
        <v/>
      </c>
      <c r="E483" s="120" t="str">
        <f aca="false">Scoring!V489</f>
        <v/>
      </c>
      <c r="F483" s="120" t="n">
        <f aca="false">Scoring!B489</f>
        <v>0</v>
      </c>
      <c r="G483" s="120" t="n">
        <f aca="false">Scoring!D489</f>
        <v>0</v>
      </c>
      <c r="H483" s="120" t="str">
        <f aca="false">Scoring!AP489</f>
        <v/>
      </c>
      <c r="I483" s="120" t="str">
        <f aca="false">Scoring!AO489</f>
        <v/>
      </c>
    </row>
    <row r="484" customFormat="false" ht="15.75" hidden="false" customHeight="false" outlineLevel="0" collapsed="false">
      <c r="A484" s="120" t="str">
        <f aca="false">Scoring!AR490</f>
        <v/>
      </c>
      <c r="B484" s="120" t="str">
        <f aca="false">Scoring!AQ490</f>
        <v/>
      </c>
      <c r="C484" s="120" t="n">
        <f aca="false">Scoring!C490</f>
        <v>0</v>
      </c>
      <c r="D484" s="121" t="str">
        <f aca="false">Scoring!AN490</f>
        <v/>
      </c>
      <c r="E484" s="120" t="str">
        <f aca="false">Scoring!V490</f>
        <v/>
      </c>
      <c r="F484" s="120" t="n">
        <f aca="false">Scoring!B490</f>
        <v>0</v>
      </c>
      <c r="G484" s="120" t="n">
        <f aca="false">Scoring!D490</f>
        <v>0</v>
      </c>
      <c r="H484" s="120" t="str">
        <f aca="false">Scoring!AP490</f>
        <v/>
      </c>
      <c r="I484" s="120" t="str">
        <f aca="false">Scoring!AO490</f>
        <v/>
      </c>
    </row>
    <row r="485" customFormat="false" ht="15.75" hidden="false" customHeight="false" outlineLevel="0" collapsed="false">
      <c r="A485" s="120" t="str">
        <f aca="false">Scoring!AR491</f>
        <v/>
      </c>
      <c r="B485" s="120" t="str">
        <f aca="false">Scoring!AQ491</f>
        <v/>
      </c>
      <c r="C485" s="120" t="n">
        <f aca="false">Scoring!C491</f>
        <v>0</v>
      </c>
      <c r="D485" s="121" t="str">
        <f aca="false">Scoring!AN491</f>
        <v/>
      </c>
      <c r="E485" s="120" t="str">
        <f aca="false">Scoring!V491</f>
        <v/>
      </c>
      <c r="F485" s="120" t="n">
        <f aca="false">Scoring!B491</f>
        <v>0</v>
      </c>
      <c r="G485" s="120" t="n">
        <f aca="false">Scoring!D491</f>
        <v>0</v>
      </c>
      <c r="H485" s="120" t="str">
        <f aca="false">Scoring!AP491</f>
        <v/>
      </c>
      <c r="I485" s="120" t="str">
        <f aca="false">Scoring!AO491</f>
        <v/>
      </c>
    </row>
    <row r="486" customFormat="false" ht="15.75" hidden="false" customHeight="false" outlineLevel="0" collapsed="false">
      <c r="A486" s="120" t="str">
        <f aca="false">Scoring!AR492</f>
        <v/>
      </c>
      <c r="B486" s="120" t="str">
        <f aca="false">Scoring!AQ492</f>
        <v/>
      </c>
      <c r="C486" s="120" t="n">
        <f aca="false">Scoring!C492</f>
        <v>0</v>
      </c>
      <c r="D486" s="121" t="str">
        <f aca="false">Scoring!AN492</f>
        <v/>
      </c>
      <c r="E486" s="120" t="str">
        <f aca="false">Scoring!V492</f>
        <v/>
      </c>
      <c r="F486" s="120" t="n">
        <f aca="false">Scoring!B492</f>
        <v>0</v>
      </c>
      <c r="G486" s="120" t="n">
        <f aca="false">Scoring!D492</f>
        <v>0</v>
      </c>
      <c r="H486" s="120" t="str">
        <f aca="false">Scoring!AP492</f>
        <v/>
      </c>
      <c r="I486" s="120" t="str">
        <f aca="false">Scoring!AO492</f>
        <v/>
      </c>
    </row>
    <row r="487" customFormat="false" ht="15.75" hidden="false" customHeight="false" outlineLevel="0" collapsed="false">
      <c r="A487" s="120" t="str">
        <f aca="false">Scoring!AR493</f>
        <v/>
      </c>
      <c r="B487" s="120" t="str">
        <f aca="false">Scoring!AQ493</f>
        <v/>
      </c>
      <c r="C487" s="120" t="n">
        <f aca="false">Scoring!C493</f>
        <v>0</v>
      </c>
      <c r="D487" s="121" t="str">
        <f aca="false">Scoring!AN493</f>
        <v/>
      </c>
      <c r="E487" s="120" t="str">
        <f aca="false">Scoring!V493</f>
        <v/>
      </c>
      <c r="F487" s="120" t="n">
        <f aca="false">Scoring!B493</f>
        <v>0</v>
      </c>
      <c r="G487" s="120" t="n">
        <f aca="false">Scoring!D493</f>
        <v>0</v>
      </c>
      <c r="H487" s="120" t="str">
        <f aca="false">Scoring!AP493</f>
        <v/>
      </c>
      <c r="I487" s="120" t="str">
        <f aca="false">Scoring!AO493</f>
        <v/>
      </c>
    </row>
    <row r="488" customFormat="false" ht="15.75" hidden="false" customHeight="false" outlineLevel="0" collapsed="false">
      <c r="A488" s="120" t="str">
        <f aca="false">Scoring!AR494</f>
        <v/>
      </c>
      <c r="B488" s="120" t="str">
        <f aca="false">Scoring!AQ494</f>
        <v/>
      </c>
      <c r="C488" s="120" t="n">
        <f aca="false">Scoring!C494</f>
        <v>0</v>
      </c>
      <c r="D488" s="121" t="str">
        <f aca="false">Scoring!AN494</f>
        <v/>
      </c>
      <c r="E488" s="120" t="str">
        <f aca="false">Scoring!V494</f>
        <v/>
      </c>
      <c r="F488" s="120" t="n">
        <f aca="false">Scoring!B494</f>
        <v>0</v>
      </c>
      <c r="G488" s="120" t="n">
        <f aca="false">Scoring!D494</f>
        <v>0</v>
      </c>
      <c r="H488" s="120" t="str">
        <f aca="false">Scoring!AP494</f>
        <v/>
      </c>
      <c r="I488" s="120" t="str">
        <f aca="false">Scoring!AO494</f>
        <v/>
      </c>
    </row>
    <row r="489" customFormat="false" ht="15.75" hidden="false" customHeight="false" outlineLevel="0" collapsed="false">
      <c r="A489" s="120" t="str">
        <f aca="false">Scoring!AR495</f>
        <v/>
      </c>
      <c r="B489" s="120" t="str">
        <f aca="false">Scoring!AQ495</f>
        <v/>
      </c>
      <c r="C489" s="120" t="n">
        <f aca="false">Scoring!C495</f>
        <v>0</v>
      </c>
      <c r="D489" s="121" t="str">
        <f aca="false">Scoring!AN495</f>
        <v/>
      </c>
      <c r="E489" s="120" t="str">
        <f aca="false">Scoring!V495</f>
        <v/>
      </c>
      <c r="F489" s="120" t="n">
        <f aca="false">Scoring!B495</f>
        <v>0</v>
      </c>
      <c r="G489" s="120" t="n">
        <f aca="false">Scoring!D495</f>
        <v>0</v>
      </c>
      <c r="H489" s="120" t="str">
        <f aca="false">Scoring!AP495</f>
        <v/>
      </c>
      <c r="I489" s="120" t="str">
        <f aca="false">Scoring!AO495</f>
        <v/>
      </c>
    </row>
    <row r="490" customFormat="false" ht="15.75" hidden="false" customHeight="false" outlineLevel="0" collapsed="false">
      <c r="A490" s="120" t="str">
        <f aca="false">Scoring!AR496</f>
        <v/>
      </c>
      <c r="B490" s="120" t="str">
        <f aca="false">Scoring!AQ496</f>
        <v/>
      </c>
      <c r="C490" s="120" t="n">
        <f aca="false">Scoring!C496</f>
        <v>0</v>
      </c>
      <c r="D490" s="121" t="str">
        <f aca="false">Scoring!AN496</f>
        <v/>
      </c>
      <c r="E490" s="120" t="str">
        <f aca="false">Scoring!V496</f>
        <v/>
      </c>
      <c r="F490" s="120" t="n">
        <f aca="false">Scoring!B496</f>
        <v>0</v>
      </c>
      <c r="G490" s="120" t="n">
        <f aca="false">Scoring!D496</f>
        <v>0</v>
      </c>
      <c r="H490" s="120" t="str">
        <f aca="false">Scoring!AP496</f>
        <v/>
      </c>
      <c r="I490" s="120" t="str">
        <f aca="false">Scoring!AO496</f>
        <v/>
      </c>
    </row>
    <row r="491" customFormat="false" ht="15.75" hidden="false" customHeight="false" outlineLevel="0" collapsed="false">
      <c r="A491" s="120" t="str">
        <f aca="false">Scoring!AR497</f>
        <v/>
      </c>
      <c r="B491" s="120" t="str">
        <f aca="false">Scoring!AQ497</f>
        <v/>
      </c>
      <c r="C491" s="120" t="n">
        <f aca="false">Scoring!C497</f>
        <v>0</v>
      </c>
      <c r="D491" s="121" t="str">
        <f aca="false">Scoring!AN497</f>
        <v/>
      </c>
      <c r="E491" s="120" t="str">
        <f aca="false">Scoring!V497</f>
        <v/>
      </c>
      <c r="F491" s="120" t="n">
        <f aca="false">Scoring!B497</f>
        <v>0</v>
      </c>
      <c r="G491" s="120" t="n">
        <f aca="false">Scoring!D497</f>
        <v>0</v>
      </c>
      <c r="H491" s="120" t="str">
        <f aca="false">Scoring!AP497</f>
        <v/>
      </c>
      <c r="I491" s="120" t="str">
        <f aca="false">Scoring!AO497</f>
        <v/>
      </c>
    </row>
    <row r="492" customFormat="false" ht="15.75" hidden="false" customHeight="false" outlineLevel="0" collapsed="false">
      <c r="A492" s="120" t="str">
        <f aca="false">Scoring!AR498</f>
        <v/>
      </c>
      <c r="B492" s="120" t="str">
        <f aca="false">Scoring!AQ498</f>
        <v/>
      </c>
      <c r="C492" s="120" t="n">
        <f aca="false">Scoring!C498</f>
        <v>0</v>
      </c>
      <c r="D492" s="121" t="str">
        <f aca="false">Scoring!AN498</f>
        <v/>
      </c>
      <c r="E492" s="120" t="str">
        <f aca="false">Scoring!V498</f>
        <v/>
      </c>
      <c r="F492" s="120" t="n">
        <f aca="false">Scoring!B498</f>
        <v>0</v>
      </c>
      <c r="G492" s="120" t="n">
        <f aca="false">Scoring!D498</f>
        <v>0</v>
      </c>
      <c r="H492" s="120" t="str">
        <f aca="false">Scoring!AP498</f>
        <v/>
      </c>
      <c r="I492" s="120" t="str">
        <f aca="false">Scoring!AO498</f>
        <v/>
      </c>
    </row>
    <row r="493" customFormat="false" ht="15.75" hidden="false" customHeight="false" outlineLevel="0" collapsed="false">
      <c r="A493" s="120" t="str">
        <f aca="false">Scoring!AR499</f>
        <v/>
      </c>
      <c r="B493" s="120" t="str">
        <f aca="false">Scoring!AQ499</f>
        <v/>
      </c>
      <c r="C493" s="120" t="n">
        <f aca="false">Scoring!C499</f>
        <v>0</v>
      </c>
      <c r="D493" s="121" t="str">
        <f aca="false">Scoring!AN499</f>
        <v/>
      </c>
      <c r="E493" s="120" t="str">
        <f aca="false">Scoring!V499</f>
        <v/>
      </c>
      <c r="F493" s="120" t="n">
        <f aca="false">Scoring!B499</f>
        <v>0</v>
      </c>
      <c r="G493" s="120" t="n">
        <f aca="false">Scoring!D499</f>
        <v>0</v>
      </c>
      <c r="H493" s="120" t="str">
        <f aca="false">Scoring!AP499</f>
        <v/>
      </c>
      <c r="I493" s="120" t="str">
        <f aca="false">Scoring!AO499</f>
        <v/>
      </c>
    </row>
    <row r="494" customFormat="false" ht="15.75" hidden="false" customHeight="false" outlineLevel="0" collapsed="false">
      <c r="A494" s="120" t="str">
        <f aca="false">Scoring!AR500</f>
        <v/>
      </c>
      <c r="B494" s="120" t="str">
        <f aca="false">Scoring!AQ500</f>
        <v/>
      </c>
      <c r="C494" s="120" t="n">
        <f aca="false">Scoring!C500</f>
        <v>0</v>
      </c>
      <c r="D494" s="121" t="str">
        <f aca="false">Scoring!AN500</f>
        <v/>
      </c>
      <c r="E494" s="120" t="str">
        <f aca="false">Scoring!V500</f>
        <v/>
      </c>
      <c r="F494" s="120" t="n">
        <f aca="false">Scoring!B500</f>
        <v>0</v>
      </c>
      <c r="G494" s="120" t="n">
        <f aca="false">Scoring!D500</f>
        <v>0</v>
      </c>
      <c r="H494" s="120" t="str">
        <f aca="false">Scoring!AP500</f>
        <v/>
      </c>
      <c r="I494" s="120" t="str">
        <f aca="false">Scoring!AO500</f>
        <v/>
      </c>
    </row>
    <row r="495" customFormat="false" ht="15.75" hidden="false" customHeight="false" outlineLevel="0" collapsed="false">
      <c r="A495" s="120" t="str">
        <f aca="false">Scoring!AR501</f>
        <v/>
      </c>
      <c r="B495" s="120" t="str">
        <f aca="false">Scoring!AQ501</f>
        <v/>
      </c>
      <c r="C495" s="120" t="n">
        <f aca="false">Scoring!C501</f>
        <v>0</v>
      </c>
      <c r="D495" s="121" t="str">
        <f aca="false">Scoring!AN501</f>
        <v/>
      </c>
      <c r="E495" s="120" t="str">
        <f aca="false">Scoring!V501</f>
        <v/>
      </c>
      <c r="F495" s="120" t="n">
        <f aca="false">Scoring!B501</f>
        <v>0</v>
      </c>
      <c r="G495" s="120" t="n">
        <f aca="false">Scoring!D501</f>
        <v>0</v>
      </c>
      <c r="H495" s="120" t="str">
        <f aca="false">Scoring!AP501</f>
        <v/>
      </c>
      <c r="I495" s="120" t="str">
        <f aca="false">Scoring!AO501</f>
        <v/>
      </c>
    </row>
    <row r="496" customFormat="false" ht="15.75" hidden="false" customHeight="false" outlineLevel="0" collapsed="false">
      <c r="A496" s="120" t="str">
        <f aca="false">Scoring!AR502</f>
        <v/>
      </c>
      <c r="B496" s="120" t="str">
        <f aca="false">Scoring!AQ502</f>
        <v/>
      </c>
      <c r="C496" s="120" t="n">
        <f aca="false">Scoring!C502</f>
        <v>0</v>
      </c>
      <c r="D496" s="121" t="str">
        <f aca="false">Scoring!AN502</f>
        <v/>
      </c>
      <c r="E496" s="120" t="str">
        <f aca="false">Scoring!V502</f>
        <v/>
      </c>
      <c r="F496" s="120" t="n">
        <f aca="false">Scoring!B502</f>
        <v>0</v>
      </c>
      <c r="G496" s="120" t="n">
        <f aca="false">Scoring!D502</f>
        <v>0</v>
      </c>
      <c r="H496" s="120" t="str">
        <f aca="false">Scoring!AP502</f>
        <v/>
      </c>
      <c r="I496" s="120" t="str">
        <f aca="false">Scoring!AO502</f>
        <v/>
      </c>
    </row>
    <row r="497" customFormat="false" ht="15.75" hidden="false" customHeight="false" outlineLevel="0" collapsed="false">
      <c r="A497" s="120" t="str">
        <f aca="false">Scoring!AR503</f>
        <v/>
      </c>
      <c r="B497" s="120" t="str">
        <f aca="false">Scoring!AQ503</f>
        <v/>
      </c>
      <c r="C497" s="120" t="n">
        <f aca="false">Scoring!C503</f>
        <v>0</v>
      </c>
      <c r="D497" s="121" t="str">
        <f aca="false">Scoring!AN503</f>
        <v/>
      </c>
      <c r="E497" s="120" t="str">
        <f aca="false">Scoring!V503</f>
        <v/>
      </c>
      <c r="F497" s="120" t="n">
        <f aca="false">Scoring!B503</f>
        <v>0</v>
      </c>
      <c r="G497" s="120" t="n">
        <f aca="false">Scoring!D503</f>
        <v>0</v>
      </c>
      <c r="H497" s="120" t="str">
        <f aca="false">Scoring!AP503</f>
        <v/>
      </c>
      <c r="I497" s="120" t="str">
        <f aca="false">Scoring!AO503</f>
        <v/>
      </c>
    </row>
    <row r="498" customFormat="false" ht="15.75" hidden="false" customHeight="false" outlineLevel="0" collapsed="false">
      <c r="A498" s="120" t="str">
        <f aca="false">Scoring!AR504</f>
        <v/>
      </c>
      <c r="B498" s="120" t="str">
        <f aca="false">Scoring!AQ504</f>
        <v/>
      </c>
      <c r="C498" s="120" t="n">
        <f aca="false">Scoring!C504</f>
        <v>0</v>
      </c>
      <c r="D498" s="121" t="str">
        <f aca="false">Scoring!AN504</f>
        <v/>
      </c>
      <c r="E498" s="120" t="str">
        <f aca="false">Scoring!V504</f>
        <v/>
      </c>
      <c r="F498" s="120" t="n">
        <f aca="false">Scoring!B504</f>
        <v>0</v>
      </c>
      <c r="G498" s="120" t="n">
        <f aca="false">Scoring!D504</f>
        <v>0</v>
      </c>
      <c r="H498" s="120" t="str">
        <f aca="false">Scoring!AP504</f>
        <v/>
      </c>
      <c r="I498" s="120" t="str">
        <f aca="false">Scoring!AO504</f>
        <v/>
      </c>
    </row>
    <row r="499" customFormat="false" ht="15.75" hidden="false" customHeight="false" outlineLevel="0" collapsed="false">
      <c r="A499" s="120" t="str">
        <f aca="false">Scoring!AR505</f>
        <v/>
      </c>
      <c r="B499" s="120" t="str">
        <f aca="false">Scoring!AQ505</f>
        <v/>
      </c>
      <c r="C499" s="120" t="n">
        <f aca="false">Scoring!C505</f>
        <v>0</v>
      </c>
      <c r="D499" s="121" t="str">
        <f aca="false">Scoring!AN505</f>
        <v/>
      </c>
      <c r="E499" s="120" t="str">
        <f aca="false">Scoring!V505</f>
        <v/>
      </c>
      <c r="F499" s="120" t="n">
        <f aca="false">Scoring!B505</f>
        <v>0</v>
      </c>
      <c r="G499" s="120" t="n">
        <f aca="false">Scoring!D505</f>
        <v>0</v>
      </c>
      <c r="H499" s="120" t="str">
        <f aca="false">Scoring!AP505</f>
        <v/>
      </c>
      <c r="I499" s="120" t="str">
        <f aca="false">Scoring!AO505</f>
        <v/>
      </c>
    </row>
    <row r="500" customFormat="false" ht="15.75" hidden="false" customHeight="false" outlineLevel="0" collapsed="false">
      <c r="A500" s="120" t="str">
        <f aca="false">Scoring!AR506</f>
        <v/>
      </c>
      <c r="B500" s="120" t="str">
        <f aca="false">Scoring!AQ506</f>
        <v/>
      </c>
      <c r="C500" s="120" t="n">
        <f aca="false">Scoring!C506</f>
        <v>0</v>
      </c>
      <c r="D500" s="121" t="str">
        <f aca="false">Scoring!AN506</f>
        <v/>
      </c>
      <c r="E500" s="120" t="str">
        <f aca="false">Scoring!V506</f>
        <v/>
      </c>
      <c r="F500" s="120" t="n">
        <f aca="false">Scoring!B506</f>
        <v>0</v>
      </c>
      <c r="G500" s="120" t="n">
        <f aca="false">Scoring!D506</f>
        <v>0</v>
      </c>
      <c r="H500" s="120" t="str">
        <f aca="false">Scoring!AP506</f>
        <v/>
      </c>
      <c r="I500" s="120" t="str">
        <f aca="false">Scoring!AO506</f>
        <v/>
      </c>
    </row>
    <row r="501" customFormat="false" ht="15.75" hidden="false" customHeight="false" outlineLevel="0" collapsed="false">
      <c r="A501" s="120" t="str">
        <f aca="false">Scoring!AR507</f>
        <v/>
      </c>
      <c r="B501" s="120" t="str">
        <f aca="false">Scoring!AQ507</f>
        <v/>
      </c>
      <c r="C501" s="120" t="n">
        <f aca="false">Scoring!C507</f>
        <v>0</v>
      </c>
      <c r="D501" s="121" t="str">
        <f aca="false">Scoring!AN507</f>
        <v/>
      </c>
      <c r="E501" s="120" t="str">
        <f aca="false">Scoring!V507</f>
        <v/>
      </c>
      <c r="F501" s="120" t="n">
        <f aca="false">Scoring!B507</f>
        <v>0</v>
      </c>
      <c r="G501" s="120" t="n">
        <f aca="false">Scoring!D507</f>
        <v>0</v>
      </c>
      <c r="H501" s="120" t="str">
        <f aca="false">Scoring!AP507</f>
        <v/>
      </c>
      <c r="I501" s="120" t="str">
        <f aca="false">Scoring!AO507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2026-09-29T23:13:50Z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